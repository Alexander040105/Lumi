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OneDrive\MPA\RECORDS\FOI\Attachments - Reply to Mr. Versoza\"/>
    </mc:Choice>
  </mc:AlternateContent>
  <bookViews>
    <workbookView xWindow="0" yWindow="0" windowWidth="23040" windowHeight="9192"/>
  </bookViews>
  <sheets>
    <sheet name="2011" sheetId="6" r:id="rId1"/>
    <sheet name="2012" sheetId="7" r:id="rId2"/>
    <sheet name="2013" sheetId="8" r:id="rId3"/>
    <sheet name="2014" sheetId="9" r:id="rId4"/>
    <sheet name="2015" sheetId="10" r:id="rId5"/>
    <sheet name="2016" sheetId="1" r:id="rId6"/>
    <sheet name="2017" sheetId="3" r:id="rId7"/>
    <sheet name="2018" sheetId="2" r:id="rId8"/>
    <sheet name="2019" sheetId="5" r:id="rId9"/>
    <sheet name="2020" sheetId="4" r:id="rId10"/>
  </sheets>
  <externalReferences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</externalReferences>
  <definedNames>
    <definedName name="\e" localSheetId="1">#REF!</definedName>
    <definedName name="\e" localSheetId="2">#REF!</definedName>
    <definedName name="\e" localSheetId="3">#REF!</definedName>
    <definedName name="\e" localSheetId="4">#REF!</definedName>
    <definedName name="\e" localSheetId="5">#REF!</definedName>
    <definedName name="\e" localSheetId="6">#REF!</definedName>
    <definedName name="\e" localSheetId="7">#REF!</definedName>
    <definedName name="\e" localSheetId="8">#REF!</definedName>
    <definedName name="\e" localSheetId="9">#REF!</definedName>
    <definedName name="\e">#REF!</definedName>
    <definedName name="\o" localSheetId="6">#REF!</definedName>
    <definedName name="\o" localSheetId="7">#REF!</definedName>
    <definedName name="\o" localSheetId="8">#REF!</definedName>
    <definedName name="\o" localSheetId="9">#REF!</definedName>
    <definedName name="\o">#REF!</definedName>
    <definedName name="\p" localSheetId="1">#REF!</definedName>
    <definedName name="\p" localSheetId="2">#REF!</definedName>
    <definedName name="\p" localSheetId="3">#REF!</definedName>
    <definedName name="\p" localSheetId="4">#REF!</definedName>
    <definedName name="\p" localSheetId="5">#REF!</definedName>
    <definedName name="\p" localSheetId="6">#REF!</definedName>
    <definedName name="\p" localSheetId="7">#REF!</definedName>
    <definedName name="\p" localSheetId="8">#REF!</definedName>
    <definedName name="\p" localSheetId="9">#REF!</definedName>
    <definedName name="\p">#REF!</definedName>
    <definedName name="\q" localSheetId="6">#REF!</definedName>
    <definedName name="\q" localSheetId="7">#REF!</definedName>
    <definedName name="\q" localSheetId="8">#REF!</definedName>
    <definedName name="\q" localSheetId="9">#REF!</definedName>
    <definedName name="\q">#REF!</definedName>
    <definedName name="\s" localSheetId="1">#REF!</definedName>
    <definedName name="\s" localSheetId="2">#REF!</definedName>
    <definedName name="\s" localSheetId="3">#REF!</definedName>
    <definedName name="\s" localSheetId="4">#REF!</definedName>
    <definedName name="\s" localSheetId="5">#REF!</definedName>
    <definedName name="\s" localSheetId="6">#REF!</definedName>
    <definedName name="\s" localSheetId="7">#REF!</definedName>
    <definedName name="\s" localSheetId="8">#REF!</definedName>
    <definedName name="\s" localSheetId="9">#REF!</definedName>
    <definedName name="\s">#REF!</definedName>
    <definedName name="\t" localSheetId="6">#REF!</definedName>
    <definedName name="\t" localSheetId="7">#REF!</definedName>
    <definedName name="\t" localSheetId="8">#REF!</definedName>
    <definedName name="\t" localSheetId="9">#REF!</definedName>
    <definedName name="\t">#REF!</definedName>
    <definedName name="_____a12">'[1]O-12_PC_duty_pbc'!#REF!</definedName>
    <definedName name="_____CGV1">#REF!</definedName>
    <definedName name="_____CGV2">#REF!</definedName>
    <definedName name="_____CGV3">#REF!</definedName>
    <definedName name="_____CGV4">#REF!</definedName>
    <definedName name="_____cgv5">#REF!</definedName>
    <definedName name="_____HLP3">#REF!</definedName>
    <definedName name="____a12">'[1]O-12_PC_duty_pbc'!#REF!</definedName>
    <definedName name="____CGV1">#REF!</definedName>
    <definedName name="____CGV2">#REF!</definedName>
    <definedName name="____CGV3">#REF!</definedName>
    <definedName name="____CGV4">#REF!</definedName>
    <definedName name="____cgv5">#REF!</definedName>
    <definedName name="____CoU1">[2]Jan06!$M$22</definedName>
    <definedName name="____CoU10">[2]Oct06!$M$22</definedName>
    <definedName name="____CoU11">[2]Nov06!$M$22</definedName>
    <definedName name="____CoU12">[2]Dec06!$M$22</definedName>
    <definedName name="____CoU2">[2]Feb06!$M$22</definedName>
    <definedName name="____CoU3">[2]Mar06!$M$22</definedName>
    <definedName name="____CoU4">[2]Apr06!$M$22</definedName>
    <definedName name="____CoU5">[2]May06!$M$22</definedName>
    <definedName name="____CoU6">[2]Jun06!$M$22</definedName>
    <definedName name="____CoU7">[2]Jul06!$M$22</definedName>
    <definedName name="____CoU8">[2]Aug06!$M$22</definedName>
    <definedName name="____CoU9">[2]Sep06!$M$22</definedName>
    <definedName name="____HLP3">#REF!</definedName>
    <definedName name="____PPL1">[3]TLOSS_2!$H$29</definedName>
    <definedName name="____PPL2">[3]TLOSS_3!$D$27</definedName>
    <definedName name="____VM4">[3]PT_FB!$AA$47</definedName>
    <definedName name="____VM5">[3]PT_FB!$AA$48</definedName>
    <definedName name="____VM6">[3]PT_FB!$AA$50</definedName>
    <definedName name="____VM7">[3]PT_FB!$AA$46</definedName>
    <definedName name="____VM8">[3]PT_FB!$AA$49</definedName>
    <definedName name="___a12" localSheetId="2">'[4]O-12_PC_duty_pbc'!#REF!</definedName>
    <definedName name="___a12" localSheetId="3">'[4]O-12_PC_duty_pbc'!#REF!</definedName>
    <definedName name="___a12" localSheetId="8">'[4]O-12_PC_duty_pbc'!#REF!</definedName>
    <definedName name="___a12">'[4]O-12_PC_duty_pbc'!#REF!</definedName>
    <definedName name="___CGV1" localSheetId="2">#REF!</definedName>
    <definedName name="___CGV1" localSheetId="3">#REF!</definedName>
    <definedName name="___CGV1" localSheetId="4">#REF!</definedName>
    <definedName name="___CGV1" localSheetId="6">#REF!</definedName>
    <definedName name="___CGV1" localSheetId="7">#REF!</definedName>
    <definedName name="___CGV1" localSheetId="8">#REF!</definedName>
    <definedName name="___CGV1" localSheetId="9">#REF!</definedName>
    <definedName name="___CGV1">#REF!</definedName>
    <definedName name="___CGV2" localSheetId="2">#REF!</definedName>
    <definedName name="___CGV2" localSheetId="6">#REF!</definedName>
    <definedName name="___CGV2" localSheetId="7">#REF!</definedName>
    <definedName name="___CGV2" localSheetId="8">#REF!</definedName>
    <definedName name="___CGV2" localSheetId="9">#REF!</definedName>
    <definedName name="___CGV2">#REF!</definedName>
    <definedName name="___CGV3" localSheetId="2">#REF!</definedName>
    <definedName name="___CGV3" localSheetId="6">#REF!</definedName>
    <definedName name="___CGV3" localSheetId="7">#REF!</definedName>
    <definedName name="___CGV3" localSheetId="8">#REF!</definedName>
    <definedName name="___CGV3" localSheetId="9">#REF!</definedName>
    <definedName name="___CGV3">#REF!</definedName>
    <definedName name="___CGV4" localSheetId="6">#REF!</definedName>
    <definedName name="___CGV4" localSheetId="7">#REF!</definedName>
    <definedName name="___CGV4" localSheetId="8">#REF!</definedName>
    <definedName name="___CGV4" localSheetId="9">#REF!</definedName>
    <definedName name="___CGV4">#REF!</definedName>
    <definedName name="___cgv5" localSheetId="6">#REF!</definedName>
    <definedName name="___cgv5" localSheetId="7">#REF!</definedName>
    <definedName name="___cgv5" localSheetId="8">#REF!</definedName>
    <definedName name="___cgv5" localSheetId="9">#REF!</definedName>
    <definedName name="___cgv5">#REF!</definedName>
    <definedName name="___CoU1">[2]Jan06!$M$22</definedName>
    <definedName name="___CoU10">[2]Oct06!$M$22</definedName>
    <definedName name="___CoU11">[2]Nov06!$M$22</definedName>
    <definedName name="___CoU12">[2]Dec06!$M$22</definedName>
    <definedName name="___CoU2">[2]Feb06!$M$22</definedName>
    <definedName name="___CoU3">[2]Mar06!$M$22</definedName>
    <definedName name="___CoU4">[2]Apr06!$M$22</definedName>
    <definedName name="___CoU5">[2]May06!$M$22</definedName>
    <definedName name="___CoU6">[2]Jun06!$M$22</definedName>
    <definedName name="___CoU7">[2]Jul06!$M$22</definedName>
    <definedName name="___CoU8">[2]Aug06!$M$22</definedName>
    <definedName name="___CoU9">[2]Sep06!$M$22</definedName>
    <definedName name="___HLP3" localSheetId="6">#REF!</definedName>
    <definedName name="___HLP3" localSheetId="7">#REF!</definedName>
    <definedName name="___HLP3" localSheetId="8">#REF!</definedName>
    <definedName name="___HLP3" localSheetId="9">#REF!</definedName>
    <definedName name="___HLP3">#REF!</definedName>
    <definedName name="___PPL1">[3]TLOSS_2!$H$29</definedName>
    <definedName name="___PPL2">[3]TLOSS_3!$D$27</definedName>
    <definedName name="___VM4">[3]PT_FB!$AA$47</definedName>
    <definedName name="___VM5">[3]PT_FB!$AA$48</definedName>
    <definedName name="___VM6">[3]PT_FB!$AA$50</definedName>
    <definedName name="___VM7">[3]PT_FB!$AA$46</definedName>
    <definedName name="___VM8">[3]PT_FB!$AA$49</definedName>
    <definedName name="__a12" localSheetId="0">'[5]O-12_PC_duty_pbc'!#REF!</definedName>
    <definedName name="__a12" localSheetId="1">'[5]O-12_PC_duty_pbc'!#REF!</definedName>
    <definedName name="__a12" localSheetId="2">'[6]O-12_PC_duty_pbc'!#REF!</definedName>
    <definedName name="__a12" localSheetId="3">'[6]O-12_PC_duty_pbc'!#REF!</definedName>
    <definedName name="__a12" localSheetId="8">'[6]O-12_PC_duty_pbc'!#REF!</definedName>
    <definedName name="__a12">'[6]O-12_PC_duty_pbc'!#REF!</definedName>
    <definedName name="__CGV1" localSheetId="2">#REF!</definedName>
    <definedName name="__CGV1" localSheetId="3">#REF!</definedName>
    <definedName name="__CGV1" localSheetId="4">#REF!</definedName>
    <definedName name="__CGV1" localSheetId="6">#REF!</definedName>
    <definedName name="__CGV1" localSheetId="7">#REF!</definedName>
    <definedName name="__CGV1" localSheetId="8">#REF!</definedName>
    <definedName name="__CGV1" localSheetId="9">#REF!</definedName>
    <definedName name="__CGV1">#REF!</definedName>
    <definedName name="__CGV2" localSheetId="0">#REF!</definedName>
    <definedName name="__CGV2" localSheetId="1">#REF!</definedName>
    <definedName name="__CGV2" localSheetId="2">#REF!</definedName>
    <definedName name="__CGV2" localSheetId="6">#REF!</definedName>
    <definedName name="__CGV2" localSheetId="7">#REF!</definedName>
    <definedName name="__CGV2" localSheetId="8">#REF!</definedName>
    <definedName name="__CGV2" localSheetId="9">#REF!</definedName>
    <definedName name="__CGV2">#REF!</definedName>
    <definedName name="__CGV3" localSheetId="0">#REF!</definedName>
    <definedName name="__CGV3" localSheetId="1">#REF!</definedName>
    <definedName name="__CGV3" localSheetId="2">#REF!</definedName>
    <definedName name="__CGV3" localSheetId="6">#REF!</definedName>
    <definedName name="__CGV3" localSheetId="7">#REF!</definedName>
    <definedName name="__CGV3" localSheetId="8">#REF!</definedName>
    <definedName name="__CGV3" localSheetId="9">#REF!</definedName>
    <definedName name="__CGV3">#REF!</definedName>
    <definedName name="__CGV4" localSheetId="0">#REF!</definedName>
    <definedName name="__CGV4" localSheetId="1">#REF!</definedName>
    <definedName name="__CGV4" localSheetId="6">#REF!</definedName>
    <definedName name="__CGV4" localSheetId="7">#REF!</definedName>
    <definedName name="__CGV4" localSheetId="8">#REF!</definedName>
    <definedName name="__CGV4" localSheetId="9">#REF!</definedName>
    <definedName name="__CGV4">#REF!</definedName>
    <definedName name="__cgv5" localSheetId="0">#REF!</definedName>
    <definedName name="__cgv5" localSheetId="1">#REF!</definedName>
    <definedName name="__cgv5" localSheetId="6">#REF!</definedName>
    <definedName name="__cgv5" localSheetId="7">#REF!</definedName>
    <definedName name="__cgv5" localSheetId="8">#REF!</definedName>
    <definedName name="__cgv5" localSheetId="9">#REF!</definedName>
    <definedName name="__cgv5">#REF!</definedName>
    <definedName name="__CoU1">[7]Jan06!$M$22</definedName>
    <definedName name="__CoU10">[7]Oct06!$M$22</definedName>
    <definedName name="__CoU11">[7]Nov06!$M$22</definedName>
    <definedName name="__CoU12">[7]Dec06!$M$22</definedName>
    <definedName name="__CoU2">[7]Feb06!$M$22</definedName>
    <definedName name="__CoU3">[7]Mar06!$M$22</definedName>
    <definedName name="__CoU4">[7]Apr06!$M$22</definedName>
    <definedName name="__CoU5">[7]May06!$M$22</definedName>
    <definedName name="__CoU6">[7]Jun06!$M$22</definedName>
    <definedName name="__CoU7">[7]Jul06!$M$22</definedName>
    <definedName name="__CoU8">[7]Aug06!$M$22</definedName>
    <definedName name="__CoU9">[7]Sep06!$M$22</definedName>
    <definedName name="__HLP3" localSheetId="0">#REF!</definedName>
    <definedName name="__HLP3" localSheetId="1">#REF!</definedName>
    <definedName name="__HLP3" localSheetId="2">#REF!</definedName>
    <definedName name="__HLP3" localSheetId="3">#REF!</definedName>
    <definedName name="__HLP3" localSheetId="4">#REF!</definedName>
    <definedName name="__HLP3" localSheetId="6">#REF!</definedName>
    <definedName name="__HLP3" localSheetId="7">#REF!</definedName>
    <definedName name="__HLP3" localSheetId="8">#REF!</definedName>
    <definedName name="__HLP3" localSheetId="9">#REF!</definedName>
    <definedName name="__HLP3">#REF!</definedName>
    <definedName name="__PPL1">[8]TLOSS_2!$H$29</definedName>
    <definedName name="__PPL2">[8]TLOSS_3!$D$27</definedName>
    <definedName name="__VM4">[8]PT_FB!$AA$47</definedName>
    <definedName name="__VM5">[8]PT_FB!$AA$48</definedName>
    <definedName name="__VM6">[8]PT_FB!$AA$50</definedName>
    <definedName name="__VM7">[8]PT_FB!$AA$46</definedName>
    <definedName name="__VM8">[8]PT_FB!$AA$49</definedName>
    <definedName name="_1" localSheetId="0">#REF!</definedName>
    <definedName name="_1" localSheetId="1">#REF!</definedName>
    <definedName name="_1" localSheetId="2">#REF!</definedName>
    <definedName name="_1" localSheetId="6">#REF!</definedName>
    <definedName name="_1" localSheetId="7">#REF!</definedName>
    <definedName name="_1" localSheetId="8">#REF!</definedName>
    <definedName name="_1" localSheetId="9">#REF!</definedName>
    <definedName name="_1">#REF!</definedName>
    <definedName name="_a12" localSheetId="0">'[5]O-12_PC_duty_pbc'!#REF!</definedName>
    <definedName name="_a12" localSheetId="1">'[5]O-12_PC_duty_pbc'!#REF!</definedName>
    <definedName name="_a12" localSheetId="2">'[6]O-12_PC_duty_pbc'!#REF!</definedName>
    <definedName name="_a12" localSheetId="8">'[6]O-12_PC_duty_pbc'!#REF!</definedName>
    <definedName name="_a12">'[6]O-12_PC_duty_pbc'!#REF!</definedName>
    <definedName name="_CGV1" localSheetId="2">#REF!</definedName>
    <definedName name="_CGV1" localSheetId="6">#REF!</definedName>
    <definedName name="_CGV1" localSheetId="7">#REF!</definedName>
    <definedName name="_CGV1" localSheetId="8">#REF!</definedName>
    <definedName name="_CGV1" localSheetId="9">#REF!</definedName>
    <definedName name="_CGV1">#REF!</definedName>
    <definedName name="_CGV2" localSheetId="0">#REF!</definedName>
    <definedName name="_CGV2" localSheetId="1">#REF!</definedName>
    <definedName name="_CGV2" localSheetId="6">#REF!</definedName>
    <definedName name="_CGV2" localSheetId="7">#REF!</definedName>
    <definedName name="_CGV2" localSheetId="8">#REF!</definedName>
    <definedName name="_CGV2" localSheetId="9">#REF!</definedName>
    <definedName name="_CGV2">#REF!</definedName>
    <definedName name="_CGV3" localSheetId="0">#REF!</definedName>
    <definedName name="_CGV3" localSheetId="1">#REF!</definedName>
    <definedName name="_CGV3" localSheetId="6">#REF!</definedName>
    <definedName name="_CGV3" localSheetId="7">#REF!</definedName>
    <definedName name="_CGV3" localSheetId="8">#REF!</definedName>
    <definedName name="_CGV3" localSheetId="9">#REF!</definedName>
    <definedName name="_CGV3">#REF!</definedName>
    <definedName name="_CGV4" localSheetId="0">#REF!</definedName>
    <definedName name="_CGV4" localSheetId="1">#REF!</definedName>
    <definedName name="_CGV4" localSheetId="6">#REF!</definedName>
    <definedName name="_CGV4" localSheetId="7">#REF!</definedName>
    <definedName name="_CGV4" localSheetId="8">#REF!</definedName>
    <definedName name="_CGV4" localSheetId="9">#REF!</definedName>
    <definedName name="_CGV4">#REF!</definedName>
    <definedName name="_cgv5" localSheetId="0">#REF!</definedName>
    <definedName name="_cgv5" localSheetId="1">#REF!</definedName>
    <definedName name="_cgv5" localSheetId="6">#REF!</definedName>
    <definedName name="_cgv5" localSheetId="7">#REF!</definedName>
    <definedName name="_cgv5" localSheetId="8">#REF!</definedName>
    <definedName name="_cgv5" localSheetId="9">#REF!</definedName>
    <definedName name="_cgv5">#REF!</definedName>
    <definedName name="_CoU1" localSheetId="0">[9]Jan06!$M$22</definedName>
    <definedName name="_CoU1" localSheetId="1">[9]Jan06!$M$22</definedName>
    <definedName name="_CoU1">[10]Jan06!$M$22</definedName>
    <definedName name="_CoU10" localSheetId="0">[9]Oct06!$M$22</definedName>
    <definedName name="_CoU10" localSheetId="1">[9]Oct06!$M$22</definedName>
    <definedName name="_CoU10">[10]Oct06!$M$22</definedName>
    <definedName name="_CoU11" localSheetId="0">[9]Nov06!$M$22</definedName>
    <definedName name="_CoU11" localSheetId="1">[9]Nov06!$M$22</definedName>
    <definedName name="_CoU11">[10]Nov06!$M$22</definedName>
    <definedName name="_CoU12" localSheetId="0">[9]Dec06!$M$22</definedName>
    <definedName name="_CoU12" localSheetId="1">[9]Dec06!$M$22</definedName>
    <definedName name="_CoU12">[10]Dec06!$M$22</definedName>
    <definedName name="_CoU2" localSheetId="0">[9]Feb06!$M$22</definedName>
    <definedName name="_CoU2" localSheetId="1">[9]Feb06!$M$22</definedName>
    <definedName name="_CoU2">[10]Feb06!$M$22</definedName>
    <definedName name="_CoU3" localSheetId="0">[9]Mar06!$M$22</definedName>
    <definedName name="_CoU3" localSheetId="1">[9]Mar06!$M$22</definedName>
    <definedName name="_CoU3">[10]Mar06!$M$22</definedName>
    <definedName name="_CoU4" localSheetId="0">[9]Apr06!$M$22</definedName>
    <definedName name="_CoU4" localSheetId="1">[9]Apr06!$M$22</definedName>
    <definedName name="_CoU4">[10]Apr06!$M$22</definedName>
    <definedName name="_CoU5" localSheetId="0">[9]May06!$M$22</definedName>
    <definedName name="_CoU5" localSheetId="1">[9]May06!$M$22</definedName>
    <definedName name="_CoU5">[10]May06!$M$22</definedName>
    <definedName name="_CoU6" localSheetId="0">[9]Jun06!$M$22</definedName>
    <definedName name="_CoU6" localSheetId="1">[9]Jun06!$M$22</definedName>
    <definedName name="_CoU6">[10]Jun06!$M$22</definedName>
    <definedName name="_CoU7" localSheetId="0">[9]Jul06!$M$22</definedName>
    <definedName name="_CoU7" localSheetId="1">[9]Jul06!$M$22</definedName>
    <definedName name="_CoU7">[10]Jul06!$M$22</definedName>
    <definedName name="_CoU8" localSheetId="0">[9]Aug06!$M$22</definedName>
    <definedName name="_CoU8" localSheetId="1">[9]Aug06!$M$22</definedName>
    <definedName name="_CoU8">[10]Aug06!$M$22</definedName>
    <definedName name="_CoU9" localSheetId="0">[9]Sep06!$M$22</definedName>
    <definedName name="_CoU9" localSheetId="1">[9]Sep06!$M$22</definedName>
    <definedName name="_CoU9">[10]Sep06!$M$22</definedName>
    <definedName name="_Fill" localSheetId="8" hidden="1">[11]RATE98!#REF!</definedName>
    <definedName name="_Fill" hidden="1">[11]RATE98!#REF!</definedName>
    <definedName name="_HLP3" localSheetId="0">#REF!</definedName>
    <definedName name="_HLP3" localSheetId="1">#REF!</definedName>
    <definedName name="_HLP3" localSheetId="6">#REF!</definedName>
    <definedName name="_HLP3" localSheetId="7">#REF!</definedName>
    <definedName name="_HLP3" localSheetId="8">#REF!</definedName>
    <definedName name="_HLP3" localSheetId="9">#REF!</definedName>
    <definedName name="_HLP3">#REF!</definedName>
    <definedName name="_Key1" localSheetId="6" hidden="1">#REF!</definedName>
    <definedName name="_Key1" localSheetId="7" hidden="1">#REF!</definedName>
    <definedName name="_Key1" localSheetId="8" hidden="1">#REF!</definedName>
    <definedName name="_Key1" localSheetId="9" hidden="1">#REF!</definedName>
    <definedName name="_Key1" hidden="1">#REF!</definedName>
    <definedName name="_Key2" localSheetId="6" hidden="1">#REF!</definedName>
    <definedName name="_Key2" localSheetId="7" hidden="1">#REF!</definedName>
    <definedName name="_Key2" localSheetId="8" hidden="1">#REF!</definedName>
    <definedName name="_Key2" localSheetId="9" hidden="1">#REF!</definedName>
    <definedName name="_Key2" hidden="1">#REF!</definedName>
    <definedName name="_Order1" hidden="1">255</definedName>
    <definedName name="_Order2" hidden="1">255</definedName>
    <definedName name="_PPL1" localSheetId="0">[12]TLOSS_2!$H$29</definedName>
    <definedName name="_PPL1" localSheetId="1">[12]TLOSS_2!$H$29</definedName>
    <definedName name="_PPL1">[13]TLOSS_2!$H$29</definedName>
    <definedName name="_PPL2" localSheetId="0">[12]TLOSS_3!$D$27</definedName>
    <definedName name="_PPL2" localSheetId="1">[12]TLOSS_3!$D$27</definedName>
    <definedName name="_PPL2">[13]TLOSS_3!$D$27</definedName>
    <definedName name="_Regression_Int" hidden="1">1</definedName>
    <definedName name="_Sort" localSheetId="6" hidden="1">#REF!</definedName>
    <definedName name="_Sort" localSheetId="7" hidden="1">#REF!</definedName>
    <definedName name="_Sort" localSheetId="8" hidden="1">#REF!</definedName>
    <definedName name="_Sort" localSheetId="9" hidden="1">#REF!</definedName>
    <definedName name="_Sort" hidden="1">#REF!</definedName>
    <definedName name="_VM4" localSheetId="0">[12]PT_FB!$AA$47</definedName>
    <definedName name="_VM4" localSheetId="1">[12]PT_FB!$AA$47</definedName>
    <definedName name="_VM4">[13]PT_FB!$AA$47</definedName>
    <definedName name="_VM5" localSheetId="0">[12]PT_FB!$AA$48</definedName>
    <definedName name="_VM5" localSheetId="1">[12]PT_FB!$AA$48</definedName>
    <definedName name="_VM5">[13]PT_FB!$AA$48</definedName>
    <definedName name="_VM6" localSheetId="0">[12]PT_FB!$AA$50</definedName>
    <definedName name="_VM6" localSheetId="1">[12]PT_FB!$AA$50</definedName>
    <definedName name="_VM6">[13]PT_FB!$AA$50</definedName>
    <definedName name="_VM7" localSheetId="0">[12]PT_FB!$AA$46</definedName>
    <definedName name="_VM7" localSheetId="1">[12]PT_FB!$AA$46</definedName>
    <definedName name="_VM7">[13]PT_FB!$AA$46</definedName>
    <definedName name="_VM8" localSheetId="0">[12]PT_FB!$AA$49</definedName>
    <definedName name="_VM8" localSheetId="1">[12]PT_FB!$AA$49</definedName>
    <definedName name="_VM8">[13]PT_FB!$AA$49</definedName>
    <definedName name="a" localSheetId="6">#REF!</definedName>
    <definedName name="a" localSheetId="7">#REF!</definedName>
    <definedName name="a" localSheetId="8">#REF!</definedName>
    <definedName name="a" localSheetId="9">#REF!</definedName>
    <definedName name="a">#REF!</definedName>
    <definedName name="ACCRUAL_OF_GENERATION_CHARGES__COMPUTATION" localSheetId="0">'[14]Annex A'!#REF!</definedName>
    <definedName name="ACCRUAL_OF_GENERATION_CHARGES__COMPUTATION" localSheetId="1">'[14]Annex A'!#REF!</definedName>
    <definedName name="ACCRUAL_OF_GENERATION_CHARGES__COMPUTATION" localSheetId="8">'[15]Annex A'!#REF!</definedName>
    <definedName name="ACCRUAL_OF_GENERATION_CHARGES__COMPUTATION">'[15]Annex A'!#REF!</definedName>
    <definedName name="accrual_recnue_Jan" localSheetId="0">#REF!</definedName>
    <definedName name="accrual_recnue_Jan" localSheetId="1">#REF!</definedName>
    <definedName name="accrual_recnue_Jan" localSheetId="2">#REF!</definedName>
    <definedName name="accrual_recnue_Jan" localSheetId="6">#REF!</definedName>
    <definedName name="accrual_recnue_Jan" localSheetId="7">#REF!</definedName>
    <definedName name="accrual_recnue_Jan" localSheetId="8">#REF!</definedName>
    <definedName name="accrual_recnue_Jan" localSheetId="9">#REF!</definedName>
    <definedName name="accrual_recnue_Jan">#REF!</definedName>
    <definedName name="ADJUSTMENTS" localSheetId="0">#REF!</definedName>
    <definedName name="ADJUSTMENTS" localSheetId="1">#REF!</definedName>
    <definedName name="ADJUSTMENTS" localSheetId="6">#REF!</definedName>
    <definedName name="ADJUSTMENTS" localSheetId="7">#REF!</definedName>
    <definedName name="ADJUSTMENTS" localSheetId="8">#REF!</definedName>
    <definedName name="ADJUSTMENTS" localSheetId="9">#REF!</definedName>
    <definedName name="ADJUSTMENTS">#REF!</definedName>
    <definedName name="AMOUNT" localSheetId="6">#REF!</definedName>
    <definedName name="AMOUNT" localSheetId="7">#REF!</definedName>
    <definedName name="AMOUNT" localSheetId="8">#REF!</definedName>
    <definedName name="AMOUNT" localSheetId="9">#REF!</definedName>
    <definedName name="AMOUNT">#REF!</definedName>
    <definedName name="analysi1_1" localSheetId="0">#REF!</definedName>
    <definedName name="analysi1_1" localSheetId="1">#REF!</definedName>
    <definedName name="analysi1_1" localSheetId="6">#REF!</definedName>
    <definedName name="analysi1_1" localSheetId="7">#REF!</definedName>
    <definedName name="analysi1_1" localSheetId="8">#REF!</definedName>
    <definedName name="analysi1_1" localSheetId="9">#REF!</definedName>
    <definedName name="analysi1_1">#REF!</definedName>
    <definedName name="analysis2_2" localSheetId="0">#REF!</definedName>
    <definedName name="analysis2_2" localSheetId="1">#REF!</definedName>
    <definedName name="analysis2_2" localSheetId="6">#REF!</definedName>
    <definedName name="analysis2_2" localSheetId="7">#REF!</definedName>
    <definedName name="analysis2_2" localSheetId="8">#REF!</definedName>
    <definedName name="analysis2_2" localSheetId="9">#REF!</definedName>
    <definedName name="analysis2_2">#REF!</definedName>
    <definedName name="ANNEX__B" localSheetId="0">#REF!</definedName>
    <definedName name="ANNEX__B" localSheetId="1">#REF!</definedName>
    <definedName name="ANNEX__B" localSheetId="6">#REF!</definedName>
    <definedName name="ANNEX__B" localSheetId="7">#REF!</definedName>
    <definedName name="ANNEX__B" localSheetId="8">#REF!</definedName>
    <definedName name="ANNEX__B" localSheetId="9">#REF!</definedName>
    <definedName name="ANNEX__B">#REF!</definedName>
    <definedName name="ANNEX_A_PPC" localSheetId="0">'[14]Annex A'!#REF!</definedName>
    <definedName name="ANNEX_A_PPC" localSheetId="1">'[14]Annex A'!#REF!</definedName>
    <definedName name="ANNEX_A_PPC" localSheetId="8">'[15]Annex A'!#REF!</definedName>
    <definedName name="ANNEX_A_PPC">'[15]Annex A'!#REF!</definedName>
    <definedName name="ANNEX_A_WITH_RATE" localSheetId="0">'[14]Annex A'!#REF!</definedName>
    <definedName name="ANNEX_A_WITH_RATE" localSheetId="1">'[14]Annex A'!#REF!</definedName>
    <definedName name="ANNEX_A_WITH_RATE" localSheetId="8">'[15]Annex A'!#REF!</definedName>
    <definedName name="ANNEX_A_WITH_RATE">'[15]Annex A'!#REF!</definedName>
    <definedName name="ap" localSheetId="2">#REF!</definedName>
    <definedName name="ap" localSheetId="3">#REF!</definedName>
    <definedName name="ap" localSheetId="4">#REF!</definedName>
    <definedName name="ap" localSheetId="6">#REF!</definedName>
    <definedName name="ap" localSheetId="7">#REF!</definedName>
    <definedName name="ap" localSheetId="8">#REF!</definedName>
    <definedName name="ap" localSheetId="9">#REF!</definedName>
    <definedName name="ap">#REF!</definedName>
    <definedName name="APR" localSheetId="0">#REF!</definedName>
    <definedName name="APR" localSheetId="1">#REF!</definedName>
    <definedName name="APR" localSheetId="6">#REF!</definedName>
    <definedName name="APR" localSheetId="7">#REF!</definedName>
    <definedName name="APR" localSheetId="8">#REF!</definedName>
    <definedName name="APR" localSheetId="9">#REF!</definedName>
    <definedName name="APR">#REF!</definedName>
    <definedName name="AUG" localSheetId="0">#REF!</definedName>
    <definedName name="AUG" localSheetId="1">#REF!</definedName>
    <definedName name="AUG" localSheetId="6">#REF!</definedName>
    <definedName name="AUG" localSheetId="7">#REF!</definedName>
    <definedName name="AUG" localSheetId="8">#REF!</definedName>
    <definedName name="AUG" localSheetId="9">#REF!</definedName>
    <definedName name="AUG">#REF!</definedName>
    <definedName name="Ave_prod_rate" localSheetId="0">#REF!</definedName>
    <definedName name="Ave_prod_rate" localSheetId="1">#REF!</definedName>
    <definedName name="Ave_prod_rate" localSheetId="6">#REF!</definedName>
    <definedName name="Ave_prod_rate" localSheetId="7">#REF!</definedName>
    <definedName name="Ave_prod_rate" localSheetId="8">#REF!</definedName>
    <definedName name="Ave_prod_rate" localSheetId="9">#REF!</definedName>
    <definedName name="Ave_prod_rate">#REF!</definedName>
    <definedName name="b" localSheetId="0">#REF!</definedName>
    <definedName name="b" localSheetId="1">#REF!</definedName>
    <definedName name="b" localSheetId="6">#REF!</definedName>
    <definedName name="b" localSheetId="7">#REF!</definedName>
    <definedName name="b" localSheetId="8">#REF!</definedName>
    <definedName name="b" localSheetId="9">#REF!</definedName>
    <definedName name="b">#REF!</definedName>
    <definedName name="BALADB" localSheetId="0">#REF!</definedName>
    <definedName name="BALADB" localSheetId="1">#REF!</definedName>
    <definedName name="BALADB" localSheetId="6">#REF!</definedName>
    <definedName name="BALADB" localSheetId="7">#REF!</definedName>
    <definedName name="BALADB" localSheetId="8">#REF!</definedName>
    <definedName name="BALADB" localSheetId="9">#REF!</definedName>
    <definedName name="BALADB">#REF!</definedName>
    <definedName name="BALANCE" localSheetId="0">#REF!</definedName>
    <definedName name="BALANCE" localSheetId="1">#REF!</definedName>
    <definedName name="BALANCE" localSheetId="6">#REF!</definedName>
    <definedName name="BALANCE" localSheetId="7">#REF!</definedName>
    <definedName name="BALANCE" localSheetId="8">#REF!</definedName>
    <definedName name="BALANCE" localSheetId="9">#REF!</definedName>
    <definedName name="BALANCE">#REF!</definedName>
    <definedName name="BALCITIBANK" localSheetId="0">#REF!</definedName>
    <definedName name="BALCITIBANK" localSheetId="1">#REF!</definedName>
    <definedName name="BALCITIBANK" localSheetId="6">#REF!</definedName>
    <definedName name="BALCITIBANK" localSheetId="7">#REF!</definedName>
    <definedName name="BALCITIBANK" localSheetId="8">#REF!</definedName>
    <definedName name="BALCITIBANK" localSheetId="9">#REF!</definedName>
    <definedName name="BALCITIBANK">#REF!</definedName>
    <definedName name="BALEFIC" localSheetId="0">#REF!</definedName>
    <definedName name="BALEFIC" localSheetId="1">#REF!</definedName>
    <definedName name="BALEFIC" localSheetId="6">#REF!</definedName>
    <definedName name="BALEFIC" localSheetId="7">#REF!</definedName>
    <definedName name="BALEFIC" localSheetId="8">#REF!</definedName>
    <definedName name="BALEFIC" localSheetId="9">#REF!</definedName>
    <definedName name="BALEFIC">#REF!</definedName>
    <definedName name="BALIBRD" localSheetId="0">#REF!</definedName>
    <definedName name="BALIBRD" localSheetId="1">#REF!</definedName>
    <definedName name="BALIBRD" localSheetId="6">#REF!</definedName>
    <definedName name="BALIBRD" localSheetId="7">#REF!</definedName>
    <definedName name="BALIBRD" localSheetId="8">#REF!</definedName>
    <definedName name="BALIBRD" localSheetId="9">#REF!</definedName>
    <definedName name="BALIBRD">#REF!</definedName>
    <definedName name="BALIFC" localSheetId="0">#REF!</definedName>
    <definedName name="BALIFC" localSheetId="1">#REF!</definedName>
    <definedName name="BALIFC" localSheetId="6">#REF!</definedName>
    <definedName name="BALIFC" localSheetId="7">#REF!</definedName>
    <definedName name="BALIFC" localSheetId="8">#REF!</definedName>
    <definedName name="BALIFC" localSheetId="9">#REF!</definedName>
    <definedName name="BALIFC">#REF!</definedName>
    <definedName name="BALINGBARING" localSheetId="0">#REF!</definedName>
    <definedName name="BALINGBARING" localSheetId="1">#REF!</definedName>
    <definedName name="BALINGBARING" localSheetId="6">#REF!</definedName>
    <definedName name="BALINGBARING" localSheetId="7">#REF!</definedName>
    <definedName name="BALINGBARING" localSheetId="8">#REF!</definedName>
    <definedName name="BALINGBARING" localSheetId="9">#REF!</definedName>
    <definedName name="BALINGBARING">#REF!</definedName>
    <definedName name="BALKFW628" localSheetId="0">#REF!</definedName>
    <definedName name="BALKFW628" localSheetId="1">#REF!</definedName>
    <definedName name="BALKFW628" localSheetId="6">#REF!</definedName>
    <definedName name="BALKFW628" localSheetId="7">#REF!</definedName>
    <definedName name="BALKFW628" localSheetId="8">#REF!</definedName>
    <definedName name="BALKFW628" localSheetId="9">#REF!</definedName>
    <definedName name="BALKFW628">#REF!</definedName>
    <definedName name="BALOECF5066" localSheetId="0">#REF!</definedName>
    <definedName name="BALOECF5066" localSheetId="1">#REF!</definedName>
    <definedName name="BALOECF5066" localSheetId="6">#REF!</definedName>
    <definedName name="BALOECF5066" localSheetId="7">#REF!</definedName>
    <definedName name="BALOECF5066" localSheetId="8">#REF!</definedName>
    <definedName name="BALOECF5066" localSheetId="9">#REF!</definedName>
    <definedName name="BALOECF5066">#REF!</definedName>
    <definedName name="BALOECF8283" localSheetId="0">#REF!</definedName>
    <definedName name="BALOECF8283" localSheetId="1">#REF!</definedName>
    <definedName name="BALOECF8283" localSheetId="6">#REF!</definedName>
    <definedName name="BALOECF8283" localSheetId="7">#REF!</definedName>
    <definedName name="BALOECF8283" localSheetId="8">#REF!</definedName>
    <definedName name="BALOECF8283" localSheetId="9">#REF!</definedName>
    <definedName name="BALOECF8283">#REF!</definedName>
    <definedName name="BC" localSheetId="0">#REF!</definedName>
    <definedName name="BC" localSheetId="1">#REF!</definedName>
    <definedName name="BC" localSheetId="6">#REF!</definedName>
    <definedName name="BC" localSheetId="7">#REF!</definedName>
    <definedName name="BC" localSheetId="8">#REF!</definedName>
    <definedName name="BC" localSheetId="9">#REF!</definedName>
    <definedName name="BC">#REF!</definedName>
    <definedName name="Before_Turnaround" localSheetId="0">#REF!</definedName>
    <definedName name="Before_Turnaround" localSheetId="1">#REF!</definedName>
    <definedName name="Before_Turnaround" localSheetId="6">#REF!</definedName>
    <definedName name="Before_Turnaround" localSheetId="7">#REF!</definedName>
    <definedName name="Before_Turnaround" localSheetId="8">#REF!</definedName>
    <definedName name="Before_Turnaround" localSheetId="9">#REF!</definedName>
    <definedName name="Before_Turnaround">#REF!</definedName>
    <definedName name="bft" localSheetId="6">#REF!</definedName>
    <definedName name="bft" localSheetId="7">#REF!</definedName>
    <definedName name="bft" localSheetId="8">#REF!</definedName>
    <definedName name="bft" localSheetId="9">#REF!</definedName>
    <definedName name="bft">#REF!</definedName>
    <definedName name="BILLS" localSheetId="6">#REF!</definedName>
    <definedName name="BILLS" localSheetId="7">#REF!</definedName>
    <definedName name="BILLS" localSheetId="8">#REF!</definedName>
    <definedName name="BILLS" localSheetId="9">#REF!</definedName>
    <definedName name="BILLS">#REF!</definedName>
    <definedName name="BR" localSheetId="0">#REF!</definedName>
    <definedName name="BR" localSheetId="1">#REF!</definedName>
    <definedName name="BR" localSheetId="6">#REF!</definedName>
    <definedName name="BR" localSheetId="7">#REF!</definedName>
    <definedName name="BR" localSheetId="8">#REF!</definedName>
    <definedName name="BR" localSheetId="9">#REF!</definedName>
    <definedName name="BR">#REF!</definedName>
    <definedName name="bt" localSheetId="6">#REF!</definedName>
    <definedName name="bt" localSheetId="7">#REF!</definedName>
    <definedName name="bt" localSheetId="8">#REF!</definedName>
    <definedName name="bt" localSheetId="9">#REF!</definedName>
    <definedName name="bt">#REF!</definedName>
    <definedName name="C_" localSheetId="0">#REF!</definedName>
    <definedName name="C_" localSheetId="1">#REF!</definedName>
    <definedName name="C_" localSheetId="6">#REF!</definedName>
    <definedName name="C_" localSheetId="7">#REF!</definedName>
    <definedName name="C_" localSheetId="8">#REF!</definedName>
    <definedName name="C_" localSheetId="9">#REF!</definedName>
    <definedName name="C_">#REF!</definedName>
    <definedName name="c_flow" localSheetId="0">#REF!</definedName>
    <definedName name="c_flow" localSheetId="1">#REF!</definedName>
    <definedName name="c_flow" localSheetId="6">#REF!</definedName>
    <definedName name="c_flow" localSheetId="7">#REF!</definedName>
    <definedName name="c_flow" localSheetId="8">#REF!</definedName>
    <definedName name="c_flow" localSheetId="9">#REF!</definedName>
    <definedName name="c_flow">#REF!</definedName>
    <definedName name="CalendarTMvsLM" localSheetId="0">#REF!</definedName>
    <definedName name="CalendarTMvsLM" localSheetId="1">#REF!</definedName>
    <definedName name="CalendarTMvsLM" localSheetId="6">#REF!</definedName>
    <definedName name="CalendarTMvsLM" localSheetId="7">#REF!</definedName>
    <definedName name="CalendarTMvsLM" localSheetId="8">#REF!</definedName>
    <definedName name="CalendarTMvsLM" localSheetId="9">#REF!</definedName>
    <definedName name="CalendarTMvsLM">#REF!</definedName>
    <definedName name="cash" localSheetId="0">#REF!</definedName>
    <definedName name="cash" localSheetId="1">#REF!</definedName>
    <definedName name="cash" localSheetId="6">#REF!</definedName>
    <definedName name="cash" localSheetId="7">#REF!</definedName>
    <definedName name="cash" localSheetId="8">#REF!</definedName>
    <definedName name="cash" localSheetId="9">#REF!</definedName>
    <definedName name="cash">#REF!</definedName>
    <definedName name="cash_bank" localSheetId="0">#REF!</definedName>
    <definedName name="cash_bank" localSheetId="1">#REF!</definedName>
    <definedName name="cash_bank" localSheetId="6">#REF!</definedName>
    <definedName name="cash_bank" localSheetId="7">#REF!</definedName>
    <definedName name="cash_bank" localSheetId="8">#REF!</definedName>
    <definedName name="cash_bank" localSheetId="9">#REF!</definedName>
    <definedName name="cash_bank">#REF!</definedName>
    <definedName name="Cash_Flow_wp" localSheetId="0">#REF!</definedName>
    <definedName name="Cash_Flow_wp" localSheetId="1">#REF!</definedName>
    <definedName name="Cash_Flow_wp" localSheetId="6">#REF!</definedName>
    <definedName name="Cash_Flow_wp" localSheetId="7">#REF!</definedName>
    <definedName name="Cash_Flow_wp" localSheetId="8">#REF!</definedName>
    <definedName name="Cash_Flow_wp" localSheetId="9">#REF!</definedName>
    <definedName name="Cash_Flow_wp">#REF!</definedName>
    <definedName name="Cashbudget2" localSheetId="0">#REF!</definedName>
    <definedName name="Cashbudget2" localSheetId="1">#REF!</definedName>
    <definedName name="Cashbudget2" localSheetId="6">#REF!</definedName>
    <definedName name="Cashbudget2" localSheetId="7">#REF!</definedName>
    <definedName name="Cashbudget2" localSheetId="8">#REF!</definedName>
    <definedName name="Cashbudget2" localSheetId="9">#REF!</definedName>
    <definedName name="Cashbudget2">#REF!</definedName>
    <definedName name="Cashbuget1" localSheetId="0">#REF!</definedName>
    <definedName name="Cashbuget1" localSheetId="1">#REF!</definedName>
    <definedName name="Cashbuget1" localSheetId="6">#REF!</definedName>
    <definedName name="Cashbuget1" localSheetId="7">#REF!</definedName>
    <definedName name="Cashbuget1" localSheetId="8">#REF!</definedName>
    <definedName name="Cashbuget1" localSheetId="9">#REF!</definedName>
    <definedName name="Cashbuget1">#REF!</definedName>
    <definedName name="CCLOSS1" localSheetId="0">[3]KWHRM_F!$D$8</definedName>
    <definedName name="CCLOSS1" localSheetId="1">[3]KWHRM_F!$D$8</definedName>
    <definedName name="CCLOSS1">[8]KWHRM_F!$D$8</definedName>
    <definedName name="CENSUS" localSheetId="2">#REF!</definedName>
    <definedName name="CENSUS" localSheetId="3">#REF!</definedName>
    <definedName name="CENSUS" localSheetId="4">#REF!</definedName>
    <definedName name="CENSUS" localSheetId="6">#REF!</definedName>
    <definedName name="CENSUS" localSheetId="7">#REF!</definedName>
    <definedName name="CENSUS" localSheetId="8">#REF!</definedName>
    <definedName name="CENSUS" localSheetId="9">#REF!</definedName>
    <definedName name="CENSUS">#REF!</definedName>
    <definedName name="cflow_writeup" localSheetId="0">#REF!</definedName>
    <definedName name="cflow_writeup" localSheetId="1">#REF!</definedName>
    <definedName name="cflow_writeup" localSheetId="6">#REF!</definedName>
    <definedName name="cflow_writeup" localSheetId="7">#REF!</definedName>
    <definedName name="cflow_writeup" localSheetId="8">#REF!</definedName>
    <definedName name="cflow_writeup" localSheetId="9">#REF!</definedName>
    <definedName name="cflow_writeup">#REF!</definedName>
    <definedName name="CIT" localSheetId="0">[3]DATAFILE!$C$50</definedName>
    <definedName name="CIT" localSheetId="1">[3]DATAFILE!$C$50</definedName>
    <definedName name="CIT">[8]DATAFILE!$C$50</definedName>
    <definedName name="citizen" localSheetId="2">#REF!</definedName>
    <definedName name="citizen" localSheetId="3">#REF!</definedName>
    <definedName name="citizen" localSheetId="4">#REF!</definedName>
    <definedName name="citizen" localSheetId="6">#REF!</definedName>
    <definedName name="citizen" localSheetId="7">#REF!</definedName>
    <definedName name="citizen" localSheetId="8">#REF!</definedName>
    <definedName name="citizen" localSheetId="9">#REF!</definedName>
    <definedName name="citizen">#REF!</definedName>
    <definedName name="COM" localSheetId="6">#REF!</definedName>
    <definedName name="COM" localSheetId="7">#REF!</definedName>
    <definedName name="COM" localSheetId="8">#REF!</definedName>
    <definedName name="COM" localSheetId="9">#REF!</definedName>
    <definedName name="COM">#REF!</definedName>
    <definedName name="COMP_UNDER_RECOVERY" localSheetId="0">#REF!</definedName>
    <definedName name="COMP_UNDER_RECOVERY" localSheetId="1">#REF!</definedName>
    <definedName name="COMP_UNDER_RECOVERY" localSheetId="6">#REF!</definedName>
    <definedName name="COMP_UNDER_RECOVERY" localSheetId="7">#REF!</definedName>
    <definedName name="COMP_UNDER_RECOVERY" localSheetId="8">#REF!</definedName>
    <definedName name="COMP_UNDER_RECOVERY" localSheetId="9">#REF!</definedName>
    <definedName name="COMP_UNDER_RECOVERY">#REF!</definedName>
    <definedName name="COMPCODE" localSheetId="0">#REF!</definedName>
    <definedName name="COMPCODE" localSheetId="1">#REF!</definedName>
    <definedName name="COMPCODE" localSheetId="6">#REF!</definedName>
    <definedName name="COMPCODE" localSheetId="7">#REF!</definedName>
    <definedName name="COMPCODE" localSheetId="8">#REF!</definedName>
    <definedName name="COMPCODE" localSheetId="9">#REF!</definedName>
    <definedName name="COMPCODE">#REF!</definedName>
    <definedName name="Cumulative_Difference" localSheetId="0">#REF!</definedName>
    <definedName name="Cumulative_Difference" localSheetId="1">#REF!</definedName>
    <definedName name="Cumulative_Difference" localSheetId="6">#REF!</definedName>
    <definedName name="Cumulative_Difference" localSheetId="7">#REF!</definedName>
    <definedName name="Cumulative_Difference" localSheetId="8">#REF!</definedName>
    <definedName name="Cumulative_Difference" localSheetId="9">#REF!</definedName>
    <definedName name="Cumulative_Difference">#REF!</definedName>
    <definedName name="CurrTMvsLM" localSheetId="0">#REF!</definedName>
    <definedName name="CurrTMvsLM" localSheetId="1">#REF!</definedName>
    <definedName name="CurrTMvsLM" localSheetId="6">#REF!</definedName>
    <definedName name="CurrTMvsLM" localSheetId="7">#REF!</definedName>
    <definedName name="CurrTMvsLM" localSheetId="8">#REF!</definedName>
    <definedName name="CurrTMvsLM" localSheetId="9">#REF!</definedName>
    <definedName name="CurrTMvsLM">#REF!</definedName>
    <definedName name="CurrTYvsLY" localSheetId="0">#REF!</definedName>
    <definedName name="CurrTYvsLY" localSheetId="1">#REF!</definedName>
    <definedName name="CurrTYvsLY" localSheetId="6">#REF!</definedName>
    <definedName name="CurrTYvsLY" localSheetId="7">#REF!</definedName>
    <definedName name="CurrTYvsLY" localSheetId="8">#REF!</definedName>
    <definedName name="CurrTYvsLY" localSheetId="9">#REF!</definedName>
    <definedName name="CurrTYvsLY">#REF!</definedName>
    <definedName name="Customer_Type___COMMERCIAL" localSheetId="6">#REF!</definedName>
    <definedName name="Customer_Type___COMMERCIAL" localSheetId="7">#REF!</definedName>
    <definedName name="Customer_Type___COMMERCIAL" localSheetId="8">#REF!</definedName>
    <definedName name="Customer_Type___COMMERCIAL" localSheetId="9">#REF!</definedName>
    <definedName name="Customer_Type___COMMERCIAL">#REF!</definedName>
    <definedName name="Customer_Type___INDUSTRIAL" localSheetId="6">#REF!</definedName>
    <definedName name="Customer_Type___INDUSTRIAL" localSheetId="7">#REF!</definedName>
    <definedName name="Customer_Type___INDUSTRIAL" localSheetId="8">#REF!</definedName>
    <definedName name="Customer_Type___INDUSTRIAL" localSheetId="9">#REF!</definedName>
    <definedName name="Customer_Type___INDUSTRIAL">#REF!</definedName>
    <definedName name="Customer_Type___IRRIGATION" localSheetId="6">#REF!</definedName>
    <definedName name="Customer_Type___IRRIGATION" localSheetId="7">#REF!</definedName>
    <definedName name="Customer_Type___IRRIGATION" localSheetId="8">#REF!</definedName>
    <definedName name="Customer_Type___IRRIGATION" localSheetId="9">#REF!</definedName>
    <definedName name="Customer_Type___IRRIGATION">#REF!</definedName>
    <definedName name="Customer_Type___PUBLIC_BUILDINGS" localSheetId="6">#REF!</definedName>
    <definedName name="Customer_Type___PUBLIC_BUILDINGS" localSheetId="7">#REF!</definedName>
    <definedName name="Customer_Type___PUBLIC_BUILDINGS" localSheetId="8">#REF!</definedName>
    <definedName name="Customer_Type___PUBLIC_BUILDINGS" localSheetId="9">#REF!</definedName>
    <definedName name="Customer_Type___PUBLIC_BUILDINGS">#REF!</definedName>
    <definedName name="Customer_Type___RESIDENTIAL" localSheetId="6">#REF!</definedName>
    <definedName name="Customer_Type___RESIDENTIAL" localSheetId="7">#REF!</definedName>
    <definedName name="Customer_Type___RESIDENTIAL" localSheetId="8">#REF!</definedName>
    <definedName name="Customer_Type___RESIDENTIAL" localSheetId="9">#REF!</definedName>
    <definedName name="Customer_Type___RESIDENTIAL">#REF!</definedName>
    <definedName name="Customer_Type___STREET_LIGHTS" localSheetId="6">#REF!</definedName>
    <definedName name="Customer_Type___STREET_LIGHTS" localSheetId="7">#REF!</definedName>
    <definedName name="Customer_Type___STREET_LIGHTS" localSheetId="8">#REF!</definedName>
    <definedName name="Customer_Type___STREET_LIGHTS" localSheetId="9">#REF!</definedName>
    <definedName name="Customer_Type___STREET_LIGHTS">#REF!</definedName>
    <definedName name="d" localSheetId="0">#REF!</definedName>
    <definedName name="d" localSheetId="1">#REF!</definedName>
    <definedName name="d" localSheetId="6">#REF!</definedName>
    <definedName name="d" localSheetId="7">#REF!</definedName>
    <definedName name="d" localSheetId="8">#REF!</definedName>
    <definedName name="d" localSheetId="9">#REF!</definedName>
    <definedName name="d">#REF!</definedName>
    <definedName name="DATA" localSheetId="0">#REF!</definedName>
    <definedName name="DATA" localSheetId="1">#REF!</definedName>
    <definedName name="DATA" localSheetId="6">#REF!</definedName>
    <definedName name="DATA" localSheetId="7">#REF!</definedName>
    <definedName name="DATA" localSheetId="8">#REF!</definedName>
    <definedName name="DATA" localSheetId="9">#REF!</definedName>
    <definedName name="DATA">#REF!</definedName>
    <definedName name="DBase2000" localSheetId="6">#REF!</definedName>
    <definedName name="DBase2000" localSheetId="7">#REF!</definedName>
    <definedName name="DBase2000" localSheetId="8">#REF!</definedName>
    <definedName name="DBase2000" localSheetId="9">#REF!</definedName>
    <definedName name="DBase2000">#REF!</definedName>
    <definedName name="Dbase2001" localSheetId="6">#REF!</definedName>
    <definedName name="Dbase2001" localSheetId="7">#REF!</definedName>
    <definedName name="Dbase2001" localSheetId="8">#REF!</definedName>
    <definedName name="Dbase2001" localSheetId="9">#REF!</definedName>
    <definedName name="Dbase2001">#REF!</definedName>
    <definedName name="Dbase2002" localSheetId="6">#REF!</definedName>
    <definedName name="Dbase2002" localSheetId="7">#REF!</definedName>
    <definedName name="Dbase2002" localSheetId="8">#REF!</definedName>
    <definedName name="Dbase2002" localSheetId="9">#REF!</definedName>
    <definedName name="Dbase2002">#REF!</definedName>
    <definedName name="DEC" localSheetId="0">#REF!</definedName>
    <definedName name="DEC" localSheetId="1">#REF!</definedName>
    <definedName name="DEC" localSheetId="6">#REF!</definedName>
    <definedName name="DEC" localSheetId="7">#REF!</definedName>
    <definedName name="DEC" localSheetId="8">#REF!</definedName>
    <definedName name="DEC" localSheetId="9">#REF!</definedName>
    <definedName name="DEC">#REF!</definedName>
    <definedName name="DEMF" localSheetId="0">[3]DATAFILE!$C$42</definedName>
    <definedName name="DEMF" localSheetId="1">[3]DATAFILE!$C$42</definedName>
    <definedName name="DEMF">[8]DATAFILE!$C$42</definedName>
    <definedName name="DFS" localSheetId="0">#REF!</definedName>
    <definedName name="DFS" localSheetId="1">#REF!</definedName>
    <definedName name="DFS" localSheetId="2">#REF!</definedName>
    <definedName name="DFS" localSheetId="6">#REF!</definedName>
    <definedName name="DFS" localSheetId="7">#REF!</definedName>
    <definedName name="DFS" localSheetId="8">#REF!</definedName>
    <definedName name="DFS" localSheetId="9">#REF!</definedName>
    <definedName name="DFS">#REF!</definedName>
    <definedName name="DIST_IN" localSheetId="0">[3]DATAFILE!$C$44</definedName>
    <definedName name="DIST_IN" localSheetId="1">[3]DATAFILE!$C$44</definedName>
    <definedName name="DIST_IN">[8]DATAFILE!$C$44</definedName>
    <definedName name="DIST_IN1" localSheetId="0">[3]DATAFILE!$G$28</definedName>
    <definedName name="DIST_IN1" localSheetId="1">[3]DATAFILE!$G$28</definedName>
    <definedName name="DIST_IN1">[8]DATAFILE!$G$28</definedName>
    <definedName name="DIST_IN2" localSheetId="0">[3]DATAFILE!$C$45</definedName>
    <definedName name="DIST_IN2" localSheetId="1">[3]DATAFILE!$C$45</definedName>
    <definedName name="DIST_IN2">[8]DATAFILE!$C$45</definedName>
    <definedName name="DIVF" localSheetId="0">[3]DATAFILE!$C$41</definedName>
    <definedName name="DIVF" localSheetId="1">[3]DATAFILE!$C$41</definedName>
    <definedName name="DIVF">[8]DATAFILE!$C$41</definedName>
    <definedName name="dividend" localSheetId="0">#REF!</definedName>
    <definedName name="dividend" localSheetId="1">#REF!</definedName>
    <definedName name="dividend" localSheetId="2">#REF!</definedName>
    <definedName name="dividend" localSheetId="6">#REF!</definedName>
    <definedName name="dividend" localSheetId="7">#REF!</definedName>
    <definedName name="dividend" localSheetId="8">#REF!</definedName>
    <definedName name="dividend" localSheetId="9">#REF!</definedName>
    <definedName name="dividend">#REF!</definedName>
    <definedName name="DR" localSheetId="0">#REF!</definedName>
    <definedName name="DR" localSheetId="1">#REF!</definedName>
    <definedName name="DR" localSheetId="6">#REF!</definedName>
    <definedName name="DR" localSheetId="7">#REF!</definedName>
    <definedName name="DR" localSheetId="8">#REF!</definedName>
    <definedName name="DR" localSheetId="9">#REF!</definedName>
    <definedName name="DR">#REF!</definedName>
    <definedName name="e" localSheetId="0">#REF!</definedName>
    <definedName name="e" localSheetId="1">#REF!</definedName>
    <definedName name="e" localSheetId="6">#REF!</definedName>
    <definedName name="e" localSheetId="7">#REF!</definedName>
    <definedName name="e" localSheetId="8">#REF!</definedName>
    <definedName name="e" localSheetId="9">#REF!</definedName>
    <definedName name="e">#REF!</definedName>
    <definedName name="ENTRY_IF_UNDER_RECOVERED" localSheetId="0">#REF!</definedName>
    <definedName name="ENTRY_IF_UNDER_RECOVERED" localSheetId="1">#REF!</definedName>
    <definedName name="ENTRY_IF_UNDER_RECOVERED" localSheetId="6">#REF!</definedName>
    <definedName name="ENTRY_IF_UNDER_RECOVERED" localSheetId="7">#REF!</definedName>
    <definedName name="ENTRY_IF_UNDER_RECOVERED" localSheetId="8">#REF!</definedName>
    <definedName name="ENTRY_IF_UNDER_RECOVERED" localSheetId="9">#REF!</definedName>
    <definedName name="ENTRY_IF_UNDER_RECOVERED">#REF!</definedName>
    <definedName name="Errors_CY" localSheetId="0">#REF!</definedName>
    <definedName name="Errors_CY" localSheetId="1">#REF!</definedName>
    <definedName name="Errors_CY" localSheetId="6">#REF!</definedName>
    <definedName name="Errors_CY" localSheetId="7">#REF!</definedName>
    <definedName name="Errors_CY" localSheetId="8">#REF!</definedName>
    <definedName name="Errors_CY" localSheetId="9">#REF!</definedName>
    <definedName name="Errors_CY">#REF!</definedName>
    <definedName name="Errors_PY" localSheetId="0">#REF!</definedName>
    <definedName name="Errors_PY" localSheetId="1">#REF!</definedName>
    <definedName name="Errors_PY" localSheetId="6">#REF!</definedName>
    <definedName name="Errors_PY" localSheetId="7">#REF!</definedName>
    <definedName name="Errors_PY" localSheetId="8">#REF!</definedName>
    <definedName name="Errors_PY" localSheetId="9">#REF!</definedName>
    <definedName name="Errors_PY">#REF!</definedName>
    <definedName name="EXCEL" localSheetId="6">#REF!</definedName>
    <definedName name="EXCEL" localSheetId="7">#REF!</definedName>
    <definedName name="EXCEL" localSheetId="8">#REF!</definedName>
    <definedName name="EXCEL" localSheetId="9">#REF!</definedName>
    <definedName name="EXCEL">#REF!</definedName>
    <definedName name="Excel_BuiltIn_Print_Area">"$#REF!.$#REF!$#REF!:$#REF!$#REF!"</definedName>
    <definedName name="Excel_BuiltIn_Print_Area_4_1" localSheetId="0">#REF!,#REF!,#REF!,#REF!,#REF!,#REF!,#REF!,#REF!,#REF!,#REF!,#REF!</definedName>
    <definedName name="Excel_BuiltIn_Print_Area_4_1" localSheetId="1">#REF!,#REF!,#REF!,#REF!,#REF!,#REF!,#REF!,#REF!,#REF!,#REF!,#REF!</definedName>
    <definedName name="Excel_BuiltIn_Print_Area_4_1" localSheetId="2">#REF!,#REF!,#REF!,#REF!,#REF!,#REF!,#REF!,#REF!,#REF!,#REF!,#REF!</definedName>
    <definedName name="Excel_BuiltIn_Print_Area_4_1" localSheetId="6">#REF!,#REF!,#REF!,#REF!,#REF!,#REF!,#REF!,#REF!,#REF!,#REF!,#REF!</definedName>
    <definedName name="Excel_BuiltIn_Print_Area_4_1" localSheetId="7">#REF!,#REF!,#REF!,#REF!,#REF!,#REF!,#REF!,#REF!,#REF!,#REF!,#REF!</definedName>
    <definedName name="Excel_BuiltIn_Print_Area_4_1" localSheetId="8">#REF!,#REF!,#REF!,#REF!,#REF!,#REF!,#REF!,#REF!,#REF!,#REF!,#REF!</definedName>
    <definedName name="Excel_BuiltIn_Print_Area_4_1" localSheetId="9">#REF!,#REF!,#REF!,#REF!,#REF!,#REF!,#REF!,#REF!,#REF!,#REF!,#REF!</definedName>
    <definedName name="Excel_BuiltIn_Print_Area_4_1">#REF!,#REF!,#REF!,#REF!,#REF!,#REF!,#REF!,#REF!,#REF!,#REF!,#REF!</definedName>
    <definedName name="f" localSheetId="0">#REF!</definedName>
    <definedName name="f" localSheetId="1">#REF!</definedName>
    <definedName name="f" localSheetId="2">#REF!</definedName>
    <definedName name="f" localSheetId="3">#REF!</definedName>
    <definedName name="f" localSheetId="4">#REF!</definedName>
    <definedName name="f" localSheetId="6">#REF!</definedName>
    <definedName name="f" localSheetId="7">#REF!</definedName>
    <definedName name="f" localSheetId="8">#REF!</definedName>
    <definedName name="f" localSheetId="9">#REF!</definedName>
    <definedName name="f">#REF!</definedName>
    <definedName name="FEB" localSheetId="0">#REF!</definedName>
    <definedName name="FEB" localSheetId="1">#REF!</definedName>
    <definedName name="FEB" localSheetId="6">#REF!</definedName>
    <definedName name="FEB" localSheetId="7">#REF!</definedName>
    <definedName name="FEB" localSheetId="8">#REF!</definedName>
    <definedName name="FEB" localSheetId="9">#REF!</definedName>
    <definedName name="FEB">#REF!</definedName>
    <definedName name="FG" localSheetId="0">#REF!</definedName>
    <definedName name="FG" localSheetId="1">#REF!</definedName>
    <definedName name="FG" localSheetId="6">#REF!</definedName>
    <definedName name="FG" localSheetId="7">#REF!</definedName>
    <definedName name="FG" localSheetId="8">#REF!</definedName>
    <definedName name="FG" localSheetId="9">#REF!</definedName>
    <definedName name="FG">#REF!</definedName>
    <definedName name="FGDF" localSheetId="0">#REF!</definedName>
    <definedName name="FGDF" localSheetId="1">#REF!</definedName>
    <definedName name="FGDF" localSheetId="6">#REF!</definedName>
    <definedName name="FGDF" localSheetId="7">#REF!</definedName>
    <definedName name="FGDF" localSheetId="8">#REF!</definedName>
    <definedName name="FGDF" localSheetId="9">#REF!</definedName>
    <definedName name="FGDF">#REF!</definedName>
    <definedName name="FGS" localSheetId="0">#REF!</definedName>
    <definedName name="FGS" localSheetId="1">#REF!</definedName>
    <definedName name="FGS" localSheetId="6">#REF!</definedName>
    <definedName name="FGS" localSheetId="7">#REF!</definedName>
    <definedName name="FGS" localSheetId="8">#REF!</definedName>
    <definedName name="FGS" localSheetId="9">#REF!</definedName>
    <definedName name="FGS">#REF!</definedName>
    <definedName name="frequency" localSheetId="6">#REF!</definedName>
    <definedName name="frequency" localSheetId="7">#REF!</definedName>
    <definedName name="frequency" localSheetId="8">#REF!</definedName>
    <definedName name="frequency" localSheetId="9">#REF!</definedName>
    <definedName name="frequency">#REF!</definedName>
    <definedName name="fuel_ry1" localSheetId="6">#REF!</definedName>
    <definedName name="fuel_ry1" localSheetId="7">#REF!</definedName>
    <definedName name="fuel_ry1" localSheetId="8">#REF!</definedName>
    <definedName name="fuel_ry1" localSheetId="9">#REF!</definedName>
    <definedName name="fuel_ry1">#REF!</definedName>
    <definedName name="fuel_ry2" localSheetId="6">#REF!</definedName>
    <definedName name="fuel_ry2" localSheetId="7">#REF!</definedName>
    <definedName name="fuel_ry2" localSheetId="8">#REF!</definedName>
    <definedName name="fuel_ry2" localSheetId="9">#REF!</definedName>
    <definedName name="fuel_ry2">#REF!</definedName>
    <definedName name="g" localSheetId="6">#REF!</definedName>
    <definedName name="g" localSheetId="7">#REF!</definedName>
    <definedName name="g" localSheetId="8">#REF!</definedName>
    <definedName name="g" localSheetId="9">#REF!</definedName>
    <definedName name="g">#REF!</definedName>
    <definedName name="gs" localSheetId="6">#REF!</definedName>
    <definedName name="gs" localSheetId="7">#REF!</definedName>
    <definedName name="gs" localSheetId="8">#REF!</definedName>
    <definedName name="gs" localSheetId="9">#REF!</definedName>
    <definedName name="gs">#REF!</definedName>
    <definedName name="gs_p1" localSheetId="6">#REF!</definedName>
    <definedName name="gs_p1" localSheetId="7">#REF!</definedName>
    <definedName name="gs_p1" localSheetId="8">#REF!</definedName>
    <definedName name="gs_p1" localSheetId="9">#REF!</definedName>
    <definedName name="gs_p1">#REF!</definedName>
    <definedName name="gs_p2" localSheetId="6">#REF!</definedName>
    <definedName name="gs_p2" localSheetId="7">#REF!</definedName>
    <definedName name="gs_p2" localSheetId="8">#REF!</definedName>
    <definedName name="gs_p2" localSheetId="9">#REF!</definedName>
    <definedName name="gs_p2">#REF!</definedName>
    <definedName name="GTOTAL" localSheetId="0">[3]ST_FA!$I$11</definedName>
    <definedName name="GTOTAL" localSheetId="1">[3]ST_FA!$I$11</definedName>
    <definedName name="GTOTAL">[8]ST_FA!$I$11</definedName>
    <definedName name="H" localSheetId="0">#REF!</definedName>
    <definedName name="H" localSheetId="1">#REF!</definedName>
    <definedName name="H" localSheetId="2">#REF!</definedName>
    <definedName name="H" localSheetId="3">#REF!</definedName>
    <definedName name="H" localSheetId="4">#REF!</definedName>
    <definedName name="H" localSheetId="6">#REF!</definedName>
    <definedName name="H" localSheetId="7">#REF!</definedName>
    <definedName name="H" localSheetId="8">#REF!</definedName>
    <definedName name="H" localSheetId="9">#REF!</definedName>
    <definedName name="H">#REF!</definedName>
    <definedName name="HH" localSheetId="2" hidden="1">#REF!</definedName>
    <definedName name="HH" localSheetId="6" hidden="1">#REF!</definedName>
    <definedName name="HH" localSheetId="7" hidden="1">#REF!</definedName>
    <definedName name="HH" localSheetId="8" hidden="1">#REF!</definedName>
    <definedName name="HH" localSheetId="9" hidden="1">#REF!</definedName>
    <definedName name="HH" hidden="1">#REF!</definedName>
    <definedName name="HLP3A" localSheetId="0">#REF!</definedName>
    <definedName name="HLP3A" localSheetId="1">#REF!</definedName>
    <definedName name="HLP3A" localSheetId="6">#REF!</definedName>
    <definedName name="HLP3A" localSheetId="7">#REF!</definedName>
    <definedName name="HLP3A" localSheetId="8">#REF!</definedName>
    <definedName name="HLP3A" localSheetId="9">#REF!</definedName>
    <definedName name="HLP3A">#REF!</definedName>
    <definedName name="HLP3A1" localSheetId="0">#REF!</definedName>
    <definedName name="HLP3A1" localSheetId="1">#REF!</definedName>
    <definedName name="HLP3A1" localSheetId="6">#REF!</definedName>
    <definedName name="HLP3A1" localSheetId="7">#REF!</definedName>
    <definedName name="HLP3A1" localSheetId="8">#REF!</definedName>
    <definedName name="HLP3A1" localSheetId="9">#REF!</definedName>
    <definedName name="HLP3A1">#REF!</definedName>
    <definedName name="HLP3B" localSheetId="0">#REF!</definedName>
    <definedName name="HLP3B" localSheetId="1">#REF!</definedName>
    <definedName name="HLP3B" localSheetId="6">#REF!</definedName>
    <definedName name="HLP3B" localSheetId="7">#REF!</definedName>
    <definedName name="HLP3B" localSheetId="8">#REF!</definedName>
    <definedName name="HLP3B" localSheetId="9">#REF!</definedName>
    <definedName name="HLP3B">#REF!</definedName>
    <definedName name="hoyce" localSheetId="6">#REF!</definedName>
    <definedName name="hoyce" localSheetId="7">#REF!</definedName>
    <definedName name="hoyce" localSheetId="8">#REF!</definedName>
    <definedName name="hoyce" localSheetId="9">#REF!</definedName>
    <definedName name="hoyce">#REF!</definedName>
    <definedName name="I" localSheetId="9">[16]cash!$M$1:$S$29</definedName>
    <definedName name="I">[17]cash!$M$1:$S$29</definedName>
    <definedName name="Implemented" localSheetId="2">#REF!</definedName>
    <definedName name="Implemented" localSheetId="6">#REF!</definedName>
    <definedName name="Implemented" localSheetId="7">#REF!</definedName>
    <definedName name="Implemented" localSheetId="8">#REF!</definedName>
    <definedName name="Implemented" localSheetId="9">#REF!</definedName>
    <definedName name="Implemented">#REF!</definedName>
    <definedName name="INC" localSheetId="0">#REF!</definedName>
    <definedName name="INC" localSheetId="1">#REF!</definedName>
    <definedName name="INC" localSheetId="6">#REF!</definedName>
    <definedName name="INC" localSheetId="7">#REF!</definedName>
    <definedName name="INC" localSheetId="8">#REF!</definedName>
    <definedName name="INC" localSheetId="9">#REF!</definedName>
    <definedName name="INC">#REF!</definedName>
    <definedName name="IND" localSheetId="6">#REF!</definedName>
    <definedName name="IND" localSheetId="7">#REF!</definedName>
    <definedName name="IND" localSheetId="8">#REF!</definedName>
    <definedName name="IND" localSheetId="9">#REF!</definedName>
    <definedName name="IND">#REF!</definedName>
    <definedName name="input_data_per_sap" localSheetId="0">#REF!</definedName>
    <definedName name="input_data_per_sap" localSheetId="1">#REF!</definedName>
    <definedName name="input_data_per_sap" localSheetId="6">#REF!</definedName>
    <definedName name="input_data_per_sap" localSheetId="7">#REF!</definedName>
    <definedName name="input_data_per_sap" localSheetId="8">#REF!</definedName>
    <definedName name="input_data_per_sap" localSheetId="9">#REF!</definedName>
    <definedName name="input_data_per_sap">#REF!</definedName>
    <definedName name="INTEGRATED" localSheetId="0">#REF!</definedName>
    <definedName name="INTEGRATED" localSheetId="1">#REF!</definedName>
    <definedName name="INTEGRATED" localSheetId="6">#REF!</definedName>
    <definedName name="INTEGRATED" localSheetId="7">#REF!</definedName>
    <definedName name="INTEGRATED" localSheetId="8">#REF!</definedName>
    <definedName name="INTEGRATED" localSheetId="9">#REF!</definedName>
    <definedName name="INTEGRATED">#REF!</definedName>
    <definedName name="interclass" localSheetId="6">#REF!</definedName>
    <definedName name="interclass" localSheetId="7">#REF!</definedName>
    <definedName name="interclass" localSheetId="8">#REF!</definedName>
    <definedName name="interclass" localSheetId="9">#REF!</definedName>
    <definedName name="interclass">#REF!</definedName>
    <definedName name="ips_p1" localSheetId="2">#REF!</definedName>
    <definedName name="ips_p1" localSheetId="3">#REF!</definedName>
    <definedName name="ips_p1" localSheetId="4">#REF!</definedName>
    <definedName name="ips_p1" localSheetId="6">#REF!</definedName>
    <definedName name="ips_p1" localSheetId="7">#REF!</definedName>
    <definedName name="ips_p1" localSheetId="8">#REF!</definedName>
    <definedName name="ips_p1" localSheetId="9">#REF!</definedName>
    <definedName name="ips_p1">#REF!</definedName>
    <definedName name="IRR" localSheetId="6">#REF!</definedName>
    <definedName name="IRR" localSheetId="7">#REF!</definedName>
    <definedName name="IRR" localSheetId="8">#REF!</definedName>
    <definedName name="IRR" localSheetId="9">#REF!</definedName>
    <definedName name="IRR">#REF!</definedName>
    <definedName name="IY" localSheetId="0">#REF!</definedName>
    <definedName name="IY" localSheetId="1">#REF!</definedName>
    <definedName name="IY" localSheetId="6">#REF!</definedName>
    <definedName name="IY" localSheetId="7">#REF!</definedName>
    <definedName name="IY" localSheetId="8">#REF!</definedName>
    <definedName name="IY" localSheetId="9">#REF!</definedName>
    <definedName name="IY">#REF!</definedName>
    <definedName name="j" localSheetId="6">#REF!</definedName>
    <definedName name="j" localSheetId="7">#REF!</definedName>
    <definedName name="j" localSheetId="8">#REF!</definedName>
    <definedName name="j" localSheetId="9">#REF!</definedName>
    <definedName name="j">#REF!</definedName>
    <definedName name="JAN" localSheetId="0">#REF!</definedName>
    <definedName name="JAN" localSheetId="1">#REF!</definedName>
    <definedName name="JAN" localSheetId="6">#REF!</definedName>
    <definedName name="JAN" localSheetId="7">#REF!</definedName>
    <definedName name="JAN" localSheetId="8">#REF!</definedName>
    <definedName name="JAN" localSheetId="9">#REF!</definedName>
    <definedName name="JAN">#REF!</definedName>
    <definedName name="joy" localSheetId="6">#REF!</definedName>
    <definedName name="joy" localSheetId="7">#REF!</definedName>
    <definedName name="joy" localSheetId="8">#REF!</definedName>
    <definedName name="joy" localSheetId="9">#REF!</definedName>
    <definedName name="joy">#REF!</definedName>
    <definedName name="Judgments_CY" localSheetId="0">#REF!</definedName>
    <definedName name="Judgments_CY" localSheetId="1">#REF!</definedName>
    <definedName name="Judgments_CY" localSheetId="6">#REF!</definedName>
    <definedName name="Judgments_CY" localSheetId="7">#REF!</definedName>
    <definedName name="Judgments_CY" localSheetId="8">#REF!</definedName>
    <definedName name="Judgments_CY" localSheetId="9">#REF!</definedName>
    <definedName name="Judgments_CY">#REF!</definedName>
    <definedName name="Judgments_PY" localSheetId="0">#REF!</definedName>
    <definedName name="Judgments_PY" localSheetId="1">#REF!</definedName>
    <definedName name="Judgments_PY" localSheetId="6">#REF!</definedName>
    <definedName name="Judgments_PY" localSheetId="7">#REF!</definedName>
    <definedName name="Judgments_PY" localSheetId="8">#REF!</definedName>
    <definedName name="Judgments_PY" localSheetId="9">#REF!</definedName>
    <definedName name="Judgments_PY">#REF!</definedName>
    <definedName name="JUL" localSheetId="0">#REF!</definedName>
    <definedName name="JUL" localSheetId="1">#REF!</definedName>
    <definedName name="JUL" localSheetId="6">#REF!</definedName>
    <definedName name="JUL" localSheetId="7">#REF!</definedName>
    <definedName name="JUL" localSheetId="8">#REF!</definedName>
    <definedName name="JUL" localSheetId="9">#REF!</definedName>
    <definedName name="JUL">#REF!</definedName>
    <definedName name="JUN" localSheetId="0">#REF!</definedName>
    <definedName name="JUN" localSheetId="1">#REF!</definedName>
    <definedName name="JUN" localSheetId="6">#REF!</definedName>
    <definedName name="JUN" localSheetId="7">#REF!</definedName>
    <definedName name="JUN" localSheetId="8">#REF!</definedName>
    <definedName name="JUN" localSheetId="9">#REF!</definedName>
    <definedName name="JUN">#REF!</definedName>
    <definedName name="jv" localSheetId="0">#REF!</definedName>
    <definedName name="jv" localSheetId="1">#REF!</definedName>
    <definedName name="jv" localSheetId="6">#REF!</definedName>
    <definedName name="jv" localSheetId="7">#REF!</definedName>
    <definedName name="jv" localSheetId="8">#REF!</definedName>
    <definedName name="jv" localSheetId="9">#REF!</definedName>
    <definedName name="jv">#REF!</definedName>
    <definedName name="LaborReg2001" localSheetId="6">#REF!</definedName>
    <definedName name="LaborReg2001" localSheetId="7">#REF!</definedName>
    <definedName name="LaborReg2001" localSheetId="8">#REF!</definedName>
    <definedName name="LaborReg2001" localSheetId="9">#REF!</definedName>
    <definedName name="LaborReg2001">#REF!</definedName>
    <definedName name="LF" localSheetId="1">#REF!</definedName>
    <definedName name="LF" localSheetId="2">#REF!</definedName>
    <definedName name="LF" localSheetId="3">#REF!</definedName>
    <definedName name="LF" localSheetId="4">#REF!</definedName>
    <definedName name="LF" localSheetId="5">#REF!</definedName>
    <definedName name="LF" localSheetId="6">#REF!</definedName>
    <definedName name="LF" localSheetId="7">#REF!</definedName>
    <definedName name="LF" localSheetId="8">#REF!</definedName>
    <definedName name="LF" localSheetId="9">#REF!</definedName>
    <definedName name="LF">#REF!</definedName>
    <definedName name="lg" localSheetId="6">#REF!</definedName>
    <definedName name="lg" localSheetId="7">#REF!</definedName>
    <definedName name="lg" localSheetId="8">#REF!</definedName>
    <definedName name="lg" localSheetId="9">#REF!</definedName>
    <definedName name="lg">#REF!</definedName>
    <definedName name="lgs_p1" localSheetId="6">#REF!</definedName>
    <definedName name="lgs_p1" localSheetId="7">#REF!</definedName>
    <definedName name="lgs_p1" localSheetId="8">#REF!</definedName>
    <definedName name="lgs_p1" localSheetId="9">#REF!</definedName>
    <definedName name="lgs_p1">#REF!</definedName>
    <definedName name="lifeline" localSheetId="6">#REF!</definedName>
    <definedName name="lifeline" localSheetId="7">#REF!</definedName>
    <definedName name="lifeline" localSheetId="8">#REF!</definedName>
    <definedName name="lifeline" localSheetId="9">#REF!</definedName>
    <definedName name="lifeline">#REF!</definedName>
    <definedName name="LM" localSheetId="0">#REF!</definedName>
    <definedName name="LM" localSheetId="1">#REF!</definedName>
    <definedName name="LM" localSheetId="6">#REF!</definedName>
    <definedName name="LM" localSheetId="7">#REF!</definedName>
    <definedName name="LM" localSheetId="8">#REF!</definedName>
    <definedName name="LM" localSheetId="9">#REF!</definedName>
    <definedName name="LM">#REF!</definedName>
    <definedName name="LSF" localSheetId="0">[3]DATAFILE!$G$23</definedName>
    <definedName name="LSF" localSheetId="1">[3]DATAFILE!$G$23</definedName>
    <definedName name="LSF">[8]DATAFILE!$G$23</definedName>
    <definedName name="M_A_N_I_L_A___E_L_E_C_T_R_I_C___C_O_M_P_A_N_Y" localSheetId="0">#REF!</definedName>
    <definedName name="M_A_N_I_L_A___E_L_E_C_T_R_I_C___C_O_M_P_A_N_Y" localSheetId="1">#REF!</definedName>
    <definedName name="M_A_N_I_L_A___E_L_E_C_T_R_I_C___C_O_M_P_A_N_Y" localSheetId="2">#REF!</definedName>
    <definedName name="M_A_N_I_L_A___E_L_E_C_T_R_I_C___C_O_M_P_A_N_Y" localSheetId="6">#REF!</definedName>
    <definedName name="M_A_N_I_L_A___E_L_E_C_T_R_I_C___C_O_M_P_A_N_Y" localSheetId="7">#REF!</definedName>
    <definedName name="M_A_N_I_L_A___E_L_E_C_T_R_I_C___C_O_M_P_A_N_Y" localSheetId="8">#REF!</definedName>
    <definedName name="M_A_N_I_L_A___E_L_E_C_T_R_I_C___C_O_M_P_A_N_Y" localSheetId="9">#REF!</definedName>
    <definedName name="M_A_N_I_L_A___E_L_E_C_T_R_I_C___C_O_M_P_A_N_Y">#REF!</definedName>
    <definedName name="macro2" localSheetId="0">#REF!</definedName>
    <definedName name="macro2" localSheetId="1">#REF!</definedName>
    <definedName name="macro2" localSheetId="6">#REF!</definedName>
    <definedName name="macro2" localSheetId="7">#REF!</definedName>
    <definedName name="macro2" localSheetId="8">#REF!</definedName>
    <definedName name="macro2" localSheetId="9">#REF!</definedName>
    <definedName name="macro2">#REF!</definedName>
    <definedName name="MAR" localSheetId="0">#REF!</definedName>
    <definedName name="MAR" localSheetId="1">#REF!</definedName>
    <definedName name="MAR" localSheetId="6">#REF!</definedName>
    <definedName name="MAR" localSheetId="7">#REF!</definedName>
    <definedName name="MAR" localSheetId="8">#REF!</definedName>
    <definedName name="MAR" localSheetId="9">#REF!</definedName>
    <definedName name="MAR">#REF!</definedName>
    <definedName name="MARKETING" localSheetId="0">#REF!</definedName>
    <definedName name="MARKETING" localSheetId="1">#REF!</definedName>
    <definedName name="MARKETING" localSheetId="6">#REF!</definedName>
    <definedName name="MARKETING" localSheetId="7">#REF!</definedName>
    <definedName name="MARKETING" localSheetId="8">#REF!</definedName>
    <definedName name="MARKETING" localSheetId="9">#REF!</definedName>
    <definedName name="MARKETING">#REF!</definedName>
    <definedName name="MAY" localSheetId="0">#REF!</definedName>
    <definedName name="MAY" localSheetId="1">#REF!</definedName>
    <definedName name="MAY" localSheetId="6">#REF!</definedName>
    <definedName name="MAY" localSheetId="7">#REF!</definedName>
    <definedName name="MAY" localSheetId="8">#REF!</definedName>
    <definedName name="MAY" localSheetId="9">#REF!</definedName>
    <definedName name="MAY">#REF!</definedName>
    <definedName name="MC" localSheetId="0">#REF!</definedName>
    <definedName name="MC" localSheetId="1">#REF!</definedName>
    <definedName name="MC" localSheetId="6">#REF!</definedName>
    <definedName name="MC" localSheetId="7">#REF!</definedName>
    <definedName name="MC" localSheetId="8">#REF!</definedName>
    <definedName name="MC" localSheetId="9">#REF!</definedName>
    <definedName name="MC">#REF!</definedName>
    <definedName name="METER" localSheetId="6">#REF!</definedName>
    <definedName name="METER" localSheetId="7">#REF!</definedName>
    <definedName name="METER" localSheetId="8">#REF!</definedName>
    <definedName name="METER" localSheetId="9">#REF!</definedName>
    <definedName name="METER">#REF!</definedName>
    <definedName name="MISC" localSheetId="0">#REF!</definedName>
    <definedName name="MISC" localSheetId="1">#REF!</definedName>
    <definedName name="MISC" localSheetId="6">#REF!</definedName>
    <definedName name="MISC" localSheetId="7">#REF!</definedName>
    <definedName name="MISC" localSheetId="8">#REF!</definedName>
    <definedName name="MISC" localSheetId="9">#REF!</definedName>
    <definedName name="MISC">#REF!</definedName>
    <definedName name="misinc1" localSheetId="0">[18]miscinc!#REF!</definedName>
    <definedName name="misinc1" localSheetId="1">[18]miscinc!#REF!</definedName>
    <definedName name="misinc1" localSheetId="8">[18]miscinc!#REF!</definedName>
    <definedName name="misinc1">[18]miscinc!#REF!</definedName>
    <definedName name="misinc2" localSheetId="0">[18]miscinc!#REF!</definedName>
    <definedName name="misinc2" localSheetId="1">[18]miscinc!#REF!</definedName>
    <definedName name="misinc2" localSheetId="8">[18]miscinc!#REF!</definedName>
    <definedName name="misinc2">[18]miscinc!#REF!</definedName>
    <definedName name="mMONTH" localSheetId="0">[3]DATAFILE!$C$47</definedName>
    <definedName name="mMONTH" localSheetId="1">[3]DATAFILE!$C$47</definedName>
    <definedName name="mMONTH">[8]DATAFILE!$C$47</definedName>
    <definedName name="MOPS___PDS" localSheetId="0">#REF!</definedName>
    <definedName name="MOPS___PDS" localSheetId="1">#REF!</definedName>
    <definedName name="MOPS___PDS" localSheetId="2">#REF!</definedName>
    <definedName name="MOPS___PDS" localSheetId="6">#REF!</definedName>
    <definedName name="MOPS___PDS" localSheetId="7">#REF!</definedName>
    <definedName name="MOPS___PDS" localSheetId="8">#REF!</definedName>
    <definedName name="MOPS___PDS" localSheetId="9">#REF!</definedName>
    <definedName name="MOPS___PDS">#REF!</definedName>
    <definedName name="mp" localSheetId="6">#REF!</definedName>
    <definedName name="mp" localSheetId="7">#REF!</definedName>
    <definedName name="mp" localSheetId="8">#REF!</definedName>
    <definedName name="mp" localSheetId="9">#REF!</definedName>
    <definedName name="mp">#REF!</definedName>
    <definedName name="mp_p1" localSheetId="6">#REF!</definedName>
    <definedName name="mp_p1" localSheetId="7">#REF!</definedName>
    <definedName name="mp_p1" localSheetId="8">#REF!</definedName>
    <definedName name="mp_p1" localSheetId="9">#REF!</definedName>
    <definedName name="mp_p1">#REF!</definedName>
    <definedName name="MR" localSheetId="0">#REF!</definedName>
    <definedName name="MR" localSheetId="1">#REF!</definedName>
    <definedName name="MR" localSheetId="6">#REF!</definedName>
    <definedName name="MR" localSheetId="7">#REF!</definedName>
    <definedName name="MR" localSheetId="8">#REF!</definedName>
    <definedName name="MR" localSheetId="9">#REF!</definedName>
    <definedName name="MR">#REF!</definedName>
    <definedName name="MSUB" localSheetId="0">[3]PT_FB!$AA$51</definedName>
    <definedName name="MSUB" localSheetId="1">[3]PT_FB!$AA$51</definedName>
    <definedName name="MSUB">[8]PT_FB!$AA$51</definedName>
    <definedName name="N_TAR" localSheetId="0">'[19]working papers'!#REF!</definedName>
    <definedName name="N_TAR" localSheetId="1">'[19]working papers'!#REF!</definedName>
    <definedName name="N_TAR" localSheetId="2">'[19]working papers'!#REF!</definedName>
    <definedName name="N_TAR" localSheetId="3">'[19]working papers'!#REF!</definedName>
    <definedName name="N_TAR" localSheetId="4">'[19]working papers'!#REF!</definedName>
    <definedName name="N_TAR" localSheetId="8">'[19]working papers'!#REF!</definedName>
    <definedName name="N_TAR" localSheetId="9">'[20]working papers'!#REF!</definedName>
    <definedName name="N_TAR">'[19]working papers'!#REF!</definedName>
    <definedName name="NAME" localSheetId="2">#REF!</definedName>
    <definedName name="NAME" localSheetId="3">#REF!</definedName>
    <definedName name="NAME" localSheetId="4">#REF!</definedName>
    <definedName name="NAME" localSheetId="6">#REF!</definedName>
    <definedName name="NAME" localSheetId="7">#REF!</definedName>
    <definedName name="NAME" localSheetId="8">#REF!</definedName>
    <definedName name="NAME" localSheetId="9">#REF!</definedName>
    <definedName name="NAME">#REF!</definedName>
    <definedName name="Naphtha" localSheetId="0">#REF!</definedName>
    <definedName name="Naphtha" localSheetId="1">#REF!</definedName>
    <definedName name="Naphtha" localSheetId="6">#REF!</definedName>
    <definedName name="Naphtha" localSheetId="7">#REF!</definedName>
    <definedName name="Naphtha" localSheetId="8">#REF!</definedName>
    <definedName name="Naphtha" localSheetId="9">#REF!</definedName>
    <definedName name="Naphtha">#REF!</definedName>
    <definedName name="Net_Income" localSheetId="0">#REF!</definedName>
    <definedName name="Net_Income" localSheetId="1">#REF!</definedName>
    <definedName name="Net_Income" localSheetId="6">#REF!</definedName>
    <definedName name="Net_Income" localSheetId="7">#REF!</definedName>
    <definedName name="Net_Income" localSheetId="8">#REF!</definedName>
    <definedName name="Net_Income" localSheetId="9">#REF!</definedName>
    <definedName name="Net_Income">#REF!</definedName>
    <definedName name="new" localSheetId="6">#REF!</definedName>
    <definedName name="new" localSheetId="7">#REF!</definedName>
    <definedName name="new" localSheetId="8">#REF!</definedName>
    <definedName name="new" localSheetId="9">#REF!</definedName>
    <definedName name="new">#REF!</definedName>
    <definedName name="nfrm_p1" localSheetId="6">#REF!</definedName>
    <definedName name="nfrm_p1" localSheetId="7">#REF!</definedName>
    <definedName name="nfrm_p1" localSheetId="8">#REF!</definedName>
    <definedName name="nfrm_p1" localSheetId="9">#REF!</definedName>
    <definedName name="nfrm_p1">#REF!</definedName>
    <definedName name="NO_DAYS" localSheetId="0">[3]DATAFILE!$C$37</definedName>
    <definedName name="NO_DAYS" localSheetId="1">[3]DATAFILE!$C$37</definedName>
    <definedName name="NO_DAYS">[8]DATAFILE!$C$37</definedName>
    <definedName name="NO_MNF" localSheetId="0">[3]DATAFILE!$C$49</definedName>
    <definedName name="NO_MNF" localSheetId="1">[3]DATAFILE!$C$49</definedName>
    <definedName name="NO_MNF">[8]DATAFILE!$C$49</definedName>
    <definedName name="NO_MOF" localSheetId="0">[3]DATAFILE!$C$48</definedName>
    <definedName name="NO_MOF" localSheetId="1">[3]DATAFILE!$C$48</definedName>
    <definedName name="NO_MOF">[8]DATAFILE!$C$48</definedName>
    <definedName name="NO_SSH" localSheetId="0">[3]DATAFILE!$C$38</definedName>
    <definedName name="NO_SSH" localSheetId="1">[3]DATAFILE!$C$38</definedName>
    <definedName name="NO_SSH">[8]DATAFILE!$C$38</definedName>
    <definedName name="Non_Tar" localSheetId="0">'[21]working papers'!#REF!</definedName>
    <definedName name="Non_Tar" localSheetId="1">'[21]working papers'!#REF!</definedName>
    <definedName name="Non_Tar" localSheetId="2">'[21]working papers'!#REF!</definedName>
    <definedName name="Non_Tar" localSheetId="3">'[21]working papers'!#REF!</definedName>
    <definedName name="Non_Tar" localSheetId="4">'[21]working papers'!#REF!</definedName>
    <definedName name="Non_Tar" localSheetId="8">'[21]working papers'!#REF!</definedName>
    <definedName name="Non_Tar" localSheetId="9">'[22]working papers'!#REF!</definedName>
    <definedName name="Non_Tar">'[21]working papers'!#REF!</definedName>
    <definedName name="nontar_cflow" localSheetId="0">#REF!</definedName>
    <definedName name="nontar_cflow" localSheetId="1">#REF!</definedName>
    <definedName name="nontar_cflow" localSheetId="2">#REF!</definedName>
    <definedName name="nontar_cflow" localSheetId="6">#REF!</definedName>
    <definedName name="nontar_cflow" localSheetId="7">#REF!</definedName>
    <definedName name="nontar_cflow" localSheetId="8">#REF!</definedName>
    <definedName name="nontar_cflow" localSheetId="9">#REF!</definedName>
    <definedName name="nontar_cflow">#REF!</definedName>
    <definedName name="NOV" localSheetId="0">#REF!</definedName>
    <definedName name="NOV" localSheetId="1">#REF!</definedName>
    <definedName name="NOV" localSheetId="6">#REF!</definedName>
    <definedName name="NOV" localSheetId="7">#REF!</definedName>
    <definedName name="NOV" localSheetId="8">#REF!</definedName>
    <definedName name="NOV" localSheetId="9">#REF!</definedName>
    <definedName name="NOV">#REF!</definedName>
    <definedName name="OA_adj." localSheetId="0">#REF!</definedName>
    <definedName name="OA_adj." localSheetId="1">#REF!</definedName>
    <definedName name="OA_adj." localSheetId="6">#REF!</definedName>
    <definedName name="OA_adj." localSheetId="7">#REF!</definedName>
    <definedName name="OA_adj." localSheetId="8">#REF!</definedName>
    <definedName name="OA_adj." localSheetId="9">#REF!</definedName>
    <definedName name="OA_adj.">#REF!</definedName>
    <definedName name="OCT" localSheetId="0">#REF!</definedName>
    <definedName name="OCT" localSheetId="1">#REF!</definedName>
    <definedName name="OCT" localSheetId="6">#REF!</definedName>
    <definedName name="OCT" localSheetId="7">#REF!</definedName>
    <definedName name="OCT" localSheetId="8">#REF!</definedName>
    <definedName name="OCT" localSheetId="9">#REF!</definedName>
    <definedName name="OCT">#REF!</definedName>
    <definedName name="OEBR" localSheetId="6">#REF!</definedName>
    <definedName name="OEBR" localSheetId="7">#REF!</definedName>
    <definedName name="OEBR" localSheetId="8">#REF!</definedName>
    <definedName name="OEBR" localSheetId="9">#REF!</definedName>
    <definedName name="OEBR">#REF!</definedName>
    <definedName name="OK">"Balanced!"</definedName>
    <definedName name="ol" localSheetId="2">#REF!</definedName>
    <definedName name="ol" localSheetId="3">#REF!</definedName>
    <definedName name="ol" localSheetId="4">#REF!</definedName>
    <definedName name="ol" localSheetId="6">#REF!</definedName>
    <definedName name="ol" localSheetId="7">#REF!</definedName>
    <definedName name="ol" localSheetId="8">#REF!</definedName>
    <definedName name="ol" localSheetId="9">#REF!</definedName>
    <definedName name="ol">#REF!</definedName>
    <definedName name="ol_p1" localSheetId="6">#REF!</definedName>
    <definedName name="ol_p1" localSheetId="7">#REF!</definedName>
    <definedName name="ol_p1" localSheetId="8">#REF!</definedName>
    <definedName name="ol_p1" localSheetId="9">#REF!</definedName>
    <definedName name="ol_p1">#REF!</definedName>
    <definedName name="OPERHR1" localSheetId="0">[3]DATAFILE!$G$24</definedName>
    <definedName name="OPERHR1" localSheetId="1">[3]DATAFILE!$G$24</definedName>
    <definedName name="OPERHR1">[8]DATAFILE!$G$24</definedName>
    <definedName name="OPERHR2" localSheetId="0">[3]DATAFILE!$G$25</definedName>
    <definedName name="OPERHR2" localSheetId="1">[3]DATAFILE!$G$25</definedName>
    <definedName name="OPERHR2">[8]DATAFILE!$G$25</definedName>
    <definedName name="OPERHR3" localSheetId="0">[3]DATAFILE!$G$26</definedName>
    <definedName name="OPERHR3" localSheetId="1">[3]DATAFILE!$G$26</definedName>
    <definedName name="OPERHR3">[8]DATAFILE!$G$26</definedName>
    <definedName name="OPERHR4" localSheetId="0">[3]DATAFILE!$G$27</definedName>
    <definedName name="OPERHR4" localSheetId="1">[3]DATAFILE!$G$27</definedName>
    <definedName name="OPERHR4">[8]DATAFILE!$G$27</definedName>
    <definedName name="OR" localSheetId="2">#REF!</definedName>
    <definedName name="OR" localSheetId="3">#REF!</definedName>
    <definedName name="OR" localSheetId="4">#REF!</definedName>
    <definedName name="OR" localSheetId="6">#REF!</definedName>
    <definedName name="OR" localSheetId="7">#REF!</definedName>
    <definedName name="OR" localSheetId="8">#REF!</definedName>
    <definedName name="OR" localSheetId="9">#REF!</definedName>
    <definedName name="OR">#REF!</definedName>
    <definedName name="ot" localSheetId="6">#REF!</definedName>
    <definedName name="ot" localSheetId="7">#REF!</definedName>
    <definedName name="ot" localSheetId="8">#REF!</definedName>
    <definedName name="ot" localSheetId="9">#REF!</definedName>
    <definedName name="ot">#REF!</definedName>
    <definedName name="Other_Adjustments" localSheetId="0">#REF!</definedName>
    <definedName name="Other_Adjustments" localSheetId="1">#REF!</definedName>
    <definedName name="Other_Adjustments" localSheetId="6">#REF!</definedName>
    <definedName name="Other_Adjustments" localSheetId="7">#REF!</definedName>
    <definedName name="Other_Adjustments" localSheetId="8">#REF!</definedName>
    <definedName name="Other_Adjustments" localSheetId="9">#REF!</definedName>
    <definedName name="Other_Adjustments">#REF!</definedName>
    <definedName name="other_rev" localSheetId="6">#REF!</definedName>
    <definedName name="other_rev" localSheetId="7">#REF!</definedName>
    <definedName name="other_rev" localSheetId="8">#REF!</definedName>
    <definedName name="other_rev" localSheetId="9">#REF!</definedName>
    <definedName name="other_rev">#REF!</definedName>
    <definedName name="OTHERS" localSheetId="6">#REF!</definedName>
    <definedName name="OTHERS" localSheetId="7">#REF!</definedName>
    <definedName name="OTHERS" localSheetId="8">#REF!</definedName>
    <definedName name="OTHERS" localSheetId="9">#REF!</definedName>
    <definedName name="OTHERS">#REF!</definedName>
    <definedName name="Over_recovery" localSheetId="0">#REF!</definedName>
    <definedName name="Over_recovery" localSheetId="1">#REF!</definedName>
    <definedName name="Over_recovery" localSheetId="6">#REF!</definedName>
    <definedName name="Over_recovery" localSheetId="7">#REF!</definedName>
    <definedName name="Over_recovery" localSheetId="8">#REF!</definedName>
    <definedName name="Over_recovery" localSheetId="9">#REF!</definedName>
    <definedName name="Over_recovery">#REF!</definedName>
    <definedName name="OVS_IN" localSheetId="0">[3]DATAFILE!$C$43</definedName>
    <definedName name="OVS_IN" localSheetId="1">[3]DATAFILE!$C$43</definedName>
    <definedName name="OVS_IN">[8]DATAFILE!$C$43</definedName>
    <definedName name="P" localSheetId="0">#REF!</definedName>
    <definedName name="P" localSheetId="1">#REF!</definedName>
    <definedName name="P" localSheetId="2">#REF!</definedName>
    <definedName name="P" localSheetId="6">#REF!</definedName>
    <definedName name="P" localSheetId="7">#REF!</definedName>
    <definedName name="P" localSheetId="8">#REF!</definedName>
    <definedName name="P" localSheetId="9">#REF!</definedName>
    <definedName name="P">#REF!</definedName>
    <definedName name="Page_1" localSheetId="0">#REF!</definedName>
    <definedName name="Page_1" localSheetId="1">#REF!</definedName>
    <definedName name="Page_1" localSheetId="6">#REF!</definedName>
    <definedName name="Page_1" localSheetId="7">#REF!</definedName>
    <definedName name="Page_1" localSheetId="8">#REF!</definedName>
    <definedName name="Page_1" localSheetId="9">#REF!</definedName>
    <definedName name="Page_1">#REF!</definedName>
    <definedName name="Page_2" localSheetId="0">#REF!</definedName>
    <definedName name="Page_2" localSheetId="1">#REF!</definedName>
    <definedName name="Page_2" localSheetId="6">#REF!</definedName>
    <definedName name="Page_2" localSheetId="7">#REF!</definedName>
    <definedName name="Page_2" localSheetId="8">#REF!</definedName>
    <definedName name="Page_2" localSheetId="9">#REF!</definedName>
    <definedName name="Page_2">#REF!</definedName>
    <definedName name="Page_3" localSheetId="0">#REF!</definedName>
    <definedName name="Page_3" localSheetId="1">#REF!</definedName>
    <definedName name="Page_3" localSheetId="6">#REF!</definedName>
    <definedName name="Page_3" localSheetId="7">#REF!</definedName>
    <definedName name="Page_3" localSheetId="8">#REF!</definedName>
    <definedName name="Page_3" localSheetId="9">#REF!</definedName>
    <definedName name="Page_3">#REF!</definedName>
    <definedName name="Page_3C2" localSheetId="0">#REF!</definedName>
    <definedName name="Page_3C2" localSheetId="1">#REF!</definedName>
    <definedName name="Page_3C2" localSheetId="6">#REF!</definedName>
    <definedName name="Page_3C2" localSheetId="7">#REF!</definedName>
    <definedName name="Page_3C2" localSheetId="8">#REF!</definedName>
    <definedName name="Page_3C2" localSheetId="9">#REF!</definedName>
    <definedName name="Page_3C2">#REF!</definedName>
    <definedName name="Page_4" localSheetId="0">#REF!</definedName>
    <definedName name="Page_4" localSheetId="1">#REF!</definedName>
    <definedName name="Page_4" localSheetId="6">#REF!</definedName>
    <definedName name="Page_4" localSheetId="7">#REF!</definedName>
    <definedName name="Page_4" localSheetId="8">#REF!</definedName>
    <definedName name="Page_4" localSheetId="9">#REF!</definedName>
    <definedName name="Page_4">#REF!</definedName>
    <definedName name="PAGE1">#N/A</definedName>
    <definedName name="PAGE2">#N/A</definedName>
    <definedName name="PAGE3">#N/A</definedName>
    <definedName name="PAGE4" localSheetId="0">#REF!</definedName>
    <definedName name="PAGE4" localSheetId="1">#REF!</definedName>
    <definedName name="PAGE4" localSheetId="2">#REF!</definedName>
    <definedName name="PAGE4" localSheetId="6">#REF!</definedName>
    <definedName name="PAGE4" localSheetId="7">#REF!</definedName>
    <definedName name="PAGE4" localSheetId="8">#REF!</definedName>
    <definedName name="PAGE4" localSheetId="9">#REF!</definedName>
    <definedName name="PAGE4">#REF!</definedName>
    <definedName name="PAGE5" localSheetId="0">#REF!</definedName>
    <definedName name="PAGE5" localSheetId="1">#REF!</definedName>
    <definedName name="PAGE5" localSheetId="6">#REF!</definedName>
    <definedName name="PAGE5" localSheetId="7">#REF!</definedName>
    <definedName name="PAGE5" localSheetId="8">#REF!</definedName>
    <definedName name="PAGE5" localSheetId="9">#REF!</definedName>
    <definedName name="PAGE5">#REF!</definedName>
    <definedName name="page6_6" localSheetId="0">#REF!</definedName>
    <definedName name="page6_6" localSheetId="1">#REF!</definedName>
    <definedName name="page6_6" localSheetId="6">#REF!</definedName>
    <definedName name="page6_6" localSheetId="7">#REF!</definedName>
    <definedName name="page6_6" localSheetId="8">#REF!</definedName>
    <definedName name="page6_6" localSheetId="9">#REF!</definedName>
    <definedName name="page6_6">#REF!</definedName>
    <definedName name="page6A" localSheetId="0">[23]Final1!#REF!</definedName>
    <definedName name="page6A" localSheetId="1">[23]Final1!#REF!</definedName>
    <definedName name="page6A" localSheetId="8">[24]Final1!#REF!</definedName>
    <definedName name="page6A">[24]Final1!#REF!</definedName>
    <definedName name="page6a_2" localSheetId="0">#REF!</definedName>
    <definedName name="page6a_2" localSheetId="1">#REF!</definedName>
    <definedName name="page6a_2" localSheetId="2">#REF!</definedName>
    <definedName name="page6a_2" localSheetId="6">#REF!</definedName>
    <definedName name="page6a_2" localSheetId="7">#REF!</definedName>
    <definedName name="page6a_2" localSheetId="8">#REF!</definedName>
    <definedName name="page6a_2" localSheetId="9">#REF!</definedName>
    <definedName name="page6a_2">#REF!</definedName>
    <definedName name="page7" localSheetId="0">[23]Final1!#REF!</definedName>
    <definedName name="page7" localSheetId="1">[23]Final1!#REF!</definedName>
    <definedName name="page7" localSheetId="2">[24]Final1!#REF!</definedName>
    <definedName name="page7" localSheetId="7">[24]Final1!#REF!</definedName>
    <definedName name="page7" localSheetId="8">[24]Final1!#REF!</definedName>
    <definedName name="page7" localSheetId="9">[24]Final1!#REF!</definedName>
    <definedName name="page7">[24]Final1!#REF!</definedName>
    <definedName name="page7_7" localSheetId="0">#REF!</definedName>
    <definedName name="page7_7" localSheetId="1">#REF!</definedName>
    <definedName name="page7_7" localSheetId="2">#REF!</definedName>
    <definedName name="page7_7" localSheetId="6">#REF!</definedName>
    <definedName name="page7_7" localSheetId="7">#REF!</definedName>
    <definedName name="page7_7" localSheetId="8">#REF!</definedName>
    <definedName name="page7_7" localSheetId="9">#REF!</definedName>
    <definedName name="page7_7">#REF!</definedName>
    <definedName name="page7A" localSheetId="0">[23]Final1!#REF!</definedName>
    <definedName name="page7A" localSheetId="1">[23]Final1!#REF!</definedName>
    <definedName name="page7A" localSheetId="2">[24]Final1!#REF!</definedName>
    <definedName name="page7A" localSheetId="7">[24]Final1!#REF!</definedName>
    <definedName name="page7A" localSheetId="8">[24]Final1!#REF!</definedName>
    <definedName name="page7A" localSheetId="9">[24]Final1!#REF!</definedName>
    <definedName name="page7A">[24]Final1!#REF!</definedName>
    <definedName name="page7a_2" localSheetId="0">#REF!</definedName>
    <definedName name="page7a_2" localSheetId="1">#REF!</definedName>
    <definedName name="page7a_2" localSheetId="2">#REF!</definedName>
    <definedName name="page7a_2" localSheetId="6">#REF!</definedName>
    <definedName name="page7a_2" localSheetId="7">#REF!</definedName>
    <definedName name="page7a_2" localSheetId="8">#REF!</definedName>
    <definedName name="page7a_2" localSheetId="9">#REF!</definedName>
    <definedName name="page7a_2">#REF!</definedName>
    <definedName name="payment" localSheetId="0" hidden="1">[25]RATE98!#REF!</definedName>
    <definedName name="payment" localSheetId="1" hidden="1">[25]RATE98!#REF!</definedName>
    <definedName name="payment" localSheetId="2" hidden="1">[26]RATE98!#REF!</definedName>
    <definedName name="payment" localSheetId="3" hidden="1">[26]RATE98!#REF!</definedName>
    <definedName name="payment" localSheetId="4" hidden="1">[26]RATE98!#REF!</definedName>
    <definedName name="payment" localSheetId="6" hidden="1">[26]RATE98!#REF!</definedName>
    <definedName name="payment" localSheetId="7" hidden="1">[26]RATE98!#REF!</definedName>
    <definedName name="payment" localSheetId="8" hidden="1">[26]RATE98!#REF!</definedName>
    <definedName name="payment" localSheetId="9" hidden="1">[27]RATE98!#REF!</definedName>
    <definedName name="payment" hidden="1">[28]RATE98!#REF!</definedName>
    <definedName name="PBR_Duty_Vat" localSheetId="0">'[29]O-12_PC_duty_pbc'!#REF!</definedName>
    <definedName name="PBR_Duty_Vat" localSheetId="1">'[29]O-12_PC_duty_pbc'!#REF!</definedName>
    <definedName name="PBR_Duty_Vat" localSheetId="8">'[30]O-12_PC_duty_pbc'!#REF!</definedName>
    <definedName name="PBR_Duty_Vat">'[30]O-12_PC_duty_pbc'!#REF!</definedName>
    <definedName name="pc" localSheetId="2">#REF!</definedName>
    <definedName name="pc" localSheetId="3">#REF!</definedName>
    <definedName name="pc" localSheetId="4">#REF!</definedName>
    <definedName name="pc" localSheetId="6">#REF!</definedName>
    <definedName name="pc" localSheetId="7">#REF!</definedName>
    <definedName name="pc" localSheetId="8">#REF!</definedName>
    <definedName name="pc" localSheetId="9">#REF!</definedName>
    <definedName name="pc">#REF!</definedName>
    <definedName name="PCLOSS1" localSheetId="0">[3]KWHRM_F!$D$7</definedName>
    <definedName name="PCLOSS1" localSheetId="1">[3]KWHRM_F!$D$7</definedName>
    <definedName name="PCLOSS1">[8]KWHRM_F!$D$7</definedName>
    <definedName name="pcrf" localSheetId="2">#REF!</definedName>
    <definedName name="pcrf" localSheetId="3">#REF!</definedName>
    <definedName name="pcrf" localSheetId="4">#REF!</definedName>
    <definedName name="pcrf" localSheetId="6">#REF!</definedName>
    <definedName name="pcrf" localSheetId="7">#REF!</definedName>
    <definedName name="pcrf" localSheetId="8">#REF!</definedName>
    <definedName name="pcrf" localSheetId="9">#REF!</definedName>
    <definedName name="pcrf">#REF!</definedName>
    <definedName name="PETRON_CORPORATION" localSheetId="0">#REF!</definedName>
    <definedName name="PETRON_CORPORATION" localSheetId="1">#REF!</definedName>
    <definedName name="PETRON_CORPORATION" localSheetId="6">#REF!</definedName>
    <definedName name="PETRON_CORPORATION" localSheetId="7">#REF!</definedName>
    <definedName name="PETRON_CORPORATION" localSheetId="8">#REF!</definedName>
    <definedName name="PETRON_CORPORATION" localSheetId="9">#REF!</definedName>
    <definedName name="PETRON_CORPORATION">#REF!</definedName>
    <definedName name="PFACTOR" localSheetId="0">[3]DATAFILE!$C$39</definedName>
    <definedName name="PFACTOR" localSheetId="1">[3]DATAFILE!$C$39</definedName>
    <definedName name="PFACTOR">[8]DATAFILE!$C$39</definedName>
    <definedName name="PHILHEALTH">[31]PHILHEALTH!$A$7:$F$21</definedName>
    <definedName name="PL" localSheetId="0">#REF!</definedName>
    <definedName name="PL" localSheetId="1">#REF!</definedName>
    <definedName name="PL" localSheetId="2">#REF!</definedName>
    <definedName name="PL" localSheetId="6">#REF!</definedName>
    <definedName name="PL" localSheetId="7">#REF!</definedName>
    <definedName name="PL" localSheetId="8">#REF!</definedName>
    <definedName name="PL" localSheetId="9">#REF!</definedName>
    <definedName name="PL">#REF!</definedName>
    <definedName name="PLD" localSheetId="0">[3]DATAFILE!$C$40</definedName>
    <definedName name="PLD" localSheetId="1">[3]DATAFILE!$C$40</definedName>
    <definedName name="PLD">[8]DATAFILE!$C$40</definedName>
    <definedName name="PLLA" localSheetId="0">[3]DATAFILE!$C$26</definedName>
    <definedName name="PLLA" localSheetId="1">[3]DATAFILE!$C$26</definedName>
    <definedName name="PLLA">[8]DATAFILE!$C$26</definedName>
    <definedName name="PLLB" localSheetId="0">[3]DATAFILE!$C$28</definedName>
    <definedName name="PLLB" localSheetId="1">[3]DATAFILE!$C$28</definedName>
    <definedName name="PLLB">[8]DATAFILE!$C$28</definedName>
    <definedName name="POWER" localSheetId="2">#REF!</definedName>
    <definedName name="POWER" localSheetId="3">#REF!</definedName>
    <definedName name="POWER" localSheetId="4">#REF!</definedName>
    <definedName name="POWER" localSheetId="6">#REF!</definedName>
    <definedName name="POWER" localSheetId="7">#REF!</definedName>
    <definedName name="POWER" localSheetId="8">#REF!</definedName>
    <definedName name="POWER" localSheetId="9">#REF!</definedName>
    <definedName name="POWER">#REF!</definedName>
    <definedName name="ppd" localSheetId="2">#REF!</definedName>
    <definedName name="ppd" localSheetId="6">#REF!</definedName>
    <definedName name="ppd" localSheetId="7">#REF!</definedName>
    <definedName name="ppd" localSheetId="8">#REF!</definedName>
    <definedName name="ppd" localSheetId="9">#REF!</definedName>
    <definedName name="ppd">#REF!</definedName>
    <definedName name="pr" localSheetId="6">#REF!</definedName>
    <definedName name="pr" localSheetId="7">#REF!</definedName>
    <definedName name="pr" localSheetId="8">#REF!</definedName>
    <definedName name="pr" localSheetId="9">#REF!</definedName>
    <definedName name="pr">#REF!</definedName>
    <definedName name="PREM" localSheetId="6">#REF!</definedName>
    <definedName name="PREM" localSheetId="7">#REF!</definedName>
    <definedName name="PREM" localSheetId="8">#REF!</definedName>
    <definedName name="PREM" localSheetId="9">#REF!</definedName>
    <definedName name="PREM">#REF!</definedName>
    <definedName name="pres_fuel" localSheetId="6">#REF!</definedName>
    <definedName name="pres_fuel" localSheetId="7">#REF!</definedName>
    <definedName name="pres_fuel" localSheetId="8">#REF!</definedName>
    <definedName name="pres_fuel" localSheetId="9">#REF!</definedName>
    <definedName name="pres_fuel">#REF!</definedName>
    <definedName name="PRES_FUEL2" localSheetId="6">#REF!</definedName>
    <definedName name="PRES_FUEL2" localSheetId="7">#REF!</definedName>
    <definedName name="PRES_FUEL2" localSheetId="8">#REF!</definedName>
    <definedName name="PRES_FUEL2" localSheetId="9">#REF!</definedName>
    <definedName name="PRES_FUEL2">#REF!</definedName>
    <definedName name="PRINT" localSheetId="6">#REF!</definedName>
    <definedName name="PRINT" localSheetId="7">#REF!</definedName>
    <definedName name="PRINT" localSheetId="8">#REF!</definedName>
    <definedName name="PRINT" localSheetId="9">#REF!</definedName>
    <definedName name="PRINT">#REF!</definedName>
    <definedName name="_xlnm.Print_Area" localSheetId="0">#REF!</definedName>
    <definedName name="_xlnm.Print_Area" localSheetId="1">#REF!</definedName>
    <definedName name="_xlnm.Print_Area" localSheetId="2">'2013'!$A$1:$O$1088</definedName>
    <definedName name="_xlnm.Print_Area" localSheetId="3">'2014'!$A$1:$O$1068</definedName>
    <definedName name="_xlnm.Print_Area" localSheetId="4">'2015'!$A$1:$O$1058</definedName>
    <definedName name="_xlnm.Print_Area" localSheetId="5">'2016'!$A$1:$O$453</definedName>
    <definedName name="_xlnm.Print_Area" localSheetId="6">'2017'!$A$1:$O$456</definedName>
    <definedName name="_xlnm.Print_Area" localSheetId="7">'2018'!$A$1:$O$456</definedName>
    <definedName name="_xlnm.Print_Area" localSheetId="8">'2019'!$A$1:$O$465</definedName>
    <definedName name="_xlnm.Print_Area" localSheetId="9">'2020'!$A$1:$O$496</definedName>
    <definedName name="_xlnm.Print_Area">#REF!</definedName>
    <definedName name="Print_Area_MI" localSheetId="6">#REF!</definedName>
    <definedName name="Print_Area_MI" localSheetId="7">#REF!</definedName>
    <definedName name="Print_Area_MI" localSheetId="8">#REF!</definedName>
    <definedName name="Print_Area_MI" localSheetId="9">#REF!</definedName>
    <definedName name="Print_Area_MI">#REF!</definedName>
    <definedName name="PRINT_AREA_MI2" localSheetId="6">#REF!</definedName>
    <definedName name="PRINT_AREA_MI2" localSheetId="7">#REF!</definedName>
    <definedName name="PRINT_AREA_MI2" localSheetId="8">#REF!</definedName>
    <definedName name="PRINT_AREA_MI2" localSheetId="9">#REF!</definedName>
    <definedName name="PRINT_AREA_MI2">#REF!</definedName>
    <definedName name="PRINT_AREA2" localSheetId="2">#REF!</definedName>
    <definedName name="PRINT_AREA2" localSheetId="3">#REF!</definedName>
    <definedName name="PRINT_AREA2" localSheetId="4">#REF!</definedName>
    <definedName name="PRINT_AREA2" localSheetId="6">#REF!</definedName>
    <definedName name="PRINT_AREA2" localSheetId="7">#REF!</definedName>
    <definedName name="PRINT_AREA2" localSheetId="8">#REF!</definedName>
    <definedName name="PRINT_AREA2" localSheetId="9">#REF!</definedName>
    <definedName name="PRINT_AREA2">#REF!</definedName>
    <definedName name="Print_Area3" localSheetId="0">[32]O1!#REF!</definedName>
    <definedName name="Print_Area3" localSheetId="1">[32]O1!#REF!</definedName>
    <definedName name="Print_Area3" localSheetId="8">[32]O1!#REF!</definedName>
    <definedName name="Print_Area3" localSheetId="9">[33]O1!#REF!</definedName>
    <definedName name="Print_Area3">[32]O1!#REF!</definedName>
    <definedName name="_xlnm.Print_Titles" localSheetId="0">#REF!</definedName>
    <definedName name="_xlnm.Print_Titles" localSheetId="1">'2012'!$1:$4</definedName>
    <definedName name="_xlnm.Print_Titles" localSheetId="2">'2013'!$1:$4</definedName>
    <definedName name="_xlnm.Print_Titles" localSheetId="3">'2014'!$1:$4</definedName>
    <definedName name="_xlnm.Print_Titles" localSheetId="4">'2015'!$1:$4</definedName>
    <definedName name="_xlnm.Print_Titles" localSheetId="5">'2016'!$1:$4</definedName>
    <definedName name="_xlnm.Print_Titles" localSheetId="6">'2017'!$1:$4</definedName>
    <definedName name="_xlnm.Print_Titles" localSheetId="7">'2018'!$1:$4</definedName>
    <definedName name="_xlnm.Print_Titles" localSheetId="8">'2019'!$1:$4</definedName>
    <definedName name="_xlnm.Print_Titles" localSheetId="9">'2020'!$1:$4</definedName>
    <definedName name="_xlnm.Print_Titles">#REF!</definedName>
    <definedName name="Print_Titles_MI" localSheetId="2">#REF!</definedName>
    <definedName name="Print_Titles_MI" localSheetId="6">#REF!</definedName>
    <definedName name="Print_Titles_MI" localSheetId="7">#REF!</definedName>
    <definedName name="Print_Titles_MI" localSheetId="8">#REF!</definedName>
    <definedName name="Print_Titles_MI" localSheetId="9">#REF!</definedName>
    <definedName name="Print_Titles_MI">#REF!</definedName>
    <definedName name="PRINT_TITLES_MI2" localSheetId="6">#REF!</definedName>
    <definedName name="PRINT_TITLES_MI2" localSheetId="7">#REF!</definedName>
    <definedName name="PRINT_TITLES_MI2" localSheetId="8">#REF!</definedName>
    <definedName name="PRINT_TITLES_MI2" localSheetId="9">#REF!</definedName>
    <definedName name="PRINT_TITLES_MI2">#REF!</definedName>
    <definedName name="PRINT_TITLES2" localSheetId="6">#REF!</definedName>
    <definedName name="PRINT_TITLES2" localSheetId="7">#REF!</definedName>
    <definedName name="PRINT_TITLES2" localSheetId="8">#REF!</definedName>
    <definedName name="PRINT_TITLES2" localSheetId="9">#REF!</definedName>
    <definedName name="PRINT_TITLES2">#REF!</definedName>
    <definedName name="Prodn_Cost_current" localSheetId="0">#REF!</definedName>
    <definedName name="Prodn_Cost_current" localSheetId="1">#REF!</definedName>
    <definedName name="Prodn_Cost_current" localSheetId="6">#REF!</definedName>
    <definedName name="Prodn_Cost_current" localSheetId="7">#REF!</definedName>
    <definedName name="Prodn_Cost_current" localSheetId="8">#REF!</definedName>
    <definedName name="Prodn_Cost_current" localSheetId="9">#REF!</definedName>
    <definedName name="Prodn_Cost_current">#REF!</definedName>
    <definedName name="Prodn_Cost_previous" localSheetId="0">#REF!</definedName>
    <definedName name="Prodn_Cost_previous" localSheetId="1">#REF!</definedName>
    <definedName name="Prodn_Cost_previous" localSheetId="6">#REF!</definedName>
    <definedName name="Prodn_Cost_previous" localSheetId="7">#REF!</definedName>
    <definedName name="Prodn_Cost_previous" localSheetId="8">#REF!</definedName>
    <definedName name="Prodn_Cost_previous" localSheetId="9">#REF!</definedName>
    <definedName name="Prodn_Cost_previous">#REF!</definedName>
    <definedName name="PUB" localSheetId="6">#REF!</definedName>
    <definedName name="PUB" localSheetId="7">#REF!</definedName>
    <definedName name="PUB" localSheetId="8">#REF!</definedName>
    <definedName name="PUB" localSheetId="9">#REF!</definedName>
    <definedName name="PUB">#REF!</definedName>
    <definedName name="PUB_2" localSheetId="6">#REF!</definedName>
    <definedName name="PUB_2" localSheetId="7">#REF!</definedName>
    <definedName name="PUB_2" localSheetId="8">#REF!</definedName>
    <definedName name="PUB_2" localSheetId="9">#REF!</definedName>
    <definedName name="PUB_2">#REF!</definedName>
    <definedName name="Q" localSheetId="0">#REF!</definedName>
    <definedName name="Q" localSheetId="1">#REF!</definedName>
    <definedName name="Q" localSheetId="6">#REF!</definedName>
    <definedName name="Q" localSheetId="7">#REF!</definedName>
    <definedName name="Q" localSheetId="8">#REF!</definedName>
    <definedName name="Q" localSheetId="9">#REF!</definedName>
    <definedName name="Q">#REF!</definedName>
    <definedName name="Ratios" localSheetId="9">[16]cash!$K$1:$S$56</definedName>
    <definedName name="Ratios">[17]cash!$K$1:$S$56</definedName>
    <definedName name="RCCL" localSheetId="0">[3]KWHRM_F!$D$6</definedName>
    <definedName name="RCCL" localSheetId="1">[3]KWHRM_F!$D$6</definedName>
    <definedName name="RCCL">[8]KWHRM_F!$D$6</definedName>
    <definedName name="Report" localSheetId="9">[16]cash!$A$1:$I$33</definedName>
    <definedName name="Report">[17]cash!$A$1:$I$33</definedName>
    <definedName name="REQUIREDAMOUNT" localSheetId="2">#REF!</definedName>
    <definedName name="REQUIREDAMOUNT" localSheetId="3">#REF!</definedName>
    <definedName name="REQUIREDAMOUNT" localSheetId="4">#REF!</definedName>
    <definedName name="REQUIREDAMOUNT" localSheetId="6">#REF!</definedName>
    <definedName name="REQUIREDAMOUNT" localSheetId="7">#REF!</definedName>
    <definedName name="REQUIREDAMOUNT" localSheetId="8">#REF!</definedName>
    <definedName name="REQUIREDAMOUNT" localSheetId="9">#REF!</definedName>
    <definedName name="REQUIREDAMOUNT">#REF!</definedName>
    <definedName name="REQUIREDAMOUNT_2" localSheetId="2">#REF!</definedName>
    <definedName name="REQUIREDAMOUNT_2" localSheetId="6">#REF!</definedName>
    <definedName name="REQUIREDAMOUNT_2" localSheetId="7">#REF!</definedName>
    <definedName name="REQUIREDAMOUNT_2" localSheetId="8">#REF!</definedName>
    <definedName name="REQUIREDAMOUNT_2" localSheetId="9">#REF!</definedName>
    <definedName name="REQUIREDAMOUNT_2">#REF!</definedName>
    <definedName name="RES" localSheetId="6">#REF!</definedName>
    <definedName name="RES" localSheetId="7">#REF!</definedName>
    <definedName name="RES" localSheetId="8">#REF!</definedName>
    <definedName name="RES" localSheetId="9">#REF!</definedName>
    <definedName name="RES">#REF!</definedName>
    <definedName name="RES_2" localSheetId="6">#REF!</definedName>
    <definedName name="RES_2" localSheetId="7">#REF!</definedName>
    <definedName name="RES_2" localSheetId="8">#REF!</definedName>
    <definedName name="RES_2" localSheetId="9">#REF!</definedName>
    <definedName name="RES_2">#REF!</definedName>
    <definedName name="revenue" localSheetId="6">#REF!</definedName>
    <definedName name="revenue" localSheetId="7">#REF!</definedName>
    <definedName name="revenue" localSheetId="8">#REF!</definedName>
    <definedName name="revenue" localSheetId="9">#REF!</definedName>
    <definedName name="revenue">#REF!</definedName>
    <definedName name="Reversing_Errors_PY" localSheetId="0">#REF!</definedName>
    <definedName name="Reversing_Errors_PY" localSheetId="1">#REF!</definedName>
    <definedName name="Reversing_Errors_PY" localSheetId="6">#REF!</definedName>
    <definedName name="Reversing_Errors_PY" localSheetId="7">#REF!</definedName>
    <definedName name="Reversing_Errors_PY" localSheetId="8">#REF!</definedName>
    <definedName name="Reversing_Errors_PY" localSheetId="9">#REF!</definedName>
    <definedName name="Reversing_Errors_PY">#REF!</definedName>
    <definedName name="Reversing_Judgments_PY" localSheetId="0">#REF!</definedName>
    <definedName name="Reversing_Judgments_PY" localSheetId="1">#REF!</definedName>
    <definedName name="Reversing_Judgments_PY" localSheetId="6">#REF!</definedName>
    <definedName name="Reversing_Judgments_PY" localSheetId="7">#REF!</definedName>
    <definedName name="Reversing_Judgments_PY" localSheetId="8">#REF!</definedName>
    <definedName name="Reversing_Judgments_PY" localSheetId="9">#REF!</definedName>
    <definedName name="Reversing_Judgments_PY">#REF!</definedName>
    <definedName name="RONNIE" localSheetId="6">#REF!</definedName>
    <definedName name="RONNIE" localSheetId="7">#REF!</definedName>
    <definedName name="RONNIE" localSheetId="8">#REF!</definedName>
    <definedName name="RONNIE" localSheetId="9">#REF!</definedName>
    <definedName name="RONNIE">#REF!</definedName>
    <definedName name="RPCL" localSheetId="0">[3]KWHRM_F!$D$5</definedName>
    <definedName name="RPCL" localSheetId="1">[3]KWHRM_F!$D$5</definedName>
    <definedName name="RPCL">[8]KWHRM_F!$D$5</definedName>
    <definedName name="SALARY" localSheetId="2">#REF!</definedName>
    <definedName name="SALARY" localSheetId="3">#REF!</definedName>
    <definedName name="SALARY" localSheetId="4">#REF!</definedName>
    <definedName name="SALARY" localSheetId="6">#REF!</definedName>
    <definedName name="SALARY" localSheetId="7">#REF!</definedName>
    <definedName name="SALARY" localSheetId="8">#REF!</definedName>
    <definedName name="SALARY" localSheetId="9">#REF!</definedName>
    <definedName name="SALARY">#REF!</definedName>
    <definedName name="SALARY_2" localSheetId="2">#REF!</definedName>
    <definedName name="SALARY_2" localSheetId="6">#REF!</definedName>
    <definedName name="SALARY_2" localSheetId="7">#REF!</definedName>
    <definedName name="SALARY_2" localSheetId="8">#REF!</definedName>
    <definedName name="SALARY_2" localSheetId="9">#REF!</definedName>
    <definedName name="SALARY_2">#REF!</definedName>
    <definedName name="SDW" localSheetId="6">#REF!</definedName>
    <definedName name="SDW" localSheetId="7">#REF!</definedName>
    <definedName name="SDW" localSheetId="8">#REF!</definedName>
    <definedName name="SDW" localSheetId="9">#REF!</definedName>
    <definedName name="SDW">#REF!</definedName>
    <definedName name="SDW_2" localSheetId="6">#REF!</definedName>
    <definedName name="SDW_2" localSheetId="7">#REF!</definedName>
    <definedName name="SDW_2" localSheetId="8">#REF!</definedName>
    <definedName name="SDW_2" localSheetId="9">#REF!</definedName>
    <definedName name="SDW_2">#REF!</definedName>
    <definedName name="Senior" localSheetId="6">#REF!</definedName>
    <definedName name="Senior" localSheetId="7">#REF!</definedName>
    <definedName name="Senior" localSheetId="8">#REF!</definedName>
    <definedName name="Senior" localSheetId="9">#REF!</definedName>
    <definedName name="Senior">#REF!</definedName>
    <definedName name="SEP" localSheetId="0">#REF!</definedName>
    <definedName name="SEP" localSheetId="1">#REF!</definedName>
    <definedName name="SEP" localSheetId="6">#REF!</definedName>
    <definedName name="SEP" localSheetId="7">#REF!</definedName>
    <definedName name="SEP" localSheetId="8">#REF!</definedName>
    <definedName name="SEP" localSheetId="9">#REF!</definedName>
    <definedName name="SEP">#REF!</definedName>
    <definedName name="sheet3" localSheetId="0">#REF!</definedName>
    <definedName name="sheet3" localSheetId="1">#REF!</definedName>
    <definedName name="sheet3" localSheetId="6">#REF!</definedName>
    <definedName name="sheet3" localSheetId="7">#REF!</definedName>
    <definedName name="sheet3" localSheetId="8">#REF!</definedName>
    <definedName name="sheet3" localSheetId="9">#REF!</definedName>
    <definedName name="sheet3">#REF!</definedName>
    <definedName name="SI" localSheetId="0">#REF!</definedName>
    <definedName name="SI" localSheetId="1">#REF!</definedName>
    <definedName name="SI" localSheetId="6">#REF!</definedName>
    <definedName name="SI" localSheetId="7">#REF!</definedName>
    <definedName name="SI" localSheetId="8">#REF!</definedName>
    <definedName name="SI" localSheetId="9">#REF!</definedName>
    <definedName name="SI">#REF!</definedName>
    <definedName name="SLLA" localSheetId="0">[3]DATAFILE!$C$27</definedName>
    <definedName name="SLLA" localSheetId="1">[3]DATAFILE!$C$27</definedName>
    <definedName name="SLLA">[8]DATAFILE!$C$27</definedName>
    <definedName name="SLLB" localSheetId="0">[3]DATAFILE!$C$29</definedName>
    <definedName name="SLLB" localSheetId="1">[3]DATAFILE!$C$29</definedName>
    <definedName name="SLLB">[8]DATAFILE!$C$29</definedName>
    <definedName name="SLRDBF" localSheetId="0">#REF!</definedName>
    <definedName name="SLRDBF" localSheetId="1">#REF!</definedName>
    <definedName name="SLRDBF" localSheetId="2">#REF!</definedName>
    <definedName name="SLRDBF" localSheetId="6">#REF!</definedName>
    <definedName name="SLRDBF" localSheetId="7">#REF!</definedName>
    <definedName name="SLRDBF" localSheetId="8">#REF!</definedName>
    <definedName name="SLRDBF" localSheetId="9">#REF!</definedName>
    <definedName name="SLRDBF">#REF!</definedName>
    <definedName name="SSPREM_2" localSheetId="6">#REF!</definedName>
    <definedName name="SSPREM_2" localSheetId="7">#REF!</definedName>
    <definedName name="SSPREM_2" localSheetId="8">#REF!</definedName>
    <definedName name="SSPREM_2" localSheetId="9">#REF!</definedName>
    <definedName name="SSPREM_2">#REF!</definedName>
    <definedName name="SSSPREM" localSheetId="6">#REF!</definedName>
    <definedName name="SSSPREM" localSheetId="7">#REF!</definedName>
    <definedName name="SSSPREM" localSheetId="8">#REF!</definedName>
    <definedName name="SSSPREM" localSheetId="9">#REF!</definedName>
    <definedName name="SSSPREM">#REF!</definedName>
    <definedName name="stn" localSheetId="6">#REF!</definedName>
    <definedName name="stn" localSheetId="7">#REF!</definedName>
    <definedName name="stn" localSheetId="8">#REF!</definedName>
    <definedName name="stn" localSheetId="9">#REF!</definedName>
    <definedName name="stn">#REF!</definedName>
    <definedName name="STN_2" localSheetId="6">#REF!</definedName>
    <definedName name="STN_2" localSheetId="7">#REF!</definedName>
    <definedName name="STN_2" localSheetId="8">#REF!</definedName>
    <definedName name="STN_2" localSheetId="9">#REF!</definedName>
    <definedName name="STN_2">#REF!</definedName>
    <definedName name="STNBY_P1_2" localSheetId="6">#REF!</definedName>
    <definedName name="STNBY_P1_2" localSheetId="7">#REF!</definedName>
    <definedName name="STNBY_P1_2" localSheetId="8">#REF!</definedName>
    <definedName name="STNBY_P1_2" localSheetId="9">#REF!</definedName>
    <definedName name="STNBY_P1_2">#REF!</definedName>
    <definedName name="stndby_p1" localSheetId="6">#REF!</definedName>
    <definedName name="stndby_p1" localSheetId="7">#REF!</definedName>
    <definedName name="stndby_p1" localSheetId="8">#REF!</definedName>
    <definedName name="stndby_p1" localSheetId="9">#REF!</definedName>
    <definedName name="stndby_p1">#REF!</definedName>
    <definedName name="STR" localSheetId="6">#REF!</definedName>
    <definedName name="STR" localSheetId="7">#REF!</definedName>
    <definedName name="STR" localSheetId="8">#REF!</definedName>
    <definedName name="STR" localSheetId="9">#REF!</definedName>
    <definedName name="STR">#REF!</definedName>
    <definedName name="STR_2" localSheetId="6">#REF!</definedName>
    <definedName name="STR_2" localSheetId="7">#REF!</definedName>
    <definedName name="STR_2" localSheetId="8">#REF!</definedName>
    <definedName name="STR_2" localSheetId="9">#REF!</definedName>
    <definedName name="STR_2">#REF!</definedName>
    <definedName name="SUBLL" localSheetId="0">[3]DATAFILE!$C$46</definedName>
    <definedName name="SUBLL" localSheetId="1">[3]DATAFILE!$C$46</definedName>
    <definedName name="SUBLL">[8]DATAFILE!$C$46</definedName>
    <definedName name="sum" localSheetId="2">#REF!</definedName>
    <definedName name="sum" localSheetId="3">#REF!</definedName>
    <definedName name="sum" localSheetId="4">#REF!</definedName>
    <definedName name="sum" localSheetId="6">#REF!</definedName>
    <definedName name="sum" localSheetId="7">#REF!</definedName>
    <definedName name="sum" localSheetId="8">#REF!</definedName>
    <definedName name="sum" localSheetId="9">#REF!</definedName>
    <definedName name="sum">#REF!</definedName>
    <definedName name="SUM_2" localSheetId="2">#REF!</definedName>
    <definedName name="SUM_2" localSheetId="6">#REF!</definedName>
    <definedName name="SUM_2" localSheetId="7">#REF!</definedName>
    <definedName name="SUM_2" localSheetId="8">#REF!</definedName>
    <definedName name="SUM_2" localSheetId="9">#REF!</definedName>
    <definedName name="SUM_2">#REF!</definedName>
    <definedName name="SUM_ELECTRIC_REV_3C1" localSheetId="0">#REF!</definedName>
    <definedName name="SUM_ELECTRIC_REV_3C1" localSheetId="1">#REF!</definedName>
    <definedName name="SUM_ELECTRIC_REV_3C1" localSheetId="6">#REF!</definedName>
    <definedName name="SUM_ELECTRIC_REV_3C1" localSheetId="7">#REF!</definedName>
    <definedName name="SUM_ELECTRIC_REV_3C1" localSheetId="8">#REF!</definedName>
    <definedName name="SUM_ELECTRIC_REV_3C1" localSheetId="9">#REF!</definedName>
    <definedName name="SUM_ELECTRIC_REV_3C1">#REF!</definedName>
    <definedName name="sumcomparison">'[34]REVENUE ACTUAL VS ERC PROPOSED'!$T$270:$AD$301</definedName>
    <definedName name="SUMMARY" localSheetId="0">#REF!</definedName>
    <definedName name="SUMMARY" localSheetId="1">#REF!</definedName>
    <definedName name="SUMMARY" localSheetId="6">#REF!</definedName>
    <definedName name="SUMMARY" localSheetId="7">#REF!</definedName>
    <definedName name="SUMMARY" localSheetId="8">#REF!</definedName>
    <definedName name="SUMMARY" localSheetId="9">#REF!</definedName>
    <definedName name="SUMMARY">#REF!</definedName>
    <definedName name="SUMMMA" localSheetId="6">#REF!</definedName>
    <definedName name="SUMMMA" localSheetId="7">#REF!</definedName>
    <definedName name="SUMMMA" localSheetId="8">#REF!</definedName>
    <definedName name="SUMMMA" localSheetId="9">#REF!</definedName>
    <definedName name="SUMMMA">#REF!</definedName>
    <definedName name="T" localSheetId="0">#REF!</definedName>
    <definedName name="T" localSheetId="1">#REF!</definedName>
    <definedName name="T" localSheetId="6">#REF!</definedName>
    <definedName name="T" localSheetId="7">#REF!</definedName>
    <definedName name="T" localSheetId="8">#REF!</definedName>
    <definedName name="T" localSheetId="9">#REF!</definedName>
    <definedName name="T">#REF!</definedName>
    <definedName name="Tax_Rate" localSheetId="0">#REF!</definedName>
    <definedName name="Tax_Rate" localSheetId="1">#REF!</definedName>
    <definedName name="Tax_Rate" localSheetId="6">#REF!</definedName>
    <definedName name="Tax_Rate" localSheetId="7">#REF!</definedName>
    <definedName name="Tax_Rate" localSheetId="8">#REF!</definedName>
    <definedName name="Tax_Rate" localSheetId="9">#REF!</definedName>
    <definedName name="Tax_Rate">#REF!</definedName>
    <definedName name="taxdeferred" localSheetId="0">[35]tax!#REF!</definedName>
    <definedName name="taxdeferred" localSheetId="1">[35]tax!#REF!</definedName>
    <definedName name="taxdeferred" localSheetId="8">[36]tax!#REF!</definedName>
    <definedName name="taxdeferred">[36]tax!#REF!</definedName>
    <definedName name="taxentry" localSheetId="0">[35]tax!#REF!</definedName>
    <definedName name="taxentry" localSheetId="1">[35]tax!#REF!</definedName>
    <definedName name="taxentry" localSheetId="8">[36]tax!#REF!</definedName>
    <definedName name="taxentry">[36]tax!#REF!</definedName>
    <definedName name="taxrecon" localSheetId="0">[35]tax!#REF!</definedName>
    <definedName name="taxrecon" localSheetId="1">[35]tax!#REF!</definedName>
    <definedName name="taxrecon" localSheetId="8">[36]tax!#REF!</definedName>
    <definedName name="taxrecon">[36]tax!#REF!</definedName>
    <definedName name="TBC" localSheetId="0">#REF!</definedName>
    <definedName name="TBC" localSheetId="1">#REF!</definedName>
    <definedName name="TBC" localSheetId="2">#REF!</definedName>
    <definedName name="TBC" localSheetId="3">#REF!</definedName>
    <definedName name="TBC" localSheetId="4">#REF!</definedName>
    <definedName name="TBC" localSheetId="6">#REF!</definedName>
    <definedName name="TBC" localSheetId="7">#REF!</definedName>
    <definedName name="TBC" localSheetId="8">#REF!</definedName>
    <definedName name="TBC" localSheetId="9">#REF!</definedName>
    <definedName name="TBC">#REF!</definedName>
    <definedName name="TILTL_2" localSheetId="2">#REF!</definedName>
    <definedName name="TILTL_2" localSheetId="6">#REF!</definedName>
    <definedName name="TILTL_2" localSheetId="7">#REF!</definedName>
    <definedName name="TILTL_2" localSheetId="8">#REF!</definedName>
    <definedName name="TILTL_2" localSheetId="9">#REF!</definedName>
    <definedName name="TILTL_2">#REF!</definedName>
    <definedName name="titl" localSheetId="6">#REF!</definedName>
    <definedName name="titl" localSheetId="7">#REF!</definedName>
    <definedName name="titl" localSheetId="8">#REF!</definedName>
    <definedName name="titl" localSheetId="9">#REF!</definedName>
    <definedName name="titl">#REF!</definedName>
    <definedName name="TITLE" localSheetId="6">#REF!</definedName>
    <definedName name="TITLE" localSheetId="7">#REF!</definedName>
    <definedName name="TITLE" localSheetId="8">#REF!</definedName>
    <definedName name="TITLE" localSheetId="9">#REF!</definedName>
    <definedName name="TITLE">#REF!</definedName>
    <definedName name="TITLE_2" localSheetId="6">#REF!</definedName>
    <definedName name="TITLE_2" localSheetId="7">#REF!</definedName>
    <definedName name="TITLE_2" localSheetId="8">#REF!</definedName>
    <definedName name="TITLE_2" localSheetId="9">#REF!</definedName>
    <definedName name="TITLE_2">#REF!</definedName>
    <definedName name="title_ol" localSheetId="6">#REF!</definedName>
    <definedName name="title_ol" localSheetId="7">#REF!</definedName>
    <definedName name="title_ol" localSheetId="8">#REF!</definedName>
    <definedName name="title_ol" localSheetId="9">#REF!</definedName>
    <definedName name="title_ol">#REF!</definedName>
    <definedName name="TITLE_OL_2" localSheetId="6">#REF!</definedName>
    <definedName name="TITLE_OL_2" localSheetId="7">#REF!</definedName>
    <definedName name="TITLE_OL_2" localSheetId="8">#REF!</definedName>
    <definedName name="TITLE_OL_2" localSheetId="9">#REF!</definedName>
    <definedName name="TITLE_OL_2">#REF!</definedName>
    <definedName name="tlnew" localSheetId="0">[37]cover!$A$1:$G$40</definedName>
    <definedName name="tlnew" localSheetId="1">[37]cover!$A$1:$G$40</definedName>
    <definedName name="tlnew">[38]cover!$A$1:$G$40</definedName>
    <definedName name="TM" localSheetId="0">#REF!</definedName>
    <definedName name="TM" localSheetId="1">#REF!</definedName>
    <definedName name="TM" localSheetId="2">#REF!</definedName>
    <definedName name="TM" localSheetId="6">#REF!</definedName>
    <definedName name="TM" localSheetId="7">#REF!</definedName>
    <definedName name="TM" localSheetId="8">#REF!</definedName>
    <definedName name="TM" localSheetId="9">#REF!</definedName>
    <definedName name="TM">#REF!</definedName>
    <definedName name="TR" localSheetId="6">#REF!</definedName>
    <definedName name="TR" localSheetId="7">#REF!</definedName>
    <definedName name="TR" localSheetId="8">#REF!</definedName>
    <definedName name="TR" localSheetId="9">#REF!</definedName>
    <definedName name="TR">#REF!</definedName>
    <definedName name="TR_2" localSheetId="6">#REF!</definedName>
    <definedName name="TR_2" localSheetId="7">#REF!</definedName>
    <definedName name="TR_2" localSheetId="8">#REF!</definedName>
    <definedName name="TR_2" localSheetId="9">#REF!</definedName>
    <definedName name="TR_2">#REF!</definedName>
    <definedName name="TRAM" localSheetId="6">#REF!</definedName>
    <definedName name="TRAM" localSheetId="7">#REF!</definedName>
    <definedName name="TRAM" localSheetId="8">#REF!</definedName>
    <definedName name="TRAM" localSheetId="9">#REF!</definedName>
    <definedName name="TRAM">#REF!</definedName>
    <definedName name="transmission" localSheetId="6">#REF!</definedName>
    <definedName name="transmission" localSheetId="7">#REF!</definedName>
    <definedName name="transmission" localSheetId="8">#REF!</definedName>
    <definedName name="transmission" localSheetId="9">#REF!</definedName>
    <definedName name="transmission">#REF!</definedName>
    <definedName name="TRIAL_BALANCE" localSheetId="0">#REF!</definedName>
    <definedName name="TRIAL_BALANCE" localSheetId="1">#REF!</definedName>
    <definedName name="TRIAL_BALANCE" localSheetId="6">#REF!</definedName>
    <definedName name="TRIAL_BALANCE" localSheetId="7">#REF!</definedName>
    <definedName name="TRIAL_BALANCE" localSheetId="8">#REF!</definedName>
    <definedName name="TRIAL_BALANCE" localSheetId="9">#REF!</definedName>
    <definedName name="TRIAL_BALANCE">#REF!</definedName>
    <definedName name="TRIALBAL" localSheetId="0">#REF!</definedName>
    <definedName name="TRIALBAL" localSheetId="1">#REF!</definedName>
    <definedName name="TRIALBAL" localSheetId="6">#REF!</definedName>
    <definedName name="TRIALBAL" localSheetId="7">#REF!</definedName>
    <definedName name="TRIALBAL" localSheetId="8">#REF!</definedName>
    <definedName name="TRIALBAL" localSheetId="9">#REF!</definedName>
    <definedName name="TRIALBAL">#REF!</definedName>
    <definedName name="TSD" localSheetId="0">#REF!</definedName>
    <definedName name="TSD" localSheetId="1">#REF!</definedName>
    <definedName name="TSD" localSheetId="6">#REF!</definedName>
    <definedName name="TSD" localSheetId="7">#REF!</definedName>
    <definedName name="TSD" localSheetId="8">#REF!</definedName>
    <definedName name="TSD" localSheetId="9">#REF!</definedName>
    <definedName name="TSD">#REF!</definedName>
    <definedName name="TTT" localSheetId="6">#REF!</definedName>
    <definedName name="TTT" localSheetId="7">#REF!</definedName>
    <definedName name="TTT" localSheetId="8">#REF!</definedName>
    <definedName name="TTT" localSheetId="9">#REF!</definedName>
    <definedName name="TTT">#REF!</definedName>
    <definedName name="Turnaround" localSheetId="0">#REF!</definedName>
    <definedName name="Turnaround" localSheetId="1">#REF!</definedName>
    <definedName name="Turnaround" localSheetId="6">#REF!</definedName>
    <definedName name="Turnaround" localSheetId="7">#REF!</definedName>
    <definedName name="Turnaround" localSheetId="8">#REF!</definedName>
    <definedName name="Turnaround" localSheetId="9">#REF!</definedName>
    <definedName name="Turnaround">#REF!</definedName>
    <definedName name="UNPAID" localSheetId="6">#REF!</definedName>
    <definedName name="UNPAID" localSheetId="7">#REF!</definedName>
    <definedName name="UNPAID" localSheetId="8">#REF!</definedName>
    <definedName name="UNPAID" localSheetId="9">#REF!</definedName>
    <definedName name="UNPAID">#REF!</definedName>
    <definedName name="V" localSheetId="0">#REF!</definedName>
    <definedName name="V" localSheetId="1">#REF!</definedName>
    <definedName name="V" localSheetId="6">#REF!</definedName>
    <definedName name="V" localSheetId="7">#REF!</definedName>
    <definedName name="V" localSheetId="8">#REF!</definedName>
    <definedName name="V" localSheetId="9">#REF!</definedName>
    <definedName name="V">#REF!</definedName>
    <definedName name="vTotalCustomer" localSheetId="0">[3]DATAFILE!$C$52</definedName>
    <definedName name="vTotalCustomer" localSheetId="1">[3]DATAFILE!$C$52</definedName>
    <definedName name="vTotalCustomer">[8]DATAFILE!$C$52</definedName>
    <definedName name="W" localSheetId="0">#REF!</definedName>
    <definedName name="W" localSheetId="1">#REF!</definedName>
    <definedName name="W" localSheetId="2">#REF!</definedName>
    <definedName name="W" localSheetId="6">#REF!</definedName>
    <definedName name="W" localSheetId="7">#REF!</definedName>
    <definedName name="W" localSheetId="8">#REF!</definedName>
    <definedName name="W" localSheetId="9">#REF!</definedName>
    <definedName name="W">#REF!</definedName>
    <definedName name="WARN">"Error! Please check calc!"</definedName>
    <definedName name="wholetodate" localSheetId="0">#REF!</definedName>
    <definedName name="wholetodate" localSheetId="1">#REF!</definedName>
    <definedName name="wholetodate" localSheetId="2">#REF!</definedName>
    <definedName name="wholetodate" localSheetId="6">#REF!</definedName>
    <definedName name="wholetodate" localSheetId="7">#REF!</definedName>
    <definedName name="wholetodate" localSheetId="8">#REF!</definedName>
    <definedName name="wholetodate" localSheetId="9">#REF!</definedName>
    <definedName name="wholetodate">#REF!</definedName>
    <definedName name="WORKERS" localSheetId="6">#REF!</definedName>
    <definedName name="WORKERS" localSheetId="7">#REF!</definedName>
    <definedName name="WORKERS" localSheetId="8">#REF!</definedName>
    <definedName name="WORKERS" localSheetId="9">#REF!</definedName>
    <definedName name="WORKERS">#REF!</definedName>
    <definedName name="wrkgcap_depn_amortn" localSheetId="0">#REF!</definedName>
    <definedName name="wrkgcap_depn_amortn" localSheetId="1">#REF!</definedName>
    <definedName name="wrkgcap_depn_amortn" localSheetId="6">#REF!</definedName>
    <definedName name="wrkgcap_depn_amortn" localSheetId="7">#REF!</definedName>
    <definedName name="wrkgcap_depn_amortn" localSheetId="8">#REF!</definedName>
    <definedName name="wrkgcap_depn_amortn" localSheetId="9">#REF!</definedName>
    <definedName name="wrkgcap_depn_amortn">#REF!</definedName>
    <definedName name="yearend" localSheetId="0">#REF!</definedName>
    <definedName name="yearend" localSheetId="1">#REF!</definedName>
    <definedName name="yearend" localSheetId="6">#REF!</definedName>
    <definedName name="yearend" localSheetId="7">#REF!</definedName>
    <definedName name="yearend" localSheetId="8">#REF!</definedName>
    <definedName name="yearend" localSheetId="9">#REF!</definedName>
    <definedName name="yearend">#REF!</definedName>
    <definedName name="Z_64CA2734_50A7_4E42_80ED_44D26C36B70C_.wvu.PrintArea" localSheetId="1" hidden="1">'2012'!$A$1:$O$53</definedName>
    <definedName name="Z_64CA2734_50A7_4E42_80ED_44D26C36B70C_.wvu.PrintArea" localSheetId="2" hidden="1">'2013'!$A$1:$C$54</definedName>
    <definedName name="Z_64CA2734_50A7_4E42_80ED_44D26C36B70C_.wvu.PrintArea" localSheetId="3" hidden="1">'2014'!$A$1:$C$54</definedName>
    <definedName name="Z_64CA2734_50A7_4E42_80ED_44D26C36B70C_.wvu.PrintArea" localSheetId="4" hidden="1">'2015'!$A$1:$C$53</definedName>
    <definedName name="Z_64CA2734_50A7_4E42_80ED_44D26C36B70C_.wvu.PrintArea" localSheetId="5" hidden="1">'2016'!$A$1:$C$44</definedName>
    <definedName name="Z_64CA2734_50A7_4E42_80ED_44D26C36B70C_.wvu.PrintArea" localSheetId="6" hidden="1">'2017'!$A$1:$C$45</definedName>
    <definedName name="Z_64CA2734_50A7_4E42_80ED_44D26C36B70C_.wvu.PrintArea" localSheetId="7" hidden="1">'2018'!$A$1:$C$45</definedName>
    <definedName name="Z_64CA2734_50A7_4E42_80ED_44D26C36B70C_.wvu.PrintArea" localSheetId="8" hidden="1">'2019'!$A$1:$C$46</definedName>
    <definedName name="Z_64CA2734_50A7_4E42_80ED_44D26C36B70C_.wvu.PrintArea" localSheetId="9" hidden="1">'2020'!$A$1:$C$45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1046" i="10" l="1"/>
  <c r="O1046" i="10"/>
  <c r="N1046" i="10"/>
  <c r="M1046" i="10"/>
  <c r="L1046" i="10"/>
  <c r="K1046" i="10"/>
  <c r="J1046" i="10"/>
  <c r="I1046" i="10"/>
  <c r="H1046" i="10"/>
  <c r="G1046" i="10"/>
  <c r="F1046" i="10"/>
  <c r="E1046" i="10"/>
  <c r="D1046" i="10"/>
  <c r="P1045" i="10"/>
  <c r="O1045" i="10"/>
  <c r="N1045" i="10"/>
  <c r="M1045" i="10"/>
  <c r="L1045" i="10"/>
  <c r="K1045" i="10"/>
  <c r="J1045" i="10"/>
  <c r="I1045" i="10"/>
  <c r="H1045" i="10"/>
  <c r="G1045" i="10"/>
  <c r="F1045" i="10"/>
  <c r="E1045" i="10"/>
  <c r="D1045" i="10"/>
  <c r="P1044" i="10"/>
  <c r="O1044" i="10"/>
  <c r="N1044" i="10"/>
  <c r="M1044" i="10"/>
  <c r="L1044" i="10"/>
  <c r="K1044" i="10"/>
  <c r="J1044" i="10"/>
  <c r="I1044" i="10"/>
  <c r="H1044" i="10"/>
  <c r="G1044" i="10"/>
  <c r="F1044" i="10"/>
  <c r="E1044" i="10"/>
  <c r="D1044" i="10"/>
  <c r="P1043" i="10"/>
  <c r="O1043" i="10"/>
  <c r="N1043" i="10"/>
  <c r="M1043" i="10"/>
  <c r="L1043" i="10"/>
  <c r="K1043" i="10"/>
  <c r="J1043" i="10"/>
  <c r="I1043" i="10"/>
  <c r="H1043" i="10"/>
  <c r="G1043" i="10"/>
  <c r="F1043" i="10"/>
  <c r="E1043" i="10"/>
  <c r="D1043" i="10"/>
  <c r="P1042" i="10"/>
  <c r="O1042" i="10"/>
  <c r="N1042" i="10"/>
  <c r="M1042" i="10"/>
  <c r="L1042" i="10"/>
  <c r="K1042" i="10"/>
  <c r="J1042" i="10"/>
  <c r="I1042" i="10"/>
  <c r="H1042" i="10"/>
  <c r="G1042" i="10"/>
  <c r="F1042" i="10"/>
  <c r="E1042" i="10"/>
  <c r="D1042" i="10"/>
  <c r="P1031" i="10"/>
  <c r="O1031" i="10"/>
  <c r="N1031" i="10"/>
  <c r="M1031" i="10"/>
  <c r="L1031" i="10"/>
  <c r="K1031" i="10"/>
  <c r="J1031" i="10"/>
  <c r="I1031" i="10"/>
  <c r="H1031" i="10"/>
  <c r="G1031" i="10"/>
  <c r="F1031" i="10"/>
  <c r="E1031" i="10"/>
  <c r="D1031" i="10"/>
  <c r="P1030" i="10"/>
  <c r="O1030" i="10"/>
  <c r="N1030" i="10"/>
  <c r="M1030" i="10"/>
  <c r="L1030" i="10"/>
  <c r="K1030" i="10"/>
  <c r="J1030" i="10"/>
  <c r="I1030" i="10"/>
  <c r="H1030" i="10"/>
  <c r="G1030" i="10"/>
  <c r="F1030" i="10"/>
  <c r="E1030" i="10"/>
  <c r="D1030" i="10"/>
  <c r="P1029" i="10"/>
  <c r="O1029" i="10"/>
  <c r="N1029" i="10"/>
  <c r="M1029" i="10"/>
  <c r="L1029" i="10"/>
  <c r="K1029" i="10"/>
  <c r="J1029" i="10"/>
  <c r="I1029" i="10"/>
  <c r="H1029" i="10"/>
  <c r="G1029" i="10"/>
  <c r="F1029" i="10"/>
  <c r="E1029" i="10"/>
  <c r="D1029" i="10"/>
  <c r="P1028" i="10"/>
  <c r="O1028" i="10"/>
  <c r="N1028" i="10"/>
  <c r="M1028" i="10"/>
  <c r="L1028" i="10"/>
  <c r="K1028" i="10"/>
  <c r="J1028" i="10"/>
  <c r="I1028" i="10"/>
  <c r="H1028" i="10"/>
  <c r="G1028" i="10"/>
  <c r="F1028" i="10"/>
  <c r="E1028" i="10"/>
  <c r="D1028" i="10"/>
  <c r="P1027" i="10"/>
  <c r="O1027" i="10"/>
  <c r="N1027" i="10"/>
  <c r="M1027" i="10"/>
  <c r="L1027" i="10"/>
  <c r="K1027" i="10"/>
  <c r="J1027" i="10"/>
  <c r="I1027" i="10"/>
  <c r="H1027" i="10"/>
  <c r="G1027" i="10"/>
  <c r="F1027" i="10"/>
  <c r="E1027" i="10"/>
  <c r="D1027" i="10"/>
  <c r="P1017" i="10"/>
  <c r="O1017" i="10"/>
  <c r="N1017" i="10"/>
  <c r="M1017" i="10"/>
  <c r="L1017" i="10"/>
  <c r="K1017" i="10"/>
  <c r="J1017" i="10"/>
  <c r="I1017" i="10"/>
  <c r="H1017" i="10"/>
  <c r="G1017" i="10"/>
  <c r="F1017" i="10"/>
  <c r="E1017" i="10"/>
  <c r="D1017" i="10"/>
  <c r="P1016" i="10"/>
  <c r="O1016" i="10"/>
  <c r="N1016" i="10"/>
  <c r="M1016" i="10"/>
  <c r="L1016" i="10"/>
  <c r="K1016" i="10"/>
  <c r="J1016" i="10"/>
  <c r="I1016" i="10"/>
  <c r="H1016" i="10"/>
  <c r="G1016" i="10"/>
  <c r="F1016" i="10"/>
  <c r="E1016" i="10"/>
  <c r="D1016" i="10"/>
  <c r="O993" i="10"/>
  <c r="N993" i="10"/>
  <c r="M993" i="10"/>
  <c r="L993" i="10"/>
  <c r="K993" i="10"/>
  <c r="J993" i="10"/>
  <c r="I993" i="10"/>
  <c r="H993" i="10"/>
  <c r="G993" i="10"/>
  <c r="F993" i="10"/>
  <c r="E993" i="10"/>
  <c r="D993" i="10"/>
  <c r="O992" i="10"/>
  <c r="N992" i="10"/>
  <c r="M992" i="10"/>
  <c r="L992" i="10"/>
  <c r="K992" i="10"/>
  <c r="J992" i="10"/>
  <c r="I992" i="10"/>
  <c r="H992" i="10"/>
  <c r="G992" i="10"/>
  <c r="F992" i="10"/>
  <c r="E992" i="10"/>
  <c r="D992" i="10"/>
  <c r="P990" i="10"/>
  <c r="O990" i="10"/>
  <c r="N990" i="10"/>
  <c r="M990" i="10"/>
  <c r="M9" i="10" s="1"/>
  <c r="L990" i="10"/>
  <c r="K990" i="10"/>
  <c r="J990" i="10"/>
  <c r="I990" i="10"/>
  <c r="H990" i="10"/>
  <c r="G990" i="10"/>
  <c r="F990" i="10"/>
  <c r="E990" i="10"/>
  <c r="E159" i="10" s="1"/>
  <c r="D990" i="10"/>
  <c r="P945" i="10"/>
  <c r="O945" i="10"/>
  <c r="N945" i="10"/>
  <c r="M945" i="10"/>
  <c r="L945" i="10"/>
  <c r="K945" i="10"/>
  <c r="J945" i="10"/>
  <c r="I945" i="10"/>
  <c r="H945" i="10"/>
  <c r="G945" i="10"/>
  <c r="F945" i="10"/>
  <c r="E945" i="10"/>
  <c r="D945" i="10"/>
  <c r="P943" i="10"/>
  <c r="O943" i="10"/>
  <c r="N943" i="10"/>
  <c r="M943" i="10"/>
  <c r="L943" i="10"/>
  <c r="K943" i="10"/>
  <c r="J943" i="10"/>
  <c r="I943" i="10"/>
  <c r="H943" i="10"/>
  <c r="G943" i="10"/>
  <c r="F943" i="10"/>
  <c r="E943" i="10"/>
  <c r="D943" i="10"/>
  <c r="A936" i="10"/>
  <c r="I898" i="10"/>
  <c r="E898" i="10"/>
  <c r="P893" i="10"/>
  <c r="O893" i="10"/>
  <c r="N893" i="10"/>
  <c r="M893" i="10"/>
  <c r="L893" i="10"/>
  <c r="K893" i="10"/>
  <c r="J893" i="10"/>
  <c r="I893" i="10"/>
  <c r="H893" i="10"/>
  <c r="G893" i="10"/>
  <c r="F893" i="10"/>
  <c r="E893" i="10"/>
  <c r="D893" i="10"/>
  <c r="A886" i="10"/>
  <c r="P848" i="10"/>
  <c r="P898" i="10" s="1"/>
  <c r="O848" i="10"/>
  <c r="O898" i="10" s="1"/>
  <c r="N848" i="10"/>
  <c r="N898" i="10" s="1"/>
  <c r="M848" i="10"/>
  <c r="M898" i="10" s="1"/>
  <c r="L848" i="10"/>
  <c r="L898" i="10" s="1"/>
  <c r="K848" i="10"/>
  <c r="K898" i="10" s="1"/>
  <c r="J848" i="10"/>
  <c r="J898" i="10" s="1"/>
  <c r="I848" i="10"/>
  <c r="H848" i="10"/>
  <c r="H898" i="10" s="1"/>
  <c r="G848" i="10"/>
  <c r="G898" i="10" s="1"/>
  <c r="F848" i="10"/>
  <c r="F898" i="10" s="1"/>
  <c r="E848" i="10"/>
  <c r="D848" i="10"/>
  <c r="D898" i="10" s="1"/>
  <c r="P847" i="10"/>
  <c r="P897" i="10" s="1"/>
  <c r="P947" i="10" s="1"/>
  <c r="O847" i="10"/>
  <c r="O897" i="10" s="1"/>
  <c r="O947" i="10" s="1"/>
  <c r="N847" i="10"/>
  <c r="N897" i="10" s="1"/>
  <c r="N947" i="10" s="1"/>
  <c r="M847" i="10"/>
  <c r="M897" i="10" s="1"/>
  <c r="M947" i="10" s="1"/>
  <c r="L847" i="10"/>
  <c r="L897" i="10" s="1"/>
  <c r="L947" i="10" s="1"/>
  <c r="K847" i="10"/>
  <c r="K897" i="10" s="1"/>
  <c r="K947" i="10" s="1"/>
  <c r="J847" i="10"/>
  <c r="J897" i="10" s="1"/>
  <c r="J947" i="10" s="1"/>
  <c r="I847" i="10"/>
  <c r="I897" i="10" s="1"/>
  <c r="I947" i="10" s="1"/>
  <c r="H847" i="10"/>
  <c r="H897" i="10" s="1"/>
  <c r="H947" i="10" s="1"/>
  <c r="G847" i="10"/>
  <c r="G897" i="10" s="1"/>
  <c r="G947" i="10" s="1"/>
  <c r="F847" i="10"/>
  <c r="F897" i="10" s="1"/>
  <c r="F947" i="10" s="1"/>
  <c r="E847" i="10"/>
  <c r="E897" i="10" s="1"/>
  <c r="E947" i="10" s="1"/>
  <c r="D847" i="10"/>
  <c r="D897" i="10" s="1"/>
  <c r="D947" i="10" s="1"/>
  <c r="J845" i="10"/>
  <c r="J895" i="10" s="1"/>
  <c r="P842" i="10"/>
  <c r="O842" i="10"/>
  <c r="N842" i="10"/>
  <c r="M842" i="10"/>
  <c r="L842" i="10"/>
  <c r="K842" i="10"/>
  <c r="J842" i="10"/>
  <c r="I842" i="10"/>
  <c r="H842" i="10"/>
  <c r="G842" i="10"/>
  <c r="F842" i="10"/>
  <c r="E842" i="10"/>
  <c r="D842" i="10"/>
  <c r="A836" i="10"/>
  <c r="P795" i="10"/>
  <c r="P845" i="10" s="1"/>
  <c r="P895" i="10" s="1"/>
  <c r="O795" i="10"/>
  <c r="O845" i="10" s="1"/>
  <c r="O895" i="10" s="1"/>
  <c r="N795" i="10"/>
  <c r="N845" i="10" s="1"/>
  <c r="N895" i="10" s="1"/>
  <c r="M795" i="10"/>
  <c r="M845" i="10" s="1"/>
  <c r="M895" i="10" s="1"/>
  <c r="L795" i="10"/>
  <c r="L845" i="10" s="1"/>
  <c r="L895" i="10" s="1"/>
  <c r="K795" i="10"/>
  <c r="K845" i="10" s="1"/>
  <c r="K895" i="10" s="1"/>
  <c r="J795" i="10"/>
  <c r="I795" i="10"/>
  <c r="I845" i="10" s="1"/>
  <c r="I895" i="10" s="1"/>
  <c r="H795" i="10"/>
  <c r="H845" i="10" s="1"/>
  <c r="H895" i="10" s="1"/>
  <c r="G795" i="10"/>
  <c r="G845" i="10" s="1"/>
  <c r="G895" i="10" s="1"/>
  <c r="F795" i="10"/>
  <c r="F845" i="10" s="1"/>
  <c r="F895" i="10" s="1"/>
  <c r="E795" i="10"/>
  <c r="E845" i="10" s="1"/>
  <c r="E895" i="10" s="1"/>
  <c r="D795" i="10"/>
  <c r="D845" i="10" s="1"/>
  <c r="D895" i="10" s="1"/>
  <c r="P793" i="10"/>
  <c r="P843" i="10" s="1"/>
  <c r="O793" i="10"/>
  <c r="O843" i="10" s="1"/>
  <c r="N793" i="10"/>
  <c r="N843" i="10" s="1"/>
  <c r="M793" i="10"/>
  <c r="M843" i="10" s="1"/>
  <c r="L793" i="10"/>
  <c r="L843" i="10" s="1"/>
  <c r="K793" i="10"/>
  <c r="K843" i="10" s="1"/>
  <c r="J793" i="10"/>
  <c r="J843" i="10" s="1"/>
  <c r="I793" i="10"/>
  <c r="I843" i="10" s="1"/>
  <c r="H793" i="10"/>
  <c r="H843" i="10" s="1"/>
  <c r="G793" i="10"/>
  <c r="G843" i="10" s="1"/>
  <c r="F793" i="10"/>
  <c r="F843" i="10" s="1"/>
  <c r="E793" i="10"/>
  <c r="E843" i="10" s="1"/>
  <c r="D793" i="10"/>
  <c r="D843" i="10" s="1"/>
  <c r="P789" i="10"/>
  <c r="O789" i="10"/>
  <c r="N789" i="10"/>
  <c r="M789" i="10"/>
  <c r="L789" i="10"/>
  <c r="K789" i="10"/>
  <c r="J789" i="10"/>
  <c r="I789" i="10"/>
  <c r="H789" i="10"/>
  <c r="G789" i="10"/>
  <c r="F789" i="10"/>
  <c r="E789" i="10"/>
  <c r="D789" i="10"/>
  <c r="A786" i="10"/>
  <c r="P748" i="10"/>
  <c r="O748" i="10"/>
  <c r="N748" i="10"/>
  <c r="M748" i="10"/>
  <c r="L748" i="10"/>
  <c r="K748" i="10"/>
  <c r="J748" i="10"/>
  <c r="I748" i="10"/>
  <c r="H748" i="10"/>
  <c r="G748" i="10"/>
  <c r="F748" i="10"/>
  <c r="E748" i="10"/>
  <c r="D748" i="10"/>
  <c r="P747" i="10"/>
  <c r="O747" i="10"/>
  <c r="N747" i="10"/>
  <c r="M747" i="10"/>
  <c r="L747" i="10"/>
  <c r="K747" i="10"/>
  <c r="J747" i="10"/>
  <c r="I747" i="10"/>
  <c r="H747" i="10"/>
  <c r="G747" i="10"/>
  <c r="F747" i="10"/>
  <c r="E747" i="10"/>
  <c r="D747" i="10"/>
  <c r="P743" i="10"/>
  <c r="O743" i="10"/>
  <c r="N743" i="10"/>
  <c r="M743" i="10"/>
  <c r="L743" i="10"/>
  <c r="K743" i="10"/>
  <c r="J743" i="10"/>
  <c r="I743" i="10"/>
  <c r="H743" i="10"/>
  <c r="G743" i="10"/>
  <c r="F743" i="10"/>
  <c r="E743" i="10"/>
  <c r="D743" i="10"/>
  <c r="A736" i="10"/>
  <c r="P693" i="10"/>
  <c r="O693" i="10"/>
  <c r="N693" i="10"/>
  <c r="M693" i="10"/>
  <c r="L693" i="10"/>
  <c r="K693" i="10"/>
  <c r="J693" i="10"/>
  <c r="I693" i="10"/>
  <c r="H693" i="10"/>
  <c r="G693" i="10"/>
  <c r="F693" i="10"/>
  <c r="E693" i="10"/>
  <c r="D693" i="10"/>
  <c r="A686" i="10"/>
  <c r="A638" i="10"/>
  <c r="A590" i="10"/>
  <c r="A542" i="10"/>
  <c r="A494" i="10"/>
  <c r="A446" i="10"/>
  <c r="A398" i="10"/>
  <c r="A350" i="10"/>
  <c r="A302" i="10"/>
  <c r="A254" i="10"/>
  <c r="A206" i="10"/>
  <c r="P162" i="10"/>
  <c r="O162" i="10"/>
  <c r="N162" i="10"/>
  <c r="M162" i="10"/>
  <c r="L162" i="10"/>
  <c r="K162" i="10"/>
  <c r="J162" i="10"/>
  <c r="I162" i="10"/>
  <c r="H162" i="10"/>
  <c r="G162" i="10"/>
  <c r="F162" i="10"/>
  <c r="E162" i="10"/>
  <c r="D162" i="10"/>
  <c r="P159" i="10"/>
  <c r="O159" i="10"/>
  <c r="N159" i="10"/>
  <c r="L159" i="10"/>
  <c r="K159" i="10"/>
  <c r="J159" i="10"/>
  <c r="I159" i="10"/>
  <c r="H159" i="10"/>
  <c r="G159" i="10"/>
  <c r="F159" i="10"/>
  <c r="D159" i="10"/>
  <c r="A156" i="10"/>
  <c r="P142" i="10"/>
  <c r="P192" i="10" s="1"/>
  <c r="P722" i="10" s="1"/>
  <c r="P772" i="10" s="1"/>
  <c r="P822" i="10" s="1"/>
  <c r="P872" i="10" s="1"/>
  <c r="P922" i="10" s="1"/>
  <c r="P972" i="10" s="1"/>
  <c r="O130" i="10"/>
  <c r="O180" i="10" s="1"/>
  <c r="O710" i="10" s="1"/>
  <c r="O760" i="10" s="1"/>
  <c r="O810" i="10" s="1"/>
  <c r="O860" i="10" s="1"/>
  <c r="O910" i="10" s="1"/>
  <c r="O960" i="10" s="1"/>
  <c r="N129" i="10"/>
  <c r="N179" i="10" s="1"/>
  <c r="N709" i="10" s="1"/>
  <c r="N759" i="10" s="1"/>
  <c r="N809" i="10" s="1"/>
  <c r="N859" i="10" s="1"/>
  <c r="N909" i="10" s="1"/>
  <c r="N959" i="10" s="1"/>
  <c r="O128" i="10"/>
  <c r="O178" i="10" s="1"/>
  <c r="O708" i="10" s="1"/>
  <c r="O758" i="10" s="1"/>
  <c r="O808" i="10" s="1"/>
  <c r="O858" i="10" s="1"/>
  <c r="O908" i="10" s="1"/>
  <c r="O958" i="10" s="1"/>
  <c r="P118" i="10"/>
  <c r="O118" i="10"/>
  <c r="N118" i="10"/>
  <c r="M118" i="10"/>
  <c r="L118" i="10"/>
  <c r="K118" i="10"/>
  <c r="J118" i="10"/>
  <c r="I118" i="10"/>
  <c r="H118" i="10"/>
  <c r="G118" i="10"/>
  <c r="F118" i="10"/>
  <c r="E118" i="10"/>
  <c r="D118" i="10"/>
  <c r="P117" i="10"/>
  <c r="O117" i="10"/>
  <c r="N117" i="10"/>
  <c r="M117" i="10"/>
  <c r="L117" i="10"/>
  <c r="K117" i="10"/>
  <c r="J117" i="10"/>
  <c r="I117" i="10"/>
  <c r="H117" i="10"/>
  <c r="G117" i="10"/>
  <c r="F117" i="10"/>
  <c r="E117" i="10"/>
  <c r="D117" i="10"/>
  <c r="P113" i="10"/>
  <c r="O113" i="10"/>
  <c r="N113" i="10"/>
  <c r="M113" i="10"/>
  <c r="L113" i="10"/>
  <c r="K113" i="10"/>
  <c r="J113" i="10"/>
  <c r="I113" i="10"/>
  <c r="H113" i="10"/>
  <c r="G113" i="10"/>
  <c r="F113" i="10"/>
  <c r="E113" i="10"/>
  <c r="D113" i="10"/>
  <c r="N112" i="10"/>
  <c r="P109" i="10"/>
  <c r="O109" i="10"/>
  <c r="N109" i="10"/>
  <c r="M109" i="10"/>
  <c r="L109" i="10"/>
  <c r="K109" i="10"/>
  <c r="J109" i="10"/>
  <c r="I109" i="10"/>
  <c r="H109" i="10"/>
  <c r="G109" i="10"/>
  <c r="F109" i="10"/>
  <c r="E109" i="10"/>
  <c r="D109" i="10"/>
  <c r="A106" i="10"/>
  <c r="P102" i="10"/>
  <c r="P152" i="10" s="1"/>
  <c r="P202" i="10" s="1"/>
  <c r="P732" i="10" s="1"/>
  <c r="P782" i="10" s="1"/>
  <c r="P832" i="10" s="1"/>
  <c r="P882" i="10" s="1"/>
  <c r="P932" i="10" s="1"/>
  <c r="P982" i="10" s="1"/>
  <c r="O102" i="10"/>
  <c r="O152" i="10" s="1"/>
  <c r="O202" i="10" s="1"/>
  <c r="O732" i="10" s="1"/>
  <c r="O782" i="10" s="1"/>
  <c r="O832" i="10" s="1"/>
  <c r="O882" i="10" s="1"/>
  <c r="O932" i="10" s="1"/>
  <c r="O982" i="10" s="1"/>
  <c r="N102" i="10"/>
  <c r="N152" i="10" s="1"/>
  <c r="N202" i="10" s="1"/>
  <c r="N732" i="10" s="1"/>
  <c r="N782" i="10" s="1"/>
  <c r="N832" i="10" s="1"/>
  <c r="N882" i="10" s="1"/>
  <c r="N932" i="10" s="1"/>
  <c r="N982" i="10" s="1"/>
  <c r="M102" i="10"/>
  <c r="M152" i="10" s="1"/>
  <c r="M202" i="10" s="1"/>
  <c r="M732" i="10" s="1"/>
  <c r="M782" i="10" s="1"/>
  <c r="M832" i="10" s="1"/>
  <c r="M882" i="10" s="1"/>
  <c r="M932" i="10" s="1"/>
  <c r="M982" i="10" s="1"/>
  <c r="L102" i="10"/>
  <c r="L152" i="10" s="1"/>
  <c r="L202" i="10" s="1"/>
  <c r="L732" i="10" s="1"/>
  <c r="L782" i="10" s="1"/>
  <c r="L832" i="10" s="1"/>
  <c r="L882" i="10" s="1"/>
  <c r="L932" i="10" s="1"/>
  <c r="L982" i="10" s="1"/>
  <c r="K102" i="10"/>
  <c r="K152" i="10" s="1"/>
  <c r="K202" i="10" s="1"/>
  <c r="K732" i="10" s="1"/>
  <c r="K782" i="10" s="1"/>
  <c r="K832" i="10" s="1"/>
  <c r="K882" i="10" s="1"/>
  <c r="K932" i="10" s="1"/>
  <c r="K982" i="10" s="1"/>
  <c r="J102" i="10"/>
  <c r="J152" i="10" s="1"/>
  <c r="J202" i="10" s="1"/>
  <c r="J732" i="10" s="1"/>
  <c r="J782" i="10" s="1"/>
  <c r="J832" i="10" s="1"/>
  <c r="J882" i="10" s="1"/>
  <c r="J932" i="10" s="1"/>
  <c r="J982" i="10" s="1"/>
  <c r="I102" i="10"/>
  <c r="I152" i="10" s="1"/>
  <c r="I202" i="10" s="1"/>
  <c r="I732" i="10" s="1"/>
  <c r="I782" i="10" s="1"/>
  <c r="I832" i="10" s="1"/>
  <c r="I882" i="10" s="1"/>
  <c r="I932" i="10" s="1"/>
  <c r="I982" i="10" s="1"/>
  <c r="H102" i="10"/>
  <c r="H152" i="10" s="1"/>
  <c r="H202" i="10" s="1"/>
  <c r="H732" i="10" s="1"/>
  <c r="H782" i="10" s="1"/>
  <c r="H832" i="10" s="1"/>
  <c r="H882" i="10" s="1"/>
  <c r="H932" i="10" s="1"/>
  <c r="H982" i="10" s="1"/>
  <c r="G102" i="10"/>
  <c r="G152" i="10" s="1"/>
  <c r="G202" i="10" s="1"/>
  <c r="G732" i="10" s="1"/>
  <c r="G782" i="10" s="1"/>
  <c r="G832" i="10" s="1"/>
  <c r="G882" i="10" s="1"/>
  <c r="G932" i="10" s="1"/>
  <c r="G982" i="10" s="1"/>
  <c r="F102" i="10"/>
  <c r="F152" i="10" s="1"/>
  <c r="F202" i="10" s="1"/>
  <c r="F732" i="10" s="1"/>
  <c r="F782" i="10" s="1"/>
  <c r="F832" i="10" s="1"/>
  <c r="F882" i="10" s="1"/>
  <c r="F932" i="10" s="1"/>
  <c r="F982" i="10" s="1"/>
  <c r="E102" i="10"/>
  <c r="E152" i="10" s="1"/>
  <c r="E202" i="10" s="1"/>
  <c r="E732" i="10" s="1"/>
  <c r="E782" i="10" s="1"/>
  <c r="E832" i="10" s="1"/>
  <c r="E882" i="10" s="1"/>
  <c r="E932" i="10" s="1"/>
  <c r="E982" i="10" s="1"/>
  <c r="D102" i="10"/>
  <c r="D152" i="10" s="1"/>
  <c r="D202" i="10" s="1"/>
  <c r="D732" i="10" s="1"/>
  <c r="D782" i="10" s="1"/>
  <c r="D832" i="10" s="1"/>
  <c r="D882" i="10" s="1"/>
  <c r="D932" i="10" s="1"/>
  <c r="D982" i="10" s="1"/>
  <c r="P101" i="10"/>
  <c r="P151" i="10" s="1"/>
  <c r="P201" i="10" s="1"/>
  <c r="P731" i="10" s="1"/>
  <c r="P781" i="10" s="1"/>
  <c r="P831" i="10" s="1"/>
  <c r="P881" i="10" s="1"/>
  <c r="P931" i="10" s="1"/>
  <c r="P981" i="10" s="1"/>
  <c r="O101" i="10"/>
  <c r="O151" i="10" s="1"/>
  <c r="O201" i="10" s="1"/>
  <c r="O731" i="10" s="1"/>
  <c r="O781" i="10" s="1"/>
  <c r="O831" i="10" s="1"/>
  <c r="O881" i="10" s="1"/>
  <c r="O931" i="10" s="1"/>
  <c r="O981" i="10" s="1"/>
  <c r="N101" i="10"/>
  <c r="N151" i="10" s="1"/>
  <c r="N201" i="10" s="1"/>
  <c r="N731" i="10" s="1"/>
  <c r="N781" i="10" s="1"/>
  <c r="N831" i="10" s="1"/>
  <c r="N881" i="10" s="1"/>
  <c r="N931" i="10" s="1"/>
  <c r="N981" i="10" s="1"/>
  <c r="M101" i="10"/>
  <c r="M151" i="10" s="1"/>
  <c r="M201" i="10" s="1"/>
  <c r="M731" i="10" s="1"/>
  <c r="M781" i="10" s="1"/>
  <c r="M831" i="10" s="1"/>
  <c r="M881" i="10" s="1"/>
  <c r="M931" i="10" s="1"/>
  <c r="M981" i="10" s="1"/>
  <c r="L101" i="10"/>
  <c r="L151" i="10" s="1"/>
  <c r="L201" i="10" s="1"/>
  <c r="L731" i="10" s="1"/>
  <c r="L781" i="10" s="1"/>
  <c r="L831" i="10" s="1"/>
  <c r="L881" i="10" s="1"/>
  <c r="L931" i="10" s="1"/>
  <c r="L981" i="10" s="1"/>
  <c r="K101" i="10"/>
  <c r="K151" i="10" s="1"/>
  <c r="K201" i="10" s="1"/>
  <c r="K731" i="10" s="1"/>
  <c r="K781" i="10" s="1"/>
  <c r="K831" i="10" s="1"/>
  <c r="K881" i="10" s="1"/>
  <c r="K931" i="10" s="1"/>
  <c r="K981" i="10" s="1"/>
  <c r="J101" i="10"/>
  <c r="J151" i="10" s="1"/>
  <c r="J201" i="10" s="1"/>
  <c r="J731" i="10" s="1"/>
  <c r="J781" i="10" s="1"/>
  <c r="J831" i="10" s="1"/>
  <c r="J881" i="10" s="1"/>
  <c r="J931" i="10" s="1"/>
  <c r="J981" i="10" s="1"/>
  <c r="I101" i="10"/>
  <c r="I151" i="10" s="1"/>
  <c r="I201" i="10" s="1"/>
  <c r="I731" i="10" s="1"/>
  <c r="I781" i="10" s="1"/>
  <c r="I831" i="10" s="1"/>
  <c r="I881" i="10" s="1"/>
  <c r="I931" i="10" s="1"/>
  <c r="I981" i="10" s="1"/>
  <c r="H101" i="10"/>
  <c r="H151" i="10" s="1"/>
  <c r="H201" i="10" s="1"/>
  <c r="H731" i="10" s="1"/>
  <c r="H781" i="10" s="1"/>
  <c r="H831" i="10" s="1"/>
  <c r="H881" i="10" s="1"/>
  <c r="H931" i="10" s="1"/>
  <c r="H981" i="10" s="1"/>
  <c r="G101" i="10"/>
  <c r="G151" i="10" s="1"/>
  <c r="G201" i="10" s="1"/>
  <c r="G731" i="10" s="1"/>
  <c r="G781" i="10" s="1"/>
  <c r="G831" i="10" s="1"/>
  <c r="G881" i="10" s="1"/>
  <c r="G931" i="10" s="1"/>
  <c r="G981" i="10" s="1"/>
  <c r="F101" i="10"/>
  <c r="F151" i="10" s="1"/>
  <c r="F201" i="10" s="1"/>
  <c r="F731" i="10" s="1"/>
  <c r="F781" i="10" s="1"/>
  <c r="F831" i="10" s="1"/>
  <c r="F881" i="10" s="1"/>
  <c r="F931" i="10" s="1"/>
  <c r="F981" i="10" s="1"/>
  <c r="E101" i="10"/>
  <c r="E151" i="10" s="1"/>
  <c r="E201" i="10" s="1"/>
  <c r="E731" i="10" s="1"/>
  <c r="E781" i="10" s="1"/>
  <c r="E831" i="10" s="1"/>
  <c r="E881" i="10" s="1"/>
  <c r="E931" i="10" s="1"/>
  <c r="E981" i="10" s="1"/>
  <c r="D101" i="10"/>
  <c r="D151" i="10" s="1"/>
  <c r="D201" i="10" s="1"/>
  <c r="D731" i="10" s="1"/>
  <c r="D781" i="10" s="1"/>
  <c r="D831" i="10" s="1"/>
  <c r="D881" i="10" s="1"/>
  <c r="D931" i="10" s="1"/>
  <c r="D981" i="10" s="1"/>
  <c r="P100" i="10"/>
  <c r="O100" i="10"/>
  <c r="N100" i="10"/>
  <c r="M100" i="10"/>
  <c r="L100" i="10"/>
  <c r="K100" i="10"/>
  <c r="J100" i="10"/>
  <c r="I100" i="10"/>
  <c r="H100" i="10"/>
  <c r="G100" i="10"/>
  <c r="F100" i="10"/>
  <c r="E100" i="10"/>
  <c r="D100" i="10"/>
  <c r="I99" i="10"/>
  <c r="I149" i="10" s="1"/>
  <c r="I199" i="10" s="1"/>
  <c r="I729" i="10" s="1"/>
  <c r="I779" i="10" s="1"/>
  <c r="I829" i="10" s="1"/>
  <c r="I879" i="10" s="1"/>
  <c r="I929" i="10" s="1"/>
  <c r="I979" i="10" s="1"/>
  <c r="K97" i="10"/>
  <c r="K147" i="10" s="1"/>
  <c r="K197" i="10" s="1"/>
  <c r="K727" i="10" s="1"/>
  <c r="K777" i="10" s="1"/>
  <c r="K827" i="10" s="1"/>
  <c r="K877" i="10" s="1"/>
  <c r="K927" i="10" s="1"/>
  <c r="K977" i="10" s="1"/>
  <c r="P94" i="10"/>
  <c r="P144" i="10" s="1"/>
  <c r="P194" i="10" s="1"/>
  <c r="P724" i="10" s="1"/>
  <c r="P774" i="10" s="1"/>
  <c r="P824" i="10" s="1"/>
  <c r="P874" i="10" s="1"/>
  <c r="P924" i="10" s="1"/>
  <c r="P974" i="10" s="1"/>
  <c r="O94" i="10"/>
  <c r="O144" i="10" s="1"/>
  <c r="O194" i="10" s="1"/>
  <c r="O724" i="10" s="1"/>
  <c r="O774" i="10" s="1"/>
  <c r="O824" i="10" s="1"/>
  <c r="O874" i="10" s="1"/>
  <c r="O924" i="10" s="1"/>
  <c r="O974" i="10" s="1"/>
  <c r="N94" i="10"/>
  <c r="N144" i="10" s="1"/>
  <c r="N194" i="10" s="1"/>
  <c r="N724" i="10" s="1"/>
  <c r="N774" i="10" s="1"/>
  <c r="N824" i="10" s="1"/>
  <c r="N874" i="10" s="1"/>
  <c r="N924" i="10" s="1"/>
  <c r="N974" i="10" s="1"/>
  <c r="M94" i="10"/>
  <c r="M144" i="10" s="1"/>
  <c r="M194" i="10" s="1"/>
  <c r="M724" i="10" s="1"/>
  <c r="M774" i="10" s="1"/>
  <c r="M824" i="10" s="1"/>
  <c r="M874" i="10" s="1"/>
  <c r="M924" i="10" s="1"/>
  <c r="M974" i="10" s="1"/>
  <c r="L94" i="10"/>
  <c r="L144" i="10" s="1"/>
  <c r="L194" i="10" s="1"/>
  <c r="L724" i="10" s="1"/>
  <c r="L774" i="10" s="1"/>
  <c r="L824" i="10" s="1"/>
  <c r="L874" i="10" s="1"/>
  <c r="L924" i="10" s="1"/>
  <c r="L974" i="10" s="1"/>
  <c r="K94" i="10"/>
  <c r="K144" i="10" s="1"/>
  <c r="K194" i="10" s="1"/>
  <c r="K724" i="10" s="1"/>
  <c r="K774" i="10" s="1"/>
  <c r="K824" i="10" s="1"/>
  <c r="K874" i="10" s="1"/>
  <c r="K924" i="10" s="1"/>
  <c r="K974" i="10" s="1"/>
  <c r="J94" i="10"/>
  <c r="J144" i="10" s="1"/>
  <c r="J194" i="10" s="1"/>
  <c r="J724" i="10" s="1"/>
  <c r="J774" i="10" s="1"/>
  <c r="J824" i="10" s="1"/>
  <c r="J874" i="10" s="1"/>
  <c r="J924" i="10" s="1"/>
  <c r="J974" i="10" s="1"/>
  <c r="I94" i="10"/>
  <c r="I144" i="10" s="1"/>
  <c r="I194" i="10" s="1"/>
  <c r="I724" i="10" s="1"/>
  <c r="I774" i="10" s="1"/>
  <c r="I824" i="10" s="1"/>
  <c r="I874" i="10" s="1"/>
  <c r="I924" i="10" s="1"/>
  <c r="I974" i="10" s="1"/>
  <c r="H94" i="10"/>
  <c r="H144" i="10" s="1"/>
  <c r="H194" i="10" s="1"/>
  <c r="H724" i="10" s="1"/>
  <c r="H774" i="10" s="1"/>
  <c r="H824" i="10" s="1"/>
  <c r="H874" i="10" s="1"/>
  <c r="H924" i="10" s="1"/>
  <c r="H974" i="10" s="1"/>
  <c r="G94" i="10"/>
  <c r="G144" i="10" s="1"/>
  <c r="G194" i="10" s="1"/>
  <c r="G724" i="10" s="1"/>
  <c r="G774" i="10" s="1"/>
  <c r="G824" i="10" s="1"/>
  <c r="G874" i="10" s="1"/>
  <c r="G924" i="10" s="1"/>
  <c r="G974" i="10" s="1"/>
  <c r="F94" i="10"/>
  <c r="F144" i="10" s="1"/>
  <c r="F194" i="10" s="1"/>
  <c r="F724" i="10" s="1"/>
  <c r="F774" i="10" s="1"/>
  <c r="F824" i="10" s="1"/>
  <c r="F874" i="10" s="1"/>
  <c r="F924" i="10" s="1"/>
  <c r="F974" i="10" s="1"/>
  <c r="E94" i="10"/>
  <c r="E144" i="10" s="1"/>
  <c r="E194" i="10" s="1"/>
  <c r="E724" i="10" s="1"/>
  <c r="E774" i="10" s="1"/>
  <c r="E824" i="10" s="1"/>
  <c r="E874" i="10" s="1"/>
  <c r="E924" i="10" s="1"/>
  <c r="E974" i="10" s="1"/>
  <c r="D94" i="10"/>
  <c r="D144" i="10" s="1"/>
  <c r="D194" i="10" s="1"/>
  <c r="D724" i="10" s="1"/>
  <c r="D774" i="10" s="1"/>
  <c r="D824" i="10" s="1"/>
  <c r="D874" i="10" s="1"/>
  <c r="D924" i="10" s="1"/>
  <c r="D974" i="10" s="1"/>
  <c r="P93" i="10"/>
  <c r="P143" i="10" s="1"/>
  <c r="P193" i="10" s="1"/>
  <c r="P723" i="10" s="1"/>
  <c r="P773" i="10" s="1"/>
  <c r="P823" i="10" s="1"/>
  <c r="P873" i="10" s="1"/>
  <c r="P923" i="10" s="1"/>
  <c r="P973" i="10" s="1"/>
  <c r="O93" i="10"/>
  <c r="O143" i="10" s="1"/>
  <c r="O193" i="10" s="1"/>
  <c r="O723" i="10" s="1"/>
  <c r="O773" i="10" s="1"/>
  <c r="O823" i="10" s="1"/>
  <c r="O873" i="10" s="1"/>
  <c r="O923" i="10" s="1"/>
  <c r="O973" i="10" s="1"/>
  <c r="N93" i="10"/>
  <c r="N143" i="10" s="1"/>
  <c r="N193" i="10" s="1"/>
  <c r="N723" i="10" s="1"/>
  <c r="N773" i="10" s="1"/>
  <c r="N823" i="10" s="1"/>
  <c r="N873" i="10" s="1"/>
  <c r="N923" i="10" s="1"/>
  <c r="N973" i="10" s="1"/>
  <c r="M93" i="10"/>
  <c r="M143" i="10" s="1"/>
  <c r="M193" i="10" s="1"/>
  <c r="M723" i="10" s="1"/>
  <c r="M773" i="10" s="1"/>
  <c r="M823" i="10" s="1"/>
  <c r="M873" i="10" s="1"/>
  <c r="M923" i="10" s="1"/>
  <c r="M973" i="10" s="1"/>
  <c r="L93" i="10"/>
  <c r="L143" i="10" s="1"/>
  <c r="L193" i="10" s="1"/>
  <c r="L723" i="10" s="1"/>
  <c r="L773" i="10" s="1"/>
  <c r="L823" i="10" s="1"/>
  <c r="L873" i="10" s="1"/>
  <c r="L923" i="10" s="1"/>
  <c r="L973" i="10" s="1"/>
  <c r="K93" i="10"/>
  <c r="K143" i="10" s="1"/>
  <c r="K193" i="10" s="1"/>
  <c r="K723" i="10" s="1"/>
  <c r="K773" i="10" s="1"/>
  <c r="K823" i="10" s="1"/>
  <c r="K873" i="10" s="1"/>
  <c r="K923" i="10" s="1"/>
  <c r="K973" i="10" s="1"/>
  <c r="J93" i="10"/>
  <c r="J143" i="10" s="1"/>
  <c r="J193" i="10" s="1"/>
  <c r="J723" i="10" s="1"/>
  <c r="J773" i="10" s="1"/>
  <c r="J823" i="10" s="1"/>
  <c r="J873" i="10" s="1"/>
  <c r="J923" i="10" s="1"/>
  <c r="J973" i="10" s="1"/>
  <c r="I93" i="10"/>
  <c r="I143" i="10" s="1"/>
  <c r="I193" i="10" s="1"/>
  <c r="I723" i="10" s="1"/>
  <c r="I773" i="10" s="1"/>
  <c r="I823" i="10" s="1"/>
  <c r="I873" i="10" s="1"/>
  <c r="I923" i="10" s="1"/>
  <c r="I973" i="10" s="1"/>
  <c r="H93" i="10"/>
  <c r="H143" i="10" s="1"/>
  <c r="H193" i="10" s="1"/>
  <c r="H723" i="10" s="1"/>
  <c r="H773" i="10" s="1"/>
  <c r="H823" i="10" s="1"/>
  <c r="H873" i="10" s="1"/>
  <c r="H923" i="10" s="1"/>
  <c r="H973" i="10" s="1"/>
  <c r="G93" i="10"/>
  <c r="G143" i="10" s="1"/>
  <c r="G193" i="10" s="1"/>
  <c r="G723" i="10" s="1"/>
  <c r="G773" i="10" s="1"/>
  <c r="G823" i="10" s="1"/>
  <c r="G873" i="10" s="1"/>
  <c r="G923" i="10" s="1"/>
  <c r="G973" i="10" s="1"/>
  <c r="F93" i="10"/>
  <c r="F143" i="10" s="1"/>
  <c r="F193" i="10" s="1"/>
  <c r="F723" i="10" s="1"/>
  <c r="F773" i="10" s="1"/>
  <c r="F823" i="10" s="1"/>
  <c r="F873" i="10" s="1"/>
  <c r="F923" i="10" s="1"/>
  <c r="F973" i="10" s="1"/>
  <c r="E93" i="10"/>
  <c r="E143" i="10" s="1"/>
  <c r="E193" i="10" s="1"/>
  <c r="E723" i="10" s="1"/>
  <c r="E773" i="10" s="1"/>
  <c r="E823" i="10" s="1"/>
  <c r="E873" i="10" s="1"/>
  <c r="E923" i="10" s="1"/>
  <c r="E973" i="10" s="1"/>
  <c r="D93" i="10"/>
  <c r="D143" i="10" s="1"/>
  <c r="D193" i="10" s="1"/>
  <c r="D723" i="10" s="1"/>
  <c r="D773" i="10" s="1"/>
  <c r="D823" i="10" s="1"/>
  <c r="D873" i="10" s="1"/>
  <c r="D923" i="10" s="1"/>
  <c r="D973" i="10" s="1"/>
  <c r="P92" i="10"/>
  <c r="O92" i="10"/>
  <c r="O142" i="10" s="1"/>
  <c r="O192" i="10" s="1"/>
  <c r="O722" i="10" s="1"/>
  <c r="O772" i="10" s="1"/>
  <c r="O822" i="10" s="1"/>
  <c r="O872" i="10" s="1"/>
  <c r="O922" i="10" s="1"/>
  <c r="O972" i="10" s="1"/>
  <c r="N92" i="10"/>
  <c r="N142" i="10" s="1"/>
  <c r="N192" i="10" s="1"/>
  <c r="N722" i="10" s="1"/>
  <c r="N772" i="10" s="1"/>
  <c r="N822" i="10" s="1"/>
  <c r="N872" i="10" s="1"/>
  <c r="N922" i="10" s="1"/>
  <c r="N972" i="10" s="1"/>
  <c r="M92" i="10"/>
  <c r="M142" i="10" s="1"/>
  <c r="M192" i="10" s="1"/>
  <c r="M722" i="10" s="1"/>
  <c r="M772" i="10" s="1"/>
  <c r="M822" i="10" s="1"/>
  <c r="M872" i="10" s="1"/>
  <c r="M922" i="10" s="1"/>
  <c r="M972" i="10" s="1"/>
  <c r="L92" i="10"/>
  <c r="L142" i="10" s="1"/>
  <c r="L192" i="10" s="1"/>
  <c r="L722" i="10" s="1"/>
  <c r="L772" i="10" s="1"/>
  <c r="L822" i="10" s="1"/>
  <c r="L872" i="10" s="1"/>
  <c r="L922" i="10" s="1"/>
  <c r="L972" i="10" s="1"/>
  <c r="K92" i="10"/>
  <c r="K142" i="10" s="1"/>
  <c r="K192" i="10" s="1"/>
  <c r="K722" i="10" s="1"/>
  <c r="K772" i="10" s="1"/>
  <c r="K822" i="10" s="1"/>
  <c r="K872" i="10" s="1"/>
  <c r="K922" i="10" s="1"/>
  <c r="K972" i="10" s="1"/>
  <c r="J92" i="10"/>
  <c r="J142" i="10" s="1"/>
  <c r="J192" i="10" s="1"/>
  <c r="J722" i="10" s="1"/>
  <c r="J772" i="10" s="1"/>
  <c r="J822" i="10" s="1"/>
  <c r="J872" i="10" s="1"/>
  <c r="J922" i="10" s="1"/>
  <c r="J972" i="10" s="1"/>
  <c r="I92" i="10"/>
  <c r="I142" i="10" s="1"/>
  <c r="I192" i="10" s="1"/>
  <c r="I722" i="10" s="1"/>
  <c r="I772" i="10" s="1"/>
  <c r="I822" i="10" s="1"/>
  <c r="I872" i="10" s="1"/>
  <c r="I922" i="10" s="1"/>
  <c r="I972" i="10" s="1"/>
  <c r="H92" i="10"/>
  <c r="H142" i="10" s="1"/>
  <c r="H192" i="10" s="1"/>
  <c r="H722" i="10" s="1"/>
  <c r="H772" i="10" s="1"/>
  <c r="H822" i="10" s="1"/>
  <c r="H872" i="10" s="1"/>
  <c r="H922" i="10" s="1"/>
  <c r="H972" i="10" s="1"/>
  <c r="G92" i="10"/>
  <c r="G142" i="10" s="1"/>
  <c r="G192" i="10" s="1"/>
  <c r="G722" i="10" s="1"/>
  <c r="G772" i="10" s="1"/>
  <c r="G822" i="10" s="1"/>
  <c r="G872" i="10" s="1"/>
  <c r="G922" i="10" s="1"/>
  <c r="G972" i="10" s="1"/>
  <c r="F92" i="10"/>
  <c r="F142" i="10" s="1"/>
  <c r="F192" i="10" s="1"/>
  <c r="F722" i="10" s="1"/>
  <c r="F772" i="10" s="1"/>
  <c r="F822" i="10" s="1"/>
  <c r="F872" i="10" s="1"/>
  <c r="F922" i="10" s="1"/>
  <c r="F972" i="10" s="1"/>
  <c r="E92" i="10"/>
  <c r="E142" i="10" s="1"/>
  <c r="E192" i="10" s="1"/>
  <c r="E722" i="10" s="1"/>
  <c r="E772" i="10" s="1"/>
  <c r="E822" i="10" s="1"/>
  <c r="E872" i="10" s="1"/>
  <c r="E922" i="10" s="1"/>
  <c r="E972" i="10" s="1"/>
  <c r="D92" i="10"/>
  <c r="D142" i="10" s="1"/>
  <c r="D192" i="10" s="1"/>
  <c r="D722" i="10" s="1"/>
  <c r="D772" i="10" s="1"/>
  <c r="D822" i="10" s="1"/>
  <c r="D872" i="10" s="1"/>
  <c r="D922" i="10" s="1"/>
  <c r="D972" i="10" s="1"/>
  <c r="P80" i="10"/>
  <c r="P130" i="10" s="1"/>
  <c r="P180" i="10" s="1"/>
  <c r="P710" i="10" s="1"/>
  <c r="P760" i="10" s="1"/>
  <c r="P810" i="10" s="1"/>
  <c r="P860" i="10" s="1"/>
  <c r="P910" i="10" s="1"/>
  <c r="P960" i="10" s="1"/>
  <c r="O80" i="10"/>
  <c r="N80" i="10"/>
  <c r="N130" i="10" s="1"/>
  <c r="N180" i="10" s="1"/>
  <c r="N710" i="10" s="1"/>
  <c r="N760" i="10" s="1"/>
  <c r="N810" i="10" s="1"/>
  <c r="N860" i="10" s="1"/>
  <c r="N910" i="10" s="1"/>
  <c r="N960" i="10" s="1"/>
  <c r="M80" i="10"/>
  <c r="M130" i="10" s="1"/>
  <c r="M180" i="10" s="1"/>
  <c r="M710" i="10" s="1"/>
  <c r="M760" i="10" s="1"/>
  <c r="M810" i="10" s="1"/>
  <c r="M860" i="10" s="1"/>
  <c r="M910" i="10" s="1"/>
  <c r="M960" i="10" s="1"/>
  <c r="L80" i="10"/>
  <c r="L130" i="10" s="1"/>
  <c r="L180" i="10" s="1"/>
  <c r="L710" i="10" s="1"/>
  <c r="L760" i="10" s="1"/>
  <c r="L810" i="10" s="1"/>
  <c r="L860" i="10" s="1"/>
  <c r="L910" i="10" s="1"/>
  <c r="L960" i="10" s="1"/>
  <c r="K80" i="10"/>
  <c r="K130" i="10" s="1"/>
  <c r="K180" i="10" s="1"/>
  <c r="K710" i="10" s="1"/>
  <c r="K760" i="10" s="1"/>
  <c r="K810" i="10" s="1"/>
  <c r="K860" i="10" s="1"/>
  <c r="K910" i="10" s="1"/>
  <c r="K960" i="10" s="1"/>
  <c r="J80" i="10"/>
  <c r="J130" i="10" s="1"/>
  <c r="J180" i="10" s="1"/>
  <c r="J710" i="10" s="1"/>
  <c r="J760" i="10" s="1"/>
  <c r="J810" i="10" s="1"/>
  <c r="J860" i="10" s="1"/>
  <c r="J910" i="10" s="1"/>
  <c r="J960" i="10" s="1"/>
  <c r="I80" i="10"/>
  <c r="I130" i="10" s="1"/>
  <c r="I180" i="10" s="1"/>
  <c r="I710" i="10" s="1"/>
  <c r="I760" i="10" s="1"/>
  <c r="I810" i="10" s="1"/>
  <c r="I860" i="10" s="1"/>
  <c r="I910" i="10" s="1"/>
  <c r="I960" i="10" s="1"/>
  <c r="H80" i="10"/>
  <c r="H130" i="10" s="1"/>
  <c r="H180" i="10" s="1"/>
  <c r="H710" i="10" s="1"/>
  <c r="H760" i="10" s="1"/>
  <c r="H810" i="10" s="1"/>
  <c r="H860" i="10" s="1"/>
  <c r="H910" i="10" s="1"/>
  <c r="H960" i="10" s="1"/>
  <c r="G80" i="10"/>
  <c r="G130" i="10" s="1"/>
  <c r="G180" i="10" s="1"/>
  <c r="G710" i="10" s="1"/>
  <c r="G760" i="10" s="1"/>
  <c r="G810" i="10" s="1"/>
  <c r="G860" i="10" s="1"/>
  <c r="G910" i="10" s="1"/>
  <c r="G960" i="10" s="1"/>
  <c r="F80" i="10"/>
  <c r="F130" i="10" s="1"/>
  <c r="F180" i="10" s="1"/>
  <c r="F710" i="10" s="1"/>
  <c r="F760" i="10" s="1"/>
  <c r="F810" i="10" s="1"/>
  <c r="F860" i="10" s="1"/>
  <c r="F910" i="10" s="1"/>
  <c r="F960" i="10" s="1"/>
  <c r="E80" i="10"/>
  <c r="E130" i="10" s="1"/>
  <c r="E180" i="10" s="1"/>
  <c r="E710" i="10" s="1"/>
  <c r="E760" i="10" s="1"/>
  <c r="E810" i="10" s="1"/>
  <c r="E860" i="10" s="1"/>
  <c r="E910" i="10" s="1"/>
  <c r="E960" i="10" s="1"/>
  <c r="D80" i="10"/>
  <c r="D130" i="10" s="1"/>
  <c r="D180" i="10" s="1"/>
  <c r="D710" i="10" s="1"/>
  <c r="D760" i="10" s="1"/>
  <c r="D810" i="10" s="1"/>
  <c r="D860" i="10" s="1"/>
  <c r="D910" i="10" s="1"/>
  <c r="D960" i="10" s="1"/>
  <c r="P79" i="10"/>
  <c r="P129" i="10" s="1"/>
  <c r="P179" i="10" s="1"/>
  <c r="P709" i="10" s="1"/>
  <c r="P759" i="10" s="1"/>
  <c r="P809" i="10" s="1"/>
  <c r="P859" i="10" s="1"/>
  <c r="P909" i="10" s="1"/>
  <c r="P959" i="10" s="1"/>
  <c r="O79" i="10"/>
  <c r="O129" i="10" s="1"/>
  <c r="O179" i="10" s="1"/>
  <c r="O709" i="10" s="1"/>
  <c r="O759" i="10" s="1"/>
  <c r="O809" i="10" s="1"/>
  <c r="O859" i="10" s="1"/>
  <c r="O909" i="10" s="1"/>
  <c r="O959" i="10" s="1"/>
  <c r="N79" i="10"/>
  <c r="M79" i="10"/>
  <c r="M129" i="10" s="1"/>
  <c r="M179" i="10" s="1"/>
  <c r="M709" i="10" s="1"/>
  <c r="M759" i="10" s="1"/>
  <c r="M809" i="10" s="1"/>
  <c r="M859" i="10" s="1"/>
  <c r="M909" i="10" s="1"/>
  <c r="M959" i="10" s="1"/>
  <c r="L79" i="10"/>
  <c r="L129" i="10" s="1"/>
  <c r="L179" i="10" s="1"/>
  <c r="L709" i="10" s="1"/>
  <c r="L759" i="10" s="1"/>
  <c r="L809" i="10" s="1"/>
  <c r="L859" i="10" s="1"/>
  <c r="L909" i="10" s="1"/>
  <c r="L959" i="10" s="1"/>
  <c r="K79" i="10"/>
  <c r="K129" i="10" s="1"/>
  <c r="K179" i="10" s="1"/>
  <c r="K709" i="10" s="1"/>
  <c r="K759" i="10" s="1"/>
  <c r="K809" i="10" s="1"/>
  <c r="K859" i="10" s="1"/>
  <c r="K909" i="10" s="1"/>
  <c r="K959" i="10" s="1"/>
  <c r="J79" i="10"/>
  <c r="J129" i="10" s="1"/>
  <c r="J179" i="10" s="1"/>
  <c r="J709" i="10" s="1"/>
  <c r="J759" i="10" s="1"/>
  <c r="J809" i="10" s="1"/>
  <c r="J859" i="10" s="1"/>
  <c r="J909" i="10" s="1"/>
  <c r="J959" i="10" s="1"/>
  <c r="I79" i="10"/>
  <c r="I129" i="10" s="1"/>
  <c r="I179" i="10" s="1"/>
  <c r="I709" i="10" s="1"/>
  <c r="I759" i="10" s="1"/>
  <c r="I809" i="10" s="1"/>
  <c r="I859" i="10" s="1"/>
  <c r="I909" i="10" s="1"/>
  <c r="I959" i="10" s="1"/>
  <c r="H79" i="10"/>
  <c r="H129" i="10" s="1"/>
  <c r="H179" i="10" s="1"/>
  <c r="H709" i="10" s="1"/>
  <c r="H759" i="10" s="1"/>
  <c r="H809" i="10" s="1"/>
  <c r="H859" i="10" s="1"/>
  <c r="H909" i="10" s="1"/>
  <c r="H959" i="10" s="1"/>
  <c r="G79" i="10"/>
  <c r="G129" i="10" s="1"/>
  <c r="G179" i="10" s="1"/>
  <c r="G709" i="10" s="1"/>
  <c r="G759" i="10" s="1"/>
  <c r="G809" i="10" s="1"/>
  <c r="G859" i="10" s="1"/>
  <c r="G909" i="10" s="1"/>
  <c r="G959" i="10" s="1"/>
  <c r="F79" i="10"/>
  <c r="F129" i="10" s="1"/>
  <c r="F179" i="10" s="1"/>
  <c r="F709" i="10" s="1"/>
  <c r="F759" i="10" s="1"/>
  <c r="F809" i="10" s="1"/>
  <c r="F859" i="10" s="1"/>
  <c r="F909" i="10" s="1"/>
  <c r="F959" i="10" s="1"/>
  <c r="E79" i="10"/>
  <c r="E129" i="10" s="1"/>
  <c r="E179" i="10" s="1"/>
  <c r="E709" i="10" s="1"/>
  <c r="E759" i="10" s="1"/>
  <c r="E809" i="10" s="1"/>
  <c r="E859" i="10" s="1"/>
  <c r="E909" i="10" s="1"/>
  <c r="E959" i="10" s="1"/>
  <c r="D79" i="10"/>
  <c r="D129" i="10" s="1"/>
  <c r="D179" i="10" s="1"/>
  <c r="D709" i="10" s="1"/>
  <c r="D759" i="10" s="1"/>
  <c r="D809" i="10" s="1"/>
  <c r="D859" i="10" s="1"/>
  <c r="D909" i="10" s="1"/>
  <c r="D959" i="10" s="1"/>
  <c r="D78" i="10"/>
  <c r="D128" i="10" s="1"/>
  <c r="D178" i="10" s="1"/>
  <c r="D708" i="10" s="1"/>
  <c r="D758" i="10" s="1"/>
  <c r="D808" i="10" s="1"/>
  <c r="D858" i="10" s="1"/>
  <c r="D908" i="10" s="1"/>
  <c r="D958" i="10" s="1"/>
  <c r="F65" i="10"/>
  <c r="F115" i="10" s="1"/>
  <c r="F165" i="10" s="1"/>
  <c r="F695" i="10" s="1"/>
  <c r="F745" i="10" s="1"/>
  <c r="P62" i="10"/>
  <c r="P112" i="10" s="1"/>
  <c r="O62" i="10"/>
  <c r="O112" i="10" s="1"/>
  <c r="N62" i="10"/>
  <c r="M62" i="10"/>
  <c r="M112" i="10" s="1"/>
  <c r="L62" i="10"/>
  <c r="L112" i="10" s="1"/>
  <c r="K62" i="10"/>
  <c r="K112" i="10" s="1"/>
  <c r="J62" i="10"/>
  <c r="J112" i="10" s="1"/>
  <c r="I62" i="10"/>
  <c r="I112" i="10" s="1"/>
  <c r="H62" i="10"/>
  <c r="H112" i="10" s="1"/>
  <c r="G62" i="10"/>
  <c r="G112" i="10" s="1"/>
  <c r="F62" i="10"/>
  <c r="F112" i="10" s="1"/>
  <c r="E62" i="10"/>
  <c r="E112" i="10" s="1"/>
  <c r="D62" i="10"/>
  <c r="D112" i="10" s="1"/>
  <c r="P57" i="10"/>
  <c r="P107" i="10" s="1"/>
  <c r="P157" i="10" s="1"/>
  <c r="P687" i="10" s="1"/>
  <c r="P737" i="10" s="1"/>
  <c r="P787" i="10" s="1"/>
  <c r="P837" i="10" s="1"/>
  <c r="P887" i="10" s="1"/>
  <c r="P937" i="10" s="1"/>
  <c r="P988" i="10" s="1"/>
  <c r="P1033" i="10" s="1"/>
  <c r="O57" i="10"/>
  <c r="O107" i="10" s="1"/>
  <c r="O157" i="10" s="1"/>
  <c r="O687" i="10" s="1"/>
  <c r="O737" i="10" s="1"/>
  <c r="O787" i="10" s="1"/>
  <c r="O837" i="10" s="1"/>
  <c r="O887" i="10" s="1"/>
  <c r="O937" i="10" s="1"/>
  <c r="O988" i="10" s="1"/>
  <c r="O1033" i="10" s="1"/>
  <c r="N57" i="10"/>
  <c r="N107" i="10" s="1"/>
  <c r="N157" i="10" s="1"/>
  <c r="N687" i="10" s="1"/>
  <c r="N737" i="10" s="1"/>
  <c r="N787" i="10" s="1"/>
  <c r="N837" i="10" s="1"/>
  <c r="N887" i="10" s="1"/>
  <c r="N937" i="10" s="1"/>
  <c r="N988" i="10" s="1"/>
  <c r="N1033" i="10" s="1"/>
  <c r="M57" i="10"/>
  <c r="M107" i="10" s="1"/>
  <c r="M157" i="10" s="1"/>
  <c r="M687" i="10" s="1"/>
  <c r="M737" i="10" s="1"/>
  <c r="M787" i="10" s="1"/>
  <c r="M837" i="10" s="1"/>
  <c r="M887" i="10" s="1"/>
  <c r="M937" i="10" s="1"/>
  <c r="M988" i="10" s="1"/>
  <c r="M1033" i="10" s="1"/>
  <c r="L57" i="10"/>
  <c r="L107" i="10" s="1"/>
  <c r="L157" i="10" s="1"/>
  <c r="L687" i="10" s="1"/>
  <c r="L737" i="10" s="1"/>
  <c r="L787" i="10" s="1"/>
  <c r="L837" i="10" s="1"/>
  <c r="L887" i="10" s="1"/>
  <c r="L937" i="10" s="1"/>
  <c r="L988" i="10" s="1"/>
  <c r="L1033" i="10" s="1"/>
  <c r="K57" i="10"/>
  <c r="K107" i="10" s="1"/>
  <c r="K157" i="10" s="1"/>
  <c r="K687" i="10" s="1"/>
  <c r="K737" i="10" s="1"/>
  <c r="K787" i="10" s="1"/>
  <c r="K837" i="10" s="1"/>
  <c r="K887" i="10" s="1"/>
  <c r="K937" i="10" s="1"/>
  <c r="K988" i="10" s="1"/>
  <c r="K1033" i="10" s="1"/>
  <c r="J57" i="10"/>
  <c r="J107" i="10" s="1"/>
  <c r="J157" i="10" s="1"/>
  <c r="J687" i="10" s="1"/>
  <c r="J737" i="10" s="1"/>
  <c r="J787" i="10" s="1"/>
  <c r="J837" i="10" s="1"/>
  <c r="J887" i="10" s="1"/>
  <c r="J937" i="10" s="1"/>
  <c r="J988" i="10" s="1"/>
  <c r="J1033" i="10" s="1"/>
  <c r="I57" i="10"/>
  <c r="I107" i="10" s="1"/>
  <c r="I157" i="10" s="1"/>
  <c r="I687" i="10" s="1"/>
  <c r="I737" i="10" s="1"/>
  <c r="I787" i="10" s="1"/>
  <c r="I837" i="10" s="1"/>
  <c r="I887" i="10" s="1"/>
  <c r="I937" i="10" s="1"/>
  <c r="I988" i="10" s="1"/>
  <c r="I1033" i="10" s="1"/>
  <c r="H57" i="10"/>
  <c r="H107" i="10" s="1"/>
  <c r="H157" i="10" s="1"/>
  <c r="H687" i="10" s="1"/>
  <c r="H737" i="10" s="1"/>
  <c r="H787" i="10" s="1"/>
  <c r="H837" i="10" s="1"/>
  <c r="H887" i="10" s="1"/>
  <c r="H937" i="10" s="1"/>
  <c r="H988" i="10" s="1"/>
  <c r="H1033" i="10" s="1"/>
  <c r="G57" i="10"/>
  <c r="G107" i="10" s="1"/>
  <c r="G157" i="10" s="1"/>
  <c r="G687" i="10" s="1"/>
  <c r="G737" i="10" s="1"/>
  <c r="G787" i="10" s="1"/>
  <c r="G837" i="10" s="1"/>
  <c r="G887" i="10" s="1"/>
  <c r="G937" i="10" s="1"/>
  <c r="G988" i="10" s="1"/>
  <c r="G1033" i="10" s="1"/>
  <c r="F57" i="10"/>
  <c r="F107" i="10" s="1"/>
  <c r="F157" i="10" s="1"/>
  <c r="F687" i="10" s="1"/>
  <c r="F737" i="10" s="1"/>
  <c r="F787" i="10" s="1"/>
  <c r="F837" i="10" s="1"/>
  <c r="F887" i="10" s="1"/>
  <c r="F937" i="10" s="1"/>
  <c r="F988" i="10" s="1"/>
  <c r="F1033" i="10" s="1"/>
  <c r="E57" i="10"/>
  <c r="E107" i="10" s="1"/>
  <c r="E157" i="10" s="1"/>
  <c r="E687" i="10" s="1"/>
  <c r="E737" i="10" s="1"/>
  <c r="E787" i="10" s="1"/>
  <c r="E837" i="10" s="1"/>
  <c r="E887" i="10" s="1"/>
  <c r="E937" i="10" s="1"/>
  <c r="E988" i="10" s="1"/>
  <c r="E1033" i="10" s="1"/>
  <c r="D57" i="10"/>
  <c r="D107" i="10" s="1"/>
  <c r="D157" i="10" s="1"/>
  <c r="D687" i="10" s="1"/>
  <c r="D737" i="10" s="1"/>
  <c r="D787" i="10" s="1"/>
  <c r="D837" i="10" s="1"/>
  <c r="D887" i="10" s="1"/>
  <c r="D937" i="10" s="1"/>
  <c r="D988" i="10" s="1"/>
  <c r="D1033" i="10" s="1"/>
  <c r="A56" i="10"/>
  <c r="P49" i="10"/>
  <c r="P99" i="10" s="1"/>
  <c r="P149" i="10" s="1"/>
  <c r="P199" i="10" s="1"/>
  <c r="P729" i="10" s="1"/>
  <c r="P779" i="10" s="1"/>
  <c r="P829" i="10" s="1"/>
  <c r="P879" i="10" s="1"/>
  <c r="P929" i="10" s="1"/>
  <c r="P979" i="10" s="1"/>
  <c r="O49" i="10"/>
  <c r="O99" i="10" s="1"/>
  <c r="O149" i="10" s="1"/>
  <c r="O199" i="10" s="1"/>
  <c r="O729" i="10" s="1"/>
  <c r="O779" i="10" s="1"/>
  <c r="O829" i="10" s="1"/>
  <c r="O879" i="10" s="1"/>
  <c r="O929" i="10" s="1"/>
  <c r="O979" i="10" s="1"/>
  <c r="N49" i="10"/>
  <c r="N99" i="10" s="1"/>
  <c r="N149" i="10" s="1"/>
  <c r="N199" i="10" s="1"/>
  <c r="N729" i="10" s="1"/>
  <c r="N779" i="10" s="1"/>
  <c r="N829" i="10" s="1"/>
  <c r="N879" i="10" s="1"/>
  <c r="N929" i="10" s="1"/>
  <c r="N979" i="10" s="1"/>
  <c r="M49" i="10"/>
  <c r="M99" i="10" s="1"/>
  <c r="M149" i="10" s="1"/>
  <c r="M199" i="10" s="1"/>
  <c r="M729" i="10" s="1"/>
  <c r="M779" i="10" s="1"/>
  <c r="M829" i="10" s="1"/>
  <c r="M879" i="10" s="1"/>
  <c r="M929" i="10" s="1"/>
  <c r="M979" i="10" s="1"/>
  <c r="L49" i="10"/>
  <c r="L99" i="10" s="1"/>
  <c r="L149" i="10" s="1"/>
  <c r="L199" i="10" s="1"/>
  <c r="L729" i="10" s="1"/>
  <c r="L779" i="10" s="1"/>
  <c r="L829" i="10" s="1"/>
  <c r="L879" i="10" s="1"/>
  <c r="L929" i="10" s="1"/>
  <c r="L979" i="10" s="1"/>
  <c r="K49" i="10"/>
  <c r="K99" i="10" s="1"/>
  <c r="K149" i="10" s="1"/>
  <c r="K199" i="10" s="1"/>
  <c r="K729" i="10" s="1"/>
  <c r="K779" i="10" s="1"/>
  <c r="K829" i="10" s="1"/>
  <c r="K879" i="10" s="1"/>
  <c r="K929" i="10" s="1"/>
  <c r="K979" i="10" s="1"/>
  <c r="J49" i="10"/>
  <c r="J99" i="10" s="1"/>
  <c r="J149" i="10" s="1"/>
  <c r="J199" i="10" s="1"/>
  <c r="J729" i="10" s="1"/>
  <c r="J779" i="10" s="1"/>
  <c r="J829" i="10" s="1"/>
  <c r="J879" i="10" s="1"/>
  <c r="J929" i="10" s="1"/>
  <c r="J979" i="10" s="1"/>
  <c r="I49" i="10"/>
  <c r="H49" i="10"/>
  <c r="H99" i="10" s="1"/>
  <c r="H149" i="10" s="1"/>
  <c r="H199" i="10" s="1"/>
  <c r="H729" i="10" s="1"/>
  <c r="H779" i="10" s="1"/>
  <c r="H829" i="10" s="1"/>
  <c r="H879" i="10" s="1"/>
  <c r="H929" i="10" s="1"/>
  <c r="H979" i="10" s="1"/>
  <c r="G49" i="10"/>
  <c r="G99" i="10" s="1"/>
  <c r="G149" i="10" s="1"/>
  <c r="G199" i="10" s="1"/>
  <c r="G729" i="10" s="1"/>
  <c r="G779" i="10" s="1"/>
  <c r="G829" i="10" s="1"/>
  <c r="G879" i="10" s="1"/>
  <c r="G929" i="10" s="1"/>
  <c r="G979" i="10" s="1"/>
  <c r="F49" i="10"/>
  <c r="F99" i="10" s="1"/>
  <c r="F149" i="10" s="1"/>
  <c r="F199" i="10" s="1"/>
  <c r="F729" i="10" s="1"/>
  <c r="F779" i="10" s="1"/>
  <c r="F829" i="10" s="1"/>
  <c r="F879" i="10" s="1"/>
  <c r="F929" i="10" s="1"/>
  <c r="F979" i="10" s="1"/>
  <c r="E49" i="10"/>
  <c r="E99" i="10" s="1"/>
  <c r="E149" i="10" s="1"/>
  <c r="E199" i="10" s="1"/>
  <c r="E729" i="10" s="1"/>
  <c r="E779" i="10" s="1"/>
  <c r="E829" i="10" s="1"/>
  <c r="E879" i="10" s="1"/>
  <c r="E929" i="10" s="1"/>
  <c r="E979" i="10" s="1"/>
  <c r="D49" i="10"/>
  <c r="D99" i="10" s="1"/>
  <c r="D149" i="10" s="1"/>
  <c r="D199" i="10" s="1"/>
  <c r="D729" i="10" s="1"/>
  <c r="D779" i="10" s="1"/>
  <c r="D829" i="10" s="1"/>
  <c r="D879" i="10" s="1"/>
  <c r="D929" i="10" s="1"/>
  <c r="D979" i="10" s="1"/>
  <c r="P48" i="10"/>
  <c r="P98" i="10" s="1"/>
  <c r="P148" i="10" s="1"/>
  <c r="P198" i="10" s="1"/>
  <c r="P728" i="10" s="1"/>
  <c r="P778" i="10" s="1"/>
  <c r="P828" i="10" s="1"/>
  <c r="P878" i="10" s="1"/>
  <c r="P928" i="10" s="1"/>
  <c r="P978" i="10" s="1"/>
  <c r="O48" i="10"/>
  <c r="O98" i="10" s="1"/>
  <c r="O148" i="10" s="1"/>
  <c r="O198" i="10" s="1"/>
  <c r="O728" i="10" s="1"/>
  <c r="O778" i="10" s="1"/>
  <c r="O828" i="10" s="1"/>
  <c r="O878" i="10" s="1"/>
  <c r="O928" i="10" s="1"/>
  <c r="O978" i="10" s="1"/>
  <c r="N48" i="10"/>
  <c r="N98" i="10" s="1"/>
  <c r="N148" i="10" s="1"/>
  <c r="N198" i="10" s="1"/>
  <c r="N728" i="10" s="1"/>
  <c r="N778" i="10" s="1"/>
  <c r="N828" i="10" s="1"/>
  <c r="N878" i="10" s="1"/>
  <c r="N928" i="10" s="1"/>
  <c r="N978" i="10" s="1"/>
  <c r="M48" i="10"/>
  <c r="M98" i="10" s="1"/>
  <c r="M148" i="10" s="1"/>
  <c r="M198" i="10" s="1"/>
  <c r="M728" i="10" s="1"/>
  <c r="M778" i="10" s="1"/>
  <c r="M828" i="10" s="1"/>
  <c r="M878" i="10" s="1"/>
  <c r="M928" i="10" s="1"/>
  <c r="M978" i="10" s="1"/>
  <c r="L48" i="10"/>
  <c r="L98" i="10" s="1"/>
  <c r="L148" i="10" s="1"/>
  <c r="L198" i="10" s="1"/>
  <c r="L728" i="10" s="1"/>
  <c r="L778" i="10" s="1"/>
  <c r="L828" i="10" s="1"/>
  <c r="L878" i="10" s="1"/>
  <c r="L928" i="10" s="1"/>
  <c r="L978" i="10" s="1"/>
  <c r="K48" i="10"/>
  <c r="K98" i="10" s="1"/>
  <c r="K148" i="10" s="1"/>
  <c r="K198" i="10" s="1"/>
  <c r="K728" i="10" s="1"/>
  <c r="K778" i="10" s="1"/>
  <c r="K828" i="10" s="1"/>
  <c r="K878" i="10" s="1"/>
  <c r="K928" i="10" s="1"/>
  <c r="K978" i="10" s="1"/>
  <c r="J48" i="10"/>
  <c r="J98" i="10" s="1"/>
  <c r="J148" i="10" s="1"/>
  <c r="J198" i="10" s="1"/>
  <c r="J728" i="10" s="1"/>
  <c r="J778" i="10" s="1"/>
  <c r="J828" i="10" s="1"/>
  <c r="J878" i="10" s="1"/>
  <c r="J928" i="10" s="1"/>
  <c r="J978" i="10" s="1"/>
  <c r="I48" i="10"/>
  <c r="I98" i="10" s="1"/>
  <c r="I148" i="10" s="1"/>
  <c r="I198" i="10" s="1"/>
  <c r="I728" i="10" s="1"/>
  <c r="I778" i="10" s="1"/>
  <c r="I828" i="10" s="1"/>
  <c r="I878" i="10" s="1"/>
  <c r="I928" i="10" s="1"/>
  <c r="I978" i="10" s="1"/>
  <c r="H48" i="10"/>
  <c r="H98" i="10" s="1"/>
  <c r="H148" i="10" s="1"/>
  <c r="H198" i="10" s="1"/>
  <c r="H728" i="10" s="1"/>
  <c r="H778" i="10" s="1"/>
  <c r="H828" i="10" s="1"/>
  <c r="H878" i="10" s="1"/>
  <c r="H928" i="10" s="1"/>
  <c r="H978" i="10" s="1"/>
  <c r="G48" i="10"/>
  <c r="G98" i="10" s="1"/>
  <c r="G148" i="10" s="1"/>
  <c r="G198" i="10" s="1"/>
  <c r="G728" i="10" s="1"/>
  <c r="G778" i="10" s="1"/>
  <c r="G828" i="10" s="1"/>
  <c r="G878" i="10" s="1"/>
  <c r="G928" i="10" s="1"/>
  <c r="G978" i="10" s="1"/>
  <c r="F48" i="10"/>
  <c r="F98" i="10" s="1"/>
  <c r="F148" i="10" s="1"/>
  <c r="F198" i="10" s="1"/>
  <c r="F728" i="10" s="1"/>
  <c r="F778" i="10" s="1"/>
  <c r="F828" i="10" s="1"/>
  <c r="F878" i="10" s="1"/>
  <c r="F928" i="10" s="1"/>
  <c r="F978" i="10" s="1"/>
  <c r="E48" i="10"/>
  <c r="E98" i="10" s="1"/>
  <c r="E148" i="10" s="1"/>
  <c r="E198" i="10" s="1"/>
  <c r="E728" i="10" s="1"/>
  <c r="E778" i="10" s="1"/>
  <c r="E828" i="10" s="1"/>
  <c r="E878" i="10" s="1"/>
  <c r="E928" i="10" s="1"/>
  <c r="E978" i="10" s="1"/>
  <c r="D48" i="10"/>
  <c r="D98" i="10" s="1"/>
  <c r="D148" i="10" s="1"/>
  <c r="D198" i="10" s="1"/>
  <c r="D728" i="10" s="1"/>
  <c r="D778" i="10" s="1"/>
  <c r="D828" i="10" s="1"/>
  <c r="D878" i="10" s="1"/>
  <c r="D928" i="10" s="1"/>
  <c r="D978" i="10" s="1"/>
  <c r="P47" i="10"/>
  <c r="P97" i="10" s="1"/>
  <c r="P147" i="10" s="1"/>
  <c r="P197" i="10" s="1"/>
  <c r="P727" i="10" s="1"/>
  <c r="P777" i="10" s="1"/>
  <c r="P827" i="10" s="1"/>
  <c r="P877" i="10" s="1"/>
  <c r="P927" i="10" s="1"/>
  <c r="P977" i="10" s="1"/>
  <c r="O47" i="10"/>
  <c r="O97" i="10" s="1"/>
  <c r="O147" i="10" s="1"/>
  <c r="O197" i="10" s="1"/>
  <c r="O727" i="10" s="1"/>
  <c r="O777" i="10" s="1"/>
  <c r="O827" i="10" s="1"/>
  <c r="O877" i="10" s="1"/>
  <c r="O927" i="10" s="1"/>
  <c r="O977" i="10" s="1"/>
  <c r="N47" i="10"/>
  <c r="N97" i="10" s="1"/>
  <c r="N147" i="10" s="1"/>
  <c r="N197" i="10" s="1"/>
  <c r="N727" i="10" s="1"/>
  <c r="N777" i="10" s="1"/>
  <c r="N827" i="10" s="1"/>
  <c r="N877" i="10" s="1"/>
  <c r="N927" i="10" s="1"/>
  <c r="N977" i="10" s="1"/>
  <c r="M47" i="10"/>
  <c r="M97" i="10" s="1"/>
  <c r="M147" i="10" s="1"/>
  <c r="M197" i="10" s="1"/>
  <c r="M727" i="10" s="1"/>
  <c r="M777" i="10" s="1"/>
  <c r="M827" i="10" s="1"/>
  <c r="M877" i="10" s="1"/>
  <c r="M927" i="10" s="1"/>
  <c r="M977" i="10" s="1"/>
  <c r="L47" i="10"/>
  <c r="L97" i="10" s="1"/>
  <c r="L147" i="10" s="1"/>
  <c r="L197" i="10" s="1"/>
  <c r="L727" i="10" s="1"/>
  <c r="L777" i="10" s="1"/>
  <c r="L827" i="10" s="1"/>
  <c r="L877" i="10" s="1"/>
  <c r="L927" i="10" s="1"/>
  <c r="L977" i="10" s="1"/>
  <c r="K47" i="10"/>
  <c r="J47" i="10"/>
  <c r="J97" i="10" s="1"/>
  <c r="J147" i="10" s="1"/>
  <c r="J197" i="10" s="1"/>
  <c r="J727" i="10" s="1"/>
  <c r="J777" i="10" s="1"/>
  <c r="J827" i="10" s="1"/>
  <c r="J877" i="10" s="1"/>
  <c r="J927" i="10" s="1"/>
  <c r="J977" i="10" s="1"/>
  <c r="I47" i="10"/>
  <c r="I97" i="10" s="1"/>
  <c r="I147" i="10" s="1"/>
  <c r="I197" i="10" s="1"/>
  <c r="I727" i="10" s="1"/>
  <c r="I777" i="10" s="1"/>
  <c r="I827" i="10" s="1"/>
  <c r="I877" i="10" s="1"/>
  <c r="I927" i="10" s="1"/>
  <c r="I977" i="10" s="1"/>
  <c r="H47" i="10"/>
  <c r="H97" i="10" s="1"/>
  <c r="H147" i="10" s="1"/>
  <c r="H197" i="10" s="1"/>
  <c r="H727" i="10" s="1"/>
  <c r="H777" i="10" s="1"/>
  <c r="H827" i="10" s="1"/>
  <c r="H877" i="10" s="1"/>
  <c r="H927" i="10" s="1"/>
  <c r="H977" i="10" s="1"/>
  <c r="G47" i="10"/>
  <c r="G97" i="10" s="1"/>
  <c r="G147" i="10" s="1"/>
  <c r="G197" i="10" s="1"/>
  <c r="G727" i="10" s="1"/>
  <c r="G777" i="10" s="1"/>
  <c r="G827" i="10" s="1"/>
  <c r="G877" i="10" s="1"/>
  <c r="G927" i="10" s="1"/>
  <c r="G977" i="10" s="1"/>
  <c r="F47" i="10"/>
  <c r="F97" i="10" s="1"/>
  <c r="F147" i="10" s="1"/>
  <c r="F197" i="10" s="1"/>
  <c r="F727" i="10" s="1"/>
  <c r="F777" i="10" s="1"/>
  <c r="F827" i="10" s="1"/>
  <c r="F877" i="10" s="1"/>
  <c r="F927" i="10" s="1"/>
  <c r="F977" i="10" s="1"/>
  <c r="E47" i="10"/>
  <c r="E97" i="10" s="1"/>
  <c r="E147" i="10" s="1"/>
  <c r="E197" i="10" s="1"/>
  <c r="E727" i="10" s="1"/>
  <c r="E777" i="10" s="1"/>
  <c r="E827" i="10" s="1"/>
  <c r="E877" i="10" s="1"/>
  <c r="E927" i="10" s="1"/>
  <c r="E977" i="10" s="1"/>
  <c r="D47" i="10"/>
  <c r="D97" i="10" s="1"/>
  <c r="D147" i="10" s="1"/>
  <c r="D197" i="10" s="1"/>
  <c r="D727" i="10" s="1"/>
  <c r="D777" i="10" s="1"/>
  <c r="D827" i="10" s="1"/>
  <c r="D877" i="10" s="1"/>
  <c r="D927" i="10" s="1"/>
  <c r="D977" i="10" s="1"/>
  <c r="P28" i="10"/>
  <c r="P78" i="10" s="1"/>
  <c r="P128" i="10" s="1"/>
  <c r="P178" i="10" s="1"/>
  <c r="P708" i="10" s="1"/>
  <c r="P758" i="10" s="1"/>
  <c r="P808" i="10" s="1"/>
  <c r="P858" i="10" s="1"/>
  <c r="P908" i="10" s="1"/>
  <c r="P958" i="10" s="1"/>
  <c r="O28" i="10"/>
  <c r="O78" i="10" s="1"/>
  <c r="N28" i="10"/>
  <c r="N78" i="10" s="1"/>
  <c r="N128" i="10" s="1"/>
  <c r="N178" i="10" s="1"/>
  <c r="N708" i="10" s="1"/>
  <c r="N758" i="10" s="1"/>
  <c r="N808" i="10" s="1"/>
  <c r="N858" i="10" s="1"/>
  <c r="N908" i="10" s="1"/>
  <c r="N958" i="10" s="1"/>
  <c r="M28" i="10"/>
  <c r="M78" i="10" s="1"/>
  <c r="M128" i="10" s="1"/>
  <c r="M178" i="10" s="1"/>
  <c r="M708" i="10" s="1"/>
  <c r="M758" i="10" s="1"/>
  <c r="M808" i="10" s="1"/>
  <c r="M858" i="10" s="1"/>
  <c r="M908" i="10" s="1"/>
  <c r="M958" i="10" s="1"/>
  <c r="L28" i="10"/>
  <c r="L78" i="10" s="1"/>
  <c r="L128" i="10" s="1"/>
  <c r="L178" i="10" s="1"/>
  <c r="L708" i="10" s="1"/>
  <c r="L758" i="10" s="1"/>
  <c r="L808" i="10" s="1"/>
  <c r="L858" i="10" s="1"/>
  <c r="L908" i="10" s="1"/>
  <c r="L958" i="10" s="1"/>
  <c r="K28" i="10"/>
  <c r="K78" i="10" s="1"/>
  <c r="K128" i="10" s="1"/>
  <c r="K178" i="10" s="1"/>
  <c r="K708" i="10" s="1"/>
  <c r="K758" i="10" s="1"/>
  <c r="K808" i="10" s="1"/>
  <c r="K858" i="10" s="1"/>
  <c r="K908" i="10" s="1"/>
  <c r="K958" i="10" s="1"/>
  <c r="J28" i="10"/>
  <c r="J78" i="10" s="1"/>
  <c r="J128" i="10" s="1"/>
  <c r="J178" i="10" s="1"/>
  <c r="J708" i="10" s="1"/>
  <c r="J758" i="10" s="1"/>
  <c r="J808" i="10" s="1"/>
  <c r="J858" i="10" s="1"/>
  <c r="J908" i="10" s="1"/>
  <c r="J958" i="10" s="1"/>
  <c r="I28" i="10"/>
  <c r="I78" i="10" s="1"/>
  <c r="I128" i="10" s="1"/>
  <c r="I178" i="10" s="1"/>
  <c r="I708" i="10" s="1"/>
  <c r="I758" i="10" s="1"/>
  <c r="I808" i="10" s="1"/>
  <c r="I858" i="10" s="1"/>
  <c r="I908" i="10" s="1"/>
  <c r="I958" i="10" s="1"/>
  <c r="H28" i="10"/>
  <c r="H78" i="10" s="1"/>
  <c r="H128" i="10" s="1"/>
  <c r="H178" i="10" s="1"/>
  <c r="H708" i="10" s="1"/>
  <c r="H758" i="10" s="1"/>
  <c r="H808" i="10" s="1"/>
  <c r="H858" i="10" s="1"/>
  <c r="H908" i="10" s="1"/>
  <c r="H958" i="10" s="1"/>
  <c r="G28" i="10"/>
  <c r="G78" i="10" s="1"/>
  <c r="G128" i="10" s="1"/>
  <c r="G178" i="10" s="1"/>
  <c r="G708" i="10" s="1"/>
  <c r="G758" i="10" s="1"/>
  <c r="G808" i="10" s="1"/>
  <c r="G858" i="10" s="1"/>
  <c r="G908" i="10" s="1"/>
  <c r="G958" i="10" s="1"/>
  <c r="F28" i="10"/>
  <c r="F78" i="10" s="1"/>
  <c r="F128" i="10" s="1"/>
  <c r="F178" i="10" s="1"/>
  <c r="F708" i="10" s="1"/>
  <c r="F758" i="10" s="1"/>
  <c r="F808" i="10" s="1"/>
  <c r="F858" i="10" s="1"/>
  <c r="F908" i="10" s="1"/>
  <c r="F958" i="10" s="1"/>
  <c r="E28" i="10"/>
  <c r="E78" i="10" s="1"/>
  <c r="E128" i="10" s="1"/>
  <c r="E178" i="10" s="1"/>
  <c r="E708" i="10" s="1"/>
  <c r="E758" i="10" s="1"/>
  <c r="E808" i="10" s="1"/>
  <c r="E858" i="10" s="1"/>
  <c r="E908" i="10" s="1"/>
  <c r="E958" i="10" s="1"/>
  <c r="D28" i="10"/>
  <c r="P26" i="10"/>
  <c r="P76" i="10" s="1"/>
  <c r="P126" i="10" s="1"/>
  <c r="P176" i="10" s="1"/>
  <c r="P706" i="10" s="1"/>
  <c r="P756" i="10" s="1"/>
  <c r="P806" i="10" s="1"/>
  <c r="P856" i="10" s="1"/>
  <c r="P906" i="10" s="1"/>
  <c r="P956" i="10" s="1"/>
  <c r="O26" i="10"/>
  <c r="O76" i="10" s="1"/>
  <c r="O126" i="10" s="1"/>
  <c r="O176" i="10" s="1"/>
  <c r="O706" i="10" s="1"/>
  <c r="O756" i="10" s="1"/>
  <c r="O806" i="10" s="1"/>
  <c r="O856" i="10" s="1"/>
  <c r="O906" i="10" s="1"/>
  <c r="O956" i="10" s="1"/>
  <c r="N26" i="10"/>
  <c r="N76" i="10" s="1"/>
  <c r="N126" i="10" s="1"/>
  <c r="N176" i="10" s="1"/>
  <c r="N706" i="10" s="1"/>
  <c r="N756" i="10" s="1"/>
  <c r="N806" i="10" s="1"/>
  <c r="N856" i="10" s="1"/>
  <c r="N906" i="10" s="1"/>
  <c r="N956" i="10" s="1"/>
  <c r="M26" i="10"/>
  <c r="M76" i="10" s="1"/>
  <c r="M126" i="10" s="1"/>
  <c r="M176" i="10" s="1"/>
  <c r="M706" i="10" s="1"/>
  <c r="M756" i="10" s="1"/>
  <c r="M806" i="10" s="1"/>
  <c r="M856" i="10" s="1"/>
  <c r="M906" i="10" s="1"/>
  <c r="M956" i="10" s="1"/>
  <c r="L26" i="10"/>
  <c r="L76" i="10" s="1"/>
  <c r="L126" i="10" s="1"/>
  <c r="L176" i="10" s="1"/>
  <c r="L706" i="10" s="1"/>
  <c r="L756" i="10" s="1"/>
  <c r="L806" i="10" s="1"/>
  <c r="L856" i="10" s="1"/>
  <c r="L906" i="10" s="1"/>
  <c r="L956" i="10" s="1"/>
  <c r="K26" i="10"/>
  <c r="K76" i="10" s="1"/>
  <c r="K126" i="10" s="1"/>
  <c r="K176" i="10" s="1"/>
  <c r="K706" i="10" s="1"/>
  <c r="K756" i="10" s="1"/>
  <c r="K806" i="10" s="1"/>
  <c r="K856" i="10" s="1"/>
  <c r="K906" i="10" s="1"/>
  <c r="K956" i="10" s="1"/>
  <c r="J26" i="10"/>
  <c r="J76" i="10" s="1"/>
  <c r="J126" i="10" s="1"/>
  <c r="J176" i="10" s="1"/>
  <c r="J706" i="10" s="1"/>
  <c r="J756" i="10" s="1"/>
  <c r="J806" i="10" s="1"/>
  <c r="J856" i="10" s="1"/>
  <c r="J906" i="10" s="1"/>
  <c r="J956" i="10" s="1"/>
  <c r="I26" i="10"/>
  <c r="I76" i="10" s="1"/>
  <c r="I126" i="10" s="1"/>
  <c r="I176" i="10" s="1"/>
  <c r="I706" i="10" s="1"/>
  <c r="I756" i="10" s="1"/>
  <c r="I806" i="10" s="1"/>
  <c r="I856" i="10" s="1"/>
  <c r="I906" i="10" s="1"/>
  <c r="I956" i="10" s="1"/>
  <c r="H26" i="10"/>
  <c r="H76" i="10" s="1"/>
  <c r="H126" i="10" s="1"/>
  <c r="H176" i="10" s="1"/>
  <c r="H706" i="10" s="1"/>
  <c r="H756" i="10" s="1"/>
  <c r="H806" i="10" s="1"/>
  <c r="H856" i="10" s="1"/>
  <c r="H906" i="10" s="1"/>
  <c r="H956" i="10" s="1"/>
  <c r="G26" i="10"/>
  <c r="G76" i="10" s="1"/>
  <c r="G126" i="10" s="1"/>
  <c r="G176" i="10" s="1"/>
  <c r="G706" i="10" s="1"/>
  <c r="G756" i="10" s="1"/>
  <c r="G806" i="10" s="1"/>
  <c r="G856" i="10" s="1"/>
  <c r="G906" i="10" s="1"/>
  <c r="G956" i="10" s="1"/>
  <c r="F26" i="10"/>
  <c r="F76" i="10" s="1"/>
  <c r="F126" i="10" s="1"/>
  <c r="F176" i="10" s="1"/>
  <c r="F706" i="10" s="1"/>
  <c r="F756" i="10" s="1"/>
  <c r="F806" i="10" s="1"/>
  <c r="F856" i="10" s="1"/>
  <c r="F906" i="10" s="1"/>
  <c r="F956" i="10" s="1"/>
  <c r="E26" i="10"/>
  <c r="E76" i="10" s="1"/>
  <c r="E126" i="10" s="1"/>
  <c r="E176" i="10" s="1"/>
  <c r="E706" i="10" s="1"/>
  <c r="E756" i="10" s="1"/>
  <c r="E806" i="10" s="1"/>
  <c r="E856" i="10" s="1"/>
  <c r="E906" i="10" s="1"/>
  <c r="E956" i="10" s="1"/>
  <c r="D26" i="10"/>
  <c r="D76" i="10" s="1"/>
  <c r="D126" i="10" s="1"/>
  <c r="D176" i="10" s="1"/>
  <c r="D706" i="10" s="1"/>
  <c r="D756" i="10" s="1"/>
  <c r="D806" i="10" s="1"/>
  <c r="D856" i="10" s="1"/>
  <c r="D906" i="10" s="1"/>
  <c r="D956" i="10" s="1"/>
  <c r="P15" i="10"/>
  <c r="P65" i="10" s="1"/>
  <c r="P115" i="10" s="1"/>
  <c r="P165" i="10" s="1"/>
  <c r="P695" i="10" s="1"/>
  <c r="P745" i="10" s="1"/>
  <c r="O15" i="10"/>
  <c r="O65" i="10" s="1"/>
  <c r="O115" i="10" s="1"/>
  <c r="O165" i="10" s="1"/>
  <c r="O695" i="10" s="1"/>
  <c r="O745" i="10" s="1"/>
  <c r="N15" i="10"/>
  <c r="N65" i="10" s="1"/>
  <c r="N115" i="10" s="1"/>
  <c r="N165" i="10" s="1"/>
  <c r="N695" i="10" s="1"/>
  <c r="N745" i="10" s="1"/>
  <c r="M15" i="10"/>
  <c r="M65" i="10" s="1"/>
  <c r="M115" i="10" s="1"/>
  <c r="M165" i="10" s="1"/>
  <c r="M695" i="10" s="1"/>
  <c r="M745" i="10" s="1"/>
  <c r="L15" i="10"/>
  <c r="L65" i="10" s="1"/>
  <c r="L115" i="10" s="1"/>
  <c r="L165" i="10" s="1"/>
  <c r="L695" i="10" s="1"/>
  <c r="L745" i="10" s="1"/>
  <c r="K15" i="10"/>
  <c r="K65" i="10" s="1"/>
  <c r="K115" i="10" s="1"/>
  <c r="K165" i="10" s="1"/>
  <c r="K695" i="10" s="1"/>
  <c r="K745" i="10" s="1"/>
  <c r="J15" i="10"/>
  <c r="J65" i="10" s="1"/>
  <c r="J115" i="10" s="1"/>
  <c r="J165" i="10" s="1"/>
  <c r="J695" i="10" s="1"/>
  <c r="J745" i="10" s="1"/>
  <c r="I15" i="10"/>
  <c r="I65" i="10" s="1"/>
  <c r="I115" i="10" s="1"/>
  <c r="I165" i="10" s="1"/>
  <c r="I695" i="10" s="1"/>
  <c r="I745" i="10" s="1"/>
  <c r="H15" i="10"/>
  <c r="H65" i="10" s="1"/>
  <c r="H115" i="10" s="1"/>
  <c r="H165" i="10" s="1"/>
  <c r="H695" i="10" s="1"/>
  <c r="H745" i="10" s="1"/>
  <c r="G15" i="10"/>
  <c r="G65" i="10" s="1"/>
  <c r="G115" i="10" s="1"/>
  <c r="G165" i="10" s="1"/>
  <c r="G695" i="10" s="1"/>
  <c r="G745" i="10" s="1"/>
  <c r="F15" i="10"/>
  <c r="E15" i="10"/>
  <c r="E65" i="10" s="1"/>
  <c r="E115" i="10" s="1"/>
  <c r="E165" i="10" s="1"/>
  <c r="E695" i="10" s="1"/>
  <c r="E745" i="10" s="1"/>
  <c r="D15" i="10"/>
  <c r="D65" i="10" s="1"/>
  <c r="D115" i="10" s="1"/>
  <c r="D165" i="10" s="1"/>
  <c r="D695" i="10" s="1"/>
  <c r="D745" i="10" s="1"/>
  <c r="P12" i="10"/>
  <c r="O12" i="10"/>
  <c r="N12" i="10"/>
  <c r="M12" i="10"/>
  <c r="L12" i="10"/>
  <c r="K12" i="10"/>
  <c r="J12" i="10"/>
  <c r="I12" i="10"/>
  <c r="H12" i="10"/>
  <c r="G12" i="10"/>
  <c r="F12" i="10"/>
  <c r="E12" i="10"/>
  <c r="D12" i="10"/>
  <c r="P9" i="10"/>
  <c r="O9" i="10"/>
  <c r="N9" i="10"/>
  <c r="L9" i="10"/>
  <c r="K9" i="10"/>
  <c r="J9" i="10"/>
  <c r="I9" i="10"/>
  <c r="H9" i="10"/>
  <c r="G9" i="10"/>
  <c r="F9" i="10"/>
  <c r="E9" i="10"/>
  <c r="D9" i="10"/>
  <c r="A3" i="10"/>
  <c r="M159" i="10" l="1"/>
  <c r="P1056" i="9"/>
  <c r="O1056" i="9"/>
  <c r="N1056" i="9"/>
  <c r="M1056" i="9"/>
  <c r="L1056" i="9"/>
  <c r="K1056" i="9"/>
  <c r="J1056" i="9"/>
  <c r="I1056" i="9"/>
  <c r="H1056" i="9"/>
  <c r="G1056" i="9"/>
  <c r="F1056" i="9"/>
  <c r="E1056" i="9"/>
  <c r="D1056" i="9"/>
  <c r="P1055" i="9"/>
  <c r="O1055" i="9"/>
  <c r="N1055" i="9"/>
  <c r="M1055" i="9"/>
  <c r="L1055" i="9"/>
  <c r="K1055" i="9"/>
  <c r="J1055" i="9"/>
  <c r="I1055" i="9"/>
  <c r="H1055" i="9"/>
  <c r="G1055" i="9"/>
  <c r="F1055" i="9"/>
  <c r="E1055" i="9"/>
  <c r="D1055" i="9"/>
  <c r="P1054" i="9"/>
  <c r="O1054" i="9"/>
  <c r="N1054" i="9"/>
  <c r="M1054" i="9"/>
  <c r="L1054" i="9"/>
  <c r="K1054" i="9"/>
  <c r="J1054" i="9"/>
  <c r="I1054" i="9"/>
  <c r="H1054" i="9"/>
  <c r="G1054" i="9"/>
  <c r="F1054" i="9"/>
  <c r="E1054" i="9"/>
  <c r="D1054" i="9"/>
  <c r="P1053" i="9"/>
  <c r="O1053" i="9"/>
  <c r="N1053" i="9"/>
  <c r="M1053" i="9"/>
  <c r="L1053" i="9"/>
  <c r="K1053" i="9"/>
  <c r="J1053" i="9"/>
  <c r="I1053" i="9"/>
  <c r="H1053" i="9"/>
  <c r="G1053" i="9"/>
  <c r="F1053" i="9"/>
  <c r="E1053" i="9"/>
  <c r="D1053" i="9"/>
  <c r="P1052" i="9"/>
  <c r="O1052" i="9"/>
  <c r="N1052" i="9"/>
  <c r="M1052" i="9"/>
  <c r="L1052" i="9"/>
  <c r="K1052" i="9"/>
  <c r="J1052" i="9"/>
  <c r="I1052" i="9"/>
  <c r="H1052" i="9"/>
  <c r="G1052" i="9"/>
  <c r="F1052" i="9"/>
  <c r="E1052" i="9"/>
  <c r="D1052" i="9"/>
  <c r="P1041" i="9"/>
  <c r="O1041" i="9"/>
  <c r="N1041" i="9"/>
  <c r="M1041" i="9"/>
  <c r="L1041" i="9"/>
  <c r="K1041" i="9"/>
  <c r="J1041" i="9"/>
  <c r="I1041" i="9"/>
  <c r="H1041" i="9"/>
  <c r="G1041" i="9"/>
  <c r="F1041" i="9"/>
  <c r="E1041" i="9"/>
  <c r="D1041" i="9"/>
  <c r="P1040" i="9"/>
  <c r="O1040" i="9"/>
  <c r="N1040" i="9"/>
  <c r="M1040" i="9"/>
  <c r="L1040" i="9"/>
  <c r="K1040" i="9"/>
  <c r="J1040" i="9"/>
  <c r="I1040" i="9"/>
  <c r="H1040" i="9"/>
  <c r="G1040" i="9"/>
  <c r="F1040" i="9"/>
  <c r="E1040" i="9"/>
  <c r="D1040" i="9"/>
  <c r="P1039" i="9"/>
  <c r="O1039" i="9"/>
  <c r="N1039" i="9"/>
  <c r="M1039" i="9"/>
  <c r="L1039" i="9"/>
  <c r="K1039" i="9"/>
  <c r="J1039" i="9"/>
  <c r="I1039" i="9"/>
  <c r="H1039" i="9"/>
  <c r="G1039" i="9"/>
  <c r="F1039" i="9"/>
  <c r="E1039" i="9"/>
  <c r="D1039" i="9"/>
  <c r="P1038" i="9"/>
  <c r="O1038" i="9"/>
  <c r="N1038" i="9"/>
  <c r="M1038" i="9"/>
  <c r="L1038" i="9"/>
  <c r="K1038" i="9"/>
  <c r="J1038" i="9"/>
  <c r="I1038" i="9"/>
  <c r="H1038" i="9"/>
  <c r="G1038" i="9"/>
  <c r="F1038" i="9"/>
  <c r="E1038" i="9"/>
  <c r="D1038" i="9"/>
  <c r="P1037" i="9"/>
  <c r="O1037" i="9"/>
  <c r="N1037" i="9"/>
  <c r="M1037" i="9"/>
  <c r="L1037" i="9"/>
  <c r="K1037" i="9"/>
  <c r="J1037" i="9"/>
  <c r="I1037" i="9"/>
  <c r="H1037" i="9"/>
  <c r="G1037" i="9"/>
  <c r="F1037" i="9"/>
  <c r="E1037" i="9"/>
  <c r="D1037" i="9"/>
  <c r="P1027" i="9"/>
  <c r="O1027" i="9"/>
  <c r="N1027" i="9"/>
  <c r="M1027" i="9"/>
  <c r="L1027" i="9"/>
  <c r="K1027" i="9"/>
  <c r="J1027" i="9"/>
  <c r="I1027" i="9"/>
  <c r="H1027" i="9"/>
  <c r="G1027" i="9"/>
  <c r="F1027" i="9"/>
  <c r="E1027" i="9"/>
  <c r="D1027" i="9"/>
  <c r="P1026" i="9"/>
  <c r="O1026" i="9"/>
  <c r="N1026" i="9"/>
  <c r="M1026" i="9"/>
  <c r="L1026" i="9"/>
  <c r="K1026" i="9"/>
  <c r="J1026" i="9"/>
  <c r="I1026" i="9"/>
  <c r="H1026" i="9"/>
  <c r="G1026" i="9"/>
  <c r="F1026" i="9"/>
  <c r="E1026" i="9"/>
  <c r="D1026" i="9"/>
  <c r="O1003" i="9"/>
  <c r="N1003" i="9"/>
  <c r="M1003" i="9"/>
  <c r="L1003" i="9"/>
  <c r="K1003" i="9"/>
  <c r="J1003" i="9"/>
  <c r="I1003" i="9"/>
  <c r="H1003" i="9"/>
  <c r="G1003" i="9"/>
  <c r="F1003" i="9"/>
  <c r="E1003" i="9"/>
  <c r="D1003" i="9"/>
  <c r="O1002" i="9"/>
  <c r="N1002" i="9"/>
  <c r="M1002" i="9"/>
  <c r="L1002" i="9"/>
  <c r="K1002" i="9"/>
  <c r="J1002" i="9"/>
  <c r="I1002" i="9"/>
  <c r="H1002" i="9"/>
  <c r="G1002" i="9"/>
  <c r="F1002" i="9"/>
  <c r="E1002" i="9"/>
  <c r="D1002" i="9"/>
  <c r="P1000" i="9"/>
  <c r="O1000" i="9"/>
  <c r="N1000" i="9"/>
  <c r="M1000" i="9"/>
  <c r="M162" i="9" s="1"/>
  <c r="L1000" i="9"/>
  <c r="K1000" i="9"/>
  <c r="J1000" i="9"/>
  <c r="I1000" i="9"/>
  <c r="I162" i="9" s="1"/>
  <c r="H1000" i="9"/>
  <c r="G1000" i="9"/>
  <c r="F1000" i="9"/>
  <c r="E1000" i="9"/>
  <c r="E162" i="9" s="1"/>
  <c r="D1000" i="9"/>
  <c r="P954" i="9"/>
  <c r="O954" i="9"/>
  <c r="N954" i="9"/>
  <c r="M954" i="9"/>
  <c r="L954" i="9"/>
  <c r="K954" i="9"/>
  <c r="J954" i="9"/>
  <c r="I954" i="9"/>
  <c r="H954" i="9"/>
  <c r="G954" i="9"/>
  <c r="F954" i="9"/>
  <c r="E954" i="9"/>
  <c r="D954" i="9"/>
  <c r="P952" i="9"/>
  <c r="O952" i="9"/>
  <c r="N952" i="9"/>
  <c r="M952" i="9"/>
  <c r="L952" i="9"/>
  <c r="K952" i="9"/>
  <c r="J952" i="9"/>
  <c r="I952" i="9"/>
  <c r="H952" i="9"/>
  <c r="G952" i="9"/>
  <c r="F952" i="9"/>
  <c r="E952" i="9"/>
  <c r="D952" i="9"/>
  <c r="A945" i="9"/>
  <c r="J905" i="9"/>
  <c r="J956" i="9" s="1"/>
  <c r="P901" i="9"/>
  <c r="O901" i="9"/>
  <c r="N901" i="9"/>
  <c r="M901" i="9"/>
  <c r="L901" i="9"/>
  <c r="K901" i="9"/>
  <c r="J901" i="9"/>
  <c r="I901" i="9"/>
  <c r="H901" i="9"/>
  <c r="G901" i="9"/>
  <c r="F901" i="9"/>
  <c r="E901" i="9"/>
  <c r="D901" i="9"/>
  <c r="A894" i="9"/>
  <c r="P855" i="9"/>
  <c r="P906" i="9" s="1"/>
  <c r="O855" i="9"/>
  <c r="O906" i="9" s="1"/>
  <c r="N855" i="9"/>
  <c r="N906" i="9" s="1"/>
  <c r="M855" i="9"/>
  <c r="M906" i="9" s="1"/>
  <c r="L855" i="9"/>
  <c r="L906" i="9" s="1"/>
  <c r="K855" i="9"/>
  <c r="K906" i="9" s="1"/>
  <c r="J855" i="9"/>
  <c r="J906" i="9" s="1"/>
  <c r="I855" i="9"/>
  <c r="I906" i="9" s="1"/>
  <c r="H855" i="9"/>
  <c r="H906" i="9" s="1"/>
  <c r="G855" i="9"/>
  <c r="G906" i="9" s="1"/>
  <c r="F855" i="9"/>
  <c r="F906" i="9" s="1"/>
  <c r="E855" i="9"/>
  <c r="E906" i="9" s="1"/>
  <c r="D855" i="9"/>
  <c r="D906" i="9" s="1"/>
  <c r="P854" i="9"/>
  <c r="P905" i="9" s="1"/>
  <c r="P956" i="9" s="1"/>
  <c r="O854" i="9"/>
  <c r="O905" i="9" s="1"/>
  <c r="O956" i="9" s="1"/>
  <c r="N854" i="9"/>
  <c r="N905" i="9" s="1"/>
  <c r="N956" i="9" s="1"/>
  <c r="M854" i="9"/>
  <c r="M905" i="9" s="1"/>
  <c r="M956" i="9" s="1"/>
  <c r="L854" i="9"/>
  <c r="L905" i="9" s="1"/>
  <c r="L956" i="9" s="1"/>
  <c r="K854" i="9"/>
  <c r="K905" i="9" s="1"/>
  <c r="K956" i="9" s="1"/>
  <c r="J854" i="9"/>
  <c r="I854" i="9"/>
  <c r="I905" i="9" s="1"/>
  <c r="I956" i="9" s="1"/>
  <c r="H854" i="9"/>
  <c r="H905" i="9" s="1"/>
  <c r="H956" i="9" s="1"/>
  <c r="G854" i="9"/>
  <c r="G905" i="9" s="1"/>
  <c r="G956" i="9" s="1"/>
  <c r="F854" i="9"/>
  <c r="F905" i="9" s="1"/>
  <c r="F956" i="9" s="1"/>
  <c r="E854" i="9"/>
  <c r="E905" i="9" s="1"/>
  <c r="E956" i="9" s="1"/>
  <c r="D854" i="9"/>
  <c r="D905" i="9" s="1"/>
  <c r="D956" i="9" s="1"/>
  <c r="O850" i="9"/>
  <c r="N850" i="9"/>
  <c r="P849" i="9"/>
  <c r="O849" i="9"/>
  <c r="N849" i="9"/>
  <c r="M849" i="9"/>
  <c r="L849" i="9"/>
  <c r="K849" i="9"/>
  <c r="J849" i="9"/>
  <c r="I849" i="9"/>
  <c r="H849" i="9"/>
  <c r="G849" i="9"/>
  <c r="F849" i="9"/>
  <c r="E849" i="9"/>
  <c r="D849" i="9"/>
  <c r="A843" i="9"/>
  <c r="P801" i="9"/>
  <c r="P852" i="9" s="1"/>
  <c r="P903" i="9" s="1"/>
  <c r="O801" i="9"/>
  <c r="O852" i="9" s="1"/>
  <c r="O903" i="9" s="1"/>
  <c r="N801" i="9"/>
  <c r="N852" i="9" s="1"/>
  <c r="N903" i="9" s="1"/>
  <c r="M801" i="9"/>
  <c r="M852" i="9" s="1"/>
  <c r="M903" i="9" s="1"/>
  <c r="L801" i="9"/>
  <c r="L852" i="9" s="1"/>
  <c r="L903" i="9" s="1"/>
  <c r="K801" i="9"/>
  <c r="K852" i="9" s="1"/>
  <c r="K903" i="9" s="1"/>
  <c r="J801" i="9"/>
  <c r="J852" i="9" s="1"/>
  <c r="J903" i="9" s="1"/>
  <c r="I801" i="9"/>
  <c r="I852" i="9" s="1"/>
  <c r="I903" i="9" s="1"/>
  <c r="H801" i="9"/>
  <c r="H852" i="9" s="1"/>
  <c r="H903" i="9" s="1"/>
  <c r="G801" i="9"/>
  <c r="G852" i="9" s="1"/>
  <c r="G903" i="9" s="1"/>
  <c r="F801" i="9"/>
  <c r="F852" i="9" s="1"/>
  <c r="F903" i="9" s="1"/>
  <c r="E801" i="9"/>
  <c r="E852" i="9" s="1"/>
  <c r="E903" i="9" s="1"/>
  <c r="D801" i="9"/>
  <c r="D852" i="9" s="1"/>
  <c r="D903" i="9" s="1"/>
  <c r="P799" i="9"/>
  <c r="P850" i="9" s="1"/>
  <c r="O799" i="9"/>
  <c r="N799" i="9"/>
  <c r="M799" i="9"/>
  <c r="M850" i="9" s="1"/>
  <c r="L799" i="9"/>
  <c r="L850" i="9" s="1"/>
  <c r="K799" i="9"/>
  <c r="K850" i="9" s="1"/>
  <c r="J799" i="9"/>
  <c r="J850" i="9" s="1"/>
  <c r="I799" i="9"/>
  <c r="I850" i="9" s="1"/>
  <c r="H799" i="9"/>
  <c r="H850" i="9" s="1"/>
  <c r="G799" i="9"/>
  <c r="G850" i="9" s="1"/>
  <c r="F799" i="9"/>
  <c r="F850" i="9" s="1"/>
  <c r="E799" i="9"/>
  <c r="E850" i="9" s="1"/>
  <c r="D799" i="9"/>
  <c r="D850" i="9" s="1"/>
  <c r="P795" i="9"/>
  <c r="O795" i="9"/>
  <c r="N795" i="9"/>
  <c r="M795" i="9"/>
  <c r="L795" i="9"/>
  <c r="K795" i="9"/>
  <c r="J795" i="9"/>
  <c r="I795" i="9"/>
  <c r="H795" i="9"/>
  <c r="G795" i="9"/>
  <c r="F795" i="9"/>
  <c r="E795" i="9"/>
  <c r="D795" i="9"/>
  <c r="A792" i="9"/>
  <c r="P753" i="9"/>
  <c r="O753" i="9"/>
  <c r="N753" i="9"/>
  <c r="M753" i="9"/>
  <c r="L753" i="9"/>
  <c r="K753" i="9"/>
  <c r="J753" i="9"/>
  <c r="I753" i="9"/>
  <c r="H753" i="9"/>
  <c r="G753" i="9"/>
  <c r="F753" i="9"/>
  <c r="E753" i="9"/>
  <c r="D753" i="9"/>
  <c r="P752" i="9"/>
  <c r="O752" i="9"/>
  <c r="N752" i="9"/>
  <c r="M752" i="9"/>
  <c r="L752" i="9"/>
  <c r="K752" i="9"/>
  <c r="J752" i="9"/>
  <c r="I752" i="9"/>
  <c r="H752" i="9"/>
  <c r="G752" i="9"/>
  <c r="F752" i="9"/>
  <c r="E752" i="9"/>
  <c r="D752" i="9"/>
  <c r="P748" i="9"/>
  <c r="O748" i="9"/>
  <c r="N748" i="9"/>
  <c r="M748" i="9"/>
  <c r="L748" i="9"/>
  <c r="K748" i="9"/>
  <c r="J748" i="9"/>
  <c r="I748" i="9"/>
  <c r="H748" i="9"/>
  <c r="G748" i="9"/>
  <c r="F748" i="9"/>
  <c r="E748" i="9"/>
  <c r="D748" i="9"/>
  <c r="A741" i="9"/>
  <c r="P697" i="9"/>
  <c r="O697" i="9"/>
  <c r="N697" i="9"/>
  <c r="M697" i="9"/>
  <c r="L697" i="9"/>
  <c r="K697" i="9"/>
  <c r="J697" i="9"/>
  <c r="I697" i="9"/>
  <c r="H697" i="9"/>
  <c r="G697" i="9"/>
  <c r="F697" i="9"/>
  <c r="E697" i="9"/>
  <c r="D697" i="9"/>
  <c r="A690" i="9"/>
  <c r="A642" i="9"/>
  <c r="A594" i="9"/>
  <c r="A546" i="9"/>
  <c r="A498" i="9"/>
  <c r="A450" i="9"/>
  <c r="A402" i="9"/>
  <c r="A354" i="9"/>
  <c r="A306" i="9"/>
  <c r="A258" i="9"/>
  <c r="A210" i="9"/>
  <c r="L206" i="9"/>
  <c r="L737" i="9" s="1"/>
  <c r="L788" i="9" s="1"/>
  <c r="L839" i="9" s="1"/>
  <c r="L890" i="9" s="1"/>
  <c r="L941" i="9" s="1"/>
  <c r="L992" i="9" s="1"/>
  <c r="P165" i="9"/>
  <c r="O165" i="9"/>
  <c r="N165" i="9"/>
  <c r="M165" i="9"/>
  <c r="L165" i="9"/>
  <c r="K165" i="9"/>
  <c r="J165" i="9"/>
  <c r="I165" i="9"/>
  <c r="H165" i="9"/>
  <c r="G165" i="9"/>
  <c r="F165" i="9"/>
  <c r="E165" i="9"/>
  <c r="D165" i="9"/>
  <c r="P162" i="9"/>
  <c r="O162" i="9"/>
  <c r="N162" i="9"/>
  <c r="L162" i="9"/>
  <c r="K162" i="9"/>
  <c r="J162" i="9"/>
  <c r="H162" i="9"/>
  <c r="G162" i="9"/>
  <c r="F162" i="9"/>
  <c r="D162" i="9"/>
  <c r="A159" i="9"/>
  <c r="M155" i="9"/>
  <c r="M206" i="9" s="1"/>
  <c r="M737" i="9" s="1"/>
  <c r="M788" i="9" s="1"/>
  <c r="M839" i="9" s="1"/>
  <c r="M890" i="9" s="1"/>
  <c r="M941" i="9" s="1"/>
  <c r="M992" i="9" s="1"/>
  <c r="K154" i="9"/>
  <c r="K205" i="9" s="1"/>
  <c r="K736" i="9" s="1"/>
  <c r="K787" i="9" s="1"/>
  <c r="K838" i="9" s="1"/>
  <c r="K889" i="9" s="1"/>
  <c r="K940" i="9" s="1"/>
  <c r="K991" i="9" s="1"/>
  <c r="H153" i="9"/>
  <c r="H204" i="9" s="1"/>
  <c r="H735" i="9" s="1"/>
  <c r="H786" i="9" s="1"/>
  <c r="H837" i="9" s="1"/>
  <c r="H888" i="9" s="1"/>
  <c r="H939" i="9" s="1"/>
  <c r="H990" i="9" s="1"/>
  <c r="P125" i="9"/>
  <c r="O125" i="9"/>
  <c r="N125" i="9"/>
  <c r="M125" i="9"/>
  <c r="L125" i="9"/>
  <c r="K125" i="9"/>
  <c r="J125" i="9"/>
  <c r="I125" i="9"/>
  <c r="H125" i="9"/>
  <c r="G125" i="9"/>
  <c r="F125" i="9"/>
  <c r="E125" i="9"/>
  <c r="D125" i="9"/>
  <c r="P120" i="9"/>
  <c r="O120" i="9"/>
  <c r="N120" i="9"/>
  <c r="M120" i="9"/>
  <c r="L120" i="9"/>
  <c r="K120" i="9"/>
  <c r="J120" i="9"/>
  <c r="I120" i="9"/>
  <c r="H120" i="9"/>
  <c r="G120" i="9"/>
  <c r="F120" i="9"/>
  <c r="E120" i="9"/>
  <c r="D120" i="9"/>
  <c r="P119" i="9"/>
  <c r="O119" i="9"/>
  <c r="N119" i="9"/>
  <c r="M119" i="9"/>
  <c r="L119" i="9"/>
  <c r="K119" i="9"/>
  <c r="J119" i="9"/>
  <c r="I119" i="9"/>
  <c r="H119" i="9"/>
  <c r="G119" i="9"/>
  <c r="F119" i="9"/>
  <c r="E119" i="9"/>
  <c r="D119" i="9"/>
  <c r="P115" i="9"/>
  <c r="O115" i="9"/>
  <c r="N115" i="9"/>
  <c r="M115" i="9"/>
  <c r="L115" i="9"/>
  <c r="K115" i="9"/>
  <c r="J115" i="9"/>
  <c r="I115" i="9"/>
  <c r="H115" i="9"/>
  <c r="G115" i="9"/>
  <c r="F115" i="9"/>
  <c r="E115" i="9"/>
  <c r="D115" i="9"/>
  <c r="P111" i="9"/>
  <c r="O111" i="9"/>
  <c r="N111" i="9"/>
  <c r="M111" i="9"/>
  <c r="L111" i="9"/>
  <c r="K111" i="9"/>
  <c r="J111" i="9"/>
  <c r="I111" i="9"/>
  <c r="H111" i="9"/>
  <c r="G111" i="9"/>
  <c r="F111" i="9"/>
  <c r="E111" i="9"/>
  <c r="D111" i="9"/>
  <c r="A108" i="9"/>
  <c r="P104" i="9"/>
  <c r="P155" i="9" s="1"/>
  <c r="P206" i="9" s="1"/>
  <c r="P737" i="9" s="1"/>
  <c r="P788" i="9" s="1"/>
  <c r="P839" i="9" s="1"/>
  <c r="P890" i="9" s="1"/>
  <c r="P941" i="9" s="1"/>
  <c r="P992" i="9" s="1"/>
  <c r="O104" i="9"/>
  <c r="O155" i="9" s="1"/>
  <c r="O206" i="9" s="1"/>
  <c r="O737" i="9" s="1"/>
  <c r="O788" i="9" s="1"/>
  <c r="O839" i="9" s="1"/>
  <c r="O890" i="9" s="1"/>
  <c r="O941" i="9" s="1"/>
  <c r="O992" i="9" s="1"/>
  <c r="N104" i="9"/>
  <c r="N155" i="9" s="1"/>
  <c r="N206" i="9" s="1"/>
  <c r="N737" i="9" s="1"/>
  <c r="N788" i="9" s="1"/>
  <c r="N839" i="9" s="1"/>
  <c r="N890" i="9" s="1"/>
  <c r="N941" i="9" s="1"/>
  <c r="N992" i="9" s="1"/>
  <c r="M104" i="9"/>
  <c r="L104" i="9"/>
  <c r="L155" i="9" s="1"/>
  <c r="K104" i="9"/>
  <c r="K155" i="9" s="1"/>
  <c r="K206" i="9" s="1"/>
  <c r="K737" i="9" s="1"/>
  <c r="K788" i="9" s="1"/>
  <c r="K839" i="9" s="1"/>
  <c r="K890" i="9" s="1"/>
  <c r="K941" i="9" s="1"/>
  <c r="K992" i="9" s="1"/>
  <c r="J104" i="9"/>
  <c r="J155" i="9" s="1"/>
  <c r="J206" i="9" s="1"/>
  <c r="J737" i="9" s="1"/>
  <c r="J788" i="9" s="1"/>
  <c r="J839" i="9" s="1"/>
  <c r="J890" i="9" s="1"/>
  <c r="J941" i="9" s="1"/>
  <c r="J992" i="9" s="1"/>
  <c r="I104" i="9"/>
  <c r="I155" i="9" s="1"/>
  <c r="I206" i="9" s="1"/>
  <c r="I737" i="9" s="1"/>
  <c r="I788" i="9" s="1"/>
  <c r="I839" i="9" s="1"/>
  <c r="I890" i="9" s="1"/>
  <c r="I941" i="9" s="1"/>
  <c r="I992" i="9" s="1"/>
  <c r="H104" i="9"/>
  <c r="H155" i="9" s="1"/>
  <c r="H206" i="9" s="1"/>
  <c r="H737" i="9" s="1"/>
  <c r="H788" i="9" s="1"/>
  <c r="H839" i="9" s="1"/>
  <c r="H890" i="9" s="1"/>
  <c r="H941" i="9" s="1"/>
  <c r="H992" i="9" s="1"/>
  <c r="G104" i="9"/>
  <c r="G155" i="9" s="1"/>
  <c r="G206" i="9" s="1"/>
  <c r="G737" i="9" s="1"/>
  <c r="G788" i="9" s="1"/>
  <c r="G839" i="9" s="1"/>
  <c r="G890" i="9" s="1"/>
  <c r="G941" i="9" s="1"/>
  <c r="G992" i="9" s="1"/>
  <c r="F104" i="9"/>
  <c r="F155" i="9" s="1"/>
  <c r="F206" i="9" s="1"/>
  <c r="F737" i="9" s="1"/>
  <c r="F788" i="9" s="1"/>
  <c r="F839" i="9" s="1"/>
  <c r="F890" i="9" s="1"/>
  <c r="F941" i="9" s="1"/>
  <c r="F992" i="9" s="1"/>
  <c r="E104" i="9"/>
  <c r="E155" i="9" s="1"/>
  <c r="E206" i="9" s="1"/>
  <c r="E737" i="9" s="1"/>
  <c r="E788" i="9" s="1"/>
  <c r="E839" i="9" s="1"/>
  <c r="E890" i="9" s="1"/>
  <c r="E941" i="9" s="1"/>
  <c r="E992" i="9" s="1"/>
  <c r="D104" i="9"/>
  <c r="D155" i="9" s="1"/>
  <c r="D206" i="9" s="1"/>
  <c r="D737" i="9" s="1"/>
  <c r="D788" i="9" s="1"/>
  <c r="D839" i="9" s="1"/>
  <c r="D890" i="9" s="1"/>
  <c r="D941" i="9" s="1"/>
  <c r="D992" i="9" s="1"/>
  <c r="P103" i="9"/>
  <c r="P154" i="9" s="1"/>
  <c r="P205" i="9" s="1"/>
  <c r="P736" i="9" s="1"/>
  <c r="P787" i="9" s="1"/>
  <c r="P838" i="9" s="1"/>
  <c r="P889" i="9" s="1"/>
  <c r="P940" i="9" s="1"/>
  <c r="P991" i="9" s="1"/>
  <c r="O103" i="9"/>
  <c r="O154" i="9" s="1"/>
  <c r="O205" i="9" s="1"/>
  <c r="O736" i="9" s="1"/>
  <c r="O787" i="9" s="1"/>
  <c r="O838" i="9" s="1"/>
  <c r="O889" i="9" s="1"/>
  <c r="O940" i="9" s="1"/>
  <c r="O991" i="9" s="1"/>
  <c r="N103" i="9"/>
  <c r="N154" i="9" s="1"/>
  <c r="N205" i="9" s="1"/>
  <c r="N736" i="9" s="1"/>
  <c r="N787" i="9" s="1"/>
  <c r="N838" i="9" s="1"/>
  <c r="N889" i="9" s="1"/>
  <c r="N940" i="9" s="1"/>
  <c r="N991" i="9" s="1"/>
  <c r="M103" i="9"/>
  <c r="M154" i="9" s="1"/>
  <c r="M205" i="9" s="1"/>
  <c r="M736" i="9" s="1"/>
  <c r="M787" i="9" s="1"/>
  <c r="M838" i="9" s="1"/>
  <c r="M889" i="9" s="1"/>
  <c r="M940" i="9" s="1"/>
  <c r="M991" i="9" s="1"/>
  <c r="L103" i="9"/>
  <c r="L154" i="9" s="1"/>
  <c r="L205" i="9" s="1"/>
  <c r="L736" i="9" s="1"/>
  <c r="L787" i="9" s="1"/>
  <c r="L838" i="9" s="1"/>
  <c r="L889" i="9" s="1"/>
  <c r="L940" i="9" s="1"/>
  <c r="L991" i="9" s="1"/>
  <c r="K103" i="9"/>
  <c r="J103" i="9"/>
  <c r="J154" i="9" s="1"/>
  <c r="J205" i="9" s="1"/>
  <c r="J736" i="9" s="1"/>
  <c r="J787" i="9" s="1"/>
  <c r="J838" i="9" s="1"/>
  <c r="J889" i="9" s="1"/>
  <c r="J940" i="9" s="1"/>
  <c r="J991" i="9" s="1"/>
  <c r="I103" i="9"/>
  <c r="I154" i="9" s="1"/>
  <c r="I205" i="9" s="1"/>
  <c r="I736" i="9" s="1"/>
  <c r="I787" i="9" s="1"/>
  <c r="I838" i="9" s="1"/>
  <c r="I889" i="9" s="1"/>
  <c r="I940" i="9" s="1"/>
  <c r="I991" i="9" s="1"/>
  <c r="H103" i="9"/>
  <c r="H154" i="9" s="1"/>
  <c r="H205" i="9" s="1"/>
  <c r="H736" i="9" s="1"/>
  <c r="H787" i="9" s="1"/>
  <c r="H838" i="9" s="1"/>
  <c r="H889" i="9" s="1"/>
  <c r="H940" i="9" s="1"/>
  <c r="H991" i="9" s="1"/>
  <c r="G103" i="9"/>
  <c r="G154" i="9" s="1"/>
  <c r="G205" i="9" s="1"/>
  <c r="G736" i="9" s="1"/>
  <c r="G787" i="9" s="1"/>
  <c r="G838" i="9" s="1"/>
  <c r="G889" i="9" s="1"/>
  <c r="G940" i="9" s="1"/>
  <c r="G991" i="9" s="1"/>
  <c r="F103" i="9"/>
  <c r="F154" i="9" s="1"/>
  <c r="F205" i="9" s="1"/>
  <c r="F736" i="9" s="1"/>
  <c r="F787" i="9" s="1"/>
  <c r="F838" i="9" s="1"/>
  <c r="F889" i="9" s="1"/>
  <c r="F940" i="9" s="1"/>
  <c r="F991" i="9" s="1"/>
  <c r="E103" i="9"/>
  <c r="E154" i="9" s="1"/>
  <c r="E205" i="9" s="1"/>
  <c r="E736" i="9" s="1"/>
  <c r="E787" i="9" s="1"/>
  <c r="E838" i="9" s="1"/>
  <c r="E889" i="9" s="1"/>
  <c r="E940" i="9" s="1"/>
  <c r="E991" i="9" s="1"/>
  <c r="D103" i="9"/>
  <c r="D154" i="9" s="1"/>
  <c r="D205" i="9" s="1"/>
  <c r="D736" i="9" s="1"/>
  <c r="D787" i="9" s="1"/>
  <c r="D838" i="9" s="1"/>
  <c r="D889" i="9" s="1"/>
  <c r="D940" i="9" s="1"/>
  <c r="D991" i="9" s="1"/>
  <c r="P102" i="9"/>
  <c r="P153" i="9" s="1"/>
  <c r="P204" i="9" s="1"/>
  <c r="P735" i="9" s="1"/>
  <c r="P786" i="9" s="1"/>
  <c r="P837" i="9" s="1"/>
  <c r="P888" i="9" s="1"/>
  <c r="P939" i="9" s="1"/>
  <c r="P990" i="9" s="1"/>
  <c r="O102" i="9"/>
  <c r="O153" i="9" s="1"/>
  <c r="O204" i="9" s="1"/>
  <c r="O735" i="9" s="1"/>
  <c r="O786" i="9" s="1"/>
  <c r="O837" i="9" s="1"/>
  <c r="O888" i="9" s="1"/>
  <c r="O939" i="9" s="1"/>
  <c r="O990" i="9" s="1"/>
  <c r="N102" i="9"/>
  <c r="N153" i="9" s="1"/>
  <c r="N204" i="9" s="1"/>
  <c r="N735" i="9" s="1"/>
  <c r="N786" i="9" s="1"/>
  <c r="N837" i="9" s="1"/>
  <c r="N888" i="9" s="1"/>
  <c r="N939" i="9" s="1"/>
  <c r="N990" i="9" s="1"/>
  <c r="M102" i="9"/>
  <c r="M153" i="9" s="1"/>
  <c r="M204" i="9" s="1"/>
  <c r="M735" i="9" s="1"/>
  <c r="M786" i="9" s="1"/>
  <c r="M837" i="9" s="1"/>
  <c r="M888" i="9" s="1"/>
  <c r="M939" i="9" s="1"/>
  <c r="M990" i="9" s="1"/>
  <c r="L102" i="9"/>
  <c r="L153" i="9" s="1"/>
  <c r="L204" i="9" s="1"/>
  <c r="L735" i="9" s="1"/>
  <c r="L786" i="9" s="1"/>
  <c r="L837" i="9" s="1"/>
  <c r="L888" i="9" s="1"/>
  <c r="L939" i="9" s="1"/>
  <c r="L990" i="9" s="1"/>
  <c r="K102" i="9"/>
  <c r="K153" i="9" s="1"/>
  <c r="K204" i="9" s="1"/>
  <c r="K735" i="9" s="1"/>
  <c r="K786" i="9" s="1"/>
  <c r="K837" i="9" s="1"/>
  <c r="K888" i="9" s="1"/>
  <c r="K939" i="9" s="1"/>
  <c r="K990" i="9" s="1"/>
  <c r="J102" i="9"/>
  <c r="J153" i="9" s="1"/>
  <c r="J204" i="9" s="1"/>
  <c r="J735" i="9" s="1"/>
  <c r="J786" i="9" s="1"/>
  <c r="J837" i="9" s="1"/>
  <c r="J888" i="9" s="1"/>
  <c r="J939" i="9" s="1"/>
  <c r="J990" i="9" s="1"/>
  <c r="I102" i="9"/>
  <c r="I153" i="9" s="1"/>
  <c r="I204" i="9" s="1"/>
  <c r="I735" i="9" s="1"/>
  <c r="I786" i="9" s="1"/>
  <c r="I837" i="9" s="1"/>
  <c r="I888" i="9" s="1"/>
  <c r="I939" i="9" s="1"/>
  <c r="I990" i="9" s="1"/>
  <c r="H102" i="9"/>
  <c r="G102" i="9"/>
  <c r="G153" i="9" s="1"/>
  <c r="G204" i="9" s="1"/>
  <c r="G735" i="9" s="1"/>
  <c r="G786" i="9" s="1"/>
  <c r="G837" i="9" s="1"/>
  <c r="G888" i="9" s="1"/>
  <c r="G939" i="9" s="1"/>
  <c r="G990" i="9" s="1"/>
  <c r="F102" i="9"/>
  <c r="F153" i="9" s="1"/>
  <c r="F204" i="9" s="1"/>
  <c r="F735" i="9" s="1"/>
  <c r="F786" i="9" s="1"/>
  <c r="F837" i="9" s="1"/>
  <c r="F888" i="9" s="1"/>
  <c r="F939" i="9" s="1"/>
  <c r="F990" i="9" s="1"/>
  <c r="E102" i="9"/>
  <c r="E153" i="9" s="1"/>
  <c r="E204" i="9" s="1"/>
  <c r="E735" i="9" s="1"/>
  <c r="E786" i="9" s="1"/>
  <c r="E837" i="9" s="1"/>
  <c r="E888" i="9" s="1"/>
  <c r="E939" i="9" s="1"/>
  <c r="E990" i="9" s="1"/>
  <c r="D102" i="9"/>
  <c r="D153" i="9" s="1"/>
  <c r="D204" i="9" s="1"/>
  <c r="D735" i="9" s="1"/>
  <c r="D786" i="9" s="1"/>
  <c r="D837" i="9" s="1"/>
  <c r="D888" i="9" s="1"/>
  <c r="D939" i="9" s="1"/>
  <c r="D990" i="9" s="1"/>
  <c r="P101" i="9"/>
  <c r="O101" i="9"/>
  <c r="N101" i="9"/>
  <c r="M101" i="9"/>
  <c r="L101" i="9"/>
  <c r="K101" i="9"/>
  <c r="J101" i="9"/>
  <c r="I101" i="9"/>
  <c r="H101" i="9"/>
  <c r="G101" i="9"/>
  <c r="F101" i="9"/>
  <c r="E101" i="9"/>
  <c r="D101" i="9"/>
  <c r="P95" i="9"/>
  <c r="P146" i="9" s="1"/>
  <c r="P197" i="9" s="1"/>
  <c r="P728" i="9" s="1"/>
  <c r="P779" i="9" s="1"/>
  <c r="P830" i="9" s="1"/>
  <c r="P881" i="9" s="1"/>
  <c r="P932" i="9" s="1"/>
  <c r="P983" i="9" s="1"/>
  <c r="O95" i="9"/>
  <c r="O146" i="9" s="1"/>
  <c r="O197" i="9" s="1"/>
  <c r="O728" i="9" s="1"/>
  <c r="O779" i="9" s="1"/>
  <c r="O830" i="9" s="1"/>
  <c r="O881" i="9" s="1"/>
  <c r="O932" i="9" s="1"/>
  <c r="O983" i="9" s="1"/>
  <c r="N95" i="9"/>
  <c r="N146" i="9" s="1"/>
  <c r="N197" i="9" s="1"/>
  <c r="N728" i="9" s="1"/>
  <c r="N779" i="9" s="1"/>
  <c r="N830" i="9" s="1"/>
  <c r="N881" i="9" s="1"/>
  <c r="N932" i="9" s="1"/>
  <c r="N983" i="9" s="1"/>
  <c r="M95" i="9"/>
  <c r="M146" i="9" s="1"/>
  <c r="M197" i="9" s="1"/>
  <c r="M728" i="9" s="1"/>
  <c r="M779" i="9" s="1"/>
  <c r="M830" i="9" s="1"/>
  <c r="M881" i="9" s="1"/>
  <c r="M932" i="9" s="1"/>
  <c r="M983" i="9" s="1"/>
  <c r="L95" i="9"/>
  <c r="L146" i="9" s="1"/>
  <c r="L197" i="9" s="1"/>
  <c r="L728" i="9" s="1"/>
  <c r="L779" i="9" s="1"/>
  <c r="L830" i="9" s="1"/>
  <c r="L881" i="9" s="1"/>
  <c r="L932" i="9" s="1"/>
  <c r="L983" i="9" s="1"/>
  <c r="K95" i="9"/>
  <c r="K146" i="9" s="1"/>
  <c r="K197" i="9" s="1"/>
  <c r="K728" i="9" s="1"/>
  <c r="K779" i="9" s="1"/>
  <c r="K830" i="9" s="1"/>
  <c r="K881" i="9" s="1"/>
  <c r="K932" i="9" s="1"/>
  <c r="K983" i="9" s="1"/>
  <c r="J95" i="9"/>
  <c r="J146" i="9" s="1"/>
  <c r="J197" i="9" s="1"/>
  <c r="J728" i="9" s="1"/>
  <c r="J779" i="9" s="1"/>
  <c r="J830" i="9" s="1"/>
  <c r="J881" i="9" s="1"/>
  <c r="J932" i="9" s="1"/>
  <c r="J983" i="9" s="1"/>
  <c r="I95" i="9"/>
  <c r="I146" i="9" s="1"/>
  <c r="I197" i="9" s="1"/>
  <c r="I728" i="9" s="1"/>
  <c r="I779" i="9" s="1"/>
  <c r="I830" i="9" s="1"/>
  <c r="I881" i="9" s="1"/>
  <c r="I932" i="9" s="1"/>
  <c r="I983" i="9" s="1"/>
  <c r="H95" i="9"/>
  <c r="H146" i="9" s="1"/>
  <c r="H197" i="9" s="1"/>
  <c r="H728" i="9" s="1"/>
  <c r="H779" i="9" s="1"/>
  <c r="H830" i="9" s="1"/>
  <c r="H881" i="9" s="1"/>
  <c r="H932" i="9" s="1"/>
  <c r="H983" i="9" s="1"/>
  <c r="G95" i="9"/>
  <c r="G146" i="9" s="1"/>
  <c r="G197" i="9" s="1"/>
  <c r="G728" i="9" s="1"/>
  <c r="G779" i="9" s="1"/>
  <c r="G830" i="9" s="1"/>
  <c r="G881" i="9" s="1"/>
  <c r="G932" i="9" s="1"/>
  <c r="G983" i="9" s="1"/>
  <c r="F95" i="9"/>
  <c r="F146" i="9" s="1"/>
  <c r="F197" i="9" s="1"/>
  <c r="F728" i="9" s="1"/>
  <c r="F779" i="9" s="1"/>
  <c r="F830" i="9" s="1"/>
  <c r="F881" i="9" s="1"/>
  <c r="F932" i="9" s="1"/>
  <c r="F983" i="9" s="1"/>
  <c r="E95" i="9"/>
  <c r="E146" i="9" s="1"/>
  <c r="E197" i="9" s="1"/>
  <c r="E728" i="9" s="1"/>
  <c r="E779" i="9" s="1"/>
  <c r="E830" i="9" s="1"/>
  <c r="E881" i="9" s="1"/>
  <c r="E932" i="9" s="1"/>
  <c r="E983" i="9" s="1"/>
  <c r="D95" i="9"/>
  <c r="D146" i="9" s="1"/>
  <c r="D197" i="9" s="1"/>
  <c r="D728" i="9" s="1"/>
  <c r="D779" i="9" s="1"/>
  <c r="D830" i="9" s="1"/>
  <c r="D881" i="9" s="1"/>
  <c r="D932" i="9" s="1"/>
  <c r="D983" i="9" s="1"/>
  <c r="P94" i="9"/>
  <c r="P145" i="9" s="1"/>
  <c r="P196" i="9" s="1"/>
  <c r="P727" i="9" s="1"/>
  <c r="P778" i="9" s="1"/>
  <c r="P829" i="9" s="1"/>
  <c r="P880" i="9" s="1"/>
  <c r="P931" i="9" s="1"/>
  <c r="P982" i="9" s="1"/>
  <c r="O94" i="9"/>
  <c r="O145" i="9" s="1"/>
  <c r="O196" i="9" s="1"/>
  <c r="O727" i="9" s="1"/>
  <c r="O778" i="9" s="1"/>
  <c r="O829" i="9" s="1"/>
  <c r="O880" i="9" s="1"/>
  <c r="O931" i="9" s="1"/>
  <c r="O982" i="9" s="1"/>
  <c r="N94" i="9"/>
  <c r="N145" i="9" s="1"/>
  <c r="N196" i="9" s="1"/>
  <c r="N727" i="9" s="1"/>
  <c r="N778" i="9" s="1"/>
  <c r="N829" i="9" s="1"/>
  <c r="N880" i="9" s="1"/>
  <c r="N931" i="9" s="1"/>
  <c r="N982" i="9" s="1"/>
  <c r="M94" i="9"/>
  <c r="M145" i="9" s="1"/>
  <c r="M196" i="9" s="1"/>
  <c r="M727" i="9" s="1"/>
  <c r="M778" i="9" s="1"/>
  <c r="M829" i="9" s="1"/>
  <c r="M880" i="9" s="1"/>
  <c r="M931" i="9" s="1"/>
  <c r="M982" i="9" s="1"/>
  <c r="L94" i="9"/>
  <c r="L145" i="9" s="1"/>
  <c r="L196" i="9" s="1"/>
  <c r="L727" i="9" s="1"/>
  <c r="L778" i="9" s="1"/>
  <c r="L829" i="9" s="1"/>
  <c r="L880" i="9" s="1"/>
  <c r="L931" i="9" s="1"/>
  <c r="L982" i="9" s="1"/>
  <c r="K94" i="9"/>
  <c r="K145" i="9" s="1"/>
  <c r="K196" i="9" s="1"/>
  <c r="K727" i="9" s="1"/>
  <c r="K778" i="9" s="1"/>
  <c r="K829" i="9" s="1"/>
  <c r="K880" i="9" s="1"/>
  <c r="K931" i="9" s="1"/>
  <c r="K982" i="9" s="1"/>
  <c r="J94" i="9"/>
  <c r="J145" i="9" s="1"/>
  <c r="J196" i="9" s="1"/>
  <c r="J727" i="9" s="1"/>
  <c r="J778" i="9" s="1"/>
  <c r="J829" i="9" s="1"/>
  <c r="J880" i="9" s="1"/>
  <c r="J931" i="9" s="1"/>
  <c r="J982" i="9" s="1"/>
  <c r="I94" i="9"/>
  <c r="I145" i="9" s="1"/>
  <c r="I196" i="9" s="1"/>
  <c r="I727" i="9" s="1"/>
  <c r="I778" i="9" s="1"/>
  <c r="I829" i="9" s="1"/>
  <c r="I880" i="9" s="1"/>
  <c r="I931" i="9" s="1"/>
  <c r="I982" i="9" s="1"/>
  <c r="H94" i="9"/>
  <c r="H145" i="9" s="1"/>
  <c r="H196" i="9" s="1"/>
  <c r="H727" i="9" s="1"/>
  <c r="H778" i="9" s="1"/>
  <c r="H829" i="9" s="1"/>
  <c r="H880" i="9" s="1"/>
  <c r="H931" i="9" s="1"/>
  <c r="H982" i="9" s="1"/>
  <c r="G94" i="9"/>
  <c r="G145" i="9" s="1"/>
  <c r="G196" i="9" s="1"/>
  <c r="G727" i="9" s="1"/>
  <c r="G778" i="9" s="1"/>
  <c r="G829" i="9" s="1"/>
  <c r="G880" i="9" s="1"/>
  <c r="G931" i="9" s="1"/>
  <c r="G982" i="9" s="1"/>
  <c r="F94" i="9"/>
  <c r="F145" i="9" s="1"/>
  <c r="F196" i="9" s="1"/>
  <c r="F727" i="9" s="1"/>
  <c r="F778" i="9" s="1"/>
  <c r="F829" i="9" s="1"/>
  <c r="F880" i="9" s="1"/>
  <c r="F931" i="9" s="1"/>
  <c r="F982" i="9" s="1"/>
  <c r="E94" i="9"/>
  <c r="E145" i="9" s="1"/>
  <c r="E196" i="9" s="1"/>
  <c r="E727" i="9" s="1"/>
  <c r="E778" i="9" s="1"/>
  <c r="E829" i="9" s="1"/>
  <c r="E880" i="9" s="1"/>
  <c r="E931" i="9" s="1"/>
  <c r="E982" i="9" s="1"/>
  <c r="D94" i="9"/>
  <c r="D145" i="9" s="1"/>
  <c r="D196" i="9" s="1"/>
  <c r="D727" i="9" s="1"/>
  <c r="D778" i="9" s="1"/>
  <c r="D829" i="9" s="1"/>
  <c r="D880" i="9" s="1"/>
  <c r="D931" i="9" s="1"/>
  <c r="D982" i="9" s="1"/>
  <c r="P82" i="9"/>
  <c r="P133" i="9" s="1"/>
  <c r="P184" i="9" s="1"/>
  <c r="P715" i="9" s="1"/>
  <c r="P766" i="9" s="1"/>
  <c r="P817" i="9" s="1"/>
  <c r="P868" i="9" s="1"/>
  <c r="P919" i="9" s="1"/>
  <c r="P970" i="9" s="1"/>
  <c r="O82" i="9"/>
  <c r="O133" i="9" s="1"/>
  <c r="O184" i="9" s="1"/>
  <c r="O715" i="9" s="1"/>
  <c r="O766" i="9" s="1"/>
  <c r="O817" i="9" s="1"/>
  <c r="O868" i="9" s="1"/>
  <c r="O919" i="9" s="1"/>
  <c r="O970" i="9" s="1"/>
  <c r="N82" i="9"/>
  <c r="N133" i="9" s="1"/>
  <c r="N184" i="9" s="1"/>
  <c r="N715" i="9" s="1"/>
  <c r="N766" i="9" s="1"/>
  <c r="N817" i="9" s="1"/>
  <c r="N868" i="9" s="1"/>
  <c r="N919" i="9" s="1"/>
  <c r="N970" i="9" s="1"/>
  <c r="M82" i="9"/>
  <c r="M133" i="9" s="1"/>
  <c r="M184" i="9" s="1"/>
  <c r="M715" i="9" s="1"/>
  <c r="M766" i="9" s="1"/>
  <c r="M817" i="9" s="1"/>
  <c r="M868" i="9" s="1"/>
  <c r="M919" i="9" s="1"/>
  <c r="M970" i="9" s="1"/>
  <c r="L82" i="9"/>
  <c r="L133" i="9" s="1"/>
  <c r="L184" i="9" s="1"/>
  <c r="L715" i="9" s="1"/>
  <c r="L766" i="9" s="1"/>
  <c r="L817" i="9" s="1"/>
  <c r="L868" i="9" s="1"/>
  <c r="L919" i="9" s="1"/>
  <c r="L970" i="9" s="1"/>
  <c r="K82" i="9"/>
  <c r="K133" i="9" s="1"/>
  <c r="K184" i="9" s="1"/>
  <c r="K715" i="9" s="1"/>
  <c r="K766" i="9" s="1"/>
  <c r="K817" i="9" s="1"/>
  <c r="K868" i="9" s="1"/>
  <c r="K919" i="9" s="1"/>
  <c r="K970" i="9" s="1"/>
  <c r="J82" i="9"/>
  <c r="J133" i="9" s="1"/>
  <c r="J184" i="9" s="1"/>
  <c r="J715" i="9" s="1"/>
  <c r="J766" i="9" s="1"/>
  <c r="J817" i="9" s="1"/>
  <c r="J868" i="9" s="1"/>
  <c r="J919" i="9" s="1"/>
  <c r="J970" i="9" s="1"/>
  <c r="I82" i="9"/>
  <c r="I133" i="9" s="1"/>
  <c r="I184" i="9" s="1"/>
  <c r="I715" i="9" s="1"/>
  <c r="I766" i="9" s="1"/>
  <c r="I817" i="9" s="1"/>
  <c r="I868" i="9" s="1"/>
  <c r="I919" i="9" s="1"/>
  <c r="I970" i="9" s="1"/>
  <c r="H82" i="9"/>
  <c r="H133" i="9" s="1"/>
  <c r="H184" i="9" s="1"/>
  <c r="H715" i="9" s="1"/>
  <c r="H766" i="9" s="1"/>
  <c r="H817" i="9" s="1"/>
  <c r="H868" i="9" s="1"/>
  <c r="H919" i="9" s="1"/>
  <c r="H970" i="9" s="1"/>
  <c r="G82" i="9"/>
  <c r="G133" i="9" s="1"/>
  <c r="G184" i="9" s="1"/>
  <c r="G715" i="9" s="1"/>
  <c r="G766" i="9" s="1"/>
  <c r="G817" i="9" s="1"/>
  <c r="G868" i="9" s="1"/>
  <c r="G919" i="9" s="1"/>
  <c r="G970" i="9" s="1"/>
  <c r="F82" i="9"/>
  <c r="F133" i="9" s="1"/>
  <c r="F184" i="9" s="1"/>
  <c r="F715" i="9" s="1"/>
  <c r="F766" i="9" s="1"/>
  <c r="F817" i="9" s="1"/>
  <c r="F868" i="9" s="1"/>
  <c r="F919" i="9" s="1"/>
  <c r="F970" i="9" s="1"/>
  <c r="E82" i="9"/>
  <c r="E133" i="9" s="1"/>
  <c r="E184" i="9" s="1"/>
  <c r="E715" i="9" s="1"/>
  <c r="E766" i="9" s="1"/>
  <c r="E817" i="9" s="1"/>
  <c r="E868" i="9" s="1"/>
  <c r="E919" i="9" s="1"/>
  <c r="E970" i="9" s="1"/>
  <c r="D82" i="9"/>
  <c r="D133" i="9" s="1"/>
  <c r="D184" i="9" s="1"/>
  <c r="D715" i="9" s="1"/>
  <c r="D766" i="9" s="1"/>
  <c r="D817" i="9" s="1"/>
  <c r="D868" i="9" s="1"/>
  <c r="D919" i="9" s="1"/>
  <c r="D970" i="9" s="1"/>
  <c r="P81" i="9"/>
  <c r="P132" i="9" s="1"/>
  <c r="P183" i="9" s="1"/>
  <c r="P714" i="9" s="1"/>
  <c r="P765" i="9" s="1"/>
  <c r="P816" i="9" s="1"/>
  <c r="P867" i="9" s="1"/>
  <c r="P918" i="9" s="1"/>
  <c r="P969" i="9" s="1"/>
  <c r="O81" i="9"/>
  <c r="O132" i="9" s="1"/>
  <c r="O183" i="9" s="1"/>
  <c r="O714" i="9" s="1"/>
  <c r="O765" i="9" s="1"/>
  <c r="O816" i="9" s="1"/>
  <c r="O867" i="9" s="1"/>
  <c r="O918" i="9" s="1"/>
  <c r="O969" i="9" s="1"/>
  <c r="N81" i="9"/>
  <c r="N132" i="9" s="1"/>
  <c r="N183" i="9" s="1"/>
  <c r="N714" i="9" s="1"/>
  <c r="N765" i="9" s="1"/>
  <c r="N816" i="9" s="1"/>
  <c r="N867" i="9" s="1"/>
  <c r="N918" i="9" s="1"/>
  <c r="N969" i="9" s="1"/>
  <c r="M81" i="9"/>
  <c r="M132" i="9" s="1"/>
  <c r="M183" i="9" s="1"/>
  <c r="M714" i="9" s="1"/>
  <c r="M765" i="9" s="1"/>
  <c r="M816" i="9" s="1"/>
  <c r="M867" i="9" s="1"/>
  <c r="M918" i="9" s="1"/>
  <c r="M969" i="9" s="1"/>
  <c r="L81" i="9"/>
  <c r="L132" i="9" s="1"/>
  <c r="L183" i="9" s="1"/>
  <c r="L714" i="9" s="1"/>
  <c r="L765" i="9" s="1"/>
  <c r="L816" i="9" s="1"/>
  <c r="L867" i="9" s="1"/>
  <c r="L918" i="9" s="1"/>
  <c r="L969" i="9" s="1"/>
  <c r="K81" i="9"/>
  <c r="K132" i="9" s="1"/>
  <c r="K183" i="9" s="1"/>
  <c r="K714" i="9" s="1"/>
  <c r="K765" i="9" s="1"/>
  <c r="K816" i="9" s="1"/>
  <c r="K867" i="9" s="1"/>
  <c r="K918" i="9" s="1"/>
  <c r="K969" i="9" s="1"/>
  <c r="J81" i="9"/>
  <c r="J132" i="9" s="1"/>
  <c r="J183" i="9" s="1"/>
  <c r="J714" i="9" s="1"/>
  <c r="J765" i="9" s="1"/>
  <c r="J816" i="9" s="1"/>
  <c r="J867" i="9" s="1"/>
  <c r="J918" i="9" s="1"/>
  <c r="J969" i="9" s="1"/>
  <c r="I81" i="9"/>
  <c r="I132" i="9" s="1"/>
  <c r="I183" i="9" s="1"/>
  <c r="I714" i="9" s="1"/>
  <c r="I765" i="9" s="1"/>
  <c r="I816" i="9" s="1"/>
  <c r="I867" i="9" s="1"/>
  <c r="I918" i="9" s="1"/>
  <c r="I969" i="9" s="1"/>
  <c r="H81" i="9"/>
  <c r="H132" i="9" s="1"/>
  <c r="H183" i="9" s="1"/>
  <c r="H714" i="9" s="1"/>
  <c r="H765" i="9" s="1"/>
  <c r="H816" i="9" s="1"/>
  <c r="H867" i="9" s="1"/>
  <c r="H918" i="9" s="1"/>
  <c r="H969" i="9" s="1"/>
  <c r="G81" i="9"/>
  <c r="G132" i="9" s="1"/>
  <c r="G183" i="9" s="1"/>
  <c r="G714" i="9" s="1"/>
  <c r="G765" i="9" s="1"/>
  <c r="G816" i="9" s="1"/>
  <c r="G867" i="9" s="1"/>
  <c r="G918" i="9" s="1"/>
  <c r="G969" i="9" s="1"/>
  <c r="F81" i="9"/>
  <c r="F132" i="9" s="1"/>
  <c r="F183" i="9" s="1"/>
  <c r="F714" i="9" s="1"/>
  <c r="F765" i="9" s="1"/>
  <c r="F816" i="9" s="1"/>
  <c r="F867" i="9" s="1"/>
  <c r="F918" i="9" s="1"/>
  <c r="F969" i="9" s="1"/>
  <c r="E81" i="9"/>
  <c r="E132" i="9" s="1"/>
  <c r="E183" i="9" s="1"/>
  <c r="E714" i="9" s="1"/>
  <c r="E765" i="9" s="1"/>
  <c r="E816" i="9" s="1"/>
  <c r="E867" i="9" s="1"/>
  <c r="E918" i="9" s="1"/>
  <c r="E969" i="9" s="1"/>
  <c r="D81" i="9"/>
  <c r="D132" i="9" s="1"/>
  <c r="D183" i="9" s="1"/>
  <c r="D714" i="9" s="1"/>
  <c r="D765" i="9" s="1"/>
  <c r="D816" i="9" s="1"/>
  <c r="D867" i="9" s="1"/>
  <c r="D918" i="9" s="1"/>
  <c r="D969" i="9" s="1"/>
  <c r="P79" i="9"/>
  <c r="P130" i="9" s="1"/>
  <c r="P181" i="9" s="1"/>
  <c r="P712" i="9" s="1"/>
  <c r="P763" i="9" s="1"/>
  <c r="P814" i="9" s="1"/>
  <c r="P865" i="9" s="1"/>
  <c r="P916" i="9" s="1"/>
  <c r="P967" i="9" s="1"/>
  <c r="O79" i="9"/>
  <c r="O130" i="9" s="1"/>
  <c r="O181" i="9" s="1"/>
  <c r="O712" i="9" s="1"/>
  <c r="O763" i="9" s="1"/>
  <c r="O814" i="9" s="1"/>
  <c r="O865" i="9" s="1"/>
  <c r="O916" i="9" s="1"/>
  <c r="O967" i="9" s="1"/>
  <c r="N79" i="9"/>
  <c r="N130" i="9" s="1"/>
  <c r="N181" i="9" s="1"/>
  <c r="N712" i="9" s="1"/>
  <c r="N763" i="9" s="1"/>
  <c r="N814" i="9" s="1"/>
  <c r="N865" i="9" s="1"/>
  <c r="N916" i="9" s="1"/>
  <c r="N967" i="9" s="1"/>
  <c r="M79" i="9"/>
  <c r="M130" i="9" s="1"/>
  <c r="M181" i="9" s="1"/>
  <c r="M712" i="9" s="1"/>
  <c r="M763" i="9" s="1"/>
  <c r="M814" i="9" s="1"/>
  <c r="M865" i="9" s="1"/>
  <c r="M916" i="9" s="1"/>
  <c r="M967" i="9" s="1"/>
  <c r="L79" i="9"/>
  <c r="L130" i="9" s="1"/>
  <c r="L181" i="9" s="1"/>
  <c r="L712" i="9" s="1"/>
  <c r="L763" i="9" s="1"/>
  <c r="L814" i="9" s="1"/>
  <c r="L865" i="9" s="1"/>
  <c r="L916" i="9" s="1"/>
  <c r="L967" i="9" s="1"/>
  <c r="K79" i="9"/>
  <c r="K130" i="9" s="1"/>
  <c r="K181" i="9" s="1"/>
  <c r="K712" i="9" s="1"/>
  <c r="K763" i="9" s="1"/>
  <c r="K814" i="9" s="1"/>
  <c r="K865" i="9" s="1"/>
  <c r="K916" i="9" s="1"/>
  <c r="K967" i="9" s="1"/>
  <c r="J79" i="9"/>
  <c r="J130" i="9" s="1"/>
  <c r="J181" i="9" s="1"/>
  <c r="J712" i="9" s="1"/>
  <c r="J763" i="9" s="1"/>
  <c r="J814" i="9" s="1"/>
  <c r="J865" i="9" s="1"/>
  <c r="J916" i="9" s="1"/>
  <c r="J967" i="9" s="1"/>
  <c r="I79" i="9"/>
  <c r="I130" i="9" s="1"/>
  <c r="I181" i="9" s="1"/>
  <c r="I712" i="9" s="1"/>
  <c r="I763" i="9" s="1"/>
  <c r="I814" i="9" s="1"/>
  <c r="I865" i="9" s="1"/>
  <c r="I916" i="9" s="1"/>
  <c r="I967" i="9" s="1"/>
  <c r="H79" i="9"/>
  <c r="H130" i="9" s="1"/>
  <c r="H181" i="9" s="1"/>
  <c r="H712" i="9" s="1"/>
  <c r="H763" i="9" s="1"/>
  <c r="H814" i="9" s="1"/>
  <c r="H865" i="9" s="1"/>
  <c r="H916" i="9" s="1"/>
  <c r="H967" i="9" s="1"/>
  <c r="G79" i="9"/>
  <c r="G130" i="9" s="1"/>
  <c r="G181" i="9" s="1"/>
  <c r="G712" i="9" s="1"/>
  <c r="G763" i="9" s="1"/>
  <c r="G814" i="9" s="1"/>
  <c r="G865" i="9" s="1"/>
  <c r="G916" i="9" s="1"/>
  <c r="G967" i="9" s="1"/>
  <c r="F79" i="9"/>
  <c r="F130" i="9" s="1"/>
  <c r="F181" i="9" s="1"/>
  <c r="F712" i="9" s="1"/>
  <c r="F763" i="9" s="1"/>
  <c r="F814" i="9" s="1"/>
  <c r="F865" i="9" s="1"/>
  <c r="F916" i="9" s="1"/>
  <c r="F967" i="9" s="1"/>
  <c r="E79" i="9"/>
  <c r="E130" i="9" s="1"/>
  <c r="E181" i="9" s="1"/>
  <c r="E712" i="9" s="1"/>
  <c r="E763" i="9" s="1"/>
  <c r="E814" i="9" s="1"/>
  <c r="E865" i="9" s="1"/>
  <c r="E916" i="9" s="1"/>
  <c r="E967" i="9" s="1"/>
  <c r="D79" i="9"/>
  <c r="D130" i="9" s="1"/>
  <c r="D181" i="9" s="1"/>
  <c r="D712" i="9" s="1"/>
  <c r="D763" i="9" s="1"/>
  <c r="D814" i="9" s="1"/>
  <c r="D865" i="9" s="1"/>
  <c r="D916" i="9" s="1"/>
  <c r="D967" i="9" s="1"/>
  <c r="D77" i="9"/>
  <c r="D128" i="9" s="1"/>
  <c r="D179" i="9" s="1"/>
  <c r="D710" i="9" s="1"/>
  <c r="D761" i="9" s="1"/>
  <c r="D812" i="9" s="1"/>
  <c r="D863" i="9" s="1"/>
  <c r="D914" i="9" s="1"/>
  <c r="D965" i="9" s="1"/>
  <c r="P63" i="9"/>
  <c r="P114" i="9" s="1"/>
  <c r="O63" i="9"/>
  <c r="O114" i="9" s="1"/>
  <c r="N63" i="9"/>
  <c r="N114" i="9" s="1"/>
  <c r="M63" i="9"/>
  <c r="M114" i="9" s="1"/>
  <c r="L63" i="9"/>
  <c r="L114" i="9" s="1"/>
  <c r="K63" i="9"/>
  <c r="K114" i="9" s="1"/>
  <c r="J63" i="9"/>
  <c r="J114" i="9" s="1"/>
  <c r="I63" i="9"/>
  <c r="I114" i="9" s="1"/>
  <c r="H63" i="9"/>
  <c r="H114" i="9" s="1"/>
  <c r="G63" i="9"/>
  <c r="G114" i="9" s="1"/>
  <c r="F63" i="9"/>
  <c r="F114" i="9" s="1"/>
  <c r="E63" i="9"/>
  <c r="E114" i="9" s="1"/>
  <c r="D63" i="9"/>
  <c r="D114" i="9" s="1"/>
  <c r="P58" i="9"/>
  <c r="P109" i="9" s="1"/>
  <c r="P160" i="9" s="1"/>
  <c r="P691" i="9" s="1"/>
  <c r="P742" i="9" s="1"/>
  <c r="P793" i="9" s="1"/>
  <c r="P844" i="9" s="1"/>
  <c r="P895" i="9" s="1"/>
  <c r="P946" i="9" s="1"/>
  <c r="P998" i="9" s="1"/>
  <c r="P1043" i="9" s="1"/>
  <c r="O58" i="9"/>
  <c r="O109" i="9" s="1"/>
  <c r="O160" i="9" s="1"/>
  <c r="O691" i="9" s="1"/>
  <c r="O742" i="9" s="1"/>
  <c r="O793" i="9" s="1"/>
  <c r="O844" i="9" s="1"/>
  <c r="O895" i="9" s="1"/>
  <c r="O946" i="9" s="1"/>
  <c r="O998" i="9" s="1"/>
  <c r="O1043" i="9" s="1"/>
  <c r="N58" i="9"/>
  <c r="N109" i="9" s="1"/>
  <c r="N160" i="9" s="1"/>
  <c r="N691" i="9" s="1"/>
  <c r="N742" i="9" s="1"/>
  <c r="N793" i="9" s="1"/>
  <c r="N844" i="9" s="1"/>
  <c r="N895" i="9" s="1"/>
  <c r="N946" i="9" s="1"/>
  <c r="N998" i="9" s="1"/>
  <c r="N1043" i="9" s="1"/>
  <c r="M58" i="9"/>
  <c r="M109" i="9" s="1"/>
  <c r="M160" i="9" s="1"/>
  <c r="M691" i="9" s="1"/>
  <c r="M742" i="9" s="1"/>
  <c r="M793" i="9" s="1"/>
  <c r="M844" i="9" s="1"/>
  <c r="M895" i="9" s="1"/>
  <c r="M946" i="9" s="1"/>
  <c r="M998" i="9" s="1"/>
  <c r="M1043" i="9" s="1"/>
  <c r="L58" i="9"/>
  <c r="L109" i="9" s="1"/>
  <c r="L160" i="9" s="1"/>
  <c r="L691" i="9" s="1"/>
  <c r="L742" i="9" s="1"/>
  <c r="L793" i="9" s="1"/>
  <c r="L844" i="9" s="1"/>
  <c r="L895" i="9" s="1"/>
  <c r="L946" i="9" s="1"/>
  <c r="L998" i="9" s="1"/>
  <c r="L1043" i="9" s="1"/>
  <c r="K58" i="9"/>
  <c r="K109" i="9" s="1"/>
  <c r="K160" i="9" s="1"/>
  <c r="K691" i="9" s="1"/>
  <c r="K742" i="9" s="1"/>
  <c r="K793" i="9" s="1"/>
  <c r="K844" i="9" s="1"/>
  <c r="K895" i="9" s="1"/>
  <c r="K946" i="9" s="1"/>
  <c r="K998" i="9" s="1"/>
  <c r="K1043" i="9" s="1"/>
  <c r="J58" i="9"/>
  <c r="J109" i="9" s="1"/>
  <c r="J160" i="9" s="1"/>
  <c r="J691" i="9" s="1"/>
  <c r="J742" i="9" s="1"/>
  <c r="J793" i="9" s="1"/>
  <c r="J844" i="9" s="1"/>
  <c r="J895" i="9" s="1"/>
  <c r="J946" i="9" s="1"/>
  <c r="J998" i="9" s="1"/>
  <c r="J1043" i="9" s="1"/>
  <c r="I58" i="9"/>
  <c r="I109" i="9" s="1"/>
  <c r="I160" i="9" s="1"/>
  <c r="I691" i="9" s="1"/>
  <c r="I742" i="9" s="1"/>
  <c r="I793" i="9" s="1"/>
  <c r="I844" i="9" s="1"/>
  <c r="I895" i="9" s="1"/>
  <c r="I946" i="9" s="1"/>
  <c r="I998" i="9" s="1"/>
  <c r="I1043" i="9" s="1"/>
  <c r="H58" i="9"/>
  <c r="H109" i="9" s="1"/>
  <c r="H160" i="9" s="1"/>
  <c r="H691" i="9" s="1"/>
  <c r="H742" i="9" s="1"/>
  <c r="H793" i="9" s="1"/>
  <c r="H844" i="9" s="1"/>
  <c r="H895" i="9" s="1"/>
  <c r="H946" i="9" s="1"/>
  <c r="H998" i="9" s="1"/>
  <c r="H1043" i="9" s="1"/>
  <c r="G58" i="9"/>
  <c r="G109" i="9" s="1"/>
  <c r="G160" i="9" s="1"/>
  <c r="G691" i="9" s="1"/>
  <c r="G742" i="9" s="1"/>
  <c r="G793" i="9" s="1"/>
  <c r="G844" i="9" s="1"/>
  <c r="G895" i="9" s="1"/>
  <c r="G946" i="9" s="1"/>
  <c r="G998" i="9" s="1"/>
  <c r="G1043" i="9" s="1"/>
  <c r="F58" i="9"/>
  <c r="F109" i="9" s="1"/>
  <c r="F160" i="9" s="1"/>
  <c r="F691" i="9" s="1"/>
  <c r="F742" i="9" s="1"/>
  <c r="F793" i="9" s="1"/>
  <c r="F844" i="9" s="1"/>
  <c r="F895" i="9" s="1"/>
  <c r="F946" i="9" s="1"/>
  <c r="F998" i="9" s="1"/>
  <c r="F1043" i="9" s="1"/>
  <c r="E58" i="9"/>
  <c r="E109" i="9" s="1"/>
  <c r="E160" i="9" s="1"/>
  <c r="E691" i="9" s="1"/>
  <c r="E742" i="9" s="1"/>
  <c r="E793" i="9" s="1"/>
  <c r="E844" i="9" s="1"/>
  <c r="E895" i="9" s="1"/>
  <c r="E946" i="9" s="1"/>
  <c r="E998" i="9" s="1"/>
  <c r="E1043" i="9" s="1"/>
  <c r="D58" i="9"/>
  <c r="D109" i="9" s="1"/>
  <c r="D160" i="9" s="1"/>
  <c r="D691" i="9" s="1"/>
  <c r="D742" i="9" s="1"/>
  <c r="D793" i="9" s="1"/>
  <c r="D844" i="9" s="1"/>
  <c r="D895" i="9" s="1"/>
  <c r="D946" i="9" s="1"/>
  <c r="D998" i="9" s="1"/>
  <c r="D1043" i="9" s="1"/>
  <c r="A57" i="9"/>
  <c r="P49" i="9"/>
  <c r="P100" i="9" s="1"/>
  <c r="P151" i="9" s="1"/>
  <c r="P202" i="9" s="1"/>
  <c r="P733" i="9" s="1"/>
  <c r="P784" i="9" s="1"/>
  <c r="P835" i="9" s="1"/>
  <c r="P886" i="9" s="1"/>
  <c r="P937" i="9" s="1"/>
  <c r="P988" i="9" s="1"/>
  <c r="O49" i="9"/>
  <c r="O100" i="9" s="1"/>
  <c r="O151" i="9" s="1"/>
  <c r="O202" i="9" s="1"/>
  <c r="O733" i="9" s="1"/>
  <c r="O784" i="9" s="1"/>
  <c r="O835" i="9" s="1"/>
  <c r="O886" i="9" s="1"/>
  <c r="O937" i="9" s="1"/>
  <c r="O988" i="9" s="1"/>
  <c r="N49" i="9"/>
  <c r="N100" i="9" s="1"/>
  <c r="N151" i="9" s="1"/>
  <c r="N202" i="9" s="1"/>
  <c r="N733" i="9" s="1"/>
  <c r="N784" i="9" s="1"/>
  <c r="N835" i="9" s="1"/>
  <c r="N886" i="9" s="1"/>
  <c r="N937" i="9" s="1"/>
  <c r="N988" i="9" s="1"/>
  <c r="M49" i="9"/>
  <c r="M100" i="9" s="1"/>
  <c r="M151" i="9" s="1"/>
  <c r="M202" i="9" s="1"/>
  <c r="M733" i="9" s="1"/>
  <c r="M784" i="9" s="1"/>
  <c r="M835" i="9" s="1"/>
  <c r="M886" i="9" s="1"/>
  <c r="M937" i="9" s="1"/>
  <c r="M988" i="9" s="1"/>
  <c r="L49" i="9"/>
  <c r="L100" i="9" s="1"/>
  <c r="L151" i="9" s="1"/>
  <c r="L202" i="9" s="1"/>
  <c r="L733" i="9" s="1"/>
  <c r="L784" i="9" s="1"/>
  <c r="L835" i="9" s="1"/>
  <c r="L886" i="9" s="1"/>
  <c r="L937" i="9" s="1"/>
  <c r="L988" i="9" s="1"/>
  <c r="K49" i="9"/>
  <c r="K100" i="9" s="1"/>
  <c r="K151" i="9" s="1"/>
  <c r="K202" i="9" s="1"/>
  <c r="K733" i="9" s="1"/>
  <c r="K784" i="9" s="1"/>
  <c r="K835" i="9" s="1"/>
  <c r="K886" i="9" s="1"/>
  <c r="K937" i="9" s="1"/>
  <c r="K988" i="9" s="1"/>
  <c r="J49" i="9"/>
  <c r="J100" i="9" s="1"/>
  <c r="J151" i="9" s="1"/>
  <c r="J202" i="9" s="1"/>
  <c r="J733" i="9" s="1"/>
  <c r="J784" i="9" s="1"/>
  <c r="J835" i="9" s="1"/>
  <c r="J886" i="9" s="1"/>
  <c r="J937" i="9" s="1"/>
  <c r="J988" i="9" s="1"/>
  <c r="I49" i="9"/>
  <c r="I100" i="9" s="1"/>
  <c r="I151" i="9" s="1"/>
  <c r="I202" i="9" s="1"/>
  <c r="I733" i="9" s="1"/>
  <c r="I784" i="9" s="1"/>
  <c r="I835" i="9" s="1"/>
  <c r="I886" i="9" s="1"/>
  <c r="I937" i="9" s="1"/>
  <c r="I988" i="9" s="1"/>
  <c r="H49" i="9"/>
  <c r="H100" i="9" s="1"/>
  <c r="H151" i="9" s="1"/>
  <c r="H202" i="9" s="1"/>
  <c r="H733" i="9" s="1"/>
  <c r="H784" i="9" s="1"/>
  <c r="H835" i="9" s="1"/>
  <c r="H886" i="9" s="1"/>
  <c r="H937" i="9" s="1"/>
  <c r="H988" i="9" s="1"/>
  <c r="G49" i="9"/>
  <c r="G100" i="9" s="1"/>
  <c r="G151" i="9" s="1"/>
  <c r="G202" i="9" s="1"/>
  <c r="G733" i="9" s="1"/>
  <c r="G784" i="9" s="1"/>
  <c r="G835" i="9" s="1"/>
  <c r="G886" i="9" s="1"/>
  <c r="G937" i="9" s="1"/>
  <c r="G988" i="9" s="1"/>
  <c r="F49" i="9"/>
  <c r="F100" i="9" s="1"/>
  <c r="F151" i="9" s="1"/>
  <c r="F202" i="9" s="1"/>
  <c r="F733" i="9" s="1"/>
  <c r="F784" i="9" s="1"/>
  <c r="F835" i="9" s="1"/>
  <c r="F886" i="9" s="1"/>
  <c r="F937" i="9" s="1"/>
  <c r="F988" i="9" s="1"/>
  <c r="E49" i="9"/>
  <c r="E100" i="9" s="1"/>
  <c r="E151" i="9" s="1"/>
  <c r="E202" i="9" s="1"/>
  <c r="E733" i="9" s="1"/>
  <c r="E784" i="9" s="1"/>
  <c r="E835" i="9" s="1"/>
  <c r="E886" i="9" s="1"/>
  <c r="E937" i="9" s="1"/>
  <c r="E988" i="9" s="1"/>
  <c r="D49" i="9"/>
  <c r="D100" i="9" s="1"/>
  <c r="D151" i="9" s="1"/>
  <c r="D202" i="9" s="1"/>
  <c r="D733" i="9" s="1"/>
  <c r="D784" i="9" s="1"/>
  <c r="D835" i="9" s="1"/>
  <c r="D886" i="9" s="1"/>
  <c r="D937" i="9" s="1"/>
  <c r="D988" i="9" s="1"/>
  <c r="P48" i="9"/>
  <c r="P99" i="9" s="1"/>
  <c r="P150" i="9" s="1"/>
  <c r="P201" i="9" s="1"/>
  <c r="P732" i="9" s="1"/>
  <c r="P783" i="9" s="1"/>
  <c r="P834" i="9" s="1"/>
  <c r="P885" i="9" s="1"/>
  <c r="P936" i="9" s="1"/>
  <c r="P987" i="9" s="1"/>
  <c r="O48" i="9"/>
  <c r="O99" i="9" s="1"/>
  <c r="O150" i="9" s="1"/>
  <c r="O201" i="9" s="1"/>
  <c r="O732" i="9" s="1"/>
  <c r="O783" i="9" s="1"/>
  <c r="O834" i="9" s="1"/>
  <c r="O885" i="9" s="1"/>
  <c r="O936" i="9" s="1"/>
  <c r="O987" i="9" s="1"/>
  <c r="N48" i="9"/>
  <c r="N99" i="9" s="1"/>
  <c r="N150" i="9" s="1"/>
  <c r="N201" i="9" s="1"/>
  <c r="N732" i="9" s="1"/>
  <c r="N783" i="9" s="1"/>
  <c r="N834" i="9" s="1"/>
  <c r="N885" i="9" s="1"/>
  <c r="N936" i="9" s="1"/>
  <c r="N987" i="9" s="1"/>
  <c r="M48" i="9"/>
  <c r="M99" i="9" s="1"/>
  <c r="M150" i="9" s="1"/>
  <c r="M201" i="9" s="1"/>
  <c r="M732" i="9" s="1"/>
  <c r="M783" i="9" s="1"/>
  <c r="M834" i="9" s="1"/>
  <c r="M885" i="9" s="1"/>
  <c r="M936" i="9" s="1"/>
  <c r="M987" i="9" s="1"/>
  <c r="L48" i="9"/>
  <c r="L99" i="9" s="1"/>
  <c r="L150" i="9" s="1"/>
  <c r="L201" i="9" s="1"/>
  <c r="L732" i="9" s="1"/>
  <c r="L783" i="9" s="1"/>
  <c r="L834" i="9" s="1"/>
  <c r="L885" i="9" s="1"/>
  <c r="L936" i="9" s="1"/>
  <c r="L987" i="9" s="1"/>
  <c r="K48" i="9"/>
  <c r="K99" i="9" s="1"/>
  <c r="K150" i="9" s="1"/>
  <c r="K201" i="9" s="1"/>
  <c r="K732" i="9" s="1"/>
  <c r="K783" i="9" s="1"/>
  <c r="K834" i="9" s="1"/>
  <c r="K885" i="9" s="1"/>
  <c r="K936" i="9" s="1"/>
  <c r="K987" i="9" s="1"/>
  <c r="J48" i="9"/>
  <c r="J99" i="9" s="1"/>
  <c r="J150" i="9" s="1"/>
  <c r="J201" i="9" s="1"/>
  <c r="J732" i="9" s="1"/>
  <c r="J783" i="9" s="1"/>
  <c r="J834" i="9" s="1"/>
  <c r="J885" i="9" s="1"/>
  <c r="J936" i="9" s="1"/>
  <c r="J987" i="9" s="1"/>
  <c r="I48" i="9"/>
  <c r="I99" i="9" s="1"/>
  <c r="I150" i="9" s="1"/>
  <c r="I201" i="9" s="1"/>
  <c r="I732" i="9" s="1"/>
  <c r="I783" i="9" s="1"/>
  <c r="I834" i="9" s="1"/>
  <c r="I885" i="9" s="1"/>
  <c r="I936" i="9" s="1"/>
  <c r="I987" i="9" s="1"/>
  <c r="H48" i="9"/>
  <c r="H99" i="9" s="1"/>
  <c r="H150" i="9" s="1"/>
  <c r="H201" i="9" s="1"/>
  <c r="H732" i="9" s="1"/>
  <c r="H783" i="9" s="1"/>
  <c r="H834" i="9" s="1"/>
  <c r="H885" i="9" s="1"/>
  <c r="H936" i="9" s="1"/>
  <c r="H987" i="9" s="1"/>
  <c r="G48" i="9"/>
  <c r="G99" i="9" s="1"/>
  <c r="G150" i="9" s="1"/>
  <c r="G201" i="9" s="1"/>
  <c r="G732" i="9" s="1"/>
  <c r="G783" i="9" s="1"/>
  <c r="G834" i="9" s="1"/>
  <c r="G885" i="9" s="1"/>
  <c r="G936" i="9" s="1"/>
  <c r="G987" i="9" s="1"/>
  <c r="F48" i="9"/>
  <c r="F99" i="9" s="1"/>
  <c r="F150" i="9" s="1"/>
  <c r="F201" i="9" s="1"/>
  <c r="F732" i="9" s="1"/>
  <c r="F783" i="9" s="1"/>
  <c r="F834" i="9" s="1"/>
  <c r="F885" i="9" s="1"/>
  <c r="F936" i="9" s="1"/>
  <c r="F987" i="9" s="1"/>
  <c r="E48" i="9"/>
  <c r="E99" i="9" s="1"/>
  <c r="E150" i="9" s="1"/>
  <c r="E201" i="9" s="1"/>
  <c r="E732" i="9" s="1"/>
  <c r="E783" i="9" s="1"/>
  <c r="E834" i="9" s="1"/>
  <c r="E885" i="9" s="1"/>
  <c r="E936" i="9" s="1"/>
  <c r="E987" i="9" s="1"/>
  <c r="D48" i="9"/>
  <c r="D99" i="9" s="1"/>
  <c r="D150" i="9" s="1"/>
  <c r="D201" i="9" s="1"/>
  <c r="D732" i="9" s="1"/>
  <c r="D783" i="9" s="1"/>
  <c r="D834" i="9" s="1"/>
  <c r="D885" i="9" s="1"/>
  <c r="D936" i="9" s="1"/>
  <c r="D987" i="9" s="1"/>
  <c r="P47" i="9"/>
  <c r="P98" i="9" s="1"/>
  <c r="P149" i="9" s="1"/>
  <c r="P200" i="9" s="1"/>
  <c r="P731" i="9" s="1"/>
  <c r="P782" i="9" s="1"/>
  <c r="P833" i="9" s="1"/>
  <c r="P884" i="9" s="1"/>
  <c r="P935" i="9" s="1"/>
  <c r="P986" i="9" s="1"/>
  <c r="O47" i="9"/>
  <c r="O98" i="9" s="1"/>
  <c r="O149" i="9" s="1"/>
  <c r="O200" i="9" s="1"/>
  <c r="O731" i="9" s="1"/>
  <c r="O782" i="9" s="1"/>
  <c r="O833" i="9" s="1"/>
  <c r="O884" i="9" s="1"/>
  <c r="O935" i="9" s="1"/>
  <c r="O986" i="9" s="1"/>
  <c r="N47" i="9"/>
  <c r="N98" i="9" s="1"/>
  <c r="N149" i="9" s="1"/>
  <c r="N200" i="9" s="1"/>
  <c r="N731" i="9" s="1"/>
  <c r="N782" i="9" s="1"/>
  <c r="N833" i="9" s="1"/>
  <c r="N884" i="9" s="1"/>
  <c r="N935" i="9" s="1"/>
  <c r="N986" i="9" s="1"/>
  <c r="M47" i="9"/>
  <c r="M98" i="9" s="1"/>
  <c r="M149" i="9" s="1"/>
  <c r="M200" i="9" s="1"/>
  <c r="M731" i="9" s="1"/>
  <c r="M782" i="9" s="1"/>
  <c r="M833" i="9" s="1"/>
  <c r="M884" i="9" s="1"/>
  <c r="M935" i="9" s="1"/>
  <c r="M986" i="9" s="1"/>
  <c r="L47" i="9"/>
  <c r="L98" i="9" s="1"/>
  <c r="L149" i="9" s="1"/>
  <c r="L200" i="9" s="1"/>
  <c r="L731" i="9" s="1"/>
  <c r="L782" i="9" s="1"/>
  <c r="L833" i="9" s="1"/>
  <c r="L884" i="9" s="1"/>
  <c r="L935" i="9" s="1"/>
  <c r="L986" i="9" s="1"/>
  <c r="K47" i="9"/>
  <c r="K98" i="9" s="1"/>
  <c r="K149" i="9" s="1"/>
  <c r="K200" i="9" s="1"/>
  <c r="K731" i="9" s="1"/>
  <c r="K782" i="9" s="1"/>
  <c r="K833" i="9" s="1"/>
  <c r="K884" i="9" s="1"/>
  <c r="K935" i="9" s="1"/>
  <c r="K986" i="9" s="1"/>
  <c r="J47" i="9"/>
  <c r="J98" i="9" s="1"/>
  <c r="J149" i="9" s="1"/>
  <c r="J200" i="9" s="1"/>
  <c r="J731" i="9" s="1"/>
  <c r="J782" i="9" s="1"/>
  <c r="J833" i="9" s="1"/>
  <c r="J884" i="9" s="1"/>
  <c r="J935" i="9" s="1"/>
  <c r="J986" i="9" s="1"/>
  <c r="I47" i="9"/>
  <c r="I98" i="9" s="1"/>
  <c r="I149" i="9" s="1"/>
  <c r="I200" i="9" s="1"/>
  <c r="I731" i="9" s="1"/>
  <c r="I782" i="9" s="1"/>
  <c r="I833" i="9" s="1"/>
  <c r="I884" i="9" s="1"/>
  <c r="I935" i="9" s="1"/>
  <c r="I986" i="9" s="1"/>
  <c r="H47" i="9"/>
  <c r="H98" i="9" s="1"/>
  <c r="H149" i="9" s="1"/>
  <c r="H200" i="9" s="1"/>
  <c r="H731" i="9" s="1"/>
  <c r="H782" i="9" s="1"/>
  <c r="H833" i="9" s="1"/>
  <c r="H884" i="9" s="1"/>
  <c r="H935" i="9" s="1"/>
  <c r="H986" i="9" s="1"/>
  <c r="G47" i="9"/>
  <c r="G98" i="9" s="1"/>
  <c r="G149" i="9" s="1"/>
  <c r="G200" i="9" s="1"/>
  <c r="G731" i="9" s="1"/>
  <c r="G782" i="9" s="1"/>
  <c r="G833" i="9" s="1"/>
  <c r="G884" i="9" s="1"/>
  <c r="G935" i="9" s="1"/>
  <c r="G986" i="9" s="1"/>
  <c r="F47" i="9"/>
  <c r="F98" i="9" s="1"/>
  <c r="F149" i="9" s="1"/>
  <c r="F200" i="9" s="1"/>
  <c r="F731" i="9" s="1"/>
  <c r="F782" i="9" s="1"/>
  <c r="F833" i="9" s="1"/>
  <c r="F884" i="9" s="1"/>
  <c r="F935" i="9" s="1"/>
  <c r="F986" i="9" s="1"/>
  <c r="E47" i="9"/>
  <c r="E98" i="9" s="1"/>
  <c r="E149" i="9" s="1"/>
  <c r="E200" i="9" s="1"/>
  <c r="E731" i="9" s="1"/>
  <c r="E782" i="9" s="1"/>
  <c r="E833" i="9" s="1"/>
  <c r="E884" i="9" s="1"/>
  <c r="E935" i="9" s="1"/>
  <c r="E986" i="9" s="1"/>
  <c r="D47" i="9"/>
  <c r="D98" i="9" s="1"/>
  <c r="D149" i="9" s="1"/>
  <c r="D200" i="9" s="1"/>
  <c r="D731" i="9" s="1"/>
  <c r="D782" i="9" s="1"/>
  <c r="D833" i="9" s="1"/>
  <c r="D884" i="9" s="1"/>
  <c r="D935" i="9" s="1"/>
  <c r="D986" i="9" s="1"/>
  <c r="P29" i="9"/>
  <c r="P80" i="9" s="1"/>
  <c r="P131" i="9" s="1"/>
  <c r="P182" i="9" s="1"/>
  <c r="P713" i="9" s="1"/>
  <c r="P764" i="9" s="1"/>
  <c r="P815" i="9" s="1"/>
  <c r="P866" i="9" s="1"/>
  <c r="P917" i="9" s="1"/>
  <c r="P968" i="9" s="1"/>
  <c r="O29" i="9"/>
  <c r="O80" i="9" s="1"/>
  <c r="O131" i="9" s="1"/>
  <c r="O182" i="9" s="1"/>
  <c r="O713" i="9" s="1"/>
  <c r="O764" i="9" s="1"/>
  <c r="O815" i="9" s="1"/>
  <c r="O866" i="9" s="1"/>
  <c r="O917" i="9" s="1"/>
  <c r="O968" i="9" s="1"/>
  <c r="N29" i="9"/>
  <c r="N80" i="9" s="1"/>
  <c r="N131" i="9" s="1"/>
  <c r="N182" i="9" s="1"/>
  <c r="N713" i="9" s="1"/>
  <c r="N764" i="9" s="1"/>
  <c r="N815" i="9" s="1"/>
  <c r="N866" i="9" s="1"/>
  <c r="N917" i="9" s="1"/>
  <c r="N968" i="9" s="1"/>
  <c r="M29" i="9"/>
  <c r="M80" i="9" s="1"/>
  <c r="M131" i="9" s="1"/>
  <c r="M182" i="9" s="1"/>
  <c r="M713" i="9" s="1"/>
  <c r="M764" i="9" s="1"/>
  <c r="M815" i="9" s="1"/>
  <c r="M866" i="9" s="1"/>
  <c r="M917" i="9" s="1"/>
  <c r="M968" i="9" s="1"/>
  <c r="L29" i="9"/>
  <c r="L80" i="9" s="1"/>
  <c r="L131" i="9" s="1"/>
  <c r="L182" i="9" s="1"/>
  <c r="L713" i="9" s="1"/>
  <c r="L764" i="9" s="1"/>
  <c r="L815" i="9" s="1"/>
  <c r="L866" i="9" s="1"/>
  <c r="L917" i="9" s="1"/>
  <c r="L968" i="9" s="1"/>
  <c r="K29" i="9"/>
  <c r="K80" i="9" s="1"/>
  <c r="K131" i="9" s="1"/>
  <c r="K182" i="9" s="1"/>
  <c r="K713" i="9" s="1"/>
  <c r="K764" i="9" s="1"/>
  <c r="K815" i="9" s="1"/>
  <c r="K866" i="9" s="1"/>
  <c r="K917" i="9" s="1"/>
  <c r="K968" i="9" s="1"/>
  <c r="J29" i="9"/>
  <c r="J80" i="9" s="1"/>
  <c r="J131" i="9" s="1"/>
  <c r="J182" i="9" s="1"/>
  <c r="J713" i="9" s="1"/>
  <c r="J764" i="9" s="1"/>
  <c r="J815" i="9" s="1"/>
  <c r="J866" i="9" s="1"/>
  <c r="J917" i="9" s="1"/>
  <c r="J968" i="9" s="1"/>
  <c r="I29" i="9"/>
  <c r="I80" i="9" s="1"/>
  <c r="I131" i="9" s="1"/>
  <c r="I182" i="9" s="1"/>
  <c r="I713" i="9" s="1"/>
  <c r="I764" i="9" s="1"/>
  <c r="I815" i="9" s="1"/>
  <c r="I866" i="9" s="1"/>
  <c r="I917" i="9" s="1"/>
  <c r="I968" i="9" s="1"/>
  <c r="H29" i="9"/>
  <c r="H80" i="9" s="1"/>
  <c r="H131" i="9" s="1"/>
  <c r="H182" i="9" s="1"/>
  <c r="H713" i="9" s="1"/>
  <c r="H764" i="9" s="1"/>
  <c r="H815" i="9" s="1"/>
  <c r="H866" i="9" s="1"/>
  <c r="H917" i="9" s="1"/>
  <c r="H968" i="9" s="1"/>
  <c r="G29" i="9"/>
  <c r="G80" i="9" s="1"/>
  <c r="G131" i="9" s="1"/>
  <c r="G182" i="9" s="1"/>
  <c r="G713" i="9" s="1"/>
  <c r="G764" i="9" s="1"/>
  <c r="G815" i="9" s="1"/>
  <c r="G866" i="9" s="1"/>
  <c r="G917" i="9" s="1"/>
  <c r="G968" i="9" s="1"/>
  <c r="F29" i="9"/>
  <c r="F80" i="9" s="1"/>
  <c r="F131" i="9" s="1"/>
  <c r="F182" i="9" s="1"/>
  <c r="F713" i="9" s="1"/>
  <c r="F764" i="9" s="1"/>
  <c r="F815" i="9" s="1"/>
  <c r="F866" i="9" s="1"/>
  <c r="F917" i="9" s="1"/>
  <c r="F968" i="9" s="1"/>
  <c r="E29" i="9"/>
  <c r="E80" i="9" s="1"/>
  <c r="E131" i="9" s="1"/>
  <c r="E182" i="9" s="1"/>
  <c r="E713" i="9" s="1"/>
  <c r="E764" i="9" s="1"/>
  <c r="E815" i="9" s="1"/>
  <c r="E866" i="9" s="1"/>
  <c r="E917" i="9" s="1"/>
  <c r="E968" i="9" s="1"/>
  <c r="D29" i="9"/>
  <c r="D80" i="9" s="1"/>
  <c r="D131" i="9" s="1"/>
  <c r="D182" i="9" s="1"/>
  <c r="D713" i="9" s="1"/>
  <c r="D764" i="9" s="1"/>
  <c r="D815" i="9" s="1"/>
  <c r="D866" i="9" s="1"/>
  <c r="D917" i="9" s="1"/>
  <c r="D968" i="9" s="1"/>
  <c r="P26" i="9"/>
  <c r="P77" i="9" s="1"/>
  <c r="P128" i="9" s="1"/>
  <c r="P179" i="9" s="1"/>
  <c r="P710" i="9" s="1"/>
  <c r="P761" i="9" s="1"/>
  <c r="P812" i="9" s="1"/>
  <c r="P863" i="9" s="1"/>
  <c r="P914" i="9" s="1"/>
  <c r="P965" i="9" s="1"/>
  <c r="O26" i="9"/>
  <c r="O77" i="9" s="1"/>
  <c r="O128" i="9" s="1"/>
  <c r="O179" i="9" s="1"/>
  <c r="O710" i="9" s="1"/>
  <c r="O761" i="9" s="1"/>
  <c r="O812" i="9" s="1"/>
  <c r="O863" i="9" s="1"/>
  <c r="O914" i="9" s="1"/>
  <c r="O965" i="9" s="1"/>
  <c r="N26" i="9"/>
  <c r="N77" i="9" s="1"/>
  <c r="N128" i="9" s="1"/>
  <c r="N179" i="9" s="1"/>
  <c r="N710" i="9" s="1"/>
  <c r="N761" i="9" s="1"/>
  <c r="N812" i="9" s="1"/>
  <c r="N863" i="9" s="1"/>
  <c r="N914" i="9" s="1"/>
  <c r="N965" i="9" s="1"/>
  <c r="M26" i="9"/>
  <c r="M77" i="9" s="1"/>
  <c r="M128" i="9" s="1"/>
  <c r="M179" i="9" s="1"/>
  <c r="M710" i="9" s="1"/>
  <c r="M761" i="9" s="1"/>
  <c r="M812" i="9" s="1"/>
  <c r="M863" i="9" s="1"/>
  <c r="M914" i="9" s="1"/>
  <c r="M965" i="9" s="1"/>
  <c r="L26" i="9"/>
  <c r="L77" i="9" s="1"/>
  <c r="L128" i="9" s="1"/>
  <c r="L179" i="9" s="1"/>
  <c r="L710" i="9" s="1"/>
  <c r="L761" i="9" s="1"/>
  <c r="L812" i="9" s="1"/>
  <c r="L863" i="9" s="1"/>
  <c r="L914" i="9" s="1"/>
  <c r="L965" i="9" s="1"/>
  <c r="K26" i="9"/>
  <c r="K77" i="9" s="1"/>
  <c r="K128" i="9" s="1"/>
  <c r="K179" i="9" s="1"/>
  <c r="K710" i="9" s="1"/>
  <c r="K761" i="9" s="1"/>
  <c r="K812" i="9" s="1"/>
  <c r="K863" i="9" s="1"/>
  <c r="K914" i="9" s="1"/>
  <c r="K965" i="9" s="1"/>
  <c r="J26" i="9"/>
  <c r="J77" i="9" s="1"/>
  <c r="J128" i="9" s="1"/>
  <c r="J179" i="9" s="1"/>
  <c r="J710" i="9" s="1"/>
  <c r="J761" i="9" s="1"/>
  <c r="J812" i="9" s="1"/>
  <c r="J863" i="9" s="1"/>
  <c r="J914" i="9" s="1"/>
  <c r="J965" i="9" s="1"/>
  <c r="I26" i="9"/>
  <c r="I77" i="9" s="1"/>
  <c r="I128" i="9" s="1"/>
  <c r="I179" i="9" s="1"/>
  <c r="I710" i="9" s="1"/>
  <c r="I761" i="9" s="1"/>
  <c r="I812" i="9" s="1"/>
  <c r="I863" i="9" s="1"/>
  <c r="I914" i="9" s="1"/>
  <c r="I965" i="9" s="1"/>
  <c r="H26" i="9"/>
  <c r="H77" i="9" s="1"/>
  <c r="H128" i="9" s="1"/>
  <c r="H179" i="9" s="1"/>
  <c r="H710" i="9" s="1"/>
  <c r="H761" i="9" s="1"/>
  <c r="H812" i="9" s="1"/>
  <c r="H863" i="9" s="1"/>
  <c r="H914" i="9" s="1"/>
  <c r="H965" i="9" s="1"/>
  <c r="G26" i="9"/>
  <c r="G77" i="9" s="1"/>
  <c r="G128" i="9" s="1"/>
  <c r="G179" i="9" s="1"/>
  <c r="G710" i="9" s="1"/>
  <c r="G761" i="9" s="1"/>
  <c r="G812" i="9" s="1"/>
  <c r="G863" i="9" s="1"/>
  <c r="G914" i="9" s="1"/>
  <c r="G965" i="9" s="1"/>
  <c r="F26" i="9"/>
  <c r="F77" i="9" s="1"/>
  <c r="F128" i="9" s="1"/>
  <c r="F179" i="9" s="1"/>
  <c r="F710" i="9" s="1"/>
  <c r="F761" i="9" s="1"/>
  <c r="F812" i="9" s="1"/>
  <c r="F863" i="9" s="1"/>
  <c r="F914" i="9" s="1"/>
  <c r="F965" i="9" s="1"/>
  <c r="E26" i="9"/>
  <c r="E77" i="9" s="1"/>
  <c r="E128" i="9" s="1"/>
  <c r="E179" i="9" s="1"/>
  <c r="E710" i="9" s="1"/>
  <c r="E761" i="9" s="1"/>
  <c r="E812" i="9" s="1"/>
  <c r="E863" i="9" s="1"/>
  <c r="E914" i="9" s="1"/>
  <c r="E965" i="9" s="1"/>
  <c r="D26" i="9"/>
  <c r="P15" i="9"/>
  <c r="P66" i="9" s="1"/>
  <c r="P117" i="9" s="1"/>
  <c r="P168" i="9" s="1"/>
  <c r="P699" i="9" s="1"/>
  <c r="P750" i="9" s="1"/>
  <c r="O15" i="9"/>
  <c r="O66" i="9" s="1"/>
  <c r="O117" i="9" s="1"/>
  <c r="O168" i="9" s="1"/>
  <c r="O699" i="9" s="1"/>
  <c r="O750" i="9" s="1"/>
  <c r="N15" i="9"/>
  <c r="N66" i="9" s="1"/>
  <c r="N117" i="9" s="1"/>
  <c r="N168" i="9" s="1"/>
  <c r="N699" i="9" s="1"/>
  <c r="N750" i="9" s="1"/>
  <c r="M15" i="9"/>
  <c r="M66" i="9" s="1"/>
  <c r="M117" i="9" s="1"/>
  <c r="M168" i="9" s="1"/>
  <c r="M699" i="9" s="1"/>
  <c r="M750" i="9" s="1"/>
  <c r="L15" i="9"/>
  <c r="L66" i="9" s="1"/>
  <c r="L117" i="9" s="1"/>
  <c r="L168" i="9" s="1"/>
  <c r="L699" i="9" s="1"/>
  <c r="L750" i="9" s="1"/>
  <c r="K15" i="9"/>
  <c r="K66" i="9" s="1"/>
  <c r="K117" i="9" s="1"/>
  <c r="K168" i="9" s="1"/>
  <c r="K699" i="9" s="1"/>
  <c r="K750" i="9" s="1"/>
  <c r="J15" i="9"/>
  <c r="J66" i="9" s="1"/>
  <c r="J117" i="9" s="1"/>
  <c r="J168" i="9" s="1"/>
  <c r="J699" i="9" s="1"/>
  <c r="J750" i="9" s="1"/>
  <c r="I15" i="9"/>
  <c r="I66" i="9" s="1"/>
  <c r="I117" i="9" s="1"/>
  <c r="I168" i="9" s="1"/>
  <c r="I699" i="9" s="1"/>
  <c r="I750" i="9" s="1"/>
  <c r="H15" i="9"/>
  <c r="H66" i="9" s="1"/>
  <c r="H117" i="9" s="1"/>
  <c r="H168" i="9" s="1"/>
  <c r="H699" i="9" s="1"/>
  <c r="H750" i="9" s="1"/>
  <c r="G15" i="9"/>
  <c r="G66" i="9" s="1"/>
  <c r="G117" i="9" s="1"/>
  <c r="G168" i="9" s="1"/>
  <c r="G699" i="9" s="1"/>
  <c r="G750" i="9" s="1"/>
  <c r="F15" i="9"/>
  <c r="F66" i="9" s="1"/>
  <c r="F117" i="9" s="1"/>
  <c r="F168" i="9" s="1"/>
  <c r="F699" i="9" s="1"/>
  <c r="F750" i="9" s="1"/>
  <c r="E15" i="9"/>
  <c r="E66" i="9" s="1"/>
  <c r="E117" i="9" s="1"/>
  <c r="E168" i="9" s="1"/>
  <c r="E699" i="9" s="1"/>
  <c r="E750" i="9" s="1"/>
  <c r="D15" i="9"/>
  <c r="D66" i="9" s="1"/>
  <c r="D117" i="9" s="1"/>
  <c r="D168" i="9" s="1"/>
  <c r="D699" i="9" s="1"/>
  <c r="D750" i="9" s="1"/>
  <c r="P12" i="9"/>
  <c r="O12" i="9"/>
  <c r="N12" i="9"/>
  <c r="M12" i="9"/>
  <c r="L12" i="9"/>
  <c r="K12" i="9"/>
  <c r="J12" i="9"/>
  <c r="I12" i="9"/>
  <c r="H12" i="9"/>
  <c r="G12" i="9"/>
  <c r="F12" i="9"/>
  <c r="E12" i="9"/>
  <c r="D12" i="9"/>
  <c r="P9" i="9"/>
  <c r="O9" i="9"/>
  <c r="N9" i="9"/>
  <c r="M9" i="9"/>
  <c r="L9" i="9"/>
  <c r="K9" i="9"/>
  <c r="J9" i="9"/>
  <c r="I9" i="9"/>
  <c r="H9" i="9"/>
  <c r="G9" i="9"/>
  <c r="F9" i="9"/>
  <c r="E9" i="9"/>
  <c r="D9" i="9"/>
  <c r="A3" i="9"/>
  <c r="P1088" i="8" l="1"/>
  <c r="O1088" i="8"/>
  <c r="N1088" i="8"/>
  <c r="M1088" i="8"/>
  <c r="L1088" i="8"/>
  <c r="K1088" i="8"/>
  <c r="J1088" i="8"/>
  <c r="I1088" i="8"/>
  <c r="H1088" i="8"/>
  <c r="G1088" i="8"/>
  <c r="F1088" i="8"/>
  <c r="E1088" i="8"/>
  <c r="D1088" i="8"/>
  <c r="P1087" i="8"/>
  <c r="O1087" i="8"/>
  <c r="N1087" i="8"/>
  <c r="M1087" i="8"/>
  <c r="L1087" i="8"/>
  <c r="K1087" i="8"/>
  <c r="J1087" i="8"/>
  <c r="I1087" i="8"/>
  <c r="H1087" i="8"/>
  <c r="G1087" i="8"/>
  <c r="F1087" i="8"/>
  <c r="E1087" i="8"/>
  <c r="D1087" i="8"/>
  <c r="P1086" i="8"/>
  <c r="O1086" i="8"/>
  <c r="N1086" i="8"/>
  <c r="M1086" i="8"/>
  <c r="L1086" i="8"/>
  <c r="K1086" i="8"/>
  <c r="J1086" i="8"/>
  <c r="I1086" i="8"/>
  <c r="H1086" i="8"/>
  <c r="G1086" i="8"/>
  <c r="F1086" i="8"/>
  <c r="E1086" i="8"/>
  <c r="D1086" i="8"/>
  <c r="D1082" i="8"/>
  <c r="P1081" i="8"/>
  <c r="O1081" i="8"/>
  <c r="O200" i="8" s="1"/>
  <c r="N1081" i="8"/>
  <c r="N200" i="8" s="1"/>
  <c r="M1081" i="8"/>
  <c r="M47" i="8" s="1"/>
  <c r="L1081" i="8"/>
  <c r="K1081" i="8"/>
  <c r="J1081" i="8"/>
  <c r="J200" i="8" s="1"/>
  <c r="I1081" i="8"/>
  <c r="I200" i="8" s="1"/>
  <c r="H1081" i="8"/>
  <c r="G1081" i="8"/>
  <c r="F1081" i="8"/>
  <c r="F200" i="8" s="1"/>
  <c r="E1081" i="8"/>
  <c r="E200" i="8" s="1"/>
  <c r="D1081" i="8"/>
  <c r="D1066" i="8"/>
  <c r="D1065" i="8"/>
  <c r="D1064" i="8"/>
  <c r="P1062" i="8"/>
  <c r="O1062" i="8"/>
  <c r="N1062" i="8"/>
  <c r="M1062" i="8"/>
  <c r="L1062" i="8"/>
  <c r="K1062" i="8"/>
  <c r="J1062" i="8"/>
  <c r="I1062" i="8"/>
  <c r="H1062" i="8"/>
  <c r="G1062" i="8"/>
  <c r="F1062" i="8"/>
  <c r="E1062" i="8"/>
  <c r="D1062" i="8"/>
  <c r="P1061" i="8"/>
  <c r="O1061" i="8"/>
  <c r="N1061" i="8"/>
  <c r="M1061" i="8"/>
  <c r="L1061" i="8"/>
  <c r="K1061" i="8"/>
  <c r="J1061" i="8"/>
  <c r="I1061" i="8"/>
  <c r="H1061" i="8"/>
  <c r="G1061" i="8"/>
  <c r="F1061" i="8"/>
  <c r="E1061" i="8"/>
  <c r="D1061" i="8"/>
  <c r="P1060" i="8"/>
  <c r="O1060" i="8"/>
  <c r="N1060" i="8"/>
  <c r="M1060" i="8"/>
  <c r="L1060" i="8"/>
  <c r="K1060" i="8"/>
  <c r="J1060" i="8"/>
  <c r="I1060" i="8"/>
  <c r="H1060" i="8"/>
  <c r="G1060" i="8"/>
  <c r="F1060" i="8"/>
  <c r="E1060" i="8"/>
  <c r="D1060" i="8"/>
  <c r="P1059" i="8"/>
  <c r="O1059" i="8"/>
  <c r="N1059" i="8"/>
  <c r="M1059" i="8"/>
  <c r="L1059" i="8"/>
  <c r="K1059" i="8"/>
  <c r="J1059" i="8"/>
  <c r="I1059" i="8"/>
  <c r="H1059" i="8"/>
  <c r="G1059" i="8"/>
  <c r="F1059" i="8"/>
  <c r="E1059" i="8"/>
  <c r="D1059" i="8"/>
  <c r="P1058" i="8"/>
  <c r="O1058" i="8"/>
  <c r="N1058" i="8"/>
  <c r="M1058" i="8"/>
  <c r="L1058" i="8"/>
  <c r="K1058" i="8"/>
  <c r="J1058" i="8"/>
  <c r="I1058" i="8"/>
  <c r="H1058" i="8"/>
  <c r="G1058" i="8"/>
  <c r="F1058" i="8"/>
  <c r="E1058" i="8"/>
  <c r="D1058" i="8"/>
  <c r="D1048" i="8"/>
  <c r="D1047" i="8"/>
  <c r="D1046" i="8"/>
  <c r="D1045" i="8"/>
  <c r="D1044" i="8"/>
  <c r="P1042" i="8"/>
  <c r="O1042" i="8"/>
  <c r="N1042" i="8"/>
  <c r="M1042" i="8"/>
  <c r="L1042" i="8"/>
  <c r="K1042" i="8"/>
  <c r="J1042" i="8"/>
  <c r="I1042" i="8"/>
  <c r="H1042" i="8"/>
  <c r="G1042" i="8"/>
  <c r="F1042" i="8"/>
  <c r="E1042" i="8"/>
  <c r="D1042" i="8"/>
  <c r="P1041" i="8"/>
  <c r="O1041" i="8"/>
  <c r="N1041" i="8"/>
  <c r="M1041" i="8"/>
  <c r="L1041" i="8"/>
  <c r="K1041" i="8"/>
  <c r="J1041" i="8"/>
  <c r="I1041" i="8"/>
  <c r="H1041" i="8"/>
  <c r="G1041" i="8"/>
  <c r="F1041" i="8"/>
  <c r="E1041" i="8"/>
  <c r="D1041" i="8"/>
  <c r="P1040" i="8"/>
  <c r="O1040" i="8"/>
  <c r="N1040" i="8"/>
  <c r="M1040" i="8"/>
  <c r="L1040" i="8"/>
  <c r="K1040" i="8"/>
  <c r="J1040" i="8"/>
  <c r="I1040" i="8"/>
  <c r="H1040" i="8"/>
  <c r="G1040" i="8"/>
  <c r="F1040" i="8"/>
  <c r="E1040" i="8"/>
  <c r="D1040" i="8"/>
  <c r="P1039" i="8"/>
  <c r="O1039" i="8"/>
  <c r="N1039" i="8"/>
  <c r="M1039" i="8"/>
  <c r="L1039" i="8"/>
  <c r="K1039" i="8"/>
  <c r="J1039" i="8"/>
  <c r="I1039" i="8"/>
  <c r="H1039" i="8"/>
  <c r="G1039" i="8"/>
  <c r="F1039" i="8"/>
  <c r="E1039" i="8"/>
  <c r="D1039" i="8"/>
  <c r="P1038" i="8"/>
  <c r="O1038" i="8"/>
  <c r="N1038" i="8"/>
  <c r="M1038" i="8"/>
  <c r="L1038" i="8"/>
  <c r="K1038" i="8"/>
  <c r="J1038" i="8"/>
  <c r="I1038" i="8"/>
  <c r="H1038" i="8"/>
  <c r="G1038" i="8"/>
  <c r="F1038" i="8"/>
  <c r="E1038" i="8"/>
  <c r="D1038" i="8"/>
  <c r="P1028" i="8"/>
  <c r="O1028" i="8"/>
  <c r="N1028" i="8"/>
  <c r="M1028" i="8"/>
  <c r="L1028" i="8"/>
  <c r="K1028" i="8"/>
  <c r="J1028" i="8"/>
  <c r="I1028" i="8"/>
  <c r="H1028" i="8"/>
  <c r="G1028" i="8"/>
  <c r="F1028" i="8"/>
  <c r="E1028" i="8"/>
  <c r="D1028" i="8"/>
  <c r="P1027" i="8"/>
  <c r="O1027" i="8"/>
  <c r="N1027" i="8"/>
  <c r="M1027" i="8"/>
  <c r="L1027" i="8"/>
  <c r="K1027" i="8"/>
  <c r="J1027" i="8"/>
  <c r="I1027" i="8"/>
  <c r="H1027" i="8"/>
  <c r="G1027" i="8"/>
  <c r="F1027" i="8"/>
  <c r="E1027" i="8"/>
  <c r="D1027" i="8"/>
  <c r="D1004" i="8"/>
  <c r="D1003" i="8"/>
  <c r="P1002" i="8"/>
  <c r="N1002" i="8"/>
  <c r="O1002" i="8" s="1"/>
  <c r="M1002" i="8"/>
  <c r="L1002" i="8"/>
  <c r="K1002" i="8"/>
  <c r="J1002" i="8"/>
  <c r="I1002" i="8"/>
  <c r="H1002" i="8"/>
  <c r="G1002" i="8"/>
  <c r="F1002" i="8"/>
  <c r="E1002" i="8"/>
  <c r="D1002" i="8"/>
  <c r="P1001" i="8"/>
  <c r="N1001" i="8"/>
  <c r="O1001" i="8" s="1"/>
  <c r="M1001" i="8"/>
  <c r="L1001" i="8"/>
  <c r="K1001" i="8"/>
  <c r="J1001" i="8"/>
  <c r="I1001" i="8"/>
  <c r="H1001" i="8"/>
  <c r="G1001" i="8"/>
  <c r="F1001" i="8"/>
  <c r="E1001" i="8"/>
  <c r="D1001" i="8"/>
  <c r="P999" i="8"/>
  <c r="O999" i="8"/>
  <c r="N999" i="8"/>
  <c r="N162" i="8" s="1"/>
  <c r="M999" i="8"/>
  <c r="L999" i="8"/>
  <c r="K999" i="8"/>
  <c r="J999" i="8"/>
  <c r="J162" i="8" s="1"/>
  <c r="I999" i="8"/>
  <c r="H999" i="8"/>
  <c r="G999" i="8"/>
  <c r="F999" i="8"/>
  <c r="F162" i="8" s="1"/>
  <c r="E999" i="8"/>
  <c r="D999" i="8"/>
  <c r="P986" i="8"/>
  <c r="O986" i="8"/>
  <c r="N986" i="8"/>
  <c r="M986" i="8"/>
  <c r="L986" i="8"/>
  <c r="K986" i="8"/>
  <c r="J986" i="8"/>
  <c r="I986" i="8"/>
  <c r="H986" i="8"/>
  <c r="G986" i="8"/>
  <c r="F986" i="8"/>
  <c r="E986" i="8"/>
  <c r="P954" i="8"/>
  <c r="O954" i="8"/>
  <c r="N954" i="8"/>
  <c r="M954" i="8"/>
  <c r="L954" i="8"/>
  <c r="K954" i="8"/>
  <c r="J954" i="8"/>
  <c r="I954" i="8"/>
  <c r="H954" i="8"/>
  <c r="G954" i="8"/>
  <c r="F954" i="8"/>
  <c r="E954" i="8"/>
  <c r="D954" i="8"/>
  <c r="P952" i="8"/>
  <c r="O952" i="8"/>
  <c r="N952" i="8"/>
  <c r="M952" i="8"/>
  <c r="L952" i="8"/>
  <c r="K952" i="8"/>
  <c r="J952" i="8"/>
  <c r="I952" i="8"/>
  <c r="H952" i="8"/>
  <c r="G952" i="8"/>
  <c r="F952" i="8"/>
  <c r="E952" i="8"/>
  <c r="D952" i="8"/>
  <c r="A945" i="8"/>
  <c r="P935" i="8"/>
  <c r="O935" i="8"/>
  <c r="N935" i="8"/>
  <c r="M935" i="8"/>
  <c r="L935" i="8"/>
  <c r="K935" i="8"/>
  <c r="J935" i="8"/>
  <c r="I935" i="8"/>
  <c r="H935" i="8"/>
  <c r="G935" i="8"/>
  <c r="F935" i="8"/>
  <c r="E935" i="8"/>
  <c r="P901" i="8"/>
  <c r="O901" i="8"/>
  <c r="N901" i="8"/>
  <c r="M901" i="8"/>
  <c r="L901" i="8"/>
  <c r="K901" i="8"/>
  <c r="J901" i="8"/>
  <c r="I901" i="8"/>
  <c r="H901" i="8"/>
  <c r="G901" i="8"/>
  <c r="F901" i="8"/>
  <c r="E901" i="8"/>
  <c r="D901" i="8"/>
  <c r="A894" i="8"/>
  <c r="P884" i="8"/>
  <c r="O884" i="8"/>
  <c r="N884" i="8"/>
  <c r="M884" i="8"/>
  <c r="L884" i="8"/>
  <c r="K884" i="8"/>
  <c r="J884" i="8"/>
  <c r="I884" i="8"/>
  <c r="H884" i="8"/>
  <c r="G884" i="8"/>
  <c r="F884" i="8"/>
  <c r="E884" i="8"/>
  <c r="P855" i="8"/>
  <c r="P906" i="8" s="1"/>
  <c r="O855" i="8"/>
  <c r="O906" i="8" s="1"/>
  <c r="N855" i="8"/>
  <c r="N906" i="8" s="1"/>
  <c r="M855" i="8"/>
  <c r="M906" i="8" s="1"/>
  <c r="L855" i="8"/>
  <c r="L906" i="8" s="1"/>
  <c r="K855" i="8"/>
  <c r="K906" i="8" s="1"/>
  <c r="J855" i="8"/>
  <c r="J906" i="8" s="1"/>
  <c r="I855" i="8"/>
  <c r="I906" i="8" s="1"/>
  <c r="H855" i="8"/>
  <c r="H906" i="8" s="1"/>
  <c r="G855" i="8"/>
  <c r="G906" i="8" s="1"/>
  <c r="F855" i="8"/>
  <c r="F906" i="8" s="1"/>
  <c r="E855" i="8"/>
  <c r="E906" i="8" s="1"/>
  <c r="D855" i="8"/>
  <c r="D906" i="8" s="1"/>
  <c r="P854" i="8"/>
  <c r="P905" i="8" s="1"/>
  <c r="P956" i="8" s="1"/>
  <c r="O854" i="8"/>
  <c r="O905" i="8" s="1"/>
  <c r="O956" i="8" s="1"/>
  <c r="N854" i="8"/>
  <c r="N905" i="8" s="1"/>
  <c r="N956" i="8" s="1"/>
  <c r="M854" i="8"/>
  <c r="M905" i="8" s="1"/>
  <c r="M956" i="8" s="1"/>
  <c r="L854" i="8"/>
  <c r="L905" i="8" s="1"/>
  <c r="L956" i="8" s="1"/>
  <c r="K854" i="8"/>
  <c r="K905" i="8" s="1"/>
  <c r="K956" i="8" s="1"/>
  <c r="J854" i="8"/>
  <c r="J905" i="8" s="1"/>
  <c r="J956" i="8" s="1"/>
  <c r="I854" i="8"/>
  <c r="I905" i="8" s="1"/>
  <c r="I956" i="8" s="1"/>
  <c r="H854" i="8"/>
  <c r="H905" i="8" s="1"/>
  <c r="H956" i="8" s="1"/>
  <c r="G854" i="8"/>
  <c r="G905" i="8" s="1"/>
  <c r="G956" i="8" s="1"/>
  <c r="F854" i="8"/>
  <c r="F905" i="8" s="1"/>
  <c r="F956" i="8" s="1"/>
  <c r="E854" i="8"/>
  <c r="E905" i="8" s="1"/>
  <c r="E956" i="8" s="1"/>
  <c r="D854" i="8"/>
  <c r="D905" i="8" s="1"/>
  <c r="D956" i="8" s="1"/>
  <c r="M852" i="8"/>
  <c r="M903" i="8" s="1"/>
  <c r="E852" i="8"/>
  <c r="E903" i="8" s="1"/>
  <c r="J850" i="8"/>
  <c r="P849" i="8"/>
  <c r="O849" i="8"/>
  <c r="N849" i="8"/>
  <c r="M849" i="8"/>
  <c r="L849" i="8"/>
  <c r="K849" i="8"/>
  <c r="J849" i="8"/>
  <c r="I849" i="8"/>
  <c r="H849" i="8"/>
  <c r="G849" i="8"/>
  <c r="F849" i="8"/>
  <c r="E849" i="8"/>
  <c r="D849" i="8"/>
  <c r="A843" i="8"/>
  <c r="P833" i="8"/>
  <c r="O833" i="8"/>
  <c r="N833" i="8"/>
  <c r="M833" i="8"/>
  <c r="L833" i="8"/>
  <c r="K833" i="8"/>
  <c r="J833" i="8"/>
  <c r="I833" i="8"/>
  <c r="H833" i="8"/>
  <c r="G833" i="8"/>
  <c r="F833" i="8"/>
  <c r="E833" i="8"/>
  <c r="D833" i="8"/>
  <c r="P801" i="8"/>
  <c r="P852" i="8" s="1"/>
  <c r="P903" i="8" s="1"/>
  <c r="O801" i="8"/>
  <c r="O852" i="8" s="1"/>
  <c r="O903" i="8" s="1"/>
  <c r="N801" i="8"/>
  <c r="N852" i="8" s="1"/>
  <c r="N903" i="8" s="1"/>
  <c r="M801" i="8"/>
  <c r="L801" i="8"/>
  <c r="L852" i="8" s="1"/>
  <c r="L903" i="8" s="1"/>
  <c r="K801" i="8"/>
  <c r="K852" i="8" s="1"/>
  <c r="K903" i="8" s="1"/>
  <c r="J801" i="8"/>
  <c r="J852" i="8" s="1"/>
  <c r="J903" i="8" s="1"/>
  <c r="I801" i="8"/>
  <c r="I852" i="8" s="1"/>
  <c r="I903" i="8" s="1"/>
  <c r="H801" i="8"/>
  <c r="H852" i="8" s="1"/>
  <c r="H903" i="8" s="1"/>
  <c r="G801" i="8"/>
  <c r="G852" i="8" s="1"/>
  <c r="G903" i="8" s="1"/>
  <c r="F801" i="8"/>
  <c r="F852" i="8" s="1"/>
  <c r="F903" i="8" s="1"/>
  <c r="E801" i="8"/>
  <c r="D801" i="8"/>
  <c r="D852" i="8" s="1"/>
  <c r="D903" i="8" s="1"/>
  <c r="P799" i="8"/>
  <c r="P850" i="8" s="1"/>
  <c r="O799" i="8"/>
  <c r="O850" i="8" s="1"/>
  <c r="N799" i="8"/>
  <c r="N850" i="8" s="1"/>
  <c r="M799" i="8"/>
  <c r="M850" i="8" s="1"/>
  <c r="L799" i="8"/>
  <c r="L850" i="8" s="1"/>
  <c r="K799" i="8"/>
  <c r="K850" i="8" s="1"/>
  <c r="J799" i="8"/>
  <c r="I799" i="8"/>
  <c r="I850" i="8" s="1"/>
  <c r="H799" i="8"/>
  <c r="H850" i="8" s="1"/>
  <c r="G799" i="8"/>
  <c r="G850" i="8" s="1"/>
  <c r="F799" i="8"/>
  <c r="F850" i="8" s="1"/>
  <c r="E799" i="8"/>
  <c r="E850" i="8" s="1"/>
  <c r="D799" i="8"/>
  <c r="D850" i="8" s="1"/>
  <c r="P795" i="8"/>
  <c r="O795" i="8"/>
  <c r="N795" i="8"/>
  <c r="M795" i="8"/>
  <c r="L795" i="8"/>
  <c r="K795" i="8"/>
  <c r="J795" i="8"/>
  <c r="I795" i="8"/>
  <c r="H795" i="8"/>
  <c r="G795" i="8"/>
  <c r="F795" i="8"/>
  <c r="E795" i="8"/>
  <c r="D795" i="8"/>
  <c r="A792" i="8"/>
  <c r="P782" i="8"/>
  <c r="O782" i="8"/>
  <c r="N782" i="8"/>
  <c r="M782" i="8"/>
  <c r="L782" i="8"/>
  <c r="K782" i="8"/>
  <c r="J782" i="8"/>
  <c r="I782" i="8"/>
  <c r="H782" i="8"/>
  <c r="G782" i="8"/>
  <c r="F782" i="8"/>
  <c r="E782" i="8"/>
  <c r="P753" i="8"/>
  <c r="O753" i="8"/>
  <c r="N753" i="8"/>
  <c r="M753" i="8"/>
  <c r="L753" i="8"/>
  <c r="K753" i="8"/>
  <c r="J753" i="8"/>
  <c r="I753" i="8"/>
  <c r="H753" i="8"/>
  <c r="G753" i="8"/>
  <c r="F753" i="8"/>
  <c r="E753" i="8"/>
  <c r="D753" i="8"/>
  <c r="P752" i="8"/>
  <c r="O752" i="8"/>
  <c r="N752" i="8"/>
  <c r="M752" i="8"/>
  <c r="L752" i="8"/>
  <c r="K752" i="8"/>
  <c r="J752" i="8"/>
  <c r="I752" i="8"/>
  <c r="H752" i="8"/>
  <c r="G752" i="8"/>
  <c r="F752" i="8"/>
  <c r="E752" i="8"/>
  <c r="D752" i="8"/>
  <c r="P748" i="8"/>
  <c r="O748" i="8"/>
  <c r="N748" i="8"/>
  <c r="M748" i="8"/>
  <c r="L748" i="8"/>
  <c r="K748" i="8"/>
  <c r="J748" i="8"/>
  <c r="I748" i="8"/>
  <c r="H748" i="8"/>
  <c r="G748" i="8"/>
  <c r="F748" i="8"/>
  <c r="E748" i="8"/>
  <c r="D748" i="8"/>
  <c r="A741" i="8"/>
  <c r="P731" i="8"/>
  <c r="O731" i="8"/>
  <c r="N731" i="8"/>
  <c r="M731" i="8"/>
  <c r="L731" i="8"/>
  <c r="K731" i="8"/>
  <c r="J731" i="8"/>
  <c r="I731" i="8"/>
  <c r="H731" i="8"/>
  <c r="G731" i="8"/>
  <c r="F731" i="8"/>
  <c r="E731" i="8"/>
  <c r="P697" i="8"/>
  <c r="O697" i="8"/>
  <c r="N697" i="8"/>
  <c r="M697" i="8"/>
  <c r="L697" i="8"/>
  <c r="K697" i="8"/>
  <c r="J697" i="8"/>
  <c r="I697" i="8"/>
  <c r="H697" i="8"/>
  <c r="G697" i="8"/>
  <c r="F697" i="8"/>
  <c r="E697" i="8"/>
  <c r="D697" i="8"/>
  <c r="A690" i="8"/>
  <c r="A642" i="8"/>
  <c r="A594" i="8"/>
  <c r="A546" i="8"/>
  <c r="A498" i="8"/>
  <c r="A450" i="8"/>
  <c r="A402" i="8"/>
  <c r="A354" i="8"/>
  <c r="A306" i="8"/>
  <c r="A258" i="8"/>
  <c r="A210" i="8"/>
  <c r="P200" i="8"/>
  <c r="L200" i="8"/>
  <c r="K200" i="8"/>
  <c r="H200" i="8"/>
  <c r="G200" i="8"/>
  <c r="D200" i="8"/>
  <c r="P165" i="8"/>
  <c r="O165" i="8"/>
  <c r="N165" i="8"/>
  <c r="M165" i="8"/>
  <c r="L165" i="8"/>
  <c r="K165" i="8"/>
  <c r="J165" i="8"/>
  <c r="I165" i="8"/>
  <c r="H165" i="8"/>
  <c r="G165" i="8"/>
  <c r="F165" i="8"/>
  <c r="E165" i="8"/>
  <c r="D165" i="8"/>
  <c r="P162" i="8"/>
  <c r="O162" i="8"/>
  <c r="M162" i="8"/>
  <c r="L162" i="8"/>
  <c r="K162" i="8"/>
  <c r="I162" i="8"/>
  <c r="H162" i="8"/>
  <c r="G162" i="8"/>
  <c r="E162" i="8"/>
  <c r="D162" i="8"/>
  <c r="A159" i="8"/>
  <c r="J155" i="8"/>
  <c r="J206" i="8" s="1"/>
  <c r="J737" i="8" s="1"/>
  <c r="J788" i="8" s="1"/>
  <c r="J839" i="8" s="1"/>
  <c r="J890" i="8" s="1"/>
  <c r="J941" i="8" s="1"/>
  <c r="J992" i="8" s="1"/>
  <c r="O154" i="8"/>
  <c r="O205" i="8" s="1"/>
  <c r="O736" i="8" s="1"/>
  <c r="O787" i="8" s="1"/>
  <c r="O838" i="8" s="1"/>
  <c r="O889" i="8" s="1"/>
  <c r="O940" i="8" s="1"/>
  <c r="O991" i="8" s="1"/>
  <c r="G154" i="8"/>
  <c r="G205" i="8" s="1"/>
  <c r="G736" i="8" s="1"/>
  <c r="G787" i="8" s="1"/>
  <c r="G838" i="8" s="1"/>
  <c r="G889" i="8" s="1"/>
  <c r="G940" i="8" s="1"/>
  <c r="G991" i="8" s="1"/>
  <c r="L153" i="8"/>
  <c r="L204" i="8" s="1"/>
  <c r="L735" i="8" s="1"/>
  <c r="L786" i="8" s="1"/>
  <c r="L837" i="8" s="1"/>
  <c r="L888" i="8" s="1"/>
  <c r="L939" i="8" s="1"/>
  <c r="L990" i="8" s="1"/>
  <c r="D153" i="8"/>
  <c r="D204" i="8" s="1"/>
  <c r="D735" i="8" s="1"/>
  <c r="D786" i="8" s="1"/>
  <c r="D837" i="8" s="1"/>
  <c r="D888" i="8" s="1"/>
  <c r="D939" i="8" s="1"/>
  <c r="D990" i="8" s="1"/>
  <c r="L133" i="8"/>
  <c r="L184" i="8" s="1"/>
  <c r="L715" i="8" s="1"/>
  <c r="L766" i="8" s="1"/>
  <c r="L817" i="8" s="1"/>
  <c r="L868" i="8" s="1"/>
  <c r="L919" i="8" s="1"/>
  <c r="L970" i="8" s="1"/>
  <c r="D126" i="8"/>
  <c r="P125" i="8"/>
  <c r="O125" i="8"/>
  <c r="N125" i="8"/>
  <c r="M125" i="8"/>
  <c r="L125" i="8"/>
  <c r="K125" i="8"/>
  <c r="J125" i="8"/>
  <c r="I125" i="8"/>
  <c r="H125" i="8"/>
  <c r="G125" i="8"/>
  <c r="F125" i="8"/>
  <c r="E125" i="8"/>
  <c r="D125" i="8"/>
  <c r="D123" i="8"/>
  <c r="D122" i="8"/>
  <c r="P120" i="8"/>
  <c r="O120" i="8"/>
  <c r="N120" i="8"/>
  <c r="M120" i="8"/>
  <c r="L120" i="8"/>
  <c r="K120" i="8"/>
  <c r="J120" i="8"/>
  <c r="I120" i="8"/>
  <c r="H120" i="8"/>
  <c r="G120" i="8"/>
  <c r="F120" i="8"/>
  <c r="E120" i="8"/>
  <c r="D120" i="8"/>
  <c r="P119" i="8"/>
  <c r="O119" i="8"/>
  <c r="N119" i="8"/>
  <c r="M119" i="8"/>
  <c r="L119" i="8"/>
  <c r="K119" i="8"/>
  <c r="J119" i="8"/>
  <c r="I119" i="8"/>
  <c r="H119" i="8"/>
  <c r="G119" i="8"/>
  <c r="F119" i="8"/>
  <c r="E119" i="8"/>
  <c r="D119" i="8"/>
  <c r="P115" i="8"/>
  <c r="O115" i="8"/>
  <c r="N115" i="8"/>
  <c r="M115" i="8"/>
  <c r="L115" i="8"/>
  <c r="K115" i="8"/>
  <c r="J115" i="8"/>
  <c r="I115" i="8"/>
  <c r="H115" i="8"/>
  <c r="G115" i="8"/>
  <c r="F115" i="8"/>
  <c r="E115" i="8"/>
  <c r="D115" i="8"/>
  <c r="N114" i="8"/>
  <c r="P111" i="8"/>
  <c r="O111" i="8"/>
  <c r="N111" i="8"/>
  <c r="M111" i="8"/>
  <c r="L111" i="8"/>
  <c r="K111" i="8"/>
  <c r="J111" i="8"/>
  <c r="I111" i="8"/>
  <c r="H111" i="8"/>
  <c r="G111" i="8"/>
  <c r="F111" i="8"/>
  <c r="E111" i="8"/>
  <c r="A108" i="8"/>
  <c r="P104" i="8"/>
  <c r="P155" i="8" s="1"/>
  <c r="P206" i="8" s="1"/>
  <c r="P737" i="8" s="1"/>
  <c r="P788" i="8" s="1"/>
  <c r="P839" i="8" s="1"/>
  <c r="P890" i="8" s="1"/>
  <c r="P941" i="8" s="1"/>
  <c r="P992" i="8" s="1"/>
  <c r="O104" i="8"/>
  <c r="O155" i="8" s="1"/>
  <c r="O206" i="8" s="1"/>
  <c r="O737" i="8" s="1"/>
  <c r="O788" i="8" s="1"/>
  <c r="O839" i="8" s="1"/>
  <c r="O890" i="8" s="1"/>
  <c r="O941" i="8" s="1"/>
  <c r="O992" i="8" s="1"/>
  <c r="N104" i="8"/>
  <c r="N155" i="8" s="1"/>
  <c r="N206" i="8" s="1"/>
  <c r="N737" i="8" s="1"/>
  <c r="N788" i="8" s="1"/>
  <c r="N839" i="8" s="1"/>
  <c r="N890" i="8" s="1"/>
  <c r="N941" i="8" s="1"/>
  <c r="N992" i="8" s="1"/>
  <c r="M104" i="8"/>
  <c r="M155" i="8" s="1"/>
  <c r="M206" i="8" s="1"/>
  <c r="M737" i="8" s="1"/>
  <c r="M788" i="8" s="1"/>
  <c r="M839" i="8" s="1"/>
  <c r="M890" i="8" s="1"/>
  <c r="M941" i="8" s="1"/>
  <c r="M992" i="8" s="1"/>
  <c r="L104" i="8"/>
  <c r="L155" i="8" s="1"/>
  <c r="L206" i="8" s="1"/>
  <c r="L737" i="8" s="1"/>
  <c r="L788" i="8" s="1"/>
  <c r="L839" i="8" s="1"/>
  <c r="L890" i="8" s="1"/>
  <c r="L941" i="8" s="1"/>
  <c r="L992" i="8" s="1"/>
  <c r="K104" i="8"/>
  <c r="K155" i="8" s="1"/>
  <c r="K206" i="8" s="1"/>
  <c r="K737" i="8" s="1"/>
  <c r="K788" i="8" s="1"/>
  <c r="K839" i="8" s="1"/>
  <c r="K890" i="8" s="1"/>
  <c r="K941" i="8" s="1"/>
  <c r="K992" i="8" s="1"/>
  <c r="J104" i="8"/>
  <c r="I104" i="8"/>
  <c r="I155" i="8" s="1"/>
  <c r="I206" i="8" s="1"/>
  <c r="I737" i="8" s="1"/>
  <c r="I788" i="8" s="1"/>
  <c r="I839" i="8" s="1"/>
  <c r="I890" i="8" s="1"/>
  <c r="I941" i="8" s="1"/>
  <c r="I992" i="8" s="1"/>
  <c r="H104" i="8"/>
  <c r="H155" i="8" s="1"/>
  <c r="H206" i="8" s="1"/>
  <c r="H737" i="8" s="1"/>
  <c r="H788" i="8" s="1"/>
  <c r="H839" i="8" s="1"/>
  <c r="H890" i="8" s="1"/>
  <c r="H941" i="8" s="1"/>
  <c r="H992" i="8" s="1"/>
  <c r="G104" i="8"/>
  <c r="G155" i="8" s="1"/>
  <c r="G206" i="8" s="1"/>
  <c r="G737" i="8" s="1"/>
  <c r="G788" i="8" s="1"/>
  <c r="G839" i="8" s="1"/>
  <c r="G890" i="8" s="1"/>
  <c r="G941" i="8" s="1"/>
  <c r="G992" i="8" s="1"/>
  <c r="F104" i="8"/>
  <c r="F155" i="8" s="1"/>
  <c r="F206" i="8" s="1"/>
  <c r="F737" i="8" s="1"/>
  <c r="F788" i="8" s="1"/>
  <c r="F839" i="8" s="1"/>
  <c r="F890" i="8" s="1"/>
  <c r="F941" i="8" s="1"/>
  <c r="F992" i="8" s="1"/>
  <c r="E104" i="8"/>
  <c r="E155" i="8" s="1"/>
  <c r="E206" i="8" s="1"/>
  <c r="E737" i="8" s="1"/>
  <c r="E788" i="8" s="1"/>
  <c r="E839" i="8" s="1"/>
  <c r="E890" i="8" s="1"/>
  <c r="E941" i="8" s="1"/>
  <c r="E992" i="8" s="1"/>
  <c r="D104" i="8"/>
  <c r="D155" i="8" s="1"/>
  <c r="D206" i="8" s="1"/>
  <c r="D737" i="8" s="1"/>
  <c r="D788" i="8" s="1"/>
  <c r="D839" i="8" s="1"/>
  <c r="D890" i="8" s="1"/>
  <c r="D941" i="8" s="1"/>
  <c r="D992" i="8" s="1"/>
  <c r="P103" i="8"/>
  <c r="P154" i="8" s="1"/>
  <c r="P205" i="8" s="1"/>
  <c r="P736" i="8" s="1"/>
  <c r="P787" i="8" s="1"/>
  <c r="P838" i="8" s="1"/>
  <c r="P889" i="8" s="1"/>
  <c r="P940" i="8" s="1"/>
  <c r="P991" i="8" s="1"/>
  <c r="O103" i="8"/>
  <c r="N103" i="8"/>
  <c r="N154" i="8" s="1"/>
  <c r="N205" i="8" s="1"/>
  <c r="N736" i="8" s="1"/>
  <c r="N787" i="8" s="1"/>
  <c r="N838" i="8" s="1"/>
  <c r="N889" i="8" s="1"/>
  <c r="N940" i="8" s="1"/>
  <c r="N991" i="8" s="1"/>
  <c r="M103" i="8"/>
  <c r="M154" i="8" s="1"/>
  <c r="M205" i="8" s="1"/>
  <c r="M736" i="8" s="1"/>
  <c r="M787" i="8" s="1"/>
  <c r="M838" i="8" s="1"/>
  <c r="M889" i="8" s="1"/>
  <c r="M940" i="8" s="1"/>
  <c r="M991" i="8" s="1"/>
  <c r="L103" i="8"/>
  <c r="L154" i="8" s="1"/>
  <c r="L205" i="8" s="1"/>
  <c r="L736" i="8" s="1"/>
  <c r="L787" i="8" s="1"/>
  <c r="L838" i="8" s="1"/>
  <c r="L889" i="8" s="1"/>
  <c r="L940" i="8" s="1"/>
  <c r="L991" i="8" s="1"/>
  <c r="K103" i="8"/>
  <c r="K154" i="8" s="1"/>
  <c r="K205" i="8" s="1"/>
  <c r="K736" i="8" s="1"/>
  <c r="K787" i="8" s="1"/>
  <c r="K838" i="8" s="1"/>
  <c r="K889" i="8" s="1"/>
  <c r="K940" i="8" s="1"/>
  <c r="K991" i="8" s="1"/>
  <c r="J103" i="8"/>
  <c r="J154" i="8" s="1"/>
  <c r="J205" i="8" s="1"/>
  <c r="J736" i="8" s="1"/>
  <c r="J787" i="8" s="1"/>
  <c r="J838" i="8" s="1"/>
  <c r="J889" i="8" s="1"/>
  <c r="J940" i="8" s="1"/>
  <c r="J991" i="8" s="1"/>
  <c r="I103" i="8"/>
  <c r="I154" i="8" s="1"/>
  <c r="I205" i="8" s="1"/>
  <c r="I736" i="8" s="1"/>
  <c r="I787" i="8" s="1"/>
  <c r="I838" i="8" s="1"/>
  <c r="I889" i="8" s="1"/>
  <c r="I940" i="8" s="1"/>
  <c r="I991" i="8" s="1"/>
  <c r="H103" i="8"/>
  <c r="H154" i="8" s="1"/>
  <c r="H205" i="8" s="1"/>
  <c r="H736" i="8" s="1"/>
  <c r="H787" i="8" s="1"/>
  <c r="H838" i="8" s="1"/>
  <c r="H889" i="8" s="1"/>
  <c r="H940" i="8" s="1"/>
  <c r="H991" i="8" s="1"/>
  <c r="G103" i="8"/>
  <c r="F103" i="8"/>
  <c r="F154" i="8" s="1"/>
  <c r="F205" i="8" s="1"/>
  <c r="F736" i="8" s="1"/>
  <c r="F787" i="8" s="1"/>
  <c r="F838" i="8" s="1"/>
  <c r="F889" i="8" s="1"/>
  <c r="F940" i="8" s="1"/>
  <c r="F991" i="8" s="1"/>
  <c r="E103" i="8"/>
  <c r="E154" i="8" s="1"/>
  <c r="E205" i="8" s="1"/>
  <c r="E736" i="8" s="1"/>
  <c r="E787" i="8" s="1"/>
  <c r="E838" i="8" s="1"/>
  <c r="E889" i="8" s="1"/>
  <c r="E940" i="8" s="1"/>
  <c r="E991" i="8" s="1"/>
  <c r="D103" i="8"/>
  <c r="D154" i="8" s="1"/>
  <c r="D205" i="8" s="1"/>
  <c r="D736" i="8" s="1"/>
  <c r="D787" i="8" s="1"/>
  <c r="D838" i="8" s="1"/>
  <c r="D889" i="8" s="1"/>
  <c r="D940" i="8" s="1"/>
  <c r="D991" i="8" s="1"/>
  <c r="P102" i="8"/>
  <c r="P153" i="8" s="1"/>
  <c r="P204" i="8" s="1"/>
  <c r="P735" i="8" s="1"/>
  <c r="P786" i="8" s="1"/>
  <c r="P837" i="8" s="1"/>
  <c r="P888" i="8" s="1"/>
  <c r="P939" i="8" s="1"/>
  <c r="P990" i="8" s="1"/>
  <c r="O102" i="8"/>
  <c r="O153" i="8" s="1"/>
  <c r="O204" i="8" s="1"/>
  <c r="O735" i="8" s="1"/>
  <c r="O786" i="8" s="1"/>
  <c r="O837" i="8" s="1"/>
  <c r="O888" i="8" s="1"/>
  <c r="O939" i="8" s="1"/>
  <c r="O990" i="8" s="1"/>
  <c r="N102" i="8"/>
  <c r="N153" i="8" s="1"/>
  <c r="N204" i="8" s="1"/>
  <c r="N735" i="8" s="1"/>
  <c r="N786" i="8" s="1"/>
  <c r="N837" i="8" s="1"/>
  <c r="N888" i="8" s="1"/>
  <c r="N939" i="8" s="1"/>
  <c r="N990" i="8" s="1"/>
  <c r="M102" i="8"/>
  <c r="M153" i="8" s="1"/>
  <c r="M204" i="8" s="1"/>
  <c r="M735" i="8" s="1"/>
  <c r="M786" i="8" s="1"/>
  <c r="M837" i="8" s="1"/>
  <c r="M888" i="8" s="1"/>
  <c r="M939" i="8" s="1"/>
  <c r="M990" i="8" s="1"/>
  <c r="L102" i="8"/>
  <c r="K102" i="8"/>
  <c r="K153" i="8" s="1"/>
  <c r="K204" i="8" s="1"/>
  <c r="K735" i="8" s="1"/>
  <c r="K786" i="8" s="1"/>
  <c r="K837" i="8" s="1"/>
  <c r="K888" i="8" s="1"/>
  <c r="K939" i="8" s="1"/>
  <c r="K990" i="8" s="1"/>
  <c r="J102" i="8"/>
  <c r="J153" i="8" s="1"/>
  <c r="J204" i="8" s="1"/>
  <c r="J735" i="8" s="1"/>
  <c r="J786" i="8" s="1"/>
  <c r="J837" i="8" s="1"/>
  <c r="J888" i="8" s="1"/>
  <c r="J939" i="8" s="1"/>
  <c r="J990" i="8" s="1"/>
  <c r="I102" i="8"/>
  <c r="I153" i="8" s="1"/>
  <c r="I204" i="8" s="1"/>
  <c r="I735" i="8" s="1"/>
  <c r="I786" i="8" s="1"/>
  <c r="I837" i="8" s="1"/>
  <c r="I888" i="8" s="1"/>
  <c r="I939" i="8" s="1"/>
  <c r="I990" i="8" s="1"/>
  <c r="H102" i="8"/>
  <c r="H153" i="8" s="1"/>
  <c r="H204" i="8" s="1"/>
  <c r="H735" i="8" s="1"/>
  <c r="H786" i="8" s="1"/>
  <c r="H837" i="8" s="1"/>
  <c r="H888" i="8" s="1"/>
  <c r="H939" i="8" s="1"/>
  <c r="H990" i="8" s="1"/>
  <c r="G102" i="8"/>
  <c r="G153" i="8" s="1"/>
  <c r="G204" i="8" s="1"/>
  <c r="G735" i="8" s="1"/>
  <c r="G786" i="8" s="1"/>
  <c r="G837" i="8" s="1"/>
  <c r="G888" i="8" s="1"/>
  <c r="G939" i="8" s="1"/>
  <c r="G990" i="8" s="1"/>
  <c r="F102" i="8"/>
  <c r="F153" i="8" s="1"/>
  <c r="F204" i="8" s="1"/>
  <c r="F735" i="8" s="1"/>
  <c r="F786" i="8" s="1"/>
  <c r="F837" i="8" s="1"/>
  <c r="F888" i="8" s="1"/>
  <c r="F939" i="8" s="1"/>
  <c r="F990" i="8" s="1"/>
  <c r="E102" i="8"/>
  <c r="E153" i="8" s="1"/>
  <c r="E204" i="8" s="1"/>
  <c r="E735" i="8" s="1"/>
  <c r="E786" i="8" s="1"/>
  <c r="E837" i="8" s="1"/>
  <c r="E888" i="8" s="1"/>
  <c r="E939" i="8" s="1"/>
  <c r="E990" i="8" s="1"/>
  <c r="D102" i="8"/>
  <c r="P101" i="8"/>
  <c r="O101" i="8"/>
  <c r="N101" i="8"/>
  <c r="M101" i="8"/>
  <c r="L101" i="8"/>
  <c r="K101" i="8"/>
  <c r="J101" i="8"/>
  <c r="I101" i="8"/>
  <c r="G101" i="8"/>
  <c r="P98" i="8"/>
  <c r="P149" i="8" s="1"/>
  <c r="O98" i="8"/>
  <c r="O149" i="8" s="1"/>
  <c r="N98" i="8"/>
  <c r="N149" i="8" s="1"/>
  <c r="M98" i="8"/>
  <c r="M149" i="8" s="1"/>
  <c r="L98" i="8"/>
  <c r="L149" i="8" s="1"/>
  <c r="K98" i="8"/>
  <c r="K149" i="8" s="1"/>
  <c r="J98" i="8"/>
  <c r="J149" i="8" s="1"/>
  <c r="I98" i="8"/>
  <c r="I149" i="8" s="1"/>
  <c r="H98" i="8"/>
  <c r="H149" i="8" s="1"/>
  <c r="G98" i="8"/>
  <c r="G149" i="8" s="1"/>
  <c r="F98" i="8"/>
  <c r="F149" i="8" s="1"/>
  <c r="E98" i="8"/>
  <c r="E149" i="8" s="1"/>
  <c r="D98" i="8"/>
  <c r="P95" i="8"/>
  <c r="P146" i="8" s="1"/>
  <c r="P197" i="8" s="1"/>
  <c r="P728" i="8" s="1"/>
  <c r="P779" i="8" s="1"/>
  <c r="P830" i="8" s="1"/>
  <c r="P881" i="8" s="1"/>
  <c r="P932" i="8" s="1"/>
  <c r="P983" i="8" s="1"/>
  <c r="O95" i="8"/>
  <c r="O146" i="8" s="1"/>
  <c r="O197" i="8" s="1"/>
  <c r="O728" i="8" s="1"/>
  <c r="O779" i="8" s="1"/>
  <c r="O830" i="8" s="1"/>
  <c r="O881" i="8" s="1"/>
  <c r="O932" i="8" s="1"/>
  <c r="O983" i="8" s="1"/>
  <c r="N95" i="8"/>
  <c r="N146" i="8" s="1"/>
  <c r="N197" i="8" s="1"/>
  <c r="N728" i="8" s="1"/>
  <c r="N779" i="8" s="1"/>
  <c r="N830" i="8" s="1"/>
  <c r="N881" i="8" s="1"/>
  <c r="N932" i="8" s="1"/>
  <c r="N983" i="8" s="1"/>
  <c r="M95" i="8"/>
  <c r="M146" i="8" s="1"/>
  <c r="M197" i="8" s="1"/>
  <c r="M728" i="8" s="1"/>
  <c r="M779" i="8" s="1"/>
  <c r="M830" i="8" s="1"/>
  <c r="M881" i="8" s="1"/>
  <c r="M932" i="8" s="1"/>
  <c r="M983" i="8" s="1"/>
  <c r="L95" i="8"/>
  <c r="L146" i="8" s="1"/>
  <c r="L197" i="8" s="1"/>
  <c r="L728" i="8" s="1"/>
  <c r="L779" i="8" s="1"/>
  <c r="L830" i="8" s="1"/>
  <c r="L881" i="8" s="1"/>
  <c r="L932" i="8" s="1"/>
  <c r="L983" i="8" s="1"/>
  <c r="K95" i="8"/>
  <c r="K146" i="8" s="1"/>
  <c r="K197" i="8" s="1"/>
  <c r="K728" i="8" s="1"/>
  <c r="K779" i="8" s="1"/>
  <c r="K830" i="8" s="1"/>
  <c r="K881" i="8" s="1"/>
  <c r="K932" i="8" s="1"/>
  <c r="K983" i="8" s="1"/>
  <c r="J95" i="8"/>
  <c r="J146" i="8" s="1"/>
  <c r="J197" i="8" s="1"/>
  <c r="J728" i="8" s="1"/>
  <c r="J779" i="8" s="1"/>
  <c r="J830" i="8" s="1"/>
  <c r="J881" i="8" s="1"/>
  <c r="J932" i="8" s="1"/>
  <c r="J983" i="8" s="1"/>
  <c r="I95" i="8"/>
  <c r="I146" i="8" s="1"/>
  <c r="I197" i="8" s="1"/>
  <c r="I728" i="8" s="1"/>
  <c r="I779" i="8" s="1"/>
  <c r="I830" i="8" s="1"/>
  <c r="I881" i="8" s="1"/>
  <c r="I932" i="8" s="1"/>
  <c r="I983" i="8" s="1"/>
  <c r="H95" i="8"/>
  <c r="H146" i="8" s="1"/>
  <c r="H197" i="8" s="1"/>
  <c r="H728" i="8" s="1"/>
  <c r="H779" i="8" s="1"/>
  <c r="H830" i="8" s="1"/>
  <c r="H881" i="8" s="1"/>
  <c r="H932" i="8" s="1"/>
  <c r="H983" i="8" s="1"/>
  <c r="G95" i="8"/>
  <c r="G146" i="8" s="1"/>
  <c r="G197" i="8" s="1"/>
  <c r="G728" i="8" s="1"/>
  <c r="G779" i="8" s="1"/>
  <c r="G830" i="8" s="1"/>
  <c r="G881" i="8" s="1"/>
  <c r="G932" i="8" s="1"/>
  <c r="G983" i="8" s="1"/>
  <c r="F95" i="8"/>
  <c r="F146" i="8" s="1"/>
  <c r="F197" i="8" s="1"/>
  <c r="F728" i="8" s="1"/>
  <c r="F779" i="8" s="1"/>
  <c r="F830" i="8" s="1"/>
  <c r="F881" i="8" s="1"/>
  <c r="F932" i="8" s="1"/>
  <c r="F983" i="8" s="1"/>
  <c r="E95" i="8"/>
  <c r="E146" i="8" s="1"/>
  <c r="E197" i="8" s="1"/>
  <c r="E728" i="8" s="1"/>
  <c r="E779" i="8" s="1"/>
  <c r="E830" i="8" s="1"/>
  <c r="E881" i="8" s="1"/>
  <c r="E932" i="8" s="1"/>
  <c r="E983" i="8" s="1"/>
  <c r="D95" i="8"/>
  <c r="D146" i="8" s="1"/>
  <c r="D197" i="8" s="1"/>
  <c r="D728" i="8" s="1"/>
  <c r="D779" i="8" s="1"/>
  <c r="D830" i="8" s="1"/>
  <c r="D881" i="8" s="1"/>
  <c r="D932" i="8" s="1"/>
  <c r="D983" i="8" s="1"/>
  <c r="P94" i="8"/>
  <c r="P145" i="8" s="1"/>
  <c r="P196" i="8" s="1"/>
  <c r="P727" i="8" s="1"/>
  <c r="P778" i="8" s="1"/>
  <c r="P829" i="8" s="1"/>
  <c r="P880" i="8" s="1"/>
  <c r="P931" i="8" s="1"/>
  <c r="P982" i="8" s="1"/>
  <c r="O94" i="8"/>
  <c r="O145" i="8" s="1"/>
  <c r="O196" i="8" s="1"/>
  <c r="O727" i="8" s="1"/>
  <c r="O778" i="8" s="1"/>
  <c r="O829" i="8" s="1"/>
  <c r="O880" i="8" s="1"/>
  <c r="O931" i="8" s="1"/>
  <c r="O982" i="8" s="1"/>
  <c r="N94" i="8"/>
  <c r="N145" i="8" s="1"/>
  <c r="N196" i="8" s="1"/>
  <c r="N727" i="8" s="1"/>
  <c r="N778" i="8" s="1"/>
  <c r="N829" i="8" s="1"/>
  <c r="N880" i="8" s="1"/>
  <c r="N931" i="8" s="1"/>
  <c r="N982" i="8" s="1"/>
  <c r="M94" i="8"/>
  <c r="M145" i="8" s="1"/>
  <c r="M196" i="8" s="1"/>
  <c r="M727" i="8" s="1"/>
  <c r="M778" i="8" s="1"/>
  <c r="M829" i="8" s="1"/>
  <c r="M880" i="8" s="1"/>
  <c r="M931" i="8" s="1"/>
  <c r="M982" i="8" s="1"/>
  <c r="L94" i="8"/>
  <c r="L145" i="8" s="1"/>
  <c r="L196" i="8" s="1"/>
  <c r="L727" i="8" s="1"/>
  <c r="L778" i="8" s="1"/>
  <c r="L829" i="8" s="1"/>
  <c r="L880" i="8" s="1"/>
  <c r="L931" i="8" s="1"/>
  <c r="L982" i="8" s="1"/>
  <c r="K94" i="8"/>
  <c r="K145" i="8" s="1"/>
  <c r="K196" i="8" s="1"/>
  <c r="K727" i="8" s="1"/>
  <c r="K778" i="8" s="1"/>
  <c r="K829" i="8" s="1"/>
  <c r="K880" i="8" s="1"/>
  <c r="K931" i="8" s="1"/>
  <c r="K982" i="8" s="1"/>
  <c r="J94" i="8"/>
  <c r="J145" i="8" s="1"/>
  <c r="J196" i="8" s="1"/>
  <c r="J727" i="8" s="1"/>
  <c r="J778" i="8" s="1"/>
  <c r="J829" i="8" s="1"/>
  <c r="J880" i="8" s="1"/>
  <c r="J931" i="8" s="1"/>
  <c r="J982" i="8" s="1"/>
  <c r="I94" i="8"/>
  <c r="I145" i="8" s="1"/>
  <c r="I196" i="8" s="1"/>
  <c r="I727" i="8" s="1"/>
  <c r="I778" i="8" s="1"/>
  <c r="I829" i="8" s="1"/>
  <c r="I880" i="8" s="1"/>
  <c r="I931" i="8" s="1"/>
  <c r="I982" i="8" s="1"/>
  <c r="H94" i="8"/>
  <c r="H145" i="8" s="1"/>
  <c r="H196" i="8" s="1"/>
  <c r="H727" i="8" s="1"/>
  <c r="H778" i="8" s="1"/>
  <c r="H829" i="8" s="1"/>
  <c r="H880" i="8" s="1"/>
  <c r="H931" i="8" s="1"/>
  <c r="H982" i="8" s="1"/>
  <c r="G94" i="8"/>
  <c r="G145" i="8" s="1"/>
  <c r="G196" i="8" s="1"/>
  <c r="G727" i="8" s="1"/>
  <c r="G778" i="8" s="1"/>
  <c r="G829" i="8" s="1"/>
  <c r="G880" i="8" s="1"/>
  <c r="G931" i="8" s="1"/>
  <c r="G982" i="8" s="1"/>
  <c r="F94" i="8"/>
  <c r="F145" i="8" s="1"/>
  <c r="F196" i="8" s="1"/>
  <c r="F727" i="8" s="1"/>
  <c r="F778" i="8" s="1"/>
  <c r="F829" i="8" s="1"/>
  <c r="F880" i="8" s="1"/>
  <c r="F931" i="8" s="1"/>
  <c r="F982" i="8" s="1"/>
  <c r="E94" i="8"/>
  <c r="E145" i="8" s="1"/>
  <c r="E196" i="8" s="1"/>
  <c r="E727" i="8" s="1"/>
  <c r="E778" i="8" s="1"/>
  <c r="E829" i="8" s="1"/>
  <c r="E880" i="8" s="1"/>
  <c r="E931" i="8" s="1"/>
  <c r="E982" i="8" s="1"/>
  <c r="D94" i="8"/>
  <c r="D145" i="8" s="1"/>
  <c r="D196" i="8" s="1"/>
  <c r="D727" i="8" s="1"/>
  <c r="D778" i="8" s="1"/>
  <c r="D829" i="8" s="1"/>
  <c r="D880" i="8" s="1"/>
  <c r="D931" i="8" s="1"/>
  <c r="D982" i="8" s="1"/>
  <c r="P82" i="8"/>
  <c r="P133" i="8" s="1"/>
  <c r="P184" i="8" s="1"/>
  <c r="P715" i="8" s="1"/>
  <c r="P766" i="8" s="1"/>
  <c r="P817" i="8" s="1"/>
  <c r="P868" i="8" s="1"/>
  <c r="P919" i="8" s="1"/>
  <c r="P970" i="8" s="1"/>
  <c r="O82" i="8"/>
  <c r="O133" i="8" s="1"/>
  <c r="O184" i="8" s="1"/>
  <c r="O715" i="8" s="1"/>
  <c r="O766" i="8" s="1"/>
  <c r="O817" i="8" s="1"/>
  <c r="O868" i="8" s="1"/>
  <c r="O919" i="8" s="1"/>
  <c r="O970" i="8" s="1"/>
  <c r="N82" i="8"/>
  <c r="N133" i="8" s="1"/>
  <c r="N184" i="8" s="1"/>
  <c r="N715" i="8" s="1"/>
  <c r="N766" i="8" s="1"/>
  <c r="N817" i="8" s="1"/>
  <c r="N868" i="8" s="1"/>
  <c r="N919" i="8" s="1"/>
  <c r="N970" i="8" s="1"/>
  <c r="M82" i="8"/>
  <c r="M133" i="8" s="1"/>
  <c r="M184" i="8" s="1"/>
  <c r="M715" i="8" s="1"/>
  <c r="M766" i="8" s="1"/>
  <c r="M817" i="8" s="1"/>
  <c r="M868" i="8" s="1"/>
  <c r="M919" i="8" s="1"/>
  <c r="M970" i="8" s="1"/>
  <c r="L82" i="8"/>
  <c r="K82" i="8"/>
  <c r="K133" i="8" s="1"/>
  <c r="K184" i="8" s="1"/>
  <c r="K715" i="8" s="1"/>
  <c r="K766" i="8" s="1"/>
  <c r="K817" i="8" s="1"/>
  <c r="K868" i="8" s="1"/>
  <c r="K919" i="8" s="1"/>
  <c r="K970" i="8" s="1"/>
  <c r="J82" i="8"/>
  <c r="J133" i="8" s="1"/>
  <c r="J184" i="8" s="1"/>
  <c r="J715" i="8" s="1"/>
  <c r="J766" i="8" s="1"/>
  <c r="J817" i="8" s="1"/>
  <c r="J868" i="8" s="1"/>
  <c r="J919" i="8" s="1"/>
  <c r="J970" i="8" s="1"/>
  <c r="I82" i="8"/>
  <c r="I133" i="8" s="1"/>
  <c r="I184" i="8" s="1"/>
  <c r="I715" i="8" s="1"/>
  <c r="I766" i="8" s="1"/>
  <c r="I817" i="8" s="1"/>
  <c r="I868" i="8" s="1"/>
  <c r="I919" i="8" s="1"/>
  <c r="I970" i="8" s="1"/>
  <c r="H82" i="8"/>
  <c r="H133" i="8" s="1"/>
  <c r="H184" i="8" s="1"/>
  <c r="H715" i="8" s="1"/>
  <c r="H766" i="8" s="1"/>
  <c r="H817" i="8" s="1"/>
  <c r="H868" i="8" s="1"/>
  <c r="H919" i="8" s="1"/>
  <c r="H970" i="8" s="1"/>
  <c r="G82" i="8"/>
  <c r="G133" i="8" s="1"/>
  <c r="G184" i="8" s="1"/>
  <c r="G715" i="8" s="1"/>
  <c r="G766" i="8" s="1"/>
  <c r="G817" i="8" s="1"/>
  <c r="G868" i="8" s="1"/>
  <c r="G919" i="8" s="1"/>
  <c r="G970" i="8" s="1"/>
  <c r="F82" i="8"/>
  <c r="F133" i="8" s="1"/>
  <c r="F184" i="8" s="1"/>
  <c r="F715" i="8" s="1"/>
  <c r="F766" i="8" s="1"/>
  <c r="F817" i="8" s="1"/>
  <c r="F868" i="8" s="1"/>
  <c r="F919" i="8" s="1"/>
  <c r="F970" i="8" s="1"/>
  <c r="E82" i="8"/>
  <c r="E133" i="8" s="1"/>
  <c r="E184" i="8" s="1"/>
  <c r="E715" i="8" s="1"/>
  <c r="E766" i="8" s="1"/>
  <c r="E817" i="8" s="1"/>
  <c r="E868" i="8" s="1"/>
  <c r="E919" i="8" s="1"/>
  <c r="E970" i="8" s="1"/>
  <c r="D82" i="8"/>
  <c r="D133" i="8" s="1"/>
  <c r="D184" i="8" s="1"/>
  <c r="D715" i="8" s="1"/>
  <c r="D766" i="8" s="1"/>
  <c r="D817" i="8" s="1"/>
  <c r="D868" i="8" s="1"/>
  <c r="D919" i="8" s="1"/>
  <c r="D970" i="8" s="1"/>
  <c r="P81" i="8"/>
  <c r="P132" i="8" s="1"/>
  <c r="P183" i="8" s="1"/>
  <c r="P714" i="8" s="1"/>
  <c r="P765" i="8" s="1"/>
  <c r="P816" i="8" s="1"/>
  <c r="P867" i="8" s="1"/>
  <c r="P918" i="8" s="1"/>
  <c r="P969" i="8" s="1"/>
  <c r="O81" i="8"/>
  <c r="O132" i="8" s="1"/>
  <c r="O183" i="8" s="1"/>
  <c r="O714" i="8" s="1"/>
  <c r="O765" i="8" s="1"/>
  <c r="O816" i="8" s="1"/>
  <c r="O867" i="8" s="1"/>
  <c r="O918" i="8" s="1"/>
  <c r="O969" i="8" s="1"/>
  <c r="N81" i="8"/>
  <c r="N132" i="8" s="1"/>
  <c r="N183" i="8" s="1"/>
  <c r="N714" i="8" s="1"/>
  <c r="N765" i="8" s="1"/>
  <c r="N816" i="8" s="1"/>
  <c r="N867" i="8" s="1"/>
  <c r="N918" i="8" s="1"/>
  <c r="N969" i="8" s="1"/>
  <c r="M81" i="8"/>
  <c r="M132" i="8" s="1"/>
  <c r="M183" i="8" s="1"/>
  <c r="M714" i="8" s="1"/>
  <c r="M765" i="8" s="1"/>
  <c r="M816" i="8" s="1"/>
  <c r="M867" i="8" s="1"/>
  <c r="M918" i="8" s="1"/>
  <c r="M969" i="8" s="1"/>
  <c r="L81" i="8"/>
  <c r="L132" i="8" s="1"/>
  <c r="L183" i="8" s="1"/>
  <c r="L714" i="8" s="1"/>
  <c r="L765" i="8" s="1"/>
  <c r="L816" i="8" s="1"/>
  <c r="L867" i="8" s="1"/>
  <c r="L918" i="8" s="1"/>
  <c r="L969" i="8" s="1"/>
  <c r="K81" i="8"/>
  <c r="K132" i="8" s="1"/>
  <c r="K183" i="8" s="1"/>
  <c r="K714" i="8" s="1"/>
  <c r="K765" i="8" s="1"/>
  <c r="K816" i="8" s="1"/>
  <c r="K867" i="8" s="1"/>
  <c r="K918" i="8" s="1"/>
  <c r="K969" i="8" s="1"/>
  <c r="J81" i="8"/>
  <c r="J132" i="8" s="1"/>
  <c r="J183" i="8" s="1"/>
  <c r="J714" i="8" s="1"/>
  <c r="J765" i="8" s="1"/>
  <c r="J816" i="8" s="1"/>
  <c r="J867" i="8" s="1"/>
  <c r="J918" i="8" s="1"/>
  <c r="J969" i="8" s="1"/>
  <c r="I81" i="8"/>
  <c r="I132" i="8" s="1"/>
  <c r="I183" i="8" s="1"/>
  <c r="I714" i="8" s="1"/>
  <c r="I765" i="8" s="1"/>
  <c r="I816" i="8" s="1"/>
  <c r="I867" i="8" s="1"/>
  <c r="I918" i="8" s="1"/>
  <c r="I969" i="8" s="1"/>
  <c r="H81" i="8"/>
  <c r="H132" i="8" s="1"/>
  <c r="H183" i="8" s="1"/>
  <c r="H714" i="8" s="1"/>
  <c r="H765" i="8" s="1"/>
  <c r="H816" i="8" s="1"/>
  <c r="H867" i="8" s="1"/>
  <c r="H918" i="8" s="1"/>
  <c r="H969" i="8" s="1"/>
  <c r="G81" i="8"/>
  <c r="G132" i="8" s="1"/>
  <c r="G183" i="8" s="1"/>
  <c r="G714" i="8" s="1"/>
  <c r="G765" i="8" s="1"/>
  <c r="G816" i="8" s="1"/>
  <c r="G867" i="8" s="1"/>
  <c r="G918" i="8" s="1"/>
  <c r="G969" i="8" s="1"/>
  <c r="F81" i="8"/>
  <c r="F132" i="8" s="1"/>
  <c r="F183" i="8" s="1"/>
  <c r="F714" i="8" s="1"/>
  <c r="F765" i="8" s="1"/>
  <c r="F816" i="8" s="1"/>
  <c r="F867" i="8" s="1"/>
  <c r="F918" i="8" s="1"/>
  <c r="F969" i="8" s="1"/>
  <c r="E81" i="8"/>
  <c r="E132" i="8" s="1"/>
  <c r="E183" i="8" s="1"/>
  <c r="E714" i="8" s="1"/>
  <c r="E765" i="8" s="1"/>
  <c r="E816" i="8" s="1"/>
  <c r="E867" i="8" s="1"/>
  <c r="E918" i="8" s="1"/>
  <c r="E969" i="8" s="1"/>
  <c r="D81" i="8"/>
  <c r="D132" i="8" s="1"/>
  <c r="D183" i="8" s="1"/>
  <c r="D714" i="8" s="1"/>
  <c r="D765" i="8" s="1"/>
  <c r="D816" i="8" s="1"/>
  <c r="D867" i="8" s="1"/>
  <c r="D918" i="8" s="1"/>
  <c r="D969" i="8" s="1"/>
  <c r="P79" i="8"/>
  <c r="P130" i="8" s="1"/>
  <c r="P181" i="8" s="1"/>
  <c r="P712" i="8" s="1"/>
  <c r="P763" i="8" s="1"/>
  <c r="P814" i="8" s="1"/>
  <c r="P865" i="8" s="1"/>
  <c r="P916" i="8" s="1"/>
  <c r="P967" i="8" s="1"/>
  <c r="O79" i="8"/>
  <c r="O130" i="8" s="1"/>
  <c r="O181" i="8" s="1"/>
  <c r="O712" i="8" s="1"/>
  <c r="O763" i="8" s="1"/>
  <c r="O814" i="8" s="1"/>
  <c r="O865" i="8" s="1"/>
  <c r="O916" i="8" s="1"/>
  <c r="O967" i="8" s="1"/>
  <c r="N79" i="8"/>
  <c r="N130" i="8" s="1"/>
  <c r="N181" i="8" s="1"/>
  <c r="N712" i="8" s="1"/>
  <c r="N763" i="8" s="1"/>
  <c r="N814" i="8" s="1"/>
  <c r="N865" i="8" s="1"/>
  <c r="N916" i="8" s="1"/>
  <c r="N967" i="8" s="1"/>
  <c r="M79" i="8"/>
  <c r="M130" i="8" s="1"/>
  <c r="M181" i="8" s="1"/>
  <c r="M712" i="8" s="1"/>
  <c r="M763" i="8" s="1"/>
  <c r="M814" i="8" s="1"/>
  <c r="M865" i="8" s="1"/>
  <c r="M916" i="8" s="1"/>
  <c r="M967" i="8" s="1"/>
  <c r="L79" i="8"/>
  <c r="L130" i="8" s="1"/>
  <c r="L181" i="8" s="1"/>
  <c r="L712" i="8" s="1"/>
  <c r="L763" i="8" s="1"/>
  <c r="L814" i="8" s="1"/>
  <c r="L865" i="8" s="1"/>
  <c r="L916" i="8" s="1"/>
  <c r="L967" i="8" s="1"/>
  <c r="K79" i="8"/>
  <c r="K130" i="8" s="1"/>
  <c r="K181" i="8" s="1"/>
  <c r="K712" i="8" s="1"/>
  <c r="K763" i="8" s="1"/>
  <c r="K814" i="8" s="1"/>
  <c r="K865" i="8" s="1"/>
  <c r="K916" i="8" s="1"/>
  <c r="K967" i="8" s="1"/>
  <c r="J79" i="8"/>
  <c r="J130" i="8" s="1"/>
  <c r="J181" i="8" s="1"/>
  <c r="J712" i="8" s="1"/>
  <c r="J763" i="8" s="1"/>
  <c r="J814" i="8" s="1"/>
  <c r="J865" i="8" s="1"/>
  <c r="J916" i="8" s="1"/>
  <c r="J967" i="8" s="1"/>
  <c r="I79" i="8"/>
  <c r="I130" i="8" s="1"/>
  <c r="I181" i="8" s="1"/>
  <c r="I712" i="8" s="1"/>
  <c r="I763" i="8" s="1"/>
  <c r="I814" i="8" s="1"/>
  <c r="I865" i="8" s="1"/>
  <c r="I916" i="8" s="1"/>
  <c r="I967" i="8" s="1"/>
  <c r="H79" i="8"/>
  <c r="H130" i="8" s="1"/>
  <c r="H181" i="8" s="1"/>
  <c r="H712" i="8" s="1"/>
  <c r="H763" i="8" s="1"/>
  <c r="H814" i="8" s="1"/>
  <c r="H865" i="8" s="1"/>
  <c r="H916" i="8" s="1"/>
  <c r="H967" i="8" s="1"/>
  <c r="G79" i="8"/>
  <c r="G130" i="8" s="1"/>
  <c r="G181" i="8" s="1"/>
  <c r="G712" i="8" s="1"/>
  <c r="G763" i="8" s="1"/>
  <c r="G814" i="8" s="1"/>
  <c r="G865" i="8" s="1"/>
  <c r="G916" i="8" s="1"/>
  <c r="G967" i="8" s="1"/>
  <c r="F79" i="8"/>
  <c r="F130" i="8" s="1"/>
  <c r="F181" i="8" s="1"/>
  <c r="F712" i="8" s="1"/>
  <c r="F763" i="8" s="1"/>
  <c r="F814" i="8" s="1"/>
  <c r="F865" i="8" s="1"/>
  <c r="F916" i="8" s="1"/>
  <c r="F967" i="8" s="1"/>
  <c r="E79" i="8"/>
  <c r="E130" i="8" s="1"/>
  <c r="E181" i="8" s="1"/>
  <c r="E712" i="8" s="1"/>
  <c r="E763" i="8" s="1"/>
  <c r="E814" i="8" s="1"/>
  <c r="E865" i="8" s="1"/>
  <c r="E916" i="8" s="1"/>
  <c r="E967" i="8" s="1"/>
  <c r="D79" i="8"/>
  <c r="D130" i="8" s="1"/>
  <c r="D181" i="8" s="1"/>
  <c r="D712" i="8" s="1"/>
  <c r="D763" i="8" s="1"/>
  <c r="D814" i="8" s="1"/>
  <c r="D865" i="8" s="1"/>
  <c r="D916" i="8" s="1"/>
  <c r="D967" i="8" s="1"/>
  <c r="P63" i="8"/>
  <c r="P114" i="8" s="1"/>
  <c r="O63" i="8"/>
  <c r="O114" i="8" s="1"/>
  <c r="N63" i="8"/>
  <c r="M63" i="8"/>
  <c r="M114" i="8" s="1"/>
  <c r="L63" i="8"/>
  <c r="L114" i="8" s="1"/>
  <c r="K63" i="8"/>
  <c r="K114" i="8" s="1"/>
  <c r="J63" i="8"/>
  <c r="J114" i="8" s="1"/>
  <c r="I63" i="8"/>
  <c r="I114" i="8" s="1"/>
  <c r="H63" i="8"/>
  <c r="H114" i="8" s="1"/>
  <c r="G63" i="8"/>
  <c r="G114" i="8" s="1"/>
  <c r="F63" i="8"/>
  <c r="F114" i="8" s="1"/>
  <c r="E63" i="8"/>
  <c r="E114" i="8" s="1"/>
  <c r="D63" i="8"/>
  <c r="D114" i="8" s="1"/>
  <c r="P58" i="8"/>
  <c r="P109" i="8" s="1"/>
  <c r="P160" i="8" s="1"/>
  <c r="P691" i="8" s="1"/>
  <c r="P742" i="8" s="1"/>
  <c r="P793" i="8" s="1"/>
  <c r="P844" i="8" s="1"/>
  <c r="P895" i="8" s="1"/>
  <c r="P946" i="8" s="1"/>
  <c r="P997" i="8" s="1"/>
  <c r="O58" i="8"/>
  <c r="O109" i="8" s="1"/>
  <c r="O160" i="8" s="1"/>
  <c r="O691" i="8" s="1"/>
  <c r="O742" i="8" s="1"/>
  <c r="O793" i="8" s="1"/>
  <c r="O844" i="8" s="1"/>
  <c r="O895" i="8" s="1"/>
  <c r="O946" i="8" s="1"/>
  <c r="O997" i="8" s="1"/>
  <c r="O1049" i="8" s="1"/>
  <c r="N58" i="8"/>
  <c r="N109" i="8" s="1"/>
  <c r="N160" i="8" s="1"/>
  <c r="N691" i="8" s="1"/>
  <c r="N742" i="8" s="1"/>
  <c r="N793" i="8" s="1"/>
  <c r="N844" i="8" s="1"/>
  <c r="N895" i="8" s="1"/>
  <c r="N946" i="8" s="1"/>
  <c r="N997" i="8" s="1"/>
  <c r="N1049" i="8" s="1"/>
  <c r="M58" i="8"/>
  <c r="M109" i="8" s="1"/>
  <c r="M160" i="8" s="1"/>
  <c r="M691" i="8" s="1"/>
  <c r="M742" i="8" s="1"/>
  <c r="M793" i="8" s="1"/>
  <c r="M844" i="8" s="1"/>
  <c r="M895" i="8" s="1"/>
  <c r="M946" i="8" s="1"/>
  <c r="M997" i="8" s="1"/>
  <c r="M1049" i="8" s="1"/>
  <c r="L58" i="8"/>
  <c r="L109" i="8" s="1"/>
  <c r="L160" i="8" s="1"/>
  <c r="L691" i="8" s="1"/>
  <c r="L742" i="8" s="1"/>
  <c r="L793" i="8" s="1"/>
  <c r="L844" i="8" s="1"/>
  <c r="L895" i="8" s="1"/>
  <c r="L946" i="8" s="1"/>
  <c r="L997" i="8" s="1"/>
  <c r="L1049" i="8" s="1"/>
  <c r="K58" i="8"/>
  <c r="K109" i="8" s="1"/>
  <c r="K160" i="8" s="1"/>
  <c r="K691" i="8" s="1"/>
  <c r="K742" i="8" s="1"/>
  <c r="K793" i="8" s="1"/>
  <c r="K844" i="8" s="1"/>
  <c r="K895" i="8" s="1"/>
  <c r="K946" i="8" s="1"/>
  <c r="K997" i="8" s="1"/>
  <c r="K1049" i="8" s="1"/>
  <c r="J58" i="8"/>
  <c r="J109" i="8" s="1"/>
  <c r="J160" i="8" s="1"/>
  <c r="J691" i="8" s="1"/>
  <c r="J742" i="8" s="1"/>
  <c r="J793" i="8" s="1"/>
  <c r="J844" i="8" s="1"/>
  <c r="J895" i="8" s="1"/>
  <c r="J946" i="8" s="1"/>
  <c r="J997" i="8" s="1"/>
  <c r="J1049" i="8" s="1"/>
  <c r="I58" i="8"/>
  <c r="I109" i="8" s="1"/>
  <c r="I160" i="8" s="1"/>
  <c r="I691" i="8" s="1"/>
  <c r="I742" i="8" s="1"/>
  <c r="I793" i="8" s="1"/>
  <c r="I844" i="8" s="1"/>
  <c r="I895" i="8" s="1"/>
  <c r="I946" i="8" s="1"/>
  <c r="I997" i="8" s="1"/>
  <c r="I1049" i="8" s="1"/>
  <c r="H58" i="8"/>
  <c r="H109" i="8" s="1"/>
  <c r="H160" i="8" s="1"/>
  <c r="H691" i="8" s="1"/>
  <c r="H742" i="8" s="1"/>
  <c r="H793" i="8" s="1"/>
  <c r="H844" i="8" s="1"/>
  <c r="H895" i="8" s="1"/>
  <c r="H946" i="8" s="1"/>
  <c r="H997" i="8" s="1"/>
  <c r="H1049" i="8" s="1"/>
  <c r="G58" i="8"/>
  <c r="G109" i="8" s="1"/>
  <c r="G160" i="8" s="1"/>
  <c r="G691" i="8" s="1"/>
  <c r="G742" i="8" s="1"/>
  <c r="G793" i="8" s="1"/>
  <c r="G844" i="8" s="1"/>
  <c r="G895" i="8" s="1"/>
  <c r="G946" i="8" s="1"/>
  <c r="G997" i="8" s="1"/>
  <c r="G1049" i="8" s="1"/>
  <c r="F58" i="8"/>
  <c r="F109" i="8" s="1"/>
  <c r="F160" i="8" s="1"/>
  <c r="F691" i="8" s="1"/>
  <c r="F742" i="8" s="1"/>
  <c r="F793" i="8" s="1"/>
  <c r="F844" i="8" s="1"/>
  <c r="F895" i="8" s="1"/>
  <c r="F946" i="8" s="1"/>
  <c r="F997" i="8" s="1"/>
  <c r="F1049" i="8" s="1"/>
  <c r="E58" i="8"/>
  <c r="E109" i="8" s="1"/>
  <c r="E160" i="8" s="1"/>
  <c r="E691" i="8" s="1"/>
  <c r="E742" i="8" s="1"/>
  <c r="E793" i="8" s="1"/>
  <c r="E844" i="8" s="1"/>
  <c r="E895" i="8" s="1"/>
  <c r="E946" i="8" s="1"/>
  <c r="E997" i="8" s="1"/>
  <c r="E1049" i="8" s="1"/>
  <c r="D58" i="8"/>
  <c r="D109" i="8" s="1"/>
  <c r="D160" i="8" s="1"/>
  <c r="D691" i="8" s="1"/>
  <c r="D742" i="8" s="1"/>
  <c r="D793" i="8" s="1"/>
  <c r="D844" i="8" s="1"/>
  <c r="D895" i="8" s="1"/>
  <c r="D946" i="8" s="1"/>
  <c r="D997" i="8" s="1"/>
  <c r="D1049" i="8" s="1"/>
  <c r="A57" i="8"/>
  <c r="P49" i="8"/>
  <c r="P100" i="8" s="1"/>
  <c r="P151" i="8" s="1"/>
  <c r="P202" i="8" s="1"/>
  <c r="P733" i="8" s="1"/>
  <c r="P784" i="8" s="1"/>
  <c r="P835" i="8" s="1"/>
  <c r="P886" i="8" s="1"/>
  <c r="P937" i="8" s="1"/>
  <c r="P988" i="8" s="1"/>
  <c r="O49" i="8"/>
  <c r="O100" i="8" s="1"/>
  <c r="O151" i="8" s="1"/>
  <c r="O202" i="8" s="1"/>
  <c r="O733" i="8" s="1"/>
  <c r="O784" i="8" s="1"/>
  <c r="O835" i="8" s="1"/>
  <c r="O886" i="8" s="1"/>
  <c r="O937" i="8" s="1"/>
  <c r="O988" i="8" s="1"/>
  <c r="N49" i="8"/>
  <c r="N100" i="8" s="1"/>
  <c r="N151" i="8" s="1"/>
  <c r="N202" i="8" s="1"/>
  <c r="N733" i="8" s="1"/>
  <c r="N784" i="8" s="1"/>
  <c r="N835" i="8" s="1"/>
  <c r="N886" i="8" s="1"/>
  <c r="N937" i="8" s="1"/>
  <c r="N988" i="8" s="1"/>
  <c r="M49" i="8"/>
  <c r="M100" i="8" s="1"/>
  <c r="M151" i="8" s="1"/>
  <c r="M202" i="8" s="1"/>
  <c r="M733" i="8" s="1"/>
  <c r="M784" i="8" s="1"/>
  <c r="M835" i="8" s="1"/>
  <c r="M886" i="8" s="1"/>
  <c r="M937" i="8" s="1"/>
  <c r="M988" i="8" s="1"/>
  <c r="L49" i="8"/>
  <c r="L100" i="8" s="1"/>
  <c r="L151" i="8" s="1"/>
  <c r="L202" i="8" s="1"/>
  <c r="L733" i="8" s="1"/>
  <c r="L784" i="8" s="1"/>
  <c r="L835" i="8" s="1"/>
  <c r="L886" i="8" s="1"/>
  <c r="L937" i="8" s="1"/>
  <c r="L988" i="8" s="1"/>
  <c r="K49" i="8"/>
  <c r="K100" i="8" s="1"/>
  <c r="K151" i="8" s="1"/>
  <c r="K202" i="8" s="1"/>
  <c r="K733" i="8" s="1"/>
  <c r="K784" i="8" s="1"/>
  <c r="K835" i="8" s="1"/>
  <c r="K886" i="8" s="1"/>
  <c r="K937" i="8" s="1"/>
  <c r="K988" i="8" s="1"/>
  <c r="J49" i="8"/>
  <c r="J100" i="8" s="1"/>
  <c r="J151" i="8" s="1"/>
  <c r="J202" i="8" s="1"/>
  <c r="J733" i="8" s="1"/>
  <c r="J784" i="8" s="1"/>
  <c r="J835" i="8" s="1"/>
  <c r="J886" i="8" s="1"/>
  <c r="J937" i="8" s="1"/>
  <c r="J988" i="8" s="1"/>
  <c r="I49" i="8"/>
  <c r="I100" i="8" s="1"/>
  <c r="I151" i="8" s="1"/>
  <c r="I202" i="8" s="1"/>
  <c r="I733" i="8" s="1"/>
  <c r="I784" i="8" s="1"/>
  <c r="I835" i="8" s="1"/>
  <c r="I886" i="8" s="1"/>
  <c r="I937" i="8" s="1"/>
  <c r="I988" i="8" s="1"/>
  <c r="H49" i="8"/>
  <c r="H100" i="8" s="1"/>
  <c r="H151" i="8" s="1"/>
  <c r="H202" i="8" s="1"/>
  <c r="H733" i="8" s="1"/>
  <c r="H784" i="8" s="1"/>
  <c r="H835" i="8" s="1"/>
  <c r="H886" i="8" s="1"/>
  <c r="H937" i="8" s="1"/>
  <c r="H988" i="8" s="1"/>
  <c r="G49" i="8"/>
  <c r="G100" i="8" s="1"/>
  <c r="G151" i="8" s="1"/>
  <c r="G202" i="8" s="1"/>
  <c r="G733" i="8" s="1"/>
  <c r="G784" i="8" s="1"/>
  <c r="G835" i="8" s="1"/>
  <c r="G886" i="8" s="1"/>
  <c r="G937" i="8" s="1"/>
  <c r="G988" i="8" s="1"/>
  <c r="F49" i="8"/>
  <c r="F100" i="8" s="1"/>
  <c r="F151" i="8" s="1"/>
  <c r="F202" i="8" s="1"/>
  <c r="F733" i="8" s="1"/>
  <c r="F784" i="8" s="1"/>
  <c r="F835" i="8" s="1"/>
  <c r="F886" i="8" s="1"/>
  <c r="F937" i="8" s="1"/>
  <c r="F988" i="8" s="1"/>
  <c r="E49" i="8"/>
  <c r="E100" i="8" s="1"/>
  <c r="E151" i="8" s="1"/>
  <c r="E202" i="8" s="1"/>
  <c r="E733" i="8" s="1"/>
  <c r="E784" i="8" s="1"/>
  <c r="E835" i="8" s="1"/>
  <c r="E886" i="8" s="1"/>
  <c r="E937" i="8" s="1"/>
  <c r="E988" i="8" s="1"/>
  <c r="D49" i="8"/>
  <c r="D100" i="8" s="1"/>
  <c r="D151" i="8" s="1"/>
  <c r="D202" i="8" s="1"/>
  <c r="D733" i="8" s="1"/>
  <c r="D784" i="8" s="1"/>
  <c r="D835" i="8" s="1"/>
  <c r="D886" i="8" s="1"/>
  <c r="D937" i="8" s="1"/>
  <c r="D988" i="8" s="1"/>
  <c r="P48" i="8"/>
  <c r="P99" i="8" s="1"/>
  <c r="P150" i="8" s="1"/>
  <c r="P201" i="8" s="1"/>
  <c r="P732" i="8" s="1"/>
  <c r="P783" i="8" s="1"/>
  <c r="P834" i="8" s="1"/>
  <c r="P885" i="8" s="1"/>
  <c r="P936" i="8" s="1"/>
  <c r="P987" i="8" s="1"/>
  <c r="O48" i="8"/>
  <c r="O99" i="8" s="1"/>
  <c r="O150" i="8" s="1"/>
  <c r="O201" i="8" s="1"/>
  <c r="O732" i="8" s="1"/>
  <c r="O783" i="8" s="1"/>
  <c r="O834" i="8" s="1"/>
  <c r="O885" i="8" s="1"/>
  <c r="O936" i="8" s="1"/>
  <c r="O987" i="8" s="1"/>
  <c r="N48" i="8"/>
  <c r="N99" i="8" s="1"/>
  <c r="N150" i="8" s="1"/>
  <c r="N201" i="8" s="1"/>
  <c r="N732" i="8" s="1"/>
  <c r="N783" i="8" s="1"/>
  <c r="N834" i="8" s="1"/>
  <c r="N885" i="8" s="1"/>
  <c r="N936" i="8" s="1"/>
  <c r="N987" i="8" s="1"/>
  <c r="M48" i="8"/>
  <c r="M99" i="8" s="1"/>
  <c r="M150" i="8" s="1"/>
  <c r="M201" i="8" s="1"/>
  <c r="M732" i="8" s="1"/>
  <c r="M783" i="8" s="1"/>
  <c r="M834" i="8" s="1"/>
  <c r="M885" i="8" s="1"/>
  <c r="M936" i="8" s="1"/>
  <c r="M987" i="8" s="1"/>
  <c r="L48" i="8"/>
  <c r="L99" i="8" s="1"/>
  <c r="L150" i="8" s="1"/>
  <c r="L201" i="8" s="1"/>
  <c r="L732" i="8" s="1"/>
  <c r="L783" i="8" s="1"/>
  <c r="L834" i="8" s="1"/>
  <c r="L885" i="8" s="1"/>
  <c r="L936" i="8" s="1"/>
  <c r="L987" i="8" s="1"/>
  <c r="K48" i="8"/>
  <c r="K99" i="8" s="1"/>
  <c r="K150" i="8" s="1"/>
  <c r="K201" i="8" s="1"/>
  <c r="K732" i="8" s="1"/>
  <c r="K783" i="8" s="1"/>
  <c r="K834" i="8" s="1"/>
  <c r="K885" i="8" s="1"/>
  <c r="K936" i="8" s="1"/>
  <c r="K987" i="8" s="1"/>
  <c r="J48" i="8"/>
  <c r="J99" i="8" s="1"/>
  <c r="J150" i="8" s="1"/>
  <c r="J201" i="8" s="1"/>
  <c r="J732" i="8" s="1"/>
  <c r="J783" i="8" s="1"/>
  <c r="J834" i="8" s="1"/>
  <c r="J885" i="8" s="1"/>
  <c r="J936" i="8" s="1"/>
  <c r="J987" i="8" s="1"/>
  <c r="I48" i="8"/>
  <c r="I99" i="8" s="1"/>
  <c r="I150" i="8" s="1"/>
  <c r="I201" i="8" s="1"/>
  <c r="I732" i="8" s="1"/>
  <c r="I783" i="8" s="1"/>
  <c r="I834" i="8" s="1"/>
  <c r="I885" i="8" s="1"/>
  <c r="I936" i="8" s="1"/>
  <c r="I987" i="8" s="1"/>
  <c r="H48" i="8"/>
  <c r="H99" i="8" s="1"/>
  <c r="H150" i="8" s="1"/>
  <c r="H201" i="8" s="1"/>
  <c r="H732" i="8" s="1"/>
  <c r="H783" i="8" s="1"/>
  <c r="H834" i="8" s="1"/>
  <c r="H885" i="8" s="1"/>
  <c r="H936" i="8" s="1"/>
  <c r="H987" i="8" s="1"/>
  <c r="G48" i="8"/>
  <c r="G99" i="8" s="1"/>
  <c r="G150" i="8" s="1"/>
  <c r="G201" i="8" s="1"/>
  <c r="G732" i="8" s="1"/>
  <c r="G783" i="8" s="1"/>
  <c r="G834" i="8" s="1"/>
  <c r="G885" i="8" s="1"/>
  <c r="G936" i="8" s="1"/>
  <c r="G987" i="8" s="1"/>
  <c r="F48" i="8"/>
  <c r="F99" i="8" s="1"/>
  <c r="F150" i="8" s="1"/>
  <c r="F201" i="8" s="1"/>
  <c r="F732" i="8" s="1"/>
  <c r="F783" i="8" s="1"/>
  <c r="F834" i="8" s="1"/>
  <c r="F885" i="8" s="1"/>
  <c r="F936" i="8" s="1"/>
  <c r="F987" i="8" s="1"/>
  <c r="E48" i="8"/>
  <c r="E99" i="8" s="1"/>
  <c r="E150" i="8" s="1"/>
  <c r="E201" i="8" s="1"/>
  <c r="E732" i="8" s="1"/>
  <c r="E783" i="8" s="1"/>
  <c r="E834" i="8" s="1"/>
  <c r="E885" i="8" s="1"/>
  <c r="E936" i="8" s="1"/>
  <c r="E987" i="8" s="1"/>
  <c r="D48" i="8"/>
  <c r="D99" i="8" s="1"/>
  <c r="D150" i="8" s="1"/>
  <c r="D201" i="8" s="1"/>
  <c r="D732" i="8" s="1"/>
  <c r="D783" i="8" s="1"/>
  <c r="D834" i="8" s="1"/>
  <c r="D885" i="8" s="1"/>
  <c r="D936" i="8" s="1"/>
  <c r="D987" i="8" s="1"/>
  <c r="P47" i="8"/>
  <c r="O47" i="8"/>
  <c r="L47" i="8"/>
  <c r="K47" i="8"/>
  <c r="H47" i="8"/>
  <c r="G47" i="8"/>
  <c r="D47" i="8"/>
  <c r="P29" i="8"/>
  <c r="P80" i="8" s="1"/>
  <c r="P131" i="8" s="1"/>
  <c r="P182" i="8" s="1"/>
  <c r="P713" i="8" s="1"/>
  <c r="P764" i="8" s="1"/>
  <c r="P815" i="8" s="1"/>
  <c r="P866" i="8" s="1"/>
  <c r="P917" i="8" s="1"/>
  <c r="P968" i="8" s="1"/>
  <c r="O29" i="8"/>
  <c r="O80" i="8" s="1"/>
  <c r="O131" i="8" s="1"/>
  <c r="O182" i="8" s="1"/>
  <c r="O713" i="8" s="1"/>
  <c r="O764" i="8" s="1"/>
  <c r="O815" i="8" s="1"/>
  <c r="O866" i="8" s="1"/>
  <c r="O917" i="8" s="1"/>
  <c r="O968" i="8" s="1"/>
  <c r="N29" i="8"/>
  <c r="N80" i="8" s="1"/>
  <c r="N131" i="8" s="1"/>
  <c r="N182" i="8" s="1"/>
  <c r="N713" i="8" s="1"/>
  <c r="N764" i="8" s="1"/>
  <c r="N815" i="8" s="1"/>
  <c r="N866" i="8" s="1"/>
  <c r="N917" i="8" s="1"/>
  <c r="N968" i="8" s="1"/>
  <c r="M29" i="8"/>
  <c r="M80" i="8" s="1"/>
  <c r="M131" i="8" s="1"/>
  <c r="M182" i="8" s="1"/>
  <c r="M713" i="8" s="1"/>
  <c r="M764" i="8" s="1"/>
  <c r="M815" i="8" s="1"/>
  <c r="M866" i="8" s="1"/>
  <c r="M917" i="8" s="1"/>
  <c r="M968" i="8" s="1"/>
  <c r="L29" i="8"/>
  <c r="L80" i="8" s="1"/>
  <c r="L131" i="8" s="1"/>
  <c r="L182" i="8" s="1"/>
  <c r="L713" i="8" s="1"/>
  <c r="L764" i="8" s="1"/>
  <c r="L815" i="8" s="1"/>
  <c r="L866" i="8" s="1"/>
  <c r="L917" i="8" s="1"/>
  <c r="L968" i="8" s="1"/>
  <c r="K29" i="8"/>
  <c r="K80" i="8" s="1"/>
  <c r="K131" i="8" s="1"/>
  <c r="K182" i="8" s="1"/>
  <c r="K713" i="8" s="1"/>
  <c r="K764" i="8" s="1"/>
  <c r="K815" i="8" s="1"/>
  <c r="K866" i="8" s="1"/>
  <c r="K917" i="8" s="1"/>
  <c r="K968" i="8" s="1"/>
  <c r="J29" i="8"/>
  <c r="J80" i="8" s="1"/>
  <c r="J131" i="8" s="1"/>
  <c r="J182" i="8" s="1"/>
  <c r="J713" i="8" s="1"/>
  <c r="J764" i="8" s="1"/>
  <c r="J815" i="8" s="1"/>
  <c r="J866" i="8" s="1"/>
  <c r="J917" i="8" s="1"/>
  <c r="J968" i="8" s="1"/>
  <c r="I29" i="8"/>
  <c r="I80" i="8" s="1"/>
  <c r="I131" i="8" s="1"/>
  <c r="I182" i="8" s="1"/>
  <c r="I713" i="8" s="1"/>
  <c r="I764" i="8" s="1"/>
  <c r="I815" i="8" s="1"/>
  <c r="I866" i="8" s="1"/>
  <c r="I917" i="8" s="1"/>
  <c r="I968" i="8" s="1"/>
  <c r="H29" i="8"/>
  <c r="H80" i="8" s="1"/>
  <c r="H131" i="8" s="1"/>
  <c r="H182" i="8" s="1"/>
  <c r="H713" i="8" s="1"/>
  <c r="H764" i="8" s="1"/>
  <c r="H815" i="8" s="1"/>
  <c r="H866" i="8" s="1"/>
  <c r="H917" i="8" s="1"/>
  <c r="H968" i="8" s="1"/>
  <c r="G29" i="8"/>
  <c r="G80" i="8" s="1"/>
  <c r="G131" i="8" s="1"/>
  <c r="G182" i="8" s="1"/>
  <c r="G713" i="8" s="1"/>
  <c r="G764" i="8" s="1"/>
  <c r="G815" i="8" s="1"/>
  <c r="G866" i="8" s="1"/>
  <c r="G917" i="8" s="1"/>
  <c r="G968" i="8" s="1"/>
  <c r="F29" i="8"/>
  <c r="F80" i="8" s="1"/>
  <c r="F131" i="8" s="1"/>
  <c r="F182" i="8" s="1"/>
  <c r="F713" i="8" s="1"/>
  <c r="F764" i="8" s="1"/>
  <c r="F815" i="8" s="1"/>
  <c r="F866" i="8" s="1"/>
  <c r="F917" i="8" s="1"/>
  <c r="F968" i="8" s="1"/>
  <c r="E29" i="8"/>
  <c r="E80" i="8" s="1"/>
  <c r="E131" i="8" s="1"/>
  <c r="E182" i="8" s="1"/>
  <c r="E713" i="8" s="1"/>
  <c r="E764" i="8" s="1"/>
  <c r="E815" i="8" s="1"/>
  <c r="E866" i="8" s="1"/>
  <c r="E917" i="8" s="1"/>
  <c r="E968" i="8" s="1"/>
  <c r="D29" i="8"/>
  <c r="D80" i="8" s="1"/>
  <c r="D131" i="8" s="1"/>
  <c r="D182" i="8" s="1"/>
  <c r="D713" i="8" s="1"/>
  <c r="D764" i="8" s="1"/>
  <c r="D815" i="8" s="1"/>
  <c r="D866" i="8" s="1"/>
  <c r="D917" i="8" s="1"/>
  <c r="D968" i="8" s="1"/>
  <c r="P26" i="8"/>
  <c r="P77" i="8" s="1"/>
  <c r="P128" i="8" s="1"/>
  <c r="P179" i="8" s="1"/>
  <c r="P710" i="8" s="1"/>
  <c r="P761" i="8" s="1"/>
  <c r="P812" i="8" s="1"/>
  <c r="P863" i="8" s="1"/>
  <c r="P914" i="8" s="1"/>
  <c r="P965" i="8" s="1"/>
  <c r="O26" i="8"/>
  <c r="O77" i="8" s="1"/>
  <c r="O128" i="8" s="1"/>
  <c r="O179" i="8" s="1"/>
  <c r="O710" i="8" s="1"/>
  <c r="O761" i="8" s="1"/>
  <c r="O812" i="8" s="1"/>
  <c r="O863" i="8" s="1"/>
  <c r="O914" i="8" s="1"/>
  <c r="O965" i="8" s="1"/>
  <c r="N26" i="8"/>
  <c r="N77" i="8" s="1"/>
  <c r="N128" i="8" s="1"/>
  <c r="N179" i="8" s="1"/>
  <c r="N710" i="8" s="1"/>
  <c r="N761" i="8" s="1"/>
  <c r="N812" i="8" s="1"/>
  <c r="N863" i="8" s="1"/>
  <c r="N914" i="8" s="1"/>
  <c r="N965" i="8" s="1"/>
  <c r="M26" i="8"/>
  <c r="M77" i="8" s="1"/>
  <c r="M128" i="8" s="1"/>
  <c r="M179" i="8" s="1"/>
  <c r="M710" i="8" s="1"/>
  <c r="M761" i="8" s="1"/>
  <c r="M812" i="8" s="1"/>
  <c r="M863" i="8" s="1"/>
  <c r="M914" i="8" s="1"/>
  <c r="M965" i="8" s="1"/>
  <c r="L26" i="8"/>
  <c r="L77" i="8" s="1"/>
  <c r="L128" i="8" s="1"/>
  <c r="L179" i="8" s="1"/>
  <c r="L710" i="8" s="1"/>
  <c r="L761" i="8" s="1"/>
  <c r="L812" i="8" s="1"/>
  <c r="L863" i="8" s="1"/>
  <c r="L914" i="8" s="1"/>
  <c r="L965" i="8" s="1"/>
  <c r="K26" i="8"/>
  <c r="K77" i="8" s="1"/>
  <c r="K128" i="8" s="1"/>
  <c r="K179" i="8" s="1"/>
  <c r="K710" i="8" s="1"/>
  <c r="K761" i="8" s="1"/>
  <c r="K812" i="8" s="1"/>
  <c r="K863" i="8" s="1"/>
  <c r="K914" i="8" s="1"/>
  <c r="K965" i="8" s="1"/>
  <c r="J26" i="8"/>
  <c r="J77" i="8" s="1"/>
  <c r="J128" i="8" s="1"/>
  <c r="J179" i="8" s="1"/>
  <c r="J710" i="8" s="1"/>
  <c r="J761" i="8" s="1"/>
  <c r="J812" i="8" s="1"/>
  <c r="J863" i="8" s="1"/>
  <c r="J914" i="8" s="1"/>
  <c r="J965" i="8" s="1"/>
  <c r="I26" i="8"/>
  <c r="I77" i="8" s="1"/>
  <c r="I128" i="8" s="1"/>
  <c r="I179" i="8" s="1"/>
  <c r="I710" i="8" s="1"/>
  <c r="I761" i="8" s="1"/>
  <c r="I812" i="8" s="1"/>
  <c r="I863" i="8" s="1"/>
  <c r="I914" i="8" s="1"/>
  <c r="I965" i="8" s="1"/>
  <c r="H26" i="8"/>
  <c r="H77" i="8" s="1"/>
  <c r="H128" i="8" s="1"/>
  <c r="H179" i="8" s="1"/>
  <c r="H710" i="8" s="1"/>
  <c r="H761" i="8" s="1"/>
  <c r="H812" i="8" s="1"/>
  <c r="H863" i="8" s="1"/>
  <c r="H914" i="8" s="1"/>
  <c r="H965" i="8" s="1"/>
  <c r="G26" i="8"/>
  <c r="G77" i="8" s="1"/>
  <c r="G128" i="8" s="1"/>
  <c r="G179" i="8" s="1"/>
  <c r="G710" i="8" s="1"/>
  <c r="G761" i="8" s="1"/>
  <c r="G812" i="8" s="1"/>
  <c r="G863" i="8" s="1"/>
  <c r="G914" i="8" s="1"/>
  <c r="G965" i="8" s="1"/>
  <c r="F26" i="8"/>
  <c r="F77" i="8" s="1"/>
  <c r="F128" i="8" s="1"/>
  <c r="F179" i="8" s="1"/>
  <c r="F710" i="8" s="1"/>
  <c r="F761" i="8" s="1"/>
  <c r="F812" i="8" s="1"/>
  <c r="F863" i="8" s="1"/>
  <c r="F914" i="8" s="1"/>
  <c r="F965" i="8" s="1"/>
  <c r="E26" i="8"/>
  <c r="E77" i="8" s="1"/>
  <c r="E128" i="8" s="1"/>
  <c r="E179" i="8" s="1"/>
  <c r="E710" i="8" s="1"/>
  <c r="E761" i="8" s="1"/>
  <c r="E812" i="8" s="1"/>
  <c r="E863" i="8" s="1"/>
  <c r="E914" i="8" s="1"/>
  <c r="E965" i="8" s="1"/>
  <c r="D26" i="8"/>
  <c r="D77" i="8" s="1"/>
  <c r="D128" i="8" s="1"/>
  <c r="D179" i="8" s="1"/>
  <c r="D710" i="8" s="1"/>
  <c r="D761" i="8" s="1"/>
  <c r="D812" i="8" s="1"/>
  <c r="D863" i="8" s="1"/>
  <c r="D914" i="8" s="1"/>
  <c r="D965" i="8" s="1"/>
  <c r="P15" i="8"/>
  <c r="P66" i="8" s="1"/>
  <c r="P117" i="8" s="1"/>
  <c r="P168" i="8" s="1"/>
  <c r="P699" i="8" s="1"/>
  <c r="P750" i="8" s="1"/>
  <c r="O15" i="8"/>
  <c r="O66" i="8" s="1"/>
  <c r="O117" i="8" s="1"/>
  <c r="O168" i="8" s="1"/>
  <c r="O699" i="8" s="1"/>
  <c r="O750" i="8" s="1"/>
  <c r="N15" i="8"/>
  <c r="N66" i="8" s="1"/>
  <c r="N117" i="8" s="1"/>
  <c r="N168" i="8" s="1"/>
  <c r="N699" i="8" s="1"/>
  <c r="N750" i="8" s="1"/>
  <c r="M15" i="8"/>
  <c r="M66" i="8" s="1"/>
  <c r="M117" i="8" s="1"/>
  <c r="M168" i="8" s="1"/>
  <c r="M699" i="8" s="1"/>
  <c r="M750" i="8" s="1"/>
  <c r="L15" i="8"/>
  <c r="L66" i="8" s="1"/>
  <c r="L117" i="8" s="1"/>
  <c r="L168" i="8" s="1"/>
  <c r="L699" i="8" s="1"/>
  <c r="L750" i="8" s="1"/>
  <c r="K15" i="8"/>
  <c r="K66" i="8" s="1"/>
  <c r="K117" i="8" s="1"/>
  <c r="K168" i="8" s="1"/>
  <c r="K699" i="8" s="1"/>
  <c r="K750" i="8" s="1"/>
  <c r="J15" i="8"/>
  <c r="J66" i="8" s="1"/>
  <c r="J117" i="8" s="1"/>
  <c r="J168" i="8" s="1"/>
  <c r="J699" i="8" s="1"/>
  <c r="J750" i="8" s="1"/>
  <c r="I15" i="8"/>
  <c r="I66" i="8" s="1"/>
  <c r="I117" i="8" s="1"/>
  <c r="I168" i="8" s="1"/>
  <c r="I699" i="8" s="1"/>
  <c r="I750" i="8" s="1"/>
  <c r="H15" i="8"/>
  <c r="H66" i="8" s="1"/>
  <c r="H117" i="8" s="1"/>
  <c r="H168" i="8" s="1"/>
  <c r="H699" i="8" s="1"/>
  <c r="H750" i="8" s="1"/>
  <c r="G15" i="8"/>
  <c r="G66" i="8" s="1"/>
  <c r="G117" i="8" s="1"/>
  <c r="G168" i="8" s="1"/>
  <c r="G699" i="8" s="1"/>
  <c r="G750" i="8" s="1"/>
  <c r="F15" i="8"/>
  <c r="F66" i="8" s="1"/>
  <c r="F117" i="8" s="1"/>
  <c r="F168" i="8" s="1"/>
  <c r="F699" i="8" s="1"/>
  <c r="F750" i="8" s="1"/>
  <c r="E15" i="8"/>
  <c r="E66" i="8" s="1"/>
  <c r="E117" i="8" s="1"/>
  <c r="E168" i="8" s="1"/>
  <c r="E699" i="8" s="1"/>
  <c r="E750" i="8" s="1"/>
  <c r="D15" i="8"/>
  <c r="D66" i="8" s="1"/>
  <c r="D117" i="8" s="1"/>
  <c r="D168" i="8" s="1"/>
  <c r="D699" i="8" s="1"/>
  <c r="D750" i="8" s="1"/>
  <c r="P12" i="8"/>
  <c r="O12" i="8"/>
  <c r="N12" i="8"/>
  <c r="M12" i="8"/>
  <c r="L12" i="8"/>
  <c r="K12" i="8"/>
  <c r="J12" i="8"/>
  <c r="I12" i="8"/>
  <c r="H12" i="8"/>
  <c r="G12" i="8"/>
  <c r="F12" i="8"/>
  <c r="E12" i="8"/>
  <c r="D12" i="8"/>
  <c r="P9" i="8"/>
  <c r="O9" i="8"/>
  <c r="N9" i="8"/>
  <c r="M9" i="8"/>
  <c r="L9" i="8"/>
  <c r="K9" i="8"/>
  <c r="J9" i="8"/>
  <c r="I9" i="8"/>
  <c r="H9" i="8"/>
  <c r="G9" i="8"/>
  <c r="F9" i="8"/>
  <c r="E9" i="8"/>
  <c r="D9" i="8"/>
  <c r="A3" i="8"/>
  <c r="E47" i="8" l="1"/>
  <c r="I47" i="8"/>
  <c r="M200" i="8"/>
  <c r="F47" i="8"/>
  <c r="J47" i="8"/>
  <c r="N47" i="8"/>
  <c r="O1083" i="7" l="1"/>
  <c r="N1083" i="7"/>
  <c r="M1083" i="7"/>
  <c r="L1083" i="7"/>
  <c r="K1083" i="7"/>
  <c r="J1083" i="7"/>
  <c r="I1083" i="7"/>
  <c r="H1083" i="7"/>
  <c r="G1083" i="7"/>
  <c r="O1082" i="7"/>
  <c r="N1082" i="7"/>
  <c r="M1082" i="7"/>
  <c r="L1082" i="7"/>
  <c r="K1082" i="7"/>
  <c r="J1082" i="7"/>
  <c r="I1082" i="7"/>
  <c r="H1082" i="7"/>
  <c r="G1082" i="7"/>
  <c r="O1081" i="7"/>
  <c r="N1081" i="7"/>
  <c r="M1081" i="7"/>
  <c r="L1081" i="7"/>
  <c r="K1081" i="7"/>
  <c r="J1081" i="7"/>
  <c r="I1081" i="7"/>
  <c r="H1081" i="7"/>
  <c r="G1081" i="7"/>
  <c r="F1081" i="7"/>
  <c r="E1081" i="7"/>
  <c r="D1081" i="7"/>
  <c r="O1080" i="7"/>
  <c r="N1080" i="7"/>
  <c r="M1080" i="7"/>
  <c r="L1080" i="7"/>
  <c r="K1080" i="7"/>
  <c r="J1080" i="7"/>
  <c r="I1080" i="7"/>
  <c r="H1080" i="7"/>
  <c r="G1080" i="7"/>
  <c r="L1079" i="7"/>
  <c r="I1079" i="7"/>
  <c r="O1077" i="7"/>
  <c r="O1079" i="7" s="1"/>
  <c r="N1077" i="7"/>
  <c r="N1079" i="7" s="1"/>
  <c r="M1077" i="7"/>
  <c r="M1079" i="7" s="1"/>
  <c r="L1077" i="7"/>
  <c r="K1077" i="7"/>
  <c r="K1079" i="7" s="1"/>
  <c r="J1077" i="7"/>
  <c r="J1079" i="7" s="1"/>
  <c r="I1077" i="7"/>
  <c r="H1077" i="7"/>
  <c r="H1079" i="7" s="1"/>
  <c r="G1077" i="7"/>
  <c r="G1079" i="7" s="1"/>
  <c r="F1077" i="7"/>
  <c r="F1079" i="7" s="1"/>
  <c r="E1077" i="7"/>
  <c r="E1079" i="7" s="1"/>
  <c r="D1077" i="7"/>
  <c r="D1079" i="7" s="1"/>
  <c r="O1076" i="7"/>
  <c r="N1076" i="7"/>
  <c r="M1076" i="7"/>
  <c r="L1076" i="7"/>
  <c r="K1076" i="7"/>
  <c r="J1076" i="7"/>
  <c r="I1076" i="7"/>
  <c r="H1076" i="7"/>
  <c r="G1076" i="7"/>
  <c r="F1076" i="7"/>
  <c r="E1076" i="7"/>
  <c r="D1076" i="7"/>
  <c r="O1071" i="7"/>
  <c r="N1071" i="7"/>
  <c r="M1071" i="7"/>
  <c r="L1071" i="7"/>
  <c r="K1071" i="7"/>
  <c r="J1071" i="7"/>
  <c r="I1071" i="7"/>
  <c r="H1071" i="7"/>
  <c r="G1071" i="7"/>
  <c r="F1071" i="7"/>
  <c r="E1071" i="7"/>
  <c r="D1071" i="7"/>
  <c r="O1070" i="7"/>
  <c r="N1070" i="7"/>
  <c r="M1070" i="7"/>
  <c r="L1070" i="7"/>
  <c r="K1070" i="7"/>
  <c r="J1070" i="7"/>
  <c r="I1070" i="7"/>
  <c r="H1070" i="7"/>
  <c r="G1070" i="7"/>
  <c r="F1070" i="7"/>
  <c r="E1070" i="7"/>
  <c r="D1070" i="7"/>
  <c r="O1055" i="7"/>
  <c r="N1055" i="7"/>
  <c r="M1055" i="7"/>
  <c r="L1055" i="7"/>
  <c r="K1055" i="7"/>
  <c r="J1055" i="7"/>
  <c r="I1055" i="7"/>
  <c r="H1055" i="7"/>
  <c r="G1055" i="7"/>
  <c r="F1055" i="7"/>
  <c r="E1055" i="7"/>
  <c r="D1055" i="7"/>
  <c r="O1054" i="7"/>
  <c r="N1054" i="7"/>
  <c r="M1054" i="7"/>
  <c r="L1054" i="7"/>
  <c r="K1054" i="7"/>
  <c r="J1054" i="7"/>
  <c r="I1054" i="7"/>
  <c r="H1054" i="7"/>
  <c r="G1054" i="7"/>
  <c r="F1054" i="7"/>
  <c r="E1054" i="7"/>
  <c r="D1054" i="7"/>
  <c r="O1053" i="7"/>
  <c r="N1053" i="7"/>
  <c r="M1053" i="7"/>
  <c r="L1053" i="7"/>
  <c r="K1053" i="7"/>
  <c r="J1053" i="7"/>
  <c r="I1053" i="7"/>
  <c r="H1053" i="7"/>
  <c r="G1053" i="7"/>
  <c r="F1053" i="7"/>
  <c r="E1053" i="7"/>
  <c r="D1053" i="7"/>
  <c r="O1051" i="7"/>
  <c r="N1051" i="7"/>
  <c r="M1051" i="7"/>
  <c r="L1051" i="7"/>
  <c r="K1051" i="7"/>
  <c r="J1051" i="7"/>
  <c r="I1051" i="7"/>
  <c r="H1051" i="7"/>
  <c r="G1051" i="7"/>
  <c r="F1051" i="7"/>
  <c r="E1051" i="7"/>
  <c r="D1051" i="7"/>
  <c r="O1050" i="7"/>
  <c r="N1050" i="7"/>
  <c r="M1050" i="7"/>
  <c r="L1050" i="7"/>
  <c r="K1050" i="7"/>
  <c r="J1050" i="7"/>
  <c r="I1050" i="7"/>
  <c r="H1050" i="7"/>
  <c r="G1050" i="7"/>
  <c r="F1050" i="7"/>
  <c r="E1050" i="7"/>
  <c r="D1050" i="7"/>
  <c r="O1049" i="7"/>
  <c r="N1049" i="7"/>
  <c r="M1049" i="7"/>
  <c r="L1049" i="7"/>
  <c r="K1049" i="7"/>
  <c r="J1049" i="7"/>
  <c r="I1049" i="7"/>
  <c r="H1049" i="7"/>
  <c r="G1049" i="7"/>
  <c r="F1049" i="7"/>
  <c r="E1049" i="7"/>
  <c r="D1049" i="7"/>
  <c r="O1048" i="7"/>
  <c r="N1048" i="7"/>
  <c r="M1048" i="7"/>
  <c r="L1048" i="7"/>
  <c r="K1048" i="7"/>
  <c r="J1048" i="7"/>
  <c r="I1048" i="7"/>
  <c r="H1048" i="7"/>
  <c r="G1048" i="7"/>
  <c r="F1048" i="7"/>
  <c r="E1048" i="7"/>
  <c r="D1048" i="7"/>
  <c r="O1047" i="7"/>
  <c r="N1047" i="7"/>
  <c r="M1047" i="7"/>
  <c r="L1047" i="7"/>
  <c r="K1047" i="7"/>
  <c r="J1047" i="7"/>
  <c r="I1047" i="7"/>
  <c r="H1047" i="7"/>
  <c r="G1047" i="7"/>
  <c r="F1047" i="7"/>
  <c r="E1047" i="7"/>
  <c r="D1047" i="7"/>
  <c r="O1037" i="7"/>
  <c r="N1037" i="7"/>
  <c r="M1037" i="7"/>
  <c r="L1037" i="7"/>
  <c r="K1037" i="7"/>
  <c r="J1037" i="7"/>
  <c r="I1037" i="7"/>
  <c r="H1037" i="7"/>
  <c r="G1037" i="7"/>
  <c r="F1037" i="7"/>
  <c r="E1037" i="7"/>
  <c r="D1037" i="7"/>
  <c r="O1036" i="7"/>
  <c r="N1036" i="7"/>
  <c r="M1036" i="7"/>
  <c r="L1036" i="7"/>
  <c r="K1036" i="7"/>
  <c r="J1036" i="7"/>
  <c r="I1036" i="7"/>
  <c r="H1036" i="7"/>
  <c r="G1036" i="7"/>
  <c r="F1036" i="7"/>
  <c r="E1036" i="7"/>
  <c r="D1036" i="7"/>
  <c r="O1035" i="7"/>
  <c r="N1035" i="7"/>
  <c r="M1035" i="7"/>
  <c r="L1035" i="7"/>
  <c r="K1035" i="7"/>
  <c r="J1035" i="7"/>
  <c r="I1035" i="7"/>
  <c r="H1035" i="7"/>
  <c r="G1035" i="7"/>
  <c r="F1035" i="7"/>
  <c r="E1035" i="7"/>
  <c r="D1035" i="7"/>
  <c r="O1034" i="7"/>
  <c r="N1034" i="7"/>
  <c r="M1034" i="7"/>
  <c r="L1034" i="7"/>
  <c r="K1034" i="7"/>
  <c r="J1034" i="7"/>
  <c r="I1034" i="7"/>
  <c r="H1034" i="7"/>
  <c r="G1034" i="7"/>
  <c r="F1034" i="7"/>
  <c r="E1034" i="7"/>
  <c r="D1034" i="7"/>
  <c r="O1033" i="7"/>
  <c r="N1033" i="7"/>
  <c r="M1033" i="7"/>
  <c r="L1033" i="7"/>
  <c r="K1033" i="7"/>
  <c r="J1033" i="7"/>
  <c r="I1033" i="7"/>
  <c r="H1033" i="7"/>
  <c r="G1033" i="7"/>
  <c r="F1033" i="7"/>
  <c r="E1033" i="7"/>
  <c r="D1033" i="7"/>
  <c r="O1031" i="7"/>
  <c r="N1031" i="7"/>
  <c r="M1031" i="7"/>
  <c r="L1031" i="7"/>
  <c r="K1031" i="7"/>
  <c r="J1031" i="7"/>
  <c r="I1031" i="7"/>
  <c r="H1031" i="7"/>
  <c r="G1031" i="7"/>
  <c r="F1031" i="7"/>
  <c r="E1031" i="7"/>
  <c r="D1031" i="7"/>
  <c r="O1030" i="7"/>
  <c r="N1030" i="7"/>
  <c r="M1030" i="7"/>
  <c r="L1030" i="7"/>
  <c r="K1030" i="7"/>
  <c r="J1030" i="7"/>
  <c r="I1030" i="7"/>
  <c r="H1030" i="7"/>
  <c r="G1030" i="7"/>
  <c r="F1030" i="7"/>
  <c r="E1030" i="7"/>
  <c r="D1030" i="7"/>
  <c r="O1029" i="7"/>
  <c r="N1029" i="7"/>
  <c r="M1029" i="7"/>
  <c r="L1029" i="7"/>
  <c r="K1029" i="7"/>
  <c r="J1029" i="7"/>
  <c r="I1029" i="7"/>
  <c r="H1029" i="7"/>
  <c r="G1029" i="7"/>
  <c r="F1029" i="7"/>
  <c r="E1029" i="7"/>
  <c r="D1029" i="7"/>
  <c r="O1028" i="7"/>
  <c r="N1028" i="7"/>
  <c r="M1028" i="7"/>
  <c r="L1028" i="7"/>
  <c r="K1028" i="7"/>
  <c r="J1028" i="7"/>
  <c r="I1028" i="7"/>
  <c r="H1028" i="7"/>
  <c r="G1028" i="7"/>
  <c r="F1028" i="7"/>
  <c r="E1028" i="7"/>
  <c r="D1028" i="7"/>
  <c r="O1027" i="7"/>
  <c r="N1027" i="7"/>
  <c r="M1027" i="7"/>
  <c r="L1027" i="7"/>
  <c r="K1027" i="7"/>
  <c r="J1027" i="7"/>
  <c r="I1027" i="7"/>
  <c r="H1027" i="7"/>
  <c r="G1027" i="7"/>
  <c r="F1027" i="7"/>
  <c r="E1027" i="7"/>
  <c r="D1027" i="7"/>
  <c r="O1017" i="7"/>
  <c r="N1017" i="7"/>
  <c r="M1017" i="7"/>
  <c r="L1017" i="7"/>
  <c r="K1017" i="7"/>
  <c r="J1017" i="7"/>
  <c r="I1017" i="7"/>
  <c r="H1017" i="7"/>
  <c r="G1017" i="7"/>
  <c r="F1017" i="7"/>
  <c r="E1017" i="7"/>
  <c r="O1016" i="7"/>
  <c r="N1016" i="7"/>
  <c r="M1016" i="7"/>
  <c r="L1016" i="7"/>
  <c r="K1016" i="7"/>
  <c r="J1016" i="7"/>
  <c r="I1016" i="7"/>
  <c r="H1016" i="7"/>
  <c r="G1016" i="7"/>
  <c r="F1016" i="7"/>
  <c r="E1016" i="7"/>
  <c r="O995" i="7"/>
  <c r="N995" i="7"/>
  <c r="M995" i="7"/>
  <c r="L995" i="7"/>
  <c r="K995" i="7"/>
  <c r="J995" i="7"/>
  <c r="I995" i="7"/>
  <c r="H995" i="7"/>
  <c r="G995" i="7"/>
  <c r="F995" i="7"/>
  <c r="E995" i="7"/>
  <c r="D995" i="7"/>
  <c r="O994" i="7"/>
  <c r="N994" i="7"/>
  <c r="M994" i="7"/>
  <c r="L994" i="7"/>
  <c r="K994" i="7"/>
  <c r="J994" i="7"/>
  <c r="I994" i="7"/>
  <c r="H994" i="7"/>
  <c r="G994" i="7"/>
  <c r="F994" i="7"/>
  <c r="E994" i="7"/>
  <c r="D994" i="7"/>
  <c r="O993" i="7"/>
  <c r="N993" i="7"/>
  <c r="M993" i="7"/>
  <c r="L993" i="7"/>
  <c r="K993" i="7"/>
  <c r="J993" i="7"/>
  <c r="I993" i="7"/>
  <c r="H993" i="7"/>
  <c r="G993" i="7"/>
  <c r="F993" i="7"/>
  <c r="E993" i="7"/>
  <c r="D993" i="7"/>
  <c r="O992" i="7"/>
  <c r="N992" i="7"/>
  <c r="M992" i="7"/>
  <c r="L992" i="7"/>
  <c r="K992" i="7"/>
  <c r="J992" i="7"/>
  <c r="I992" i="7"/>
  <c r="H992" i="7"/>
  <c r="G992" i="7"/>
  <c r="F992" i="7"/>
  <c r="E992" i="7"/>
  <c r="D992" i="7"/>
  <c r="O991" i="7"/>
  <c r="N991" i="7"/>
  <c r="M991" i="7"/>
  <c r="L991" i="7"/>
  <c r="K991" i="7"/>
  <c r="J991" i="7"/>
  <c r="I991" i="7"/>
  <c r="H991" i="7"/>
  <c r="G991" i="7"/>
  <c r="F991" i="7"/>
  <c r="E991" i="7"/>
  <c r="D991" i="7"/>
  <c r="O989" i="7"/>
  <c r="N989" i="7"/>
  <c r="M989" i="7"/>
  <c r="L989" i="7"/>
  <c r="K989" i="7"/>
  <c r="J989" i="7"/>
  <c r="I989" i="7"/>
  <c r="H989" i="7"/>
  <c r="G989" i="7"/>
  <c r="F989" i="7"/>
  <c r="E989" i="7"/>
  <c r="D989" i="7"/>
  <c r="O945" i="7"/>
  <c r="O1078" i="7" s="1"/>
  <c r="N945" i="7"/>
  <c r="N1078" i="7" s="1"/>
  <c r="M945" i="7"/>
  <c r="M1078" i="7" s="1"/>
  <c r="L945" i="7"/>
  <c r="L1078" i="7" s="1"/>
  <c r="K945" i="7"/>
  <c r="K1078" i="7" s="1"/>
  <c r="J945" i="7"/>
  <c r="J1078" i="7" s="1"/>
  <c r="I945" i="7"/>
  <c r="I1078" i="7" s="1"/>
  <c r="H945" i="7"/>
  <c r="H1078" i="7" s="1"/>
  <c r="G945" i="7"/>
  <c r="G1078" i="7" s="1"/>
  <c r="F945" i="7"/>
  <c r="F1078" i="7" s="1"/>
  <c r="E945" i="7"/>
  <c r="E1078" i="7" s="1"/>
  <c r="D945" i="7"/>
  <c r="D1078" i="7" s="1"/>
  <c r="O943" i="7"/>
  <c r="N943" i="7"/>
  <c r="M943" i="7"/>
  <c r="L943" i="7"/>
  <c r="K943" i="7"/>
  <c r="J943" i="7"/>
  <c r="I943" i="7"/>
  <c r="H943" i="7"/>
  <c r="G943" i="7"/>
  <c r="F943" i="7"/>
  <c r="E943" i="7"/>
  <c r="D943" i="7"/>
  <c r="A936" i="7"/>
  <c r="I898" i="7"/>
  <c r="E897" i="7"/>
  <c r="E947" i="7" s="1"/>
  <c r="O893" i="7"/>
  <c r="N893" i="7"/>
  <c r="M893" i="7"/>
  <c r="L893" i="7"/>
  <c r="K893" i="7"/>
  <c r="J893" i="7"/>
  <c r="I893" i="7"/>
  <c r="H893" i="7"/>
  <c r="G893" i="7"/>
  <c r="F893" i="7"/>
  <c r="E893" i="7"/>
  <c r="D893" i="7"/>
  <c r="A886" i="7"/>
  <c r="O848" i="7"/>
  <c r="O898" i="7" s="1"/>
  <c r="N848" i="7"/>
  <c r="N898" i="7" s="1"/>
  <c r="M848" i="7"/>
  <c r="M898" i="7" s="1"/>
  <c r="L848" i="7"/>
  <c r="L898" i="7" s="1"/>
  <c r="K848" i="7"/>
  <c r="K898" i="7" s="1"/>
  <c r="J848" i="7"/>
  <c r="J898" i="7" s="1"/>
  <c r="I848" i="7"/>
  <c r="H848" i="7"/>
  <c r="H898" i="7" s="1"/>
  <c r="G848" i="7"/>
  <c r="G898" i="7" s="1"/>
  <c r="F848" i="7"/>
  <c r="F898" i="7" s="1"/>
  <c r="E848" i="7"/>
  <c r="E898" i="7" s="1"/>
  <c r="D848" i="7"/>
  <c r="D898" i="7" s="1"/>
  <c r="O847" i="7"/>
  <c r="O897" i="7" s="1"/>
  <c r="O947" i="7" s="1"/>
  <c r="N847" i="7"/>
  <c r="N897" i="7" s="1"/>
  <c r="N947" i="7" s="1"/>
  <c r="M847" i="7"/>
  <c r="M897" i="7" s="1"/>
  <c r="M947" i="7" s="1"/>
  <c r="L847" i="7"/>
  <c r="L897" i="7" s="1"/>
  <c r="L947" i="7" s="1"/>
  <c r="K847" i="7"/>
  <c r="K897" i="7" s="1"/>
  <c r="K947" i="7" s="1"/>
  <c r="J847" i="7"/>
  <c r="J897" i="7" s="1"/>
  <c r="J947" i="7" s="1"/>
  <c r="I847" i="7"/>
  <c r="I897" i="7" s="1"/>
  <c r="I947" i="7" s="1"/>
  <c r="H847" i="7"/>
  <c r="H897" i="7" s="1"/>
  <c r="H947" i="7" s="1"/>
  <c r="G847" i="7"/>
  <c r="G897" i="7" s="1"/>
  <c r="G947" i="7" s="1"/>
  <c r="F847" i="7"/>
  <c r="F897" i="7" s="1"/>
  <c r="F947" i="7" s="1"/>
  <c r="E847" i="7"/>
  <c r="D847" i="7"/>
  <c r="D897" i="7" s="1"/>
  <c r="D947" i="7" s="1"/>
  <c r="N845" i="7"/>
  <c r="N895" i="7" s="1"/>
  <c r="G845" i="7"/>
  <c r="G895" i="7" s="1"/>
  <c r="N843" i="7"/>
  <c r="O842" i="7"/>
  <c r="N842" i="7"/>
  <c r="M842" i="7"/>
  <c r="L842" i="7"/>
  <c r="K842" i="7"/>
  <c r="J842" i="7"/>
  <c r="I842" i="7"/>
  <c r="H842" i="7"/>
  <c r="G842" i="7"/>
  <c r="F842" i="7"/>
  <c r="E842" i="7"/>
  <c r="D842" i="7"/>
  <c r="A836" i="7"/>
  <c r="O795" i="7"/>
  <c r="O845" i="7" s="1"/>
  <c r="O895" i="7" s="1"/>
  <c r="N795" i="7"/>
  <c r="M795" i="7"/>
  <c r="M845" i="7" s="1"/>
  <c r="M895" i="7" s="1"/>
  <c r="L795" i="7"/>
  <c r="L845" i="7" s="1"/>
  <c r="L895" i="7" s="1"/>
  <c r="K795" i="7"/>
  <c r="K845" i="7" s="1"/>
  <c r="K895" i="7" s="1"/>
  <c r="J795" i="7"/>
  <c r="J845" i="7" s="1"/>
  <c r="J895" i="7" s="1"/>
  <c r="I795" i="7"/>
  <c r="I845" i="7" s="1"/>
  <c r="I895" i="7" s="1"/>
  <c r="H795" i="7"/>
  <c r="H845" i="7" s="1"/>
  <c r="H895" i="7" s="1"/>
  <c r="G795" i="7"/>
  <c r="F795" i="7"/>
  <c r="F845" i="7" s="1"/>
  <c r="F895" i="7" s="1"/>
  <c r="E795" i="7"/>
  <c r="E845" i="7" s="1"/>
  <c r="E895" i="7" s="1"/>
  <c r="D795" i="7"/>
  <c r="D845" i="7" s="1"/>
  <c r="D895" i="7" s="1"/>
  <c r="O793" i="7"/>
  <c r="O843" i="7" s="1"/>
  <c r="N793" i="7"/>
  <c r="M793" i="7"/>
  <c r="M843" i="7" s="1"/>
  <c r="L793" i="7"/>
  <c r="L843" i="7" s="1"/>
  <c r="K793" i="7"/>
  <c r="K843" i="7" s="1"/>
  <c r="J793" i="7"/>
  <c r="J843" i="7" s="1"/>
  <c r="I793" i="7"/>
  <c r="I843" i="7" s="1"/>
  <c r="H793" i="7"/>
  <c r="H843" i="7" s="1"/>
  <c r="G793" i="7"/>
  <c r="G843" i="7" s="1"/>
  <c r="F793" i="7"/>
  <c r="F843" i="7" s="1"/>
  <c r="E793" i="7"/>
  <c r="E843" i="7" s="1"/>
  <c r="D793" i="7"/>
  <c r="D843" i="7" s="1"/>
  <c r="A786" i="7"/>
  <c r="O748" i="7"/>
  <c r="N748" i="7"/>
  <c r="M748" i="7"/>
  <c r="L748" i="7"/>
  <c r="K748" i="7"/>
  <c r="J748" i="7"/>
  <c r="I748" i="7"/>
  <c r="H748" i="7"/>
  <c r="G748" i="7"/>
  <c r="F748" i="7"/>
  <c r="E748" i="7"/>
  <c r="D748" i="7"/>
  <c r="O747" i="7"/>
  <c r="N747" i="7"/>
  <c r="M747" i="7"/>
  <c r="L747" i="7"/>
  <c r="K747" i="7"/>
  <c r="J747" i="7"/>
  <c r="I747" i="7"/>
  <c r="H747" i="7"/>
  <c r="G747" i="7"/>
  <c r="F747" i="7"/>
  <c r="E747" i="7"/>
  <c r="D747" i="7"/>
  <c r="O743" i="7"/>
  <c r="N743" i="7"/>
  <c r="M743" i="7"/>
  <c r="L743" i="7"/>
  <c r="K743" i="7"/>
  <c r="J743" i="7"/>
  <c r="I743" i="7"/>
  <c r="H743" i="7"/>
  <c r="G743" i="7"/>
  <c r="F743" i="7"/>
  <c r="E743" i="7"/>
  <c r="D743" i="7"/>
  <c r="A736" i="7"/>
  <c r="E713" i="7"/>
  <c r="D713" i="7"/>
  <c r="E712" i="7"/>
  <c r="D712" i="7"/>
  <c r="O693" i="7"/>
  <c r="N693" i="7"/>
  <c r="M693" i="7"/>
  <c r="L693" i="7"/>
  <c r="K693" i="7"/>
  <c r="J693" i="7"/>
  <c r="I693" i="7"/>
  <c r="H693" i="7"/>
  <c r="G693" i="7"/>
  <c r="F693" i="7"/>
  <c r="E693" i="7"/>
  <c r="D693" i="7"/>
  <c r="A686" i="7"/>
  <c r="A638" i="7"/>
  <c r="A590" i="7"/>
  <c r="A542" i="7"/>
  <c r="A494" i="7"/>
  <c r="A446" i="7"/>
  <c r="A398" i="7"/>
  <c r="A350" i="7"/>
  <c r="A302" i="7"/>
  <c r="A254" i="7"/>
  <c r="A206" i="7"/>
  <c r="O196" i="7"/>
  <c r="N196" i="7"/>
  <c r="M196" i="7"/>
  <c r="L196" i="7"/>
  <c r="K196" i="7"/>
  <c r="J196" i="7"/>
  <c r="I196" i="7"/>
  <c r="H196" i="7"/>
  <c r="G196" i="7"/>
  <c r="F196" i="7"/>
  <c r="E196" i="7"/>
  <c r="D196" i="7"/>
  <c r="O162" i="7"/>
  <c r="N162" i="7"/>
  <c r="M162" i="7"/>
  <c r="L162" i="7"/>
  <c r="K162" i="7"/>
  <c r="J162" i="7"/>
  <c r="I162" i="7"/>
  <c r="H162" i="7"/>
  <c r="G162" i="7"/>
  <c r="F162" i="7"/>
  <c r="E162" i="7"/>
  <c r="D162" i="7"/>
  <c r="O159" i="7"/>
  <c r="N159" i="7"/>
  <c r="M159" i="7"/>
  <c r="L159" i="7"/>
  <c r="K159" i="7"/>
  <c r="J159" i="7"/>
  <c r="I159" i="7"/>
  <c r="H159" i="7"/>
  <c r="G159" i="7"/>
  <c r="F159" i="7"/>
  <c r="E159" i="7"/>
  <c r="D159" i="7"/>
  <c r="A156" i="7"/>
  <c r="D146" i="7"/>
  <c r="O124" i="7"/>
  <c r="N124" i="7"/>
  <c r="M124" i="7"/>
  <c r="L124" i="7"/>
  <c r="K124" i="7"/>
  <c r="J124" i="7"/>
  <c r="I124" i="7"/>
  <c r="H124" i="7"/>
  <c r="G124" i="7"/>
  <c r="F124" i="7"/>
  <c r="E124" i="7"/>
  <c r="D124" i="7"/>
  <c r="O123" i="7"/>
  <c r="N123" i="7"/>
  <c r="M123" i="7"/>
  <c r="L123" i="7"/>
  <c r="K123" i="7"/>
  <c r="J123" i="7"/>
  <c r="I123" i="7"/>
  <c r="H123" i="7"/>
  <c r="G123" i="7"/>
  <c r="F123" i="7"/>
  <c r="E123" i="7"/>
  <c r="D123" i="7"/>
  <c r="O121" i="7"/>
  <c r="N121" i="7"/>
  <c r="M121" i="7"/>
  <c r="L121" i="7"/>
  <c r="K121" i="7"/>
  <c r="J121" i="7"/>
  <c r="I121" i="7"/>
  <c r="H121" i="7"/>
  <c r="G121" i="7"/>
  <c r="F121" i="7"/>
  <c r="E121" i="7"/>
  <c r="D121" i="7"/>
  <c r="O120" i="7"/>
  <c r="N120" i="7"/>
  <c r="M120" i="7"/>
  <c r="L120" i="7"/>
  <c r="K120" i="7"/>
  <c r="J120" i="7"/>
  <c r="I120" i="7"/>
  <c r="H120" i="7"/>
  <c r="G120" i="7"/>
  <c r="F120" i="7"/>
  <c r="E120" i="7"/>
  <c r="D120" i="7"/>
  <c r="O118" i="7"/>
  <c r="N118" i="7"/>
  <c r="M118" i="7"/>
  <c r="L118" i="7"/>
  <c r="K118" i="7"/>
  <c r="J118" i="7"/>
  <c r="I118" i="7"/>
  <c r="H118" i="7"/>
  <c r="G118" i="7"/>
  <c r="F118" i="7"/>
  <c r="E118" i="7"/>
  <c r="D118" i="7"/>
  <c r="O117" i="7"/>
  <c r="N117" i="7"/>
  <c r="M117" i="7"/>
  <c r="L117" i="7"/>
  <c r="K117" i="7"/>
  <c r="J117" i="7"/>
  <c r="I117" i="7"/>
  <c r="H117" i="7"/>
  <c r="G117" i="7"/>
  <c r="F117" i="7"/>
  <c r="E117" i="7"/>
  <c r="D117" i="7"/>
  <c r="O113" i="7"/>
  <c r="N113" i="7"/>
  <c r="M113" i="7"/>
  <c r="L113" i="7"/>
  <c r="K113" i="7"/>
  <c r="J113" i="7"/>
  <c r="I113" i="7"/>
  <c r="H113" i="7"/>
  <c r="G113" i="7"/>
  <c r="F113" i="7"/>
  <c r="E113" i="7"/>
  <c r="D113" i="7"/>
  <c r="A106" i="7"/>
  <c r="O102" i="7"/>
  <c r="O152" i="7" s="1"/>
  <c r="O202" i="7" s="1"/>
  <c r="O732" i="7" s="1"/>
  <c r="O782" i="7" s="1"/>
  <c r="O832" i="7" s="1"/>
  <c r="O882" i="7" s="1"/>
  <c r="O932" i="7" s="1"/>
  <c r="O982" i="7" s="1"/>
  <c r="N102" i="7"/>
  <c r="N152" i="7" s="1"/>
  <c r="N202" i="7" s="1"/>
  <c r="N732" i="7" s="1"/>
  <c r="N782" i="7" s="1"/>
  <c r="N832" i="7" s="1"/>
  <c r="N882" i="7" s="1"/>
  <c r="N932" i="7" s="1"/>
  <c r="N982" i="7" s="1"/>
  <c r="M102" i="7"/>
  <c r="M152" i="7" s="1"/>
  <c r="M202" i="7" s="1"/>
  <c r="M732" i="7" s="1"/>
  <c r="M782" i="7" s="1"/>
  <c r="M832" i="7" s="1"/>
  <c r="M882" i="7" s="1"/>
  <c r="M932" i="7" s="1"/>
  <c r="M982" i="7" s="1"/>
  <c r="L102" i="7"/>
  <c r="L152" i="7" s="1"/>
  <c r="L202" i="7" s="1"/>
  <c r="L732" i="7" s="1"/>
  <c r="L782" i="7" s="1"/>
  <c r="L832" i="7" s="1"/>
  <c r="L882" i="7" s="1"/>
  <c r="L932" i="7" s="1"/>
  <c r="L982" i="7" s="1"/>
  <c r="K102" i="7"/>
  <c r="K152" i="7" s="1"/>
  <c r="K202" i="7" s="1"/>
  <c r="K732" i="7" s="1"/>
  <c r="K782" i="7" s="1"/>
  <c r="K832" i="7" s="1"/>
  <c r="K882" i="7" s="1"/>
  <c r="K932" i="7" s="1"/>
  <c r="K982" i="7" s="1"/>
  <c r="J102" i="7"/>
  <c r="J152" i="7" s="1"/>
  <c r="J202" i="7" s="1"/>
  <c r="J732" i="7" s="1"/>
  <c r="J782" i="7" s="1"/>
  <c r="J832" i="7" s="1"/>
  <c r="J882" i="7" s="1"/>
  <c r="J932" i="7" s="1"/>
  <c r="J982" i="7" s="1"/>
  <c r="I102" i="7"/>
  <c r="I152" i="7" s="1"/>
  <c r="I202" i="7" s="1"/>
  <c r="I732" i="7" s="1"/>
  <c r="I782" i="7" s="1"/>
  <c r="I832" i="7" s="1"/>
  <c r="I882" i="7" s="1"/>
  <c r="I932" i="7" s="1"/>
  <c r="I982" i="7" s="1"/>
  <c r="H102" i="7"/>
  <c r="H152" i="7" s="1"/>
  <c r="H202" i="7" s="1"/>
  <c r="H732" i="7" s="1"/>
  <c r="H782" i="7" s="1"/>
  <c r="H832" i="7" s="1"/>
  <c r="H882" i="7" s="1"/>
  <c r="H932" i="7" s="1"/>
  <c r="H982" i="7" s="1"/>
  <c r="G102" i="7"/>
  <c r="G152" i="7" s="1"/>
  <c r="G202" i="7" s="1"/>
  <c r="G732" i="7" s="1"/>
  <c r="G782" i="7" s="1"/>
  <c r="G832" i="7" s="1"/>
  <c r="G882" i="7" s="1"/>
  <c r="G932" i="7" s="1"/>
  <c r="G982" i="7" s="1"/>
  <c r="F102" i="7"/>
  <c r="F152" i="7" s="1"/>
  <c r="F202" i="7" s="1"/>
  <c r="F732" i="7" s="1"/>
  <c r="F782" i="7" s="1"/>
  <c r="F832" i="7" s="1"/>
  <c r="F882" i="7" s="1"/>
  <c r="F932" i="7" s="1"/>
  <c r="F982" i="7" s="1"/>
  <c r="E102" i="7"/>
  <c r="E152" i="7" s="1"/>
  <c r="E202" i="7" s="1"/>
  <c r="E732" i="7" s="1"/>
  <c r="E782" i="7" s="1"/>
  <c r="E832" i="7" s="1"/>
  <c r="E882" i="7" s="1"/>
  <c r="E932" i="7" s="1"/>
  <c r="E982" i="7" s="1"/>
  <c r="D102" i="7"/>
  <c r="D152" i="7" s="1"/>
  <c r="D202" i="7" s="1"/>
  <c r="D732" i="7" s="1"/>
  <c r="D782" i="7" s="1"/>
  <c r="D832" i="7" s="1"/>
  <c r="D882" i="7" s="1"/>
  <c r="D932" i="7" s="1"/>
  <c r="D982" i="7" s="1"/>
  <c r="O101" i="7"/>
  <c r="O151" i="7" s="1"/>
  <c r="O201" i="7" s="1"/>
  <c r="O731" i="7" s="1"/>
  <c r="O781" i="7" s="1"/>
  <c r="O831" i="7" s="1"/>
  <c r="O881" i="7" s="1"/>
  <c r="O931" i="7" s="1"/>
  <c r="O981" i="7" s="1"/>
  <c r="N101" i="7"/>
  <c r="N151" i="7" s="1"/>
  <c r="N201" i="7" s="1"/>
  <c r="N731" i="7" s="1"/>
  <c r="N781" i="7" s="1"/>
  <c r="N831" i="7" s="1"/>
  <c r="N881" i="7" s="1"/>
  <c r="N931" i="7" s="1"/>
  <c r="N981" i="7" s="1"/>
  <c r="M101" i="7"/>
  <c r="M151" i="7" s="1"/>
  <c r="M201" i="7" s="1"/>
  <c r="M731" i="7" s="1"/>
  <c r="M781" i="7" s="1"/>
  <c r="M831" i="7" s="1"/>
  <c r="M881" i="7" s="1"/>
  <c r="M931" i="7" s="1"/>
  <c r="M981" i="7" s="1"/>
  <c r="L101" i="7"/>
  <c r="L151" i="7" s="1"/>
  <c r="L201" i="7" s="1"/>
  <c r="L731" i="7" s="1"/>
  <c r="L781" i="7" s="1"/>
  <c r="L831" i="7" s="1"/>
  <c r="L881" i="7" s="1"/>
  <c r="L931" i="7" s="1"/>
  <c r="L981" i="7" s="1"/>
  <c r="K101" i="7"/>
  <c r="K151" i="7" s="1"/>
  <c r="K201" i="7" s="1"/>
  <c r="K731" i="7" s="1"/>
  <c r="K781" i="7" s="1"/>
  <c r="K831" i="7" s="1"/>
  <c r="K881" i="7" s="1"/>
  <c r="K931" i="7" s="1"/>
  <c r="K981" i="7" s="1"/>
  <c r="J101" i="7"/>
  <c r="J151" i="7" s="1"/>
  <c r="J201" i="7" s="1"/>
  <c r="J731" i="7" s="1"/>
  <c r="J781" i="7" s="1"/>
  <c r="J831" i="7" s="1"/>
  <c r="J881" i="7" s="1"/>
  <c r="J931" i="7" s="1"/>
  <c r="J981" i="7" s="1"/>
  <c r="I101" i="7"/>
  <c r="I151" i="7" s="1"/>
  <c r="I201" i="7" s="1"/>
  <c r="I731" i="7" s="1"/>
  <c r="I781" i="7" s="1"/>
  <c r="I831" i="7" s="1"/>
  <c r="I881" i="7" s="1"/>
  <c r="I931" i="7" s="1"/>
  <c r="I981" i="7" s="1"/>
  <c r="H101" i="7"/>
  <c r="H151" i="7" s="1"/>
  <c r="H201" i="7" s="1"/>
  <c r="H731" i="7" s="1"/>
  <c r="H781" i="7" s="1"/>
  <c r="H831" i="7" s="1"/>
  <c r="H881" i="7" s="1"/>
  <c r="H931" i="7" s="1"/>
  <c r="H981" i="7" s="1"/>
  <c r="G101" i="7"/>
  <c r="G151" i="7" s="1"/>
  <c r="G201" i="7" s="1"/>
  <c r="G731" i="7" s="1"/>
  <c r="G781" i="7" s="1"/>
  <c r="G831" i="7" s="1"/>
  <c r="G881" i="7" s="1"/>
  <c r="G931" i="7" s="1"/>
  <c r="G981" i="7" s="1"/>
  <c r="F101" i="7"/>
  <c r="F151" i="7" s="1"/>
  <c r="F201" i="7" s="1"/>
  <c r="F731" i="7" s="1"/>
  <c r="F781" i="7" s="1"/>
  <c r="F831" i="7" s="1"/>
  <c r="F881" i="7" s="1"/>
  <c r="F931" i="7" s="1"/>
  <c r="F981" i="7" s="1"/>
  <c r="E101" i="7"/>
  <c r="E151" i="7" s="1"/>
  <c r="E201" i="7" s="1"/>
  <c r="E731" i="7" s="1"/>
  <c r="E781" i="7" s="1"/>
  <c r="E831" i="7" s="1"/>
  <c r="E881" i="7" s="1"/>
  <c r="E931" i="7" s="1"/>
  <c r="E981" i="7" s="1"/>
  <c r="D101" i="7"/>
  <c r="D151" i="7" s="1"/>
  <c r="D201" i="7" s="1"/>
  <c r="D731" i="7" s="1"/>
  <c r="D781" i="7" s="1"/>
  <c r="D831" i="7" s="1"/>
  <c r="D881" i="7" s="1"/>
  <c r="D931" i="7" s="1"/>
  <c r="D981" i="7" s="1"/>
  <c r="O100" i="7"/>
  <c r="O150" i="7" s="1"/>
  <c r="O200" i="7" s="1"/>
  <c r="O730" i="7" s="1"/>
  <c r="O780" i="7" s="1"/>
  <c r="O830" i="7" s="1"/>
  <c r="O880" i="7" s="1"/>
  <c r="O930" i="7" s="1"/>
  <c r="O980" i="7" s="1"/>
  <c r="N100" i="7"/>
  <c r="N150" i="7" s="1"/>
  <c r="N200" i="7" s="1"/>
  <c r="N730" i="7" s="1"/>
  <c r="N780" i="7" s="1"/>
  <c r="N830" i="7" s="1"/>
  <c r="N880" i="7" s="1"/>
  <c r="N930" i="7" s="1"/>
  <c r="N980" i="7" s="1"/>
  <c r="M100" i="7"/>
  <c r="M150" i="7" s="1"/>
  <c r="M200" i="7" s="1"/>
  <c r="M730" i="7" s="1"/>
  <c r="M780" i="7" s="1"/>
  <c r="M830" i="7" s="1"/>
  <c r="M880" i="7" s="1"/>
  <c r="M930" i="7" s="1"/>
  <c r="M980" i="7" s="1"/>
  <c r="L100" i="7"/>
  <c r="L150" i="7" s="1"/>
  <c r="L200" i="7" s="1"/>
  <c r="L730" i="7" s="1"/>
  <c r="L780" i="7" s="1"/>
  <c r="L830" i="7" s="1"/>
  <c r="L880" i="7" s="1"/>
  <c r="L930" i="7" s="1"/>
  <c r="L980" i="7" s="1"/>
  <c r="K100" i="7"/>
  <c r="K150" i="7" s="1"/>
  <c r="K200" i="7" s="1"/>
  <c r="K730" i="7" s="1"/>
  <c r="K780" i="7" s="1"/>
  <c r="K830" i="7" s="1"/>
  <c r="K880" i="7" s="1"/>
  <c r="K930" i="7" s="1"/>
  <c r="K980" i="7" s="1"/>
  <c r="J100" i="7"/>
  <c r="J150" i="7" s="1"/>
  <c r="J200" i="7" s="1"/>
  <c r="J730" i="7" s="1"/>
  <c r="J780" i="7" s="1"/>
  <c r="J830" i="7" s="1"/>
  <c r="J880" i="7" s="1"/>
  <c r="J930" i="7" s="1"/>
  <c r="J980" i="7" s="1"/>
  <c r="I100" i="7"/>
  <c r="I150" i="7" s="1"/>
  <c r="I200" i="7" s="1"/>
  <c r="I730" i="7" s="1"/>
  <c r="I780" i="7" s="1"/>
  <c r="I830" i="7" s="1"/>
  <c r="I880" i="7" s="1"/>
  <c r="I930" i="7" s="1"/>
  <c r="I980" i="7" s="1"/>
  <c r="H100" i="7"/>
  <c r="H150" i="7" s="1"/>
  <c r="H200" i="7" s="1"/>
  <c r="H730" i="7" s="1"/>
  <c r="H780" i="7" s="1"/>
  <c r="H830" i="7" s="1"/>
  <c r="H880" i="7" s="1"/>
  <c r="H930" i="7" s="1"/>
  <c r="H980" i="7" s="1"/>
  <c r="G100" i="7"/>
  <c r="G150" i="7" s="1"/>
  <c r="G200" i="7" s="1"/>
  <c r="G730" i="7" s="1"/>
  <c r="G780" i="7" s="1"/>
  <c r="G830" i="7" s="1"/>
  <c r="G880" i="7" s="1"/>
  <c r="G930" i="7" s="1"/>
  <c r="G980" i="7" s="1"/>
  <c r="F100" i="7"/>
  <c r="F150" i="7" s="1"/>
  <c r="F200" i="7" s="1"/>
  <c r="F730" i="7" s="1"/>
  <c r="F780" i="7" s="1"/>
  <c r="F830" i="7" s="1"/>
  <c r="F880" i="7" s="1"/>
  <c r="F930" i="7" s="1"/>
  <c r="F980" i="7" s="1"/>
  <c r="E100" i="7"/>
  <c r="E150" i="7" s="1"/>
  <c r="E200" i="7" s="1"/>
  <c r="E730" i="7" s="1"/>
  <c r="E780" i="7" s="1"/>
  <c r="E830" i="7" s="1"/>
  <c r="E880" i="7" s="1"/>
  <c r="E930" i="7" s="1"/>
  <c r="E980" i="7" s="1"/>
  <c r="D100" i="7"/>
  <c r="D150" i="7" s="1"/>
  <c r="D200" i="7" s="1"/>
  <c r="D730" i="7" s="1"/>
  <c r="D780" i="7" s="1"/>
  <c r="D830" i="7" s="1"/>
  <c r="D880" i="7" s="1"/>
  <c r="D930" i="7" s="1"/>
  <c r="D980" i="7" s="1"/>
  <c r="O99" i="7"/>
  <c r="O149" i="7" s="1"/>
  <c r="O199" i="7" s="1"/>
  <c r="O729" i="7" s="1"/>
  <c r="O779" i="7" s="1"/>
  <c r="O829" i="7" s="1"/>
  <c r="O879" i="7" s="1"/>
  <c r="O929" i="7" s="1"/>
  <c r="O979" i="7" s="1"/>
  <c r="N99" i="7"/>
  <c r="N149" i="7" s="1"/>
  <c r="N199" i="7" s="1"/>
  <c r="N729" i="7" s="1"/>
  <c r="N779" i="7" s="1"/>
  <c r="N829" i="7" s="1"/>
  <c r="N879" i="7" s="1"/>
  <c r="N929" i="7" s="1"/>
  <c r="N979" i="7" s="1"/>
  <c r="M99" i="7"/>
  <c r="M149" i="7" s="1"/>
  <c r="M199" i="7" s="1"/>
  <c r="M729" i="7" s="1"/>
  <c r="M779" i="7" s="1"/>
  <c r="M829" i="7" s="1"/>
  <c r="M879" i="7" s="1"/>
  <c r="M929" i="7" s="1"/>
  <c r="M979" i="7" s="1"/>
  <c r="L99" i="7"/>
  <c r="L149" i="7" s="1"/>
  <c r="L199" i="7" s="1"/>
  <c r="L729" i="7" s="1"/>
  <c r="L779" i="7" s="1"/>
  <c r="L829" i="7" s="1"/>
  <c r="L879" i="7" s="1"/>
  <c r="L929" i="7" s="1"/>
  <c r="L979" i="7" s="1"/>
  <c r="K99" i="7"/>
  <c r="K149" i="7" s="1"/>
  <c r="K199" i="7" s="1"/>
  <c r="K729" i="7" s="1"/>
  <c r="K779" i="7" s="1"/>
  <c r="K829" i="7" s="1"/>
  <c r="K879" i="7" s="1"/>
  <c r="K929" i="7" s="1"/>
  <c r="K979" i="7" s="1"/>
  <c r="J99" i="7"/>
  <c r="J149" i="7" s="1"/>
  <c r="J199" i="7" s="1"/>
  <c r="J729" i="7" s="1"/>
  <c r="J779" i="7" s="1"/>
  <c r="J829" i="7" s="1"/>
  <c r="J879" i="7" s="1"/>
  <c r="J929" i="7" s="1"/>
  <c r="J979" i="7" s="1"/>
  <c r="I99" i="7"/>
  <c r="I149" i="7" s="1"/>
  <c r="I199" i="7" s="1"/>
  <c r="I729" i="7" s="1"/>
  <c r="I779" i="7" s="1"/>
  <c r="I829" i="7" s="1"/>
  <c r="I879" i="7" s="1"/>
  <c r="I929" i="7" s="1"/>
  <c r="I979" i="7" s="1"/>
  <c r="H99" i="7"/>
  <c r="H149" i="7" s="1"/>
  <c r="H199" i="7" s="1"/>
  <c r="H729" i="7" s="1"/>
  <c r="H779" i="7" s="1"/>
  <c r="H829" i="7" s="1"/>
  <c r="H879" i="7" s="1"/>
  <c r="H929" i="7" s="1"/>
  <c r="H979" i="7" s="1"/>
  <c r="G99" i="7"/>
  <c r="G149" i="7" s="1"/>
  <c r="G199" i="7" s="1"/>
  <c r="G729" i="7" s="1"/>
  <c r="G779" i="7" s="1"/>
  <c r="G829" i="7" s="1"/>
  <c r="G879" i="7" s="1"/>
  <c r="G929" i="7" s="1"/>
  <c r="G979" i="7" s="1"/>
  <c r="F99" i="7"/>
  <c r="F149" i="7" s="1"/>
  <c r="F199" i="7" s="1"/>
  <c r="F729" i="7" s="1"/>
  <c r="F779" i="7" s="1"/>
  <c r="F829" i="7" s="1"/>
  <c r="F879" i="7" s="1"/>
  <c r="F929" i="7" s="1"/>
  <c r="F979" i="7" s="1"/>
  <c r="E99" i="7"/>
  <c r="E149" i="7" s="1"/>
  <c r="E199" i="7" s="1"/>
  <c r="E729" i="7" s="1"/>
  <c r="E779" i="7" s="1"/>
  <c r="E829" i="7" s="1"/>
  <c r="E879" i="7" s="1"/>
  <c r="E929" i="7" s="1"/>
  <c r="E979" i="7" s="1"/>
  <c r="D99" i="7"/>
  <c r="D149" i="7" s="1"/>
  <c r="D199" i="7" s="1"/>
  <c r="D729" i="7" s="1"/>
  <c r="D779" i="7" s="1"/>
  <c r="D829" i="7" s="1"/>
  <c r="D879" i="7" s="1"/>
  <c r="D929" i="7" s="1"/>
  <c r="D979" i="7" s="1"/>
  <c r="E96" i="7"/>
  <c r="E146" i="7" s="1"/>
  <c r="O94" i="7"/>
  <c r="O144" i="7" s="1"/>
  <c r="O194" i="7" s="1"/>
  <c r="O724" i="7" s="1"/>
  <c r="O774" i="7" s="1"/>
  <c r="O824" i="7" s="1"/>
  <c r="O874" i="7" s="1"/>
  <c r="O924" i="7" s="1"/>
  <c r="O974" i="7" s="1"/>
  <c r="N94" i="7"/>
  <c r="N144" i="7" s="1"/>
  <c r="N194" i="7" s="1"/>
  <c r="N724" i="7" s="1"/>
  <c r="N774" i="7" s="1"/>
  <c r="N824" i="7" s="1"/>
  <c r="N874" i="7" s="1"/>
  <c r="N924" i="7" s="1"/>
  <c r="N974" i="7" s="1"/>
  <c r="M94" i="7"/>
  <c r="M144" i="7" s="1"/>
  <c r="M194" i="7" s="1"/>
  <c r="M724" i="7" s="1"/>
  <c r="M774" i="7" s="1"/>
  <c r="M824" i="7" s="1"/>
  <c r="M874" i="7" s="1"/>
  <c r="M924" i="7" s="1"/>
  <c r="M974" i="7" s="1"/>
  <c r="L94" i="7"/>
  <c r="L144" i="7" s="1"/>
  <c r="L194" i="7" s="1"/>
  <c r="L724" i="7" s="1"/>
  <c r="L774" i="7" s="1"/>
  <c r="L824" i="7" s="1"/>
  <c r="L874" i="7" s="1"/>
  <c r="L924" i="7" s="1"/>
  <c r="L974" i="7" s="1"/>
  <c r="K94" i="7"/>
  <c r="K144" i="7" s="1"/>
  <c r="K194" i="7" s="1"/>
  <c r="K724" i="7" s="1"/>
  <c r="K774" i="7" s="1"/>
  <c r="K824" i="7" s="1"/>
  <c r="K874" i="7" s="1"/>
  <c r="K924" i="7" s="1"/>
  <c r="K974" i="7" s="1"/>
  <c r="J94" i="7"/>
  <c r="J144" i="7" s="1"/>
  <c r="J194" i="7" s="1"/>
  <c r="J724" i="7" s="1"/>
  <c r="J774" i="7" s="1"/>
  <c r="J824" i="7" s="1"/>
  <c r="J874" i="7" s="1"/>
  <c r="J924" i="7" s="1"/>
  <c r="J974" i="7" s="1"/>
  <c r="I94" i="7"/>
  <c r="I144" i="7" s="1"/>
  <c r="I194" i="7" s="1"/>
  <c r="I724" i="7" s="1"/>
  <c r="I774" i="7" s="1"/>
  <c r="I824" i="7" s="1"/>
  <c r="I874" i="7" s="1"/>
  <c r="I924" i="7" s="1"/>
  <c r="I974" i="7" s="1"/>
  <c r="H94" i="7"/>
  <c r="H144" i="7" s="1"/>
  <c r="H194" i="7" s="1"/>
  <c r="H724" i="7" s="1"/>
  <c r="H774" i="7" s="1"/>
  <c r="H824" i="7" s="1"/>
  <c r="H874" i="7" s="1"/>
  <c r="H924" i="7" s="1"/>
  <c r="H974" i="7" s="1"/>
  <c r="G94" i="7"/>
  <c r="G144" i="7" s="1"/>
  <c r="G194" i="7" s="1"/>
  <c r="G724" i="7" s="1"/>
  <c r="G774" i="7" s="1"/>
  <c r="G824" i="7" s="1"/>
  <c r="G874" i="7" s="1"/>
  <c r="G924" i="7" s="1"/>
  <c r="G974" i="7" s="1"/>
  <c r="F94" i="7"/>
  <c r="F144" i="7" s="1"/>
  <c r="F194" i="7" s="1"/>
  <c r="F724" i="7" s="1"/>
  <c r="F774" i="7" s="1"/>
  <c r="F824" i="7" s="1"/>
  <c r="F874" i="7" s="1"/>
  <c r="F924" i="7" s="1"/>
  <c r="F974" i="7" s="1"/>
  <c r="E94" i="7"/>
  <c r="E144" i="7" s="1"/>
  <c r="E194" i="7" s="1"/>
  <c r="E724" i="7" s="1"/>
  <c r="E774" i="7" s="1"/>
  <c r="E824" i="7" s="1"/>
  <c r="E874" i="7" s="1"/>
  <c r="E924" i="7" s="1"/>
  <c r="E974" i="7" s="1"/>
  <c r="D94" i="7"/>
  <c r="D144" i="7" s="1"/>
  <c r="D194" i="7" s="1"/>
  <c r="D724" i="7" s="1"/>
  <c r="D774" i="7" s="1"/>
  <c r="D824" i="7" s="1"/>
  <c r="D874" i="7" s="1"/>
  <c r="D924" i="7" s="1"/>
  <c r="D974" i="7" s="1"/>
  <c r="O93" i="7"/>
  <c r="O143" i="7" s="1"/>
  <c r="O193" i="7" s="1"/>
  <c r="O723" i="7" s="1"/>
  <c r="O773" i="7" s="1"/>
  <c r="O823" i="7" s="1"/>
  <c r="O873" i="7" s="1"/>
  <c r="O923" i="7" s="1"/>
  <c r="O973" i="7" s="1"/>
  <c r="N93" i="7"/>
  <c r="N143" i="7" s="1"/>
  <c r="N193" i="7" s="1"/>
  <c r="N723" i="7" s="1"/>
  <c r="N773" i="7" s="1"/>
  <c r="N823" i="7" s="1"/>
  <c r="N873" i="7" s="1"/>
  <c r="N923" i="7" s="1"/>
  <c r="N973" i="7" s="1"/>
  <c r="M93" i="7"/>
  <c r="M143" i="7" s="1"/>
  <c r="M193" i="7" s="1"/>
  <c r="M723" i="7" s="1"/>
  <c r="M773" i="7" s="1"/>
  <c r="M823" i="7" s="1"/>
  <c r="M873" i="7" s="1"/>
  <c r="M923" i="7" s="1"/>
  <c r="M973" i="7" s="1"/>
  <c r="L93" i="7"/>
  <c r="L143" i="7" s="1"/>
  <c r="L193" i="7" s="1"/>
  <c r="L723" i="7" s="1"/>
  <c r="L773" i="7" s="1"/>
  <c r="L823" i="7" s="1"/>
  <c r="L873" i="7" s="1"/>
  <c r="L923" i="7" s="1"/>
  <c r="L973" i="7" s="1"/>
  <c r="K93" i="7"/>
  <c r="K143" i="7" s="1"/>
  <c r="K193" i="7" s="1"/>
  <c r="K723" i="7" s="1"/>
  <c r="K773" i="7" s="1"/>
  <c r="K823" i="7" s="1"/>
  <c r="K873" i="7" s="1"/>
  <c r="K923" i="7" s="1"/>
  <c r="K973" i="7" s="1"/>
  <c r="J93" i="7"/>
  <c r="J143" i="7" s="1"/>
  <c r="J193" i="7" s="1"/>
  <c r="J723" i="7" s="1"/>
  <c r="J773" i="7" s="1"/>
  <c r="J823" i="7" s="1"/>
  <c r="J873" i="7" s="1"/>
  <c r="J923" i="7" s="1"/>
  <c r="J973" i="7" s="1"/>
  <c r="I93" i="7"/>
  <c r="I143" i="7" s="1"/>
  <c r="I193" i="7" s="1"/>
  <c r="I723" i="7" s="1"/>
  <c r="I773" i="7" s="1"/>
  <c r="I823" i="7" s="1"/>
  <c r="I873" i="7" s="1"/>
  <c r="I923" i="7" s="1"/>
  <c r="I973" i="7" s="1"/>
  <c r="H93" i="7"/>
  <c r="H143" i="7" s="1"/>
  <c r="H193" i="7" s="1"/>
  <c r="H723" i="7" s="1"/>
  <c r="H773" i="7" s="1"/>
  <c r="H823" i="7" s="1"/>
  <c r="H873" i="7" s="1"/>
  <c r="H923" i="7" s="1"/>
  <c r="H973" i="7" s="1"/>
  <c r="G93" i="7"/>
  <c r="G143" i="7" s="1"/>
  <c r="G193" i="7" s="1"/>
  <c r="G723" i="7" s="1"/>
  <c r="G773" i="7" s="1"/>
  <c r="G823" i="7" s="1"/>
  <c r="G873" i="7" s="1"/>
  <c r="G923" i="7" s="1"/>
  <c r="G973" i="7" s="1"/>
  <c r="F93" i="7"/>
  <c r="F143" i="7" s="1"/>
  <c r="F193" i="7" s="1"/>
  <c r="F723" i="7" s="1"/>
  <c r="F773" i="7" s="1"/>
  <c r="F823" i="7" s="1"/>
  <c r="F873" i="7" s="1"/>
  <c r="F923" i="7" s="1"/>
  <c r="F973" i="7" s="1"/>
  <c r="E93" i="7"/>
  <c r="E143" i="7" s="1"/>
  <c r="E193" i="7" s="1"/>
  <c r="E723" i="7" s="1"/>
  <c r="E773" i="7" s="1"/>
  <c r="E823" i="7" s="1"/>
  <c r="E873" i="7" s="1"/>
  <c r="E923" i="7" s="1"/>
  <c r="E973" i="7" s="1"/>
  <c r="D93" i="7"/>
  <c r="D143" i="7" s="1"/>
  <c r="D193" i="7" s="1"/>
  <c r="D723" i="7" s="1"/>
  <c r="D773" i="7" s="1"/>
  <c r="D823" i="7" s="1"/>
  <c r="D873" i="7" s="1"/>
  <c r="D923" i="7" s="1"/>
  <c r="D973" i="7" s="1"/>
  <c r="D81" i="7"/>
  <c r="D131" i="7" s="1"/>
  <c r="D181" i="7" s="1"/>
  <c r="D711" i="7" s="1"/>
  <c r="D761" i="7" s="1"/>
  <c r="D811" i="7" s="1"/>
  <c r="D861" i="7" s="1"/>
  <c r="D911" i="7" s="1"/>
  <c r="D961" i="7" s="1"/>
  <c r="D80" i="7"/>
  <c r="D130" i="7" s="1"/>
  <c r="D180" i="7" s="1"/>
  <c r="D710" i="7" s="1"/>
  <c r="D760" i="7" s="1"/>
  <c r="D810" i="7" s="1"/>
  <c r="D860" i="7" s="1"/>
  <c r="D910" i="7" s="1"/>
  <c r="D960" i="7" s="1"/>
  <c r="O78" i="7"/>
  <c r="O128" i="7" s="1"/>
  <c r="O178" i="7" s="1"/>
  <c r="O708" i="7" s="1"/>
  <c r="O758" i="7" s="1"/>
  <c r="O808" i="7" s="1"/>
  <c r="O858" i="7" s="1"/>
  <c r="O908" i="7" s="1"/>
  <c r="O958" i="7" s="1"/>
  <c r="N78" i="7"/>
  <c r="N128" i="7" s="1"/>
  <c r="N178" i="7" s="1"/>
  <c r="N708" i="7" s="1"/>
  <c r="N758" i="7" s="1"/>
  <c r="N808" i="7" s="1"/>
  <c r="N858" i="7" s="1"/>
  <c r="N908" i="7" s="1"/>
  <c r="N958" i="7" s="1"/>
  <c r="M78" i="7"/>
  <c r="M128" i="7" s="1"/>
  <c r="M178" i="7" s="1"/>
  <c r="M708" i="7" s="1"/>
  <c r="M758" i="7" s="1"/>
  <c r="M808" i="7" s="1"/>
  <c r="M858" i="7" s="1"/>
  <c r="M908" i="7" s="1"/>
  <c r="M958" i="7" s="1"/>
  <c r="L78" i="7"/>
  <c r="L128" i="7" s="1"/>
  <c r="L178" i="7" s="1"/>
  <c r="L708" i="7" s="1"/>
  <c r="L758" i="7" s="1"/>
  <c r="L808" i="7" s="1"/>
  <c r="L858" i="7" s="1"/>
  <c r="L908" i="7" s="1"/>
  <c r="L958" i="7" s="1"/>
  <c r="K78" i="7"/>
  <c r="K128" i="7" s="1"/>
  <c r="K178" i="7" s="1"/>
  <c r="K708" i="7" s="1"/>
  <c r="K758" i="7" s="1"/>
  <c r="K808" i="7" s="1"/>
  <c r="K858" i="7" s="1"/>
  <c r="K908" i="7" s="1"/>
  <c r="K958" i="7" s="1"/>
  <c r="J78" i="7"/>
  <c r="J128" i="7" s="1"/>
  <c r="J178" i="7" s="1"/>
  <c r="J708" i="7" s="1"/>
  <c r="J758" i="7" s="1"/>
  <c r="J808" i="7" s="1"/>
  <c r="J858" i="7" s="1"/>
  <c r="J908" i="7" s="1"/>
  <c r="J958" i="7" s="1"/>
  <c r="I78" i="7"/>
  <c r="I128" i="7" s="1"/>
  <c r="I178" i="7" s="1"/>
  <c r="I708" i="7" s="1"/>
  <c r="I758" i="7" s="1"/>
  <c r="I808" i="7" s="1"/>
  <c r="I858" i="7" s="1"/>
  <c r="I908" i="7" s="1"/>
  <c r="I958" i="7" s="1"/>
  <c r="H78" i="7"/>
  <c r="H128" i="7" s="1"/>
  <c r="H178" i="7" s="1"/>
  <c r="H708" i="7" s="1"/>
  <c r="H758" i="7" s="1"/>
  <c r="H808" i="7" s="1"/>
  <c r="H858" i="7" s="1"/>
  <c r="H908" i="7" s="1"/>
  <c r="H958" i="7" s="1"/>
  <c r="G78" i="7"/>
  <c r="G128" i="7" s="1"/>
  <c r="G178" i="7" s="1"/>
  <c r="G708" i="7" s="1"/>
  <c r="G758" i="7" s="1"/>
  <c r="G808" i="7" s="1"/>
  <c r="G858" i="7" s="1"/>
  <c r="G908" i="7" s="1"/>
  <c r="G958" i="7" s="1"/>
  <c r="F78" i="7"/>
  <c r="F128" i="7" s="1"/>
  <c r="F178" i="7" s="1"/>
  <c r="F708" i="7" s="1"/>
  <c r="F758" i="7" s="1"/>
  <c r="F808" i="7" s="1"/>
  <c r="F858" i="7" s="1"/>
  <c r="F908" i="7" s="1"/>
  <c r="F958" i="7" s="1"/>
  <c r="E78" i="7"/>
  <c r="E128" i="7" s="1"/>
  <c r="E178" i="7" s="1"/>
  <c r="E708" i="7" s="1"/>
  <c r="E758" i="7" s="1"/>
  <c r="E808" i="7" s="1"/>
  <c r="E858" i="7" s="1"/>
  <c r="E908" i="7" s="1"/>
  <c r="E958" i="7" s="1"/>
  <c r="D78" i="7"/>
  <c r="D128" i="7" s="1"/>
  <c r="D178" i="7" s="1"/>
  <c r="D708" i="7" s="1"/>
  <c r="D758" i="7" s="1"/>
  <c r="D808" i="7" s="1"/>
  <c r="D858" i="7" s="1"/>
  <c r="D908" i="7" s="1"/>
  <c r="D958" i="7" s="1"/>
  <c r="O62" i="7"/>
  <c r="O112" i="7" s="1"/>
  <c r="N62" i="7"/>
  <c r="N112" i="7" s="1"/>
  <c r="M62" i="7"/>
  <c r="M112" i="7" s="1"/>
  <c r="L62" i="7"/>
  <c r="L112" i="7" s="1"/>
  <c r="K62" i="7"/>
  <c r="K112" i="7" s="1"/>
  <c r="J62" i="7"/>
  <c r="J112" i="7" s="1"/>
  <c r="I62" i="7"/>
  <c r="I112" i="7" s="1"/>
  <c r="H62" i="7"/>
  <c r="H112" i="7" s="1"/>
  <c r="G62" i="7"/>
  <c r="G112" i="7" s="1"/>
  <c r="F62" i="7"/>
  <c r="F112" i="7" s="1"/>
  <c r="E62" i="7"/>
  <c r="E112" i="7" s="1"/>
  <c r="D62" i="7"/>
  <c r="D112" i="7" s="1"/>
  <c r="A56" i="7"/>
  <c r="O48" i="7"/>
  <c r="O98" i="7" s="1"/>
  <c r="O148" i="7" s="1"/>
  <c r="O198" i="7" s="1"/>
  <c r="O728" i="7" s="1"/>
  <c r="O778" i="7" s="1"/>
  <c r="O828" i="7" s="1"/>
  <c r="O878" i="7" s="1"/>
  <c r="O928" i="7" s="1"/>
  <c r="O978" i="7" s="1"/>
  <c r="N48" i="7"/>
  <c r="N98" i="7" s="1"/>
  <c r="N148" i="7" s="1"/>
  <c r="N198" i="7" s="1"/>
  <c r="N728" i="7" s="1"/>
  <c r="N778" i="7" s="1"/>
  <c r="N828" i="7" s="1"/>
  <c r="N878" i="7" s="1"/>
  <c r="N928" i="7" s="1"/>
  <c r="N978" i="7" s="1"/>
  <c r="M48" i="7"/>
  <c r="M98" i="7" s="1"/>
  <c r="M148" i="7" s="1"/>
  <c r="M198" i="7" s="1"/>
  <c r="M728" i="7" s="1"/>
  <c r="M778" i="7" s="1"/>
  <c r="M828" i="7" s="1"/>
  <c r="M878" i="7" s="1"/>
  <c r="M928" i="7" s="1"/>
  <c r="M978" i="7" s="1"/>
  <c r="L48" i="7"/>
  <c r="L98" i="7" s="1"/>
  <c r="L148" i="7" s="1"/>
  <c r="L198" i="7" s="1"/>
  <c r="L728" i="7" s="1"/>
  <c r="L778" i="7" s="1"/>
  <c r="L828" i="7" s="1"/>
  <c r="L878" i="7" s="1"/>
  <c r="L928" i="7" s="1"/>
  <c r="L978" i="7" s="1"/>
  <c r="K48" i="7"/>
  <c r="K98" i="7" s="1"/>
  <c r="K148" i="7" s="1"/>
  <c r="K198" i="7" s="1"/>
  <c r="K728" i="7" s="1"/>
  <c r="K778" i="7" s="1"/>
  <c r="K828" i="7" s="1"/>
  <c r="K878" i="7" s="1"/>
  <c r="K928" i="7" s="1"/>
  <c r="K978" i="7" s="1"/>
  <c r="J48" i="7"/>
  <c r="J98" i="7" s="1"/>
  <c r="J148" i="7" s="1"/>
  <c r="J198" i="7" s="1"/>
  <c r="J728" i="7" s="1"/>
  <c r="J778" i="7" s="1"/>
  <c r="J828" i="7" s="1"/>
  <c r="J878" i="7" s="1"/>
  <c r="J928" i="7" s="1"/>
  <c r="J978" i="7" s="1"/>
  <c r="I48" i="7"/>
  <c r="I98" i="7" s="1"/>
  <c r="I148" i="7" s="1"/>
  <c r="I198" i="7" s="1"/>
  <c r="I728" i="7" s="1"/>
  <c r="I778" i="7" s="1"/>
  <c r="I828" i="7" s="1"/>
  <c r="I878" i="7" s="1"/>
  <c r="I928" i="7" s="1"/>
  <c r="I978" i="7" s="1"/>
  <c r="H48" i="7"/>
  <c r="H98" i="7" s="1"/>
  <c r="H148" i="7" s="1"/>
  <c r="H198" i="7" s="1"/>
  <c r="H728" i="7" s="1"/>
  <c r="H778" i="7" s="1"/>
  <c r="H828" i="7" s="1"/>
  <c r="H878" i="7" s="1"/>
  <c r="H928" i="7" s="1"/>
  <c r="H978" i="7" s="1"/>
  <c r="G48" i="7"/>
  <c r="G98" i="7" s="1"/>
  <c r="G148" i="7" s="1"/>
  <c r="G198" i="7" s="1"/>
  <c r="G728" i="7" s="1"/>
  <c r="G778" i="7" s="1"/>
  <c r="G828" i="7" s="1"/>
  <c r="G878" i="7" s="1"/>
  <c r="G928" i="7" s="1"/>
  <c r="G978" i="7" s="1"/>
  <c r="F48" i="7"/>
  <c r="F98" i="7" s="1"/>
  <c r="F148" i="7" s="1"/>
  <c r="F198" i="7" s="1"/>
  <c r="F728" i="7" s="1"/>
  <c r="F778" i="7" s="1"/>
  <c r="F828" i="7" s="1"/>
  <c r="F878" i="7" s="1"/>
  <c r="F928" i="7" s="1"/>
  <c r="F978" i="7" s="1"/>
  <c r="E48" i="7"/>
  <c r="E98" i="7" s="1"/>
  <c r="E148" i="7" s="1"/>
  <c r="E198" i="7" s="1"/>
  <c r="E728" i="7" s="1"/>
  <c r="E778" i="7" s="1"/>
  <c r="E828" i="7" s="1"/>
  <c r="E878" i="7" s="1"/>
  <c r="E928" i="7" s="1"/>
  <c r="E978" i="7" s="1"/>
  <c r="D48" i="7"/>
  <c r="D98" i="7" s="1"/>
  <c r="D148" i="7" s="1"/>
  <c r="D198" i="7" s="1"/>
  <c r="D728" i="7" s="1"/>
  <c r="D778" i="7" s="1"/>
  <c r="D828" i="7" s="1"/>
  <c r="D878" i="7" s="1"/>
  <c r="D928" i="7" s="1"/>
  <c r="D978" i="7" s="1"/>
  <c r="O47" i="7"/>
  <c r="O97" i="7" s="1"/>
  <c r="O147" i="7" s="1"/>
  <c r="O197" i="7" s="1"/>
  <c r="O727" i="7" s="1"/>
  <c r="O777" i="7" s="1"/>
  <c r="O827" i="7" s="1"/>
  <c r="O877" i="7" s="1"/>
  <c r="O927" i="7" s="1"/>
  <c r="O977" i="7" s="1"/>
  <c r="N47" i="7"/>
  <c r="N97" i="7" s="1"/>
  <c r="N147" i="7" s="1"/>
  <c r="N197" i="7" s="1"/>
  <c r="N727" i="7" s="1"/>
  <c r="N777" i="7" s="1"/>
  <c r="N827" i="7" s="1"/>
  <c r="N877" i="7" s="1"/>
  <c r="N927" i="7" s="1"/>
  <c r="N977" i="7" s="1"/>
  <c r="M47" i="7"/>
  <c r="M97" i="7" s="1"/>
  <c r="M147" i="7" s="1"/>
  <c r="M197" i="7" s="1"/>
  <c r="M727" i="7" s="1"/>
  <c r="M777" i="7" s="1"/>
  <c r="M827" i="7" s="1"/>
  <c r="M877" i="7" s="1"/>
  <c r="M927" i="7" s="1"/>
  <c r="M977" i="7" s="1"/>
  <c r="L47" i="7"/>
  <c r="L97" i="7" s="1"/>
  <c r="L147" i="7" s="1"/>
  <c r="L197" i="7" s="1"/>
  <c r="L727" i="7" s="1"/>
  <c r="L777" i="7" s="1"/>
  <c r="L827" i="7" s="1"/>
  <c r="L877" i="7" s="1"/>
  <c r="L927" i="7" s="1"/>
  <c r="L977" i="7" s="1"/>
  <c r="K47" i="7"/>
  <c r="K97" i="7" s="1"/>
  <c r="K147" i="7" s="1"/>
  <c r="K197" i="7" s="1"/>
  <c r="K727" i="7" s="1"/>
  <c r="K777" i="7" s="1"/>
  <c r="K827" i="7" s="1"/>
  <c r="K877" i="7" s="1"/>
  <c r="K927" i="7" s="1"/>
  <c r="K977" i="7" s="1"/>
  <c r="J47" i="7"/>
  <c r="J97" i="7" s="1"/>
  <c r="J147" i="7" s="1"/>
  <c r="J197" i="7" s="1"/>
  <c r="J727" i="7" s="1"/>
  <c r="J777" i="7" s="1"/>
  <c r="J827" i="7" s="1"/>
  <c r="J877" i="7" s="1"/>
  <c r="J927" i="7" s="1"/>
  <c r="J977" i="7" s="1"/>
  <c r="I47" i="7"/>
  <c r="I97" i="7" s="1"/>
  <c r="I147" i="7" s="1"/>
  <c r="I197" i="7" s="1"/>
  <c r="I727" i="7" s="1"/>
  <c r="I777" i="7" s="1"/>
  <c r="I827" i="7" s="1"/>
  <c r="I877" i="7" s="1"/>
  <c r="I927" i="7" s="1"/>
  <c r="I977" i="7" s="1"/>
  <c r="H47" i="7"/>
  <c r="H97" i="7" s="1"/>
  <c r="H147" i="7" s="1"/>
  <c r="H197" i="7" s="1"/>
  <c r="H727" i="7" s="1"/>
  <c r="H777" i="7" s="1"/>
  <c r="H827" i="7" s="1"/>
  <c r="H877" i="7" s="1"/>
  <c r="H927" i="7" s="1"/>
  <c r="H977" i="7" s="1"/>
  <c r="G47" i="7"/>
  <c r="G97" i="7" s="1"/>
  <c r="G147" i="7" s="1"/>
  <c r="G197" i="7" s="1"/>
  <c r="G727" i="7" s="1"/>
  <c r="G777" i="7" s="1"/>
  <c r="G827" i="7" s="1"/>
  <c r="G877" i="7" s="1"/>
  <c r="G927" i="7" s="1"/>
  <c r="G977" i="7" s="1"/>
  <c r="F47" i="7"/>
  <c r="F97" i="7" s="1"/>
  <c r="F147" i="7" s="1"/>
  <c r="F197" i="7" s="1"/>
  <c r="F727" i="7" s="1"/>
  <c r="F777" i="7" s="1"/>
  <c r="F827" i="7" s="1"/>
  <c r="F877" i="7" s="1"/>
  <c r="F927" i="7" s="1"/>
  <c r="F977" i="7" s="1"/>
  <c r="E47" i="7"/>
  <c r="E97" i="7" s="1"/>
  <c r="E147" i="7" s="1"/>
  <c r="E197" i="7" s="1"/>
  <c r="E727" i="7" s="1"/>
  <c r="E777" i="7" s="1"/>
  <c r="E827" i="7" s="1"/>
  <c r="E877" i="7" s="1"/>
  <c r="E927" i="7" s="1"/>
  <c r="E977" i="7" s="1"/>
  <c r="D47" i="7"/>
  <c r="D97" i="7" s="1"/>
  <c r="D147" i="7" s="1"/>
  <c r="D197" i="7" s="1"/>
  <c r="D727" i="7" s="1"/>
  <c r="D777" i="7" s="1"/>
  <c r="D827" i="7" s="1"/>
  <c r="D877" i="7" s="1"/>
  <c r="D927" i="7" s="1"/>
  <c r="D977" i="7" s="1"/>
  <c r="O46" i="7"/>
  <c r="N46" i="7"/>
  <c r="M46" i="7"/>
  <c r="L46" i="7"/>
  <c r="K46" i="7"/>
  <c r="J46" i="7"/>
  <c r="I46" i="7"/>
  <c r="H46" i="7"/>
  <c r="G46" i="7"/>
  <c r="F46" i="7"/>
  <c r="E46" i="7"/>
  <c r="D46" i="7"/>
  <c r="E31" i="7"/>
  <c r="E81" i="7" s="1"/>
  <c r="E131" i="7" s="1"/>
  <c r="E181" i="7" s="1"/>
  <c r="E711" i="7" s="1"/>
  <c r="E761" i="7" s="1"/>
  <c r="E811" i="7" s="1"/>
  <c r="E861" i="7" s="1"/>
  <c r="E911" i="7" s="1"/>
  <c r="E961" i="7" s="1"/>
  <c r="F30" i="7"/>
  <c r="G30" i="7" s="1"/>
  <c r="E30" i="7"/>
  <c r="E80" i="7" s="1"/>
  <c r="E130" i="7" s="1"/>
  <c r="E180" i="7" s="1"/>
  <c r="E710" i="7" s="1"/>
  <c r="E760" i="7" s="1"/>
  <c r="E810" i="7" s="1"/>
  <c r="E860" i="7" s="1"/>
  <c r="E910" i="7" s="1"/>
  <c r="E960" i="7" s="1"/>
  <c r="O29" i="7"/>
  <c r="O79" i="7" s="1"/>
  <c r="O129" i="7" s="1"/>
  <c r="O179" i="7" s="1"/>
  <c r="O709" i="7" s="1"/>
  <c r="O759" i="7" s="1"/>
  <c r="O809" i="7" s="1"/>
  <c r="O859" i="7" s="1"/>
  <c r="O909" i="7" s="1"/>
  <c r="O959" i="7" s="1"/>
  <c r="N29" i="7"/>
  <c r="N79" i="7" s="1"/>
  <c r="N129" i="7" s="1"/>
  <c r="N179" i="7" s="1"/>
  <c r="N709" i="7" s="1"/>
  <c r="N759" i="7" s="1"/>
  <c r="N809" i="7" s="1"/>
  <c r="N859" i="7" s="1"/>
  <c r="N909" i="7" s="1"/>
  <c r="N959" i="7" s="1"/>
  <c r="M29" i="7"/>
  <c r="M79" i="7" s="1"/>
  <c r="M129" i="7" s="1"/>
  <c r="M179" i="7" s="1"/>
  <c r="M709" i="7" s="1"/>
  <c r="M759" i="7" s="1"/>
  <c r="M809" i="7" s="1"/>
  <c r="M859" i="7" s="1"/>
  <c r="M909" i="7" s="1"/>
  <c r="M959" i="7" s="1"/>
  <c r="L29" i="7"/>
  <c r="L79" i="7" s="1"/>
  <c r="L129" i="7" s="1"/>
  <c r="L179" i="7" s="1"/>
  <c r="L709" i="7" s="1"/>
  <c r="L759" i="7" s="1"/>
  <c r="L809" i="7" s="1"/>
  <c r="L859" i="7" s="1"/>
  <c r="L909" i="7" s="1"/>
  <c r="L959" i="7" s="1"/>
  <c r="K29" i="7"/>
  <c r="K79" i="7" s="1"/>
  <c r="K129" i="7" s="1"/>
  <c r="K179" i="7" s="1"/>
  <c r="K709" i="7" s="1"/>
  <c r="K759" i="7" s="1"/>
  <c r="K809" i="7" s="1"/>
  <c r="K859" i="7" s="1"/>
  <c r="K909" i="7" s="1"/>
  <c r="K959" i="7" s="1"/>
  <c r="J29" i="7"/>
  <c r="J79" i="7" s="1"/>
  <c r="J129" i="7" s="1"/>
  <c r="J179" i="7" s="1"/>
  <c r="J709" i="7" s="1"/>
  <c r="J759" i="7" s="1"/>
  <c r="J809" i="7" s="1"/>
  <c r="J859" i="7" s="1"/>
  <c r="J909" i="7" s="1"/>
  <c r="J959" i="7" s="1"/>
  <c r="I29" i="7"/>
  <c r="I79" i="7" s="1"/>
  <c r="I129" i="7" s="1"/>
  <c r="I179" i="7" s="1"/>
  <c r="I709" i="7" s="1"/>
  <c r="I759" i="7" s="1"/>
  <c r="I809" i="7" s="1"/>
  <c r="I859" i="7" s="1"/>
  <c r="I909" i="7" s="1"/>
  <c r="I959" i="7" s="1"/>
  <c r="H29" i="7"/>
  <c r="H79" i="7" s="1"/>
  <c r="H129" i="7" s="1"/>
  <c r="H179" i="7" s="1"/>
  <c r="H709" i="7" s="1"/>
  <c r="H759" i="7" s="1"/>
  <c r="H809" i="7" s="1"/>
  <c r="H859" i="7" s="1"/>
  <c r="H909" i="7" s="1"/>
  <c r="H959" i="7" s="1"/>
  <c r="G29" i="7"/>
  <c r="G79" i="7" s="1"/>
  <c r="G129" i="7" s="1"/>
  <c r="G179" i="7" s="1"/>
  <c r="G709" i="7" s="1"/>
  <c r="G759" i="7" s="1"/>
  <c r="G809" i="7" s="1"/>
  <c r="G859" i="7" s="1"/>
  <c r="G909" i="7" s="1"/>
  <c r="G959" i="7" s="1"/>
  <c r="F29" i="7"/>
  <c r="F79" i="7" s="1"/>
  <c r="F129" i="7" s="1"/>
  <c r="F179" i="7" s="1"/>
  <c r="F709" i="7" s="1"/>
  <c r="F759" i="7" s="1"/>
  <c r="F809" i="7" s="1"/>
  <c r="F859" i="7" s="1"/>
  <c r="F909" i="7" s="1"/>
  <c r="F959" i="7" s="1"/>
  <c r="E29" i="7"/>
  <c r="E79" i="7" s="1"/>
  <c r="E129" i="7" s="1"/>
  <c r="E179" i="7" s="1"/>
  <c r="E709" i="7" s="1"/>
  <c r="E759" i="7" s="1"/>
  <c r="E809" i="7" s="1"/>
  <c r="E859" i="7" s="1"/>
  <c r="E909" i="7" s="1"/>
  <c r="E959" i="7" s="1"/>
  <c r="D29" i="7"/>
  <c r="D79" i="7" s="1"/>
  <c r="D129" i="7" s="1"/>
  <c r="D179" i="7" s="1"/>
  <c r="D709" i="7" s="1"/>
  <c r="D759" i="7" s="1"/>
  <c r="D809" i="7" s="1"/>
  <c r="D859" i="7" s="1"/>
  <c r="D909" i="7" s="1"/>
  <c r="D959" i="7" s="1"/>
  <c r="O26" i="7"/>
  <c r="O76" i="7" s="1"/>
  <c r="O126" i="7" s="1"/>
  <c r="O176" i="7" s="1"/>
  <c r="O706" i="7" s="1"/>
  <c r="O756" i="7" s="1"/>
  <c r="O806" i="7" s="1"/>
  <c r="O856" i="7" s="1"/>
  <c r="O906" i="7" s="1"/>
  <c r="O956" i="7" s="1"/>
  <c r="N26" i="7"/>
  <c r="N76" i="7" s="1"/>
  <c r="N126" i="7" s="1"/>
  <c r="N176" i="7" s="1"/>
  <c r="N706" i="7" s="1"/>
  <c r="N756" i="7" s="1"/>
  <c r="N806" i="7" s="1"/>
  <c r="N856" i="7" s="1"/>
  <c r="N906" i="7" s="1"/>
  <c r="N956" i="7" s="1"/>
  <c r="M26" i="7"/>
  <c r="M76" i="7" s="1"/>
  <c r="M126" i="7" s="1"/>
  <c r="M176" i="7" s="1"/>
  <c r="M706" i="7" s="1"/>
  <c r="M756" i="7" s="1"/>
  <c r="M806" i="7" s="1"/>
  <c r="M856" i="7" s="1"/>
  <c r="M906" i="7" s="1"/>
  <c r="M956" i="7" s="1"/>
  <c r="L26" i="7"/>
  <c r="L76" i="7" s="1"/>
  <c r="L126" i="7" s="1"/>
  <c r="L176" i="7" s="1"/>
  <c r="L706" i="7" s="1"/>
  <c r="L756" i="7" s="1"/>
  <c r="L806" i="7" s="1"/>
  <c r="L856" i="7" s="1"/>
  <c r="L906" i="7" s="1"/>
  <c r="L956" i="7" s="1"/>
  <c r="K26" i="7"/>
  <c r="K76" i="7" s="1"/>
  <c r="K126" i="7" s="1"/>
  <c r="K176" i="7" s="1"/>
  <c r="K706" i="7" s="1"/>
  <c r="K756" i="7" s="1"/>
  <c r="K806" i="7" s="1"/>
  <c r="K856" i="7" s="1"/>
  <c r="K906" i="7" s="1"/>
  <c r="K956" i="7" s="1"/>
  <c r="J26" i="7"/>
  <c r="J76" i="7" s="1"/>
  <c r="J126" i="7" s="1"/>
  <c r="J176" i="7" s="1"/>
  <c r="J706" i="7" s="1"/>
  <c r="J756" i="7" s="1"/>
  <c r="J806" i="7" s="1"/>
  <c r="J856" i="7" s="1"/>
  <c r="J906" i="7" s="1"/>
  <c r="J956" i="7" s="1"/>
  <c r="I26" i="7"/>
  <c r="I76" i="7" s="1"/>
  <c r="I126" i="7" s="1"/>
  <c r="I176" i="7" s="1"/>
  <c r="I706" i="7" s="1"/>
  <c r="I756" i="7" s="1"/>
  <c r="I806" i="7" s="1"/>
  <c r="I856" i="7" s="1"/>
  <c r="I906" i="7" s="1"/>
  <c r="I956" i="7" s="1"/>
  <c r="H26" i="7"/>
  <c r="H76" i="7" s="1"/>
  <c r="H126" i="7" s="1"/>
  <c r="H176" i="7" s="1"/>
  <c r="H706" i="7" s="1"/>
  <c r="H756" i="7" s="1"/>
  <c r="H806" i="7" s="1"/>
  <c r="H856" i="7" s="1"/>
  <c r="H906" i="7" s="1"/>
  <c r="H956" i="7" s="1"/>
  <c r="G26" i="7"/>
  <c r="G76" i="7" s="1"/>
  <c r="G126" i="7" s="1"/>
  <c r="G176" i="7" s="1"/>
  <c r="G706" i="7" s="1"/>
  <c r="G756" i="7" s="1"/>
  <c r="G806" i="7" s="1"/>
  <c r="G856" i="7" s="1"/>
  <c r="G906" i="7" s="1"/>
  <c r="G956" i="7" s="1"/>
  <c r="F26" i="7"/>
  <c r="F76" i="7" s="1"/>
  <c r="F126" i="7" s="1"/>
  <c r="F176" i="7" s="1"/>
  <c r="F706" i="7" s="1"/>
  <c r="F756" i="7" s="1"/>
  <c r="F806" i="7" s="1"/>
  <c r="F856" i="7" s="1"/>
  <c r="F906" i="7" s="1"/>
  <c r="F956" i="7" s="1"/>
  <c r="E26" i="7"/>
  <c r="E76" i="7" s="1"/>
  <c r="E126" i="7" s="1"/>
  <c r="E176" i="7" s="1"/>
  <c r="E706" i="7" s="1"/>
  <c r="E756" i="7" s="1"/>
  <c r="E806" i="7" s="1"/>
  <c r="E856" i="7" s="1"/>
  <c r="E906" i="7" s="1"/>
  <c r="E956" i="7" s="1"/>
  <c r="D26" i="7"/>
  <c r="D76" i="7" s="1"/>
  <c r="D126" i="7" s="1"/>
  <c r="D176" i="7" s="1"/>
  <c r="D706" i="7" s="1"/>
  <c r="D756" i="7" s="1"/>
  <c r="D806" i="7" s="1"/>
  <c r="D856" i="7" s="1"/>
  <c r="D906" i="7" s="1"/>
  <c r="D956" i="7" s="1"/>
  <c r="O15" i="7"/>
  <c r="O65" i="7" s="1"/>
  <c r="O115" i="7" s="1"/>
  <c r="O165" i="7" s="1"/>
  <c r="O695" i="7" s="1"/>
  <c r="O745" i="7" s="1"/>
  <c r="N15" i="7"/>
  <c r="N65" i="7" s="1"/>
  <c r="N115" i="7" s="1"/>
  <c r="N165" i="7" s="1"/>
  <c r="N695" i="7" s="1"/>
  <c r="N745" i="7" s="1"/>
  <c r="M15" i="7"/>
  <c r="M65" i="7" s="1"/>
  <c r="M115" i="7" s="1"/>
  <c r="M165" i="7" s="1"/>
  <c r="M695" i="7" s="1"/>
  <c r="M745" i="7" s="1"/>
  <c r="L15" i="7"/>
  <c r="L65" i="7" s="1"/>
  <c r="L115" i="7" s="1"/>
  <c r="L165" i="7" s="1"/>
  <c r="L695" i="7" s="1"/>
  <c r="L745" i="7" s="1"/>
  <c r="K15" i="7"/>
  <c r="K65" i="7" s="1"/>
  <c r="K115" i="7" s="1"/>
  <c r="K165" i="7" s="1"/>
  <c r="K695" i="7" s="1"/>
  <c r="K745" i="7" s="1"/>
  <c r="J15" i="7"/>
  <c r="J65" i="7" s="1"/>
  <c r="J115" i="7" s="1"/>
  <c r="J165" i="7" s="1"/>
  <c r="J695" i="7" s="1"/>
  <c r="J745" i="7" s="1"/>
  <c r="I15" i="7"/>
  <c r="I65" i="7" s="1"/>
  <c r="I115" i="7" s="1"/>
  <c r="I165" i="7" s="1"/>
  <c r="I695" i="7" s="1"/>
  <c r="I745" i="7" s="1"/>
  <c r="H15" i="7"/>
  <c r="H65" i="7" s="1"/>
  <c r="H115" i="7" s="1"/>
  <c r="H165" i="7" s="1"/>
  <c r="H695" i="7" s="1"/>
  <c r="H745" i="7" s="1"/>
  <c r="G15" i="7"/>
  <c r="G65" i="7" s="1"/>
  <c r="G115" i="7" s="1"/>
  <c r="G165" i="7" s="1"/>
  <c r="G695" i="7" s="1"/>
  <c r="G745" i="7" s="1"/>
  <c r="F15" i="7"/>
  <c r="F65" i="7" s="1"/>
  <c r="F115" i="7" s="1"/>
  <c r="F165" i="7" s="1"/>
  <c r="F695" i="7" s="1"/>
  <c r="F745" i="7" s="1"/>
  <c r="E15" i="7"/>
  <c r="E65" i="7" s="1"/>
  <c r="E115" i="7" s="1"/>
  <c r="E165" i="7" s="1"/>
  <c r="E695" i="7" s="1"/>
  <c r="E745" i="7" s="1"/>
  <c r="D15" i="7"/>
  <c r="D65" i="7" s="1"/>
  <c r="D115" i="7" s="1"/>
  <c r="D165" i="7" s="1"/>
  <c r="D695" i="7" s="1"/>
  <c r="D745" i="7" s="1"/>
  <c r="O12" i="7"/>
  <c r="N12" i="7"/>
  <c r="M12" i="7"/>
  <c r="L12" i="7"/>
  <c r="K12" i="7"/>
  <c r="J12" i="7"/>
  <c r="I12" i="7"/>
  <c r="H12" i="7"/>
  <c r="G12" i="7"/>
  <c r="F12" i="7"/>
  <c r="E12" i="7"/>
  <c r="D12" i="7"/>
  <c r="O9" i="7"/>
  <c r="N9" i="7"/>
  <c r="M9" i="7"/>
  <c r="L9" i="7"/>
  <c r="K9" i="7"/>
  <c r="J9" i="7"/>
  <c r="I9" i="7"/>
  <c r="H9" i="7"/>
  <c r="G9" i="7"/>
  <c r="F9" i="7"/>
  <c r="E9" i="7"/>
  <c r="D9" i="7"/>
  <c r="A3" i="7"/>
  <c r="N85" i="6"/>
  <c r="M85" i="6"/>
  <c r="L85" i="6"/>
  <c r="K85" i="6"/>
  <c r="J85" i="6"/>
  <c r="I85" i="6"/>
  <c r="H85" i="6"/>
  <c r="G85" i="6"/>
  <c r="F85" i="6"/>
  <c r="E85" i="6"/>
  <c r="D85" i="6"/>
  <c r="C85" i="6"/>
  <c r="M51" i="6"/>
  <c r="L51" i="6"/>
  <c r="K51" i="6"/>
  <c r="J51" i="6"/>
  <c r="C24" i="6"/>
  <c r="C17" i="6"/>
  <c r="N16" i="6"/>
  <c r="N17" i="6" s="1"/>
  <c r="M16" i="6"/>
  <c r="M17" i="6" s="1"/>
  <c r="L16" i="6"/>
  <c r="L17" i="6" s="1"/>
  <c r="K16" i="6"/>
  <c r="K17" i="6" s="1"/>
  <c r="J16" i="6"/>
  <c r="J17" i="6" s="1"/>
  <c r="I16" i="6"/>
  <c r="I17" i="6" s="1"/>
  <c r="H16" i="6"/>
  <c r="H17" i="6" s="1"/>
  <c r="G16" i="6"/>
  <c r="G17" i="6" s="1"/>
  <c r="F16" i="6"/>
  <c r="F17" i="6" s="1"/>
  <c r="E16" i="6"/>
  <c r="E17" i="6" s="1"/>
  <c r="D16" i="6"/>
  <c r="D17" i="6" s="1"/>
  <c r="A3" i="6"/>
  <c r="A36" i="6" s="1"/>
  <c r="A56" i="6" s="1"/>
  <c r="H30" i="7" l="1"/>
  <c r="G80" i="7"/>
  <c r="G130" i="7" s="1"/>
  <c r="G180" i="7" s="1"/>
  <c r="G710" i="7" s="1"/>
  <c r="G760" i="7" s="1"/>
  <c r="G810" i="7" s="1"/>
  <c r="G860" i="7" s="1"/>
  <c r="G910" i="7" s="1"/>
  <c r="G960" i="7" s="1"/>
  <c r="F80" i="7"/>
  <c r="F130" i="7" s="1"/>
  <c r="F180" i="7" s="1"/>
  <c r="F710" i="7" s="1"/>
  <c r="F760" i="7" s="1"/>
  <c r="F810" i="7" s="1"/>
  <c r="F860" i="7" s="1"/>
  <c r="F910" i="7" s="1"/>
  <c r="F960" i="7" s="1"/>
  <c r="F31" i="7"/>
  <c r="F96" i="7"/>
  <c r="G453" i="5"/>
  <c r="F453" i="5"/>
  <c r="E453" i="5"/>
  <c r="D453" i="5"/>
  <c r="G452" i="5"/>
  <c r="F452" i="5"/>
  <c r="E452" i="5"/>
  <c r="D452" i="5"/>
  <c r="G451" i="5"/>
  <c r="F451" i="5"/>
  <c r="E451" i="5"/>
  <c r="D451" i="5"/>
  <c r="G450" i="5"/>
  <c r="F450" i="5"/>
  <c r="E450" i="5"/>
  <c r="D450" i="5"/>
  <c r="G449" i="5"/>
  <c r="F449" i="5"/>
  <c r="E449" i="5"/>
  <c r="D449" i="5"/>
  <c r="G439" i="5"/>
  <c r="F439" i="5"/>
  <c r="E439" i="5"/>
  <c r="D439" i="5"/>
  <c r="G438" i="5"/>
  <c r="F438" i="5"/>
  <c r="E438" i="5"/>
  <c r="D438" i="5"/>
  <c r="G437" i="5"/>
  <c r="F437" i="5"/>
  <c r="E437" i="5"/>
  <c r="D437" i="5"/>
  <c r="G436" i="5"/>
  <c r="F436" i="5"/>
  <c r="E436" i="5"/>
  <c r="D436" i="5"/>
  <c r="G435" i="5"/>
  <c r="F435" i="5"/>
  <c r="E435" i="5"/>
  <c r="D435" i="5"/>
  <c r="G425" i="5"/>
  <c r="F425" i="5"/>
  <c r="E425" i="5"/>
  <c r="D425" i="5"/>
  <c r="G424" i="5"/>
  <c r="F424" i="5"/>
  <c r="E424" i="5"/>
  <c r="D424" i="5"/>
  <c r="P401" i="5"/>
  <c r="O401" i="5"/>
  <c r="N401" i="5"/>
  <c r="M401" i="5"/>
  <c r="L401" i="5"/>
  <c r="K401" i="5"/>
  <c r="J401" i="5"/>
  <c r="I401" i="5"/>
  <c r="H401" i="5"/>
  <c r="G401" i="5"/>
  <c r="F401" i="5"/>
  <c r="E401" i="5"/>
  <c r="D401" i="5"/>
  <c r="D400" i="5"/>
  <c r="P398" i="5"/>
  <c r="O398" i="5"/>
  <c r="N398" i="5"/>
  <c r="N354" i="5" s="1"/>
  <c r="M398" i="5"/>
  <c r="M354" i="5" s="1"/>
  <c r="L398" i="5"/>
  <c r="K398" i="5"/>
  <c r="K354" i="5" s="1"/>
  <c r="J398" i="5"/>
  <c r="J354" i="5" s="1"/>
  <c r="I398" i="5"/>
  <c r="H398" i="5"/>
  <c r="G398" i="5"/>
  <c r="F398" i="5"/>
  <c r="F354" i="5" s="1"/>
  <c r="E398" i="5"/>
  <c r="E354" i="5" s="1"/>
  <c r="D398" i="5"/>
  <c r="P388" i="5"/>
  <c r="O388" i="5"/>
  <c r="N388" i="5"/>
  <c r="M388" i="5"/>
  <c r="L388" i="5"/>
  <c r="K388" i="5"/>
  <c r="J388" i="5"/>
  <c r="I388" i="5"/>
  <c r="H388" i="5"/>
  <c r="G388" i="5"/>
  <c r="F388" i="5"/>
  <c r="E388" i="5"/>
  <c r="D388" i="5"/>
  <c r="P387" i="5"/>
  <c r="O387" i="5"/>
  <c r="N387" i="5"/>
  <c r="M387" i="5"/>
  <c r="L387" i="5"/>
  <c r="K387" i="5"/>
  <c r="J387" i="5"/>
  <c r="I387" i="5"/>
  <c r="H387" i="5"/>
  <c r="G387" i="5"/>
  <c r="F387" i="5"/>
  <c r="E387" i="5"/>
  <c r="D387" i="5"/>
  <c r="P386" i="5"/>
  <c r="O386" i="5"/>
  <c r="N386" i="5"/>
  <c r="M386" i="5"/>
  <c r="L386" i="5"/>
  <c r="K386" i="5"/>
  <c r="J386" i="5"/>
  <c r="I386" i="5"/>
  <c r="H386" i="5"/>
  <c r="G386" i="5"/>
  <c r="F386" i="5"/>
  <c r="E386" i="5"/>
  <c r="D386" i="5"/>
  <c r="P373" i="5"/>
  <c r="O373" i="5"/>
  <c r="N373" i="5"/>
  <c r="M373" i="5"/>
  <c r="L373" i="5"/>
  <c r="K373" i="5"/>
  <c r="J373" i="5"/>
  <c r="I373" i="5"/>
  <c r="H373" i="5"/>
  <c r="G373" i="5"/>
  <c r="F373" i="5"/>
  <c r="E373" i="5"/>
  <c r="D373" i="5"/>
  <c r="P371" i="5"/>
  <c r="O371" i="5"/>
  <c r="N371" i="5"/>
  <c r="M371" i="5"/>
  <c r="L371" i="5"/>
  <c r="K371" i="5"/>
  <c r="J371" i="5"/>
  <c r="I371" i="5"/>
  <c r="H371" i="5"/>
  <c r="G371" i="5"/>
  <c r="F371" i="5"/>
  <c r="E371" i="5"/>
  <c r="D371" i="5"/>
  <c r="P361" i="5"/>
  <c r="O361" i="5"/>
  <c r="N361" i="5"/>
  <c r="M361" i="5"/>
  <c r="L361" i="5"/>
  <c r="K361" i="5"/>
  <c r="J361" i="5"/>
  <c r="I361" i="5"/>
  <c r="H361" i="5"/>
  <c r="G361" i="5"/>
  <c r="F361" i="5"/>
  <c r="E361" i="5"/>
  <c r="D361" i="5"/>
  <c r="P359" i="5"/>
  <c r="O359" i="5"/>
  <c r="N359" i="5"/>
  <c r="M359" i="5"/>
  <c r="L359" i="5"/>
  <c r="K359" i="5"/>
  <c r="J359" i="5"/>
  <c r="I359" i="5"/>
  <c r="H359" i="5"/>
  <c r="G359" i="5"/>
  <c r="F359" i="5"/>
  <c r="E359" i="5"/>
  <c r="D359" i="5"/>
  <c r="P357" i="5"/>
  <c r="O357" i="5"/>
  <c r="N357" i="5"/>
  <c r="M357" i="5"/>
  <c r="L357" i="5"/>
  <c r="K357" i="5"/>
  <c r="J357" i="5"/>
  <c r="I357" i="5"/>
  <c r="H357" i="5"/>
  <c r="G357" i="5"/>
  <c r="F357" i="5"/>
  <c r="E357" i="5"/>
  <c r="D357" i="5"/>
  <c r="P354" i="5"/>
  <c r="O354" i="5"/>
  <c r="L354" i="5"/>
  <c r="I354" i="5"/>
  <c r="H354" i="5"/>
  <c r="G354" i="5"/>
  <c r="D354" i="5"/>
  <c r="A351" i="5"/>
  <c r="P345" i="5"/>
  <c r="O345" i="5"/>
  <c r="N345" i="5"/>
  <c r="M345" i="5"/>
  <c r="L345" i="5"/>
  <c r="K345" i="5"/>
  <c r="J345" i="5"/>
  <c r="I345" i="5"/>
  <c r="H345" i="5"/>
  <c r="G345" i="5"/>
  <c r="F345" i="5"/>
  <c r="E345" i="5"/>
  <c r="D345" i="5"/>
  <c r="P344" i="5"/>
  <c r="O344" i="5"/>
  <c r="N344" i="5"/>
  <c r="M344" i="5"/>
  <c r="L344" i="5"/>
  <c r="K344" i="5"/>
  <c r="J344" i="5"/>
  <c r="I344" i="5"/>
  <c r="H344" i="5"/>
  <c r="G344" i="5"/>
  <c r="F344" i="5"/>
  <c r="E344" i="5"/>
  <c r="D344" i="5"/>
  <c r="P343" i="5"/>
  <c r="O343" i="5"/>
  <c r="N343" i="5"/>
  <c r="M343" i="5"/>
  <c r="L343" i="5"/>
  <c r="K343" i="5"/>
  <c r="J343" i="5"/>
  <c r="I343" i="5"/>
  <c r="H343" i="5"/>
  <c r="G343" i="5"/>
  <c r="F343" i="5"/>
  <c r="E343" i="5"/>
  <c r="D343" i="5"/>
  <c r="P330" i="5"/>
  <c r="O330" i="5"/>
  <c r="N330" i="5"/>
  <c r="M330" i="5"/>
  <c r="L330" i="5"/>
  <c r="K330" i="5"/>
  <c r="J330" i="5"/>
  <c r="I330" i="5"/>
  <c r="H330" i="5"/>
  <c r="G330" i="5"/>
  <c r="F330" i="5"/>
  <c r="E330" i="5"/>
  <c r="D330" i="5"/>
  <c r="P328" i="5"/>
  <c r="O328" i="5"/>
  <c r="N328" i="5"/>
  <c r="M328" i="5"/>
  <c r="L328" i="5"/>
  <c r="K328" i="5"/>
  <c r="J328" i="5"/>
  <c r="I328" i="5"/>
  <c r="H328" i="5"/>
  <c r="G328" i="5"/>
  <c r="F328" i="5"/>
  <c r="E328" i="5"/>
  <c r="D328" i="5"/>
  <c r="P316" i="5"/>
  <c r="O316" i="5"/>
  <c r="N316" i="5"/>
  <c r="M316" i="5"/>
  <c r="L316" i="5"/>
  <c r="K316" i="5"/>
  <c r="J316" i="5"/>
  <c r="I316" i="5"/>
  <c r="H316" i="5"/>
  <c r="G316" i="5"/>
  <c r="F316" i="5"/>
  <c r="E316" i="5"/>
  <c r="D316" i="5"/>
  <c r="P314" i="5"/>
  <c r="O314" i="5"/>
  <c r="N314" i="5"/>
  <c r="M314" i="5"/>
  <c r="L314" i="5"/>
  <c r="K314" i="5"/>
  <c r="J314" i="5"/>
  <c r="I314" i="5"/>
  <c r="H314" i="5"/>
  <c r="G314" i="5"/>
  <c r="F314" i="5"/>
  <c r="E314" i="5"/>
  <c r="D314" i="5"/>
  <c r="A307" i="5"/>
  <c r="P301" i="5"/>
  <c r="O301" i="5"/>
  <c r="N301" i="5"/>
  <c r="M301" i="5"/>
  <c r="L301" i="5"/>
  <c r="K301" i="5"/>
  <c r="J301" i="5"/>
  <c r="I301" i="5"/>
  <c r="H301" i="5"/>
  <c r="G301" i="5"/>
  <c r="F301" i="5"/>
  <c r="E301" i="5"/>
  <c r="D301" i="5"/>
  <c r="P300" i="5"/>
  <c r="O300" i="5"/>
  <c r="N300" i="5"/>
  <c r="M300" i="5"/>
  <c r="L300" i="5"/>
  <c r="K300" i="5"/>
  <c r="J300" i="5"/>
  <c r="I300" i="5"/>
  <c r="H300" i="5"/>
  <c r="G300" i="5"/>
  <c r="F300" i="5"/>
  <c r="E300" i="5"/>
  <c r="D300" i="5"/>
  <c r="P299" i="5"/>
  <c r="O299" i="5"/>
  <c r="N299" i="5"/>
  <c r="M299" i="5"/>
  <c r="L299" i="5"/>
  <c r="K299" i="5"/>
  <c r="J299" i="5"/>
  <c r="I299" i="5"/>
  <c r="H299" i="5"/>
  <c r="G299" i="5"/>
  <c r="F299" i="5"/>
  <c r="E299" i="5"/>
  <c r="D299" i="5"/>
  <c r="P286" i="5"/>
  <c r="O286" i="5"/>
  <c r="N286" i="5"/>
  <c r="M286" i="5"/>
  <c r="L286" i="5"/>
  <c r="K286" i="5"/>
  <c r="J286" i="5"/>
  <c r="I286" i="5"/>
  <c r="H286" i="5"/>
  <c r="G286" i="5"/>
  <c r="F286" i="5"/>
  <c r="E286" i="5"/>
  <c r="D286" i="5"/>
  <c r="P284" i="5"/>
  <c r="O284" i="5"/>
  <c r="N284" i="5"/>
  <c r="M284" i="5"/>
  <c r="L284" i="5"/>
  <c r="K284" i="5"/>
  <c r="J284" i="5"/>
  <c r="I284" i="5"/>
  <c r="H284" i="5"/>
  <c r="G284" i="5"/>
  <c r="F284" i="5"/>
  <c r="E284" i="5"/>
  <c r="D284" i="5"/>
  <c r="P272" i="5"/>
  <c r="O272" i="5"/>
  <c r="N272" i="5"/>
  <c r="M272" i="5"/>
  <c r="L272" i="5"/>
  <c r="K272" i="5"/>
  <c r="J272" i="5"/>
  <c r="I272" i="5"/>
  <c r="H272" i="5"/>
  <c r="G272" i="5"/>
  <c r="F272" i="5"/>
  <c r="E272" i="5"/>
  <c r="D272" i="5"/>
  <c r="P270" i="5"/>
  <c r="O270" i="5"/>
  <c r="N270" i="5"/>
  <c r="M270" i="5"/>
  <c r="L270" i="5"/>
  <c r="K270" i="5"/>
  <c r="J270" i="5"/>
  <c r="I270" i="5"/>
  <c r="H270" i="5"/>
  <c r="G270" i="5"/>
  <c r="F270" i="5"/>
  <c r="E270" i="5"/>
  <c r="D270" i="5"/>
  <c r="A264" i="5"/>
  <c r="P258" i="5"/>
  <c r="O258" i="5"/>
  <c r="N258" i="5"/>
  <c r="M258" i="5"/>
  <c r="L258" i="5"/>
  <c r="K258" i="5"/>
  <c r="J258" i="5"/>
  <c r="I258" i="5"/>
  <c r="H258" i="5"/>
  <c r="G258" i="5"/>
  <c r="F258" i="5"/>
  <c r="E258" i="5"/>
  <c r="D258" i="5"/>
  <c r="P257" i="5"/>
  <c r="O257" i="5"/>
  <c r="N257" i="5"/>
  <c r="M257" i="5"/>
  <c r="L257" i="5"/>
  <c r="K257" i="5"/>
  <c r="J257" i="5"/>
  <c r="I257" i="5"/>
  <c r="H257" i="5"/>
  <c r="G257" i="5"/>
  <c r="F257" i="5"/>
  <c r="E257" i="5"/>
  <c r="D257" i="5"/>
  <c r="P256" i="5"/>
  <c r="O256" i="5"/>
  <c r="N256" i="5"/>
  <c r="M256" i="5"/>
  <c r="L256" i="5"/>
  <c r="K256" i="5"/>
  <c r="J256" i="5"/>
  <c r="I256" i="5"/>
  <c r="H256" i="5"/>
  <c r="G256" i="5"/>
  <c r="F256" i="5"/>
  <c r="E256" i="5"/>
  <c r="D256" i="5"/>
  <c r="P243" i="5"/>
  <c r="O243" i="5"/>
  <c r="N243" i="5"/>
  <c r="M243" i="5"/>
  <c r="L243" i="5"/>
  <c r="K243" i="5"/>
  <c r="J243" i="5"/>
  <c r="I243" i="5"/>
  <c r="H243" i="5"/>
  <c r="G243" i="5"/>
  <c r="F243" i="5"/>
  <c r="E243" i="5"/>
  <c r="D243" i="5"/>
  <c r="P241" i="5"/>
  <c r="O241" i="5"/>
  <c r="N241" i="5"/>
  <c r="M241" i="5"/>
  <c r="L241" i="5"/>
  <c r="K241" i="5"/>
  <c r="J241" i="5"/>
  <c r="I241" i="5"/>
  <c r="H241" i="5"/>
  <c r="G241" i="5"/>
  <c r="F241" i="5"/>
  <c r="E241" i="5"/>
  <c r="D241" i="5"/>
  <c r="P229" i="5"/>
  <c r="O229" i="5"/>
  <c r="N229" i="5"/>
  <c r="M229" i="5"/>
  <c r="L229" i="5"/>
  <c r="K229" i="5"/>
  <c r="J229" i="5"/>
  <c r="I229" i="5"/>
  <c r="H229" i="5"/>
  <c r="G229" i="5"/>
  <c r="F229" i="5"/>
  <c r="E229" i="5"/>
  <c r="D229" i="5"/>
  <c r="P227" i="5"/>
  <c r="O227" i="5"/>
  <c r="N227" i="5"/>
  <c r="M227" i="5"/>
  <c r="L227" i="5"/>
  <c r="K227" i="5"/>
  <c r="J227" i="5"/>
  <c r="I227" i="5"/>
  <c r="H227" i="5"/>
  <c r="G227" i="5"/>
  <c r="F227" i="5"/>
  <c r="E227" i="5"/>
  <c r="D227" i="5"/>
  <c r="A221" i="5"/>
  <c r="P215" i="5"/>
  <c r="O215" i="5"/>
  <c r="N215" i="5"/>
  <c r="M215" i="5"/>
  <c r="L215" i="5"/>
  <c r="K215" i="5"/>
  <c r="J215" i="5"/>
  <c r="I215" i="5"/>
  <c r="H215" i="5"/>
  <c r="G215" i="5"/>
  <c r="F215" i="5"/>
  <c r="E215" i="5"/>
  <c r="D215" i="5"/>
  <c r="P214" i="5"/>
  <c r="O214" i="5"/>
  <c r="N214" i="5"/>
  <c r="M214" i="5"/>
  <c r="L214" i="5"/>
  <c r="K214" i="5"/>
  <c r="J214" i="5"/>
  <c r="I214" i="5"/>
  <c r="H214" i="5"/>
  <c r="G214" i="5"/>
  <c r="F214" i="5"/>
  <c r="E214" i="5"/>
  <c r="D214" i="5"/>
  <c r="P213" i="5"/>
  <c r="O213" i="5"/>
  <c r="N213" i="5"/>
  <c r="M213" i="5"/>
  <c r="L213" i="5"/>
  <c r="K213" i="5"/>
  <c r="J213" i="5"/>
  <c r="I213" i="5"/>
  <c r="H213" i="5"/>
  <c r="G213" i="5"/>
  <c r="F213" i="5"/>
  <c r="E213" i="5"/>
  <c r="D213" i="5"/>
  <c r="P200" i="5"/>
  <c r="O200" i="5"/>
  <c r="N200" i="5"/>
  <c r="M200" i="5"/>
  <c r="L200" i="5"/>
  <c r="K200" i="5"/>
  <c r="J200" i="5"/>
  <c r="I200" i="5"/>
  <c r="H200" i="5"/>
  <c r="G200" i="5"/>
  <c r="F200" i="5"/>
  <c r="E200" i="5"/>
  <c r="D200" i="5"/>
  <c r="P198" i="5"/>
  <c r="O198" i="5"/>
  <c r="N198" i="5"/>
  <c r="M198" i="5"/>
  <c r="L198" i="5"/>
  <c r="K198" i="5"/>
  <c r="J198" i="5"/>
  <c r="I198" i="5"/>
  <c r="H198" i="5"/>
  <c r="G198" i="5"/>
  <c r="F198" i="5"/>
  <c r="E198" i="5"/>
  <c r="D198" i="5"/>
  <c r="P186" i="5"/>
  <c r="O186" i="5"/>
  <c r="N186" i="5"/>
  <c r="M186" i="5"/>
  <c r="L186" i="5"/>
  <c r="K186" i="5"/>
  <c r="J186" i="5"/>
  <c r="I186" i="5"/>
  <c r="H186" i="5"/>
  <c r="G186" i="5"/>
  <c r="F186" i="5"/>
  <c r="E186" i="5"/>
  <c r="D186" i="5"/>
  <c r="P184" i="5"/>
  <c r="O184" i="5"/>
  <c r="N184" i="5"/>
  <c r="M184" i="5"/>
  <c r="L184" i="5"/>
  <c r="K184" i="5"/>
  <c r="J184" i="5"/>
  <c r="I184" i="5"/>
  <c r="H184" i="5"/>
  <c r="G184" i="5"/>
  <c r="F184" i="5"/>
  <c r="E184" i="5"/>
  <c r="D184" i="5"/>
  <c r="A178" i="5"/>
  <c r="P157" i="5"/>
  <c r="O157" i="5"/>
  <c r="N157" i="5"/>
  <c r="M157" i="5"/>
  <c r="L157" i="5"/>
  <c r="K157" i="5"/>
  <c r="J157" i="5"/>
  <c r="I157" i="5"/>
  <c r="H157" i="5"/>
  <c r="G157" i="5"/>
  <c r="F157" i="5"/>
  <c r="E157" i="5"/>
  <c r="D157" i="5"/>
  <c r="P155" i="5"/>
  <c r="O155" i="5"/>
  <c r="N155" i="5"/>
  <c r="M155" i="5"/>
  <c r="L155" i="5"/>
  <c r="K155" i="5"/>
  <c r="J155" i="5"/>
  <c r="I155" i="5"/>
  <c r="H155" i="5"/>
  <c r="G155" i="5"/>
  <c r="F155" i="5"/>
  <c r="E155" i="5"/>
  <c r="D155" i="5"/>
  <c r="P143" i="5"/>
  <c r="O143" i="5"/>
  <c r="N143" i="5"/>
  <c r="M143" i="5"/>
  <c r="L143" i="5"/>
  <c r="K143" i="5"/>
  <c r="J143" i="5"/>
  <c r="I143" i="5"/>
  <c r="H143" i="5"/>
  <c r="G143" i="5"/>
  <c r="F143" i="5"/>
  <c r="E143" i="5"/>
  <c r="D143" i="5"/>
  <c r="P140" i="5"/>
  <c r="O140" i="5"/>
  <c r="N140" i="5"/>
  <c r="M140" i="5"/>
  <c r="L140" i="5"/>
  <c r="K140" i="5"/>
  <c r="J140" i="5"/>
  <c r="I140" i="5"/>
  <c r="H140" i="5"/>
  <c r="G140" i="5"/>
  <c r="F140" i="5"/>
  <c r="E140" i="5"/>
  <c r="D140" i="5"/>
  <c r="P138" i="5"/>
  <c r="O138" i="5"/>
  <c r="N138" i="5"/>
  <c r="M138" i="5"/>
  <c r="L138" i="5"/>
  <c r="K138" i="5"/>
  <c r="J138" i="5"/>
  <c r="I138" i="5"/>
  <c r="H138" i="5"/>
  <c r="G138" i="5"/>
  <c r="F138" i="5"/>
  <c r="E138" i="5"/>
  <c r="D138" i="5"/>
  <c r="A135" i="5"/>
  <c r="G131" i="5"/>
  <c r="G174" i="5" s="1"/>
  <c r="G217" i="5" s="1"/>
  <c r="G260" i="5" s="1"/>
  <c r="G303" i="5" s="1"/>
  <c r="G347" i="5" s="1"/>
  <c r="G390" i="5" s="1"/>
  <c r="H130" i="5"/>
  <c r="H173" i="5" s="1"/>
  <c r="H216" i="5" s="1"/>
  <c r="H259" i="5" s="1"/>
  <c r="H302" i="5" s="1"/>
  <c r="H346" i="5" s="1"/>
  <c r="H389" i="5" s="1"/>
  <c r="P129" i="5"/>
  <c r="P172" i="5" s="1"/>
  <c r="O129" i="5"/>
  <c r="O172" i="5" s="1"/>
  <c r="N129" i="5"/>
  <c r="N172" i="5" s="1"/>
  <c r="M129" i="5"/>
  <c r="M172" i="5" s="1"/>
  <c r="L129" i="5"/>
  <c r="L172" i="5" s="1"/>
  <c r="K129" i="5"/>
  <c r="K172" i="5" s="1"/>
  <c r="J129" i="5"/>
  <c r="J172" i="5" s="1"/>
  <c r="I129" i="5"/>
  <c r="I172" i="5" s="1"/>
  <c r="H129" i="5"/>
  <c r="H172" i="5" s="1"/>
  <c r="G129" i="5"/>
  <c r="G172" i="5" s="1"/>
  <c r="F129" i="5"/>
  <c r="F172" i="5" s="1"/>
  <c r="E129" i="5"/>
  <c r="E172" i="5" s="1"/>
  <c r="D129" i="5"/>
  <c r="D172" i="5" s="1"/>
  <c r="P128" i="5"/>
  <c r="P171" i="5" s="1"/>
  <c r="O128" i="5"/>
  <c r="O171" i="5" s="1"/>
  <c r="N128" i="5"/>
  <c r="N171" i="5" s="1"/>
  <c r="M128" i="5"/>
  <c r="M171" i="5" s="1"/>
  <c r="L128" i="5"/>
  <c r="L171" i="5" s="1"/>
  <c r="K128" i="5"/>
  <c r="K171" i="5" s="1"/>
  <c r="J128" i="5"/>
  <c r="J171" i="5" s="1"/>
  <c r="I128" i="5"/>
  <c r="I171" i="5" s="1"/>
  <c r="H128" i="5"/>
  <c r="H171" i="5" s="1"/>
  <c r="G128" i="5"/>
  <c r="G171" i="5" s="1"/>
  <c r="F128" i="5"/>
  <c r="F171" i="5" s="1"/>
  <c r="E128" i="5"/>
  <c r="E171" i="5" s="1"/>
  <c r="D128" i="5"/>
  <c r="D171" i="5" s="1"/>
  <c r="P127" i="5"/>
  <c r="P170" i="5" s="1"/>
  <c r="O127" i="5"/>
  <c r="O170" i="5" s="1"/>
  <c r="N127" i="5"/>
  <c r="N170" i="5" s="1"/>
  <c r="M127" i="5"/>
  <c r="M170" i="5" s="1"/>
  <c r="L127" i="5"/>
  <c r="L170" i="5" s="1"/>
  <c r="K127" i="5"/>
  <c r="K170" i="5" s="1"/>
  <c r="J127" i="5"/>
  <c r="J170" i="5" s="1"/>
  <c r="I127" i="5"/>
  <c r="I170" i="5" s="1"/>
  <c r="H127" i="5"/>
  <c r="H170" i="5" s="1"/>
  <c r="G127" i="5"/>
  <c r="G170" i="5" s="1"/>
  <c r="F127" i="5"/>
  <c r="F170" i="5" s="1"/>
  <c r="E127" i="5"/>
  <c r="E170" i="5" s="1"/>
  <c r="D127" i="5"/>
  <c r="D170" i="5" s="1"/>
  <c r="K125" i="5"/>
  <c r="K168" i="5" s="1"/>
  <c r="K211" i="5" s="1"/>
  <c r="K254" i="5" s="1"/>
  <c r="K297" i="5" s="1"/>
  <c r="K341" i="5" s="1"/>
  <c r="K384" i="5" s="1"/>
  <c r="M124" i="5"/>
  <c r="M167" i="5" s="1"/>
  <c r="M210" i="5" s="1"/>
  <c r="M253" i="5" s="1"/>
  <c r="M296" i="5" s="1"/>
  <c r="M340" i="5" s="1"/>
  <c r="M383" i="5" s="1"/>
  <c r="N123" i="5"/>
  <c r="N166" i="5" s="1"/>
  <c r="N209" i="5" s="1"/>
  <c r="N252" i="5" s="1"/>
  <c r="N295" i="5" s="1"/>
  <c r="N339" i="5" s="1"/>
  <c r="N382" i="5" s="1"/>
  <c r="E123" i="5"/>
  <c r="E166" i="5" s="1"/>
  <c r="E209" i="5" s="1"/>
  <c r="E252" i="5" s="1"/>
  <c r="E295" i="5" s="1"/>
  <c r="E339" i="5" s="1"/>
  <c r="E382" i="5" s="1"/>
  <c r="G122" i="5"/>
  <c r="G165" i="5" s="1"/>
  <c r="G208" i="5" s="1"/>
  <c r="G251" i="5" s="1"/>
  <c r="G294" i="5" s="1"/>
  <c r="G338" i="5" s="1"/>
  <c r="G381" i="5" s="1"/>
  <c r="H121" i="5"/>
  <c r="H164" i="5" s="1"/>
  <c r="H207" i="5" s="1"/>
  <c r="H250" i="5" s="1"/>
  <c r="H293" i="5" s="1"/>
  <c r="H337" i="5" s="1"/>
  <c r="H380" i="5" s="1"/>
  <c r="P114" i="5"/>
  <c r="O114" i="5"/>
  <c r="N114" i="5"/>
  <c r="M114" i="5"/>
  <c r="L114" i="5"/>
  <c r="K114" i="5"/>
  <c r="J114" i="5"/>
  <c r="I114" i="5"/>
  <c r="H114" i="5"/>
  <c r="G114" i="5"/>
  <c r="F114" i="5"/>
  <c r="E114" i="5"/>
  <c r="D114" i="5"/>
  <c r="P112" i="5"/>
  <c r="O112" i="5"/>
  <c r="N112" i="5"/>
  <c r="M112" i="5"/>
  <c r="L112" i="5"/>
  <c r="K112" i="5"/>
  <c r="J112" i="5"/>
  <c r="I112" i="5"/>
  <c r="H112" i="5"/>
  <c r="G112" i="5"/>
  <c r="F112" i="5"/>
  <c r="E112" i="5"/>
  <c r="D112" i="5"/>
  <c r="P102" i="5"/>
  <c r="O102" i="5"/>
  <c r="N102" i="5"/>
  <c r="M102" i="5"/>
  <c r="L102" i="5"/>
  <c r="K102" i="5"/>
  <c r="J102" i="5"/>
  <c r="I102" i="5"/>
  <c r="H102" i="5"/>
  <c r="G102" i="5"/>
  <c r="F102" i="5"/>
  <c r="E102" i="5"/>
  <c r="D102" i="5"/>
  <c r="P100" i="5"/>
  <c r="O100" i="5"/>
  <c r="N100" i="5"/>
  <c r="M100" i="5"/>
  <c r="L100" i="5"/>
  <c r="K100" i="5"/>
  <c r="J100" i="5"/>
  <c r="I100" i="5"/>
  <c r="H100" i="5"/>
  <c r="G100" i="5"/>
  <c r="F100" i="5"/>
  <c r="E100" i="5"/>
  <c r="D100" i="5"/>
  <c r="P98" i="5"/>
  <c r="O98" i="5"/>
  <c r="N98" i="5"/>
  <c r="M98" i="5"/>
  <c r="L98" i="5"/>
  <c r="K98" i="5"/>
  <c r="J98" i="5"/>
  <c r="I98" i="5"/>
  <c r="H98" i="5"/>
  <c r="G98" i="5"/>
  <c r="F98" i="5"/>
  <c r="E98" i="5"/>
  <c r="D98" i="5"/>
  <c r="P97" i="5"/>
  <c r="O97" i="5"/>
  <c r="N97" i="5"/>
  <c r="M97" i="5"/>
  <c r="L97" i="5"/>
  <c r="K97" i="5"/>
  <c r="J97" i="5"/>
  <c r="I97" i="5"/>
  <c r="H97" i="5"/>
  <c r="G97" i="5"/>
  <c r="F97" i="5"/>
  <c r="E97" i="5"/>
  <c r="D97" i="5"/>
  <c r="P95" i="5"/>
  <c r="O95" i="5"/>
  <c r="N95" i="5"/>
  <c r="M95" i="5"/>
  <c r="L95" i="5"/>
  <c r="K95" i="5"/>
  <c r="J95" i="5"/>
  <c r="I95" i="5"/>
  <c r="H95" i="5"/>
  <c r="G95" i="5"/>
  <c r="F95" i="5"/>
  <c r="E95" i="5"/>
  <c r="D95" i="5"/>
  <c r="A92" i="5"/>
  <c r="P88" i="5"/>
  <c r="P131" i="5" s="1"/>
  <c r="P174" i="5" s="1"/>
  <c r="P217" i="5" s="1"/>
  <c r="P260" i="5" s="1"/>
  <c r="P303" i="5" s="1"/>
  <c r="P347" i="5" s="1"/>
  <c r="P390" i="5" s="1"/>
  <c r="O88" i="5"/>
  <c r="O131" i="5" s="1"/>
  <c r="O174" i="5" s="1"/>
  <c r="O217" i="5" s="1"/>
  <c r="O260" i="5" s="1"/>
  <c r="O303" i="5" s="1"/>
  <c r="O347" i="5" s="1"/>
  <c r="O390" i="5" s="1"/>
  <c r="N88" i="5"/>
  <c r="N131" i="5" s="1"/>
  <c r="N174" i="5" s="1"/>
  <c r="N217" i="5" s="1"/>
  <c r="N260" i="5" s="1"/>
  <c r="N303" i="5" s="1"/>
  <c r="N347" i="5" s="1"/>
  <c r="N390" i="5" s="1"/>
  <c r="M88" i="5"/>
  <c r="M131" i="5" s="1"/>
  <c r="M174" i="5" s="1"/>
  <c r="M217" i="5" s="1"/>
  <c r="M260" i="5" s="1"/>
  <c r="M303" i="5" s="1"/>
  <c r="M347" i="5" s="1"/>
  <c r="M390" i="5" s="1"/>
  <c r="L88" i="5"/>
  <c r="L131" i="5" s="1"/>
  <c r="L174" i="5" s="1"/>
  <c r="L217" i="5" s="1"/>
  <c r="L260" i="5" s="1"/>
  <c r="L303" i="5" s="1"/>
  <c r="L347" i="5" s="1"/>
  <c r="L390" i="5" s="1"/>
  <c r="K88" i="5"/>
  <c r="K131" i="5" s="1"/>
  <c r="K174" i="5" s="1"/>
  <c r="K217" i="5" s="1"/>
  <c r="K260" i="5" s="1"/>
  <c r="K303" i="5" s="1"/>
  <c r="K347" i="5" s="1"/>
  <c r="K390" i="5" s="1"/>
  <c r="J88" i="5"/>
  <c r="J131" i="5" s="1"/>
  <c r="J174" i="5" s="1"/>
  <c r="J217" i="5" s="1"/>
  <c r="J260" i="5" s="1"/>
  <c r="J303" i="5" s="1"/>
  <c r="J347" i="5" s="1"/>
  <c r="J390" i="5" s="1"/>
  <c r="I88" i="5"/>
  <c r="I131" i="5" s="1"/>
  <c r="I174" i="5" s="1"/>
  <c r="I217" i="5" s="1"/>
  <c r="I260" i="5" s="1"/>
  <c r="I303" i="5" s="1"/>
  <c r="I347" i="5" s="1"/>
  <c r="I390" i="5" s="1"/>
  <c r="H88" i="5"/>
  <c r="H131" i="5" s="1"/>
  <c r="H174" i="5" s="1"/>
  <c r="H217" i="5" s="1"/>
  <c r="H260" i="5" s="1"/>
  <c r="H303" i="5" s="1"/>
  <c r="H347" i="5" s="1"/>
  <c r="H390" i="5" s="1"/>
  <c r="G88" i="5"/>
  <c r="F88" i="5"/>
  <c r="F131" i="5" s="1"/>
  <c r="F174" i="5" s="1"/>
  <c r="F217" i="5" s="1"/>
  <c r="F260" i="5" s="1"/>
  <c r="F303" i="5" s="1"/>
  <c r="F347" i="5" s="1"/>
  <c r="F390" i="5" s="1"/>
  <c r="E88" i="5"/>
  <c r="E131" i="5" s="1"/>
  <c r="E174" i="5" s="1"/>
  <c r="E217" i="5" s="1"/>
  <c r="E260" i="5" s="1"/>
  <c r="E303" i="5" s="1"/>
  <c r="E347" i="5" s="1"/>
  <c r="E390" i="5" s="1"/>
  <c r="D88" i="5"/>
  <c r="D131" i="5" s="1"/>
  <c r="D174" i="5" s="1"/>
  <c r="D217" i="5" s="1"/>
  <c r="D260" i="5" s="1"/>
  <c r="D303" i="5" s="1"/>
  <c r="D347" i="5" s="1"/>
  <c r="D390" i="5" s="1"/>
  <c r="P87" i="5"/>
  <c r="P130" i="5" s="1"/>
  <c r="P173" i="5" s="1"/>
  <c r="P216" i="5" s="1"/>
  <c r="P259" i="5" s="1"/>
  <c r="P302" i="5" s="1"/>
  <c r="P346" i="5" s="1"/>
  <c r="P389" i="5" s="1"/>
  <c r="O87" i="5"/>
  <c r="O130" i="5" s="1"/>
  <c r="O173" i="5" s="1"/>
  <c r="O216" i="5" s="1"/>
  <c r="O259" i="5" s="1"/>
  <c r="O302" i="5" s="1"/>
  <c r="O346" i="5" s="1"/>
  <c r="O389" i="5" s="1"/>
  <c r="N87" i="5"/>
  <c r="N130" i="5" s="1"/>
  <c r="N173" i="5" s="1"/>
  <c r="N216" i="5" s="1"/>
  <c r="N259" i="5" s="1"/>
  <c r="N302" i="5" s="1"/>
  <c r="N346" i="5" s="1"/>
  <c r="N389" i="5" s="1"/>
  <c r="M87" i="5"/>
  <c r="M130" i="5" s="1"/>
  <c r="M173" i="5" s="1"/>
  <c r="M216" i="5" s="1"/>
  <c r="M259" i="5" s="1"/>
  <c r="M302" i="5" s="1"/>
  <c r="M346" i="5" s="1"/>
  <c r="M389" i="5" s="1"/>
  <c r="L87" i="5"/>
  <c r="L130" i="5" s="1"/>
  <c r="L173" i="5" s="1"/>
  <c r="L216" i="5" s="1"/>
  <c r="L259" i="5" s="1"/>
  <c r="L302" i="5" s="1"/>
  <c r="L346" i="5" s="1"/>
  <c r="L389" i="5" s="1"/>
  <c r="K87" i="5"/>
  <c r="K130" i="5" s="1"/>
  <c r="K173" i="5" s="1"/>
  <c r="K216" i="5" s="1"/>
  <c r="K259" i="5" s="1"/>
  <c r="K302" i="5" s="1"/>
  <c r="K346" i="5" s="1"/>
  <c r="K389" i="5" s="1"/>
  <c r="J87" i="5"/>
  <c r="J130" i="5" s="1"/>
  <c r="J173" i="5" s="1"/>
  <c r="J216" i="5" s="1"/>
  <c r="J259" i="5" s="1"/>
  <c r="J302" i="5" s="1"/>
  <c r="J346" i="5" s="1"/>
  <c r="J389" i="5" s="1"/>
  <c r="I87" i="5"/>
  <c r="I130" i="5" s="1"/>
  <c r="I173" i="5" s="1"/>
  <c r="I216" i="5" s="1"/>
  <c r="I259" i="5" s="1"/>
  <c r="I302" i="5" s="1"/>
  <c r="I346" i="5" s="1"/>
  <c r="I389" i="5" s="1"/>
  <c r="H87" i="5"/>
  <c r="G87" i="5"/>
  <c r="G130" i="5" s="1"/>
  <c r="G173" i="5" s="1"/>
  <c r="G216" i="5" s="1"/>
  <c r="G259" i="5" s="1"/>
  <c r="G302" i="5" s="1"/>
  <c r="G346" i="5" s="1"/>
  <c r="G389" i="5" s="1"/>
  <c r="F87" i="5"/>
  <c r="F130" i="5" s="1"/>
  <c r="F173" i="5" s="1"/>
  <c r="F216" i="5" s="1"/>
  <c r="F259" i="5" s="1"/>
  <c r="F302" i="5" s="1"/>
  <c r="F346" i="5" s="1"/>
  <c r="F389" i="5" s="1"/>
  <c r="E87" i="5"/>
  <c r="E130" i="5" s="1"/>
  <c r="E173" i="5" s="1"/>
  <c r="E216" i="5" s="1"/>
  <c r="E259" i="5" s="1"/>
  <c r="E302" i="5" s="1"/>
  <c r="E346" i="5" s="1"/>
  <c r="E389" i="5" s="1"/>
  <c r="D87" i="5"/>
  <c r="D130" i="5" s="1"/>
  <c r="D173" i="5" s="1"/>
  <c r="D216" i="5" s="1"/>
  <c r="D259" i="5" s="1"/>
  <c r="D302" i="5" s="1"/>
  <c r="D346" i="5" s="1"/>
  <c r="D389" i="5" s="1"/>
  <c r="P86" i="5"/>
  <c r="O86" i="5"/>
  <c r="N86" i="5"/>
  <c r="M86" i="5"/>
  <c r="L86" i="5"/>
  <c r="K86" i="5"/>
  <c r="J86" i="5"/>
  <c r="I86" i="5"/>
  <c r="H86" i="5"/>
  <c r="G86" i="5"/>
  <c r="F86" i="5"/>
  <c r="E86" i="5"/>
  <c r="D86" i="5"/>
  <c r="P85" i="5"/>
  <c r="O85" i="5"/>
  <c r="N85" i="5"/>
  <c r="M85" i="5"/>
  <c r="L85" i="5"/>
  <c r="K85" i="5"/>
  <c r="J85" i="5"/>
  <c r="I85" i="5"/>
  <c r="H85" i="5"/>
  <c r="G85" i="5"/>
  <c r="F85" i="5"/>
  <c r="E85" i="5"/>
  <c r="D85" i="5"/>
  <c r="P84" i="5"/>
  <c r="O84" i="5"/>
  <c r="N84" i="5"/>
  <c r="M84" i="5"/>
  <c r="L84" i="5"/>
  <c r="K84" i="5"/>
  <c r="J84" i="5"/>
  <c r="I84" i="5"/>
  <c r="H84" i="5"/>
  <c r="G84" i="5"/>
  <c r="F84" i="5"/>
  <c r="E84" i="5"/>
  <c r="D84" i="5"/>
  <c r="P82" i="5"/>
  <c r="P125" i="5" s="1"/>
  <c r="P168" i="5" s="1"/>
  <c r="P211" i="5" s="1"/>
  <c r="P254" i="5" s="1"/>
  <c r="P297" i="5" s="1"/>
  <c r="P341" i="5" s="1"/>
  <c r="P384" i="5" s="1"/>
  <c r="O82" i="5"/>
  <c r="O125" i="5" s="1"/>
  <c r="O168" i="5" s="1"/>
  <c r="O211" i="5" s="1"/>
  <c r="O254" i="5" s="1"/>
  <c r="O297" i="5" s="1"/>
  <c r="O341" i="5" s="1"/>
  <c r="O384" i="5" s="1"/>
  <c r="N82" i="5"/>
  <c r="N125" i="5" s="1"/>
  <c r="N168" i="5" s="1"/>
  <c r="N211" i="5" s="1"/>
  <c r="N254" i="5" s="1"/>
  <c r="N297" i="5" s="1"/>
  <c r="N341" i="5" s="1"/>
  <c r="N384" i="5" s="1"/>
  <c r="M82" i="5"/>
  <c r="M125" i="5" s="1"/>
  <c r="M168" i="5" s="1"/>
  <c r="M211" i="5" s="1"/>
  <c r="M254" i="5" s="1"/>
  <c r="M297" i="5" s="1"/>
  <c r="M341" i="5" s="1"/>
  <c r="M384" i="5" s="1"/>
  <c r="L82" i="5"/>
  <c r="L125" i="5" s="1"/>
  <c r="L168" i="5" s="1"/>
  <c r="L211" i="5" s="1"/>
  <c r="L254" i="5" s="1"/>
  <c r="L297" i="5" s="1"/>
  <c r="L341" i="5" s="1"/>
  <c r="L384" i="5" s="1"/>
  <c r="K82" i="5"/>
  <c r="J82" i="5"/>
  <c r="J125" i="5" s="1"/>
  <c r="J168" i="5" s="1"/>
  <c r="J211" i="5" s="1"/>
  <c r="J254" i="5" s="1"/>
  <c r="J297" i="5" s="1"/>
  <c r="J341" i="5" s="1"/>
  <c r="J384" i="5" s="1"/>
  <c r="I82" i="5"/>
  <c r="I125" i="5" s="1"/>
  <c r="I168" i="5" s="1"/>
  <c r="I211" i="5" s="1"/>
  <c r="I254" i="5" s="1"/>
  <c r="I297" i="5" s="1"/>
  <c r="I341" i="5" s="1"/>
  <c r="I384" i="5" s="1"/>
  <c r="H82" i="5"/>
  <c r="H125" i="5" s="1"/>
  <c r="H168" i="5" s="1"/>
  <c r="H211" i="5" s="1"/>
  <c r="H254" i="5" s="1"/>
  <c r="H297" i="5" s="1"/>
  <c r="H341" i="5" s="1"/>
  <c r="H384" i="5" s="1"/>
  <c r="G82" i="5"/>
  <c r="G125" i="5" s="1"/>
  <c r="G168" i="5" s="1"/>
  <c r="G211" i="5" s="1"/>
  <c r="G254" i="5" s="1"/>
  <c r="G297" i="5" s="1"/>
  <c r="G341" i="5" s="1"/>
  <c r="G384" i="5" s="1"/>
  <c r="F82" i="5"/>
  <c r="F125" i="5" s="1"/>
  <c r="F168" i="5" s="1"/>
  <c r="F211" i="5" s="1"/>
  <c r="F254" i="5" s="1"/>
  <c r="F297" i="5" s="1"/>
  <c r="F341" i="5" s="1"/>
  <c r="F384" i="5" s="1"/>
  <c r="E82" i="5"/>
  <c r="E125" i="5" s="1"/>
  <c r="E168" i="5" s="1"/>
  <c r="E211" i="5" s="1"/>
  <c r="E254" i="5" s="1"/>
  <c r="E297" i="5" s="1"/>
  <c r="E341" i="5" s="1"/>
  <c r="E384" i="5" s="1"/>
  <c r="D82" i="5"/>
  <c r="D125" i="5" s="1"/>
  <c r="D168" i="5" s="1"/>
  <c r="D211" i="5" s="1"/>
  <c r="D254" i="5" s="1"/>
  <c r="D297" i="5" s="1"/>
  <c r="D341" i="5" s="1"/>
  <c r="D384" i="5" s="1"/>
  <c r="P81" i="5"/>
  <c r="P124" i="5" s="1"/>
  <c r="P167" i="5" s="1"/>
  <c r="P210" i="5" s="1"/>
  <c r="P253" i="5" s="1"/>
  <c r="P296" i="5" s="1"/>
  <c r="P340" i="5" s="1"/>
  <c r="P383" i="5" s="1"/>
  <c r="O81" i="5"/>
  <c r="O124" i="5" s="1"/>
  <c r="O167" i="5" s="1"/>
  <c r="O210" i="5" s="1"/>
  <c r="O253" i="5" s="1"/>
  <c r="O296" i="5" s="1"/>
  <c r="O340" i="5" s="1"/>
  <c r="O383" i="5" s="1"/>
  <c r="N81" i="5"/>
  <c r="N124" i="5" s="1"/>
  <c r="N167" i="5" s="1"/>
  <c r="N210" i="5" s="1"/>
  <c r="N253" i="5" s="1"/>
  <c r="N296" i="5" s="1"/>
  <c r="N340" i="5" s="1"/>
  <c r="N383" i="5" s="1"/>
  <c r="M81" i="5"/>
  <c r="L81" i="5"/>
  <c r="L124" i="5" s="1"/>
  <c r="L167" i="5" s="1"/>
  <c r="L210" i="5" s="1"/>
  <c r="L253" i="5" s="1"/>
  <c r="L296" i="5" s="1"/>
  <c r="L340" i="5" s="1"/>
  <c r="L383" i="5" s="1"/>
  <c r="K81" i="5"/>
  <c r="K124" i="5" s="1"/>
  <c r="K167" i="5" s="1"/>
  <c r="K210" i="5" s="1"/>
  <c r="K253" i="5" s="1"/>
  <c r="K296" i="5" s="1"/>
  <c r="K340" i="5" s="1"/>
  <c r="K383" i="5" s="1"/>
  <c r="J81" i="5"/>
  <c r="J124" i="5" s="1"/>
  <c r="J167" i="5" s="1"/>
  <c r="J210" i="5" s="1"/>
  <c r="J253" i="5" s="1"/>
  <c r="J296" i="5" s="1"/>
  <c r="J340" i="5" s="1"/>
  <c r="J383" i="5" s="1"/>
  <c r="I81" i="5"/>
  <c r="I124" i="5" s="1"/>
  <c r="I167" i="5" s="1"/>
  <c r="I210" i="5" s="1"/>
  <c r="I253" i="5" s="1"/>
  <c r="I296" i="5" s="1"/>
  <c r="I340" i="5" s="1"/>
  <c r="I383" i="5" s="1"/>
  <c r="H81" i="5"/>
  <c r="H124" i="5" s="1"/>
  <c r="H167" i="5" s="1"/>
  <c r="H210" i="5" s="1"/>
  <c r="H253" i="5" s="1"/>
  <c r="H296" i="5" s="1"/>
  <c r="H340" i="5" s="1"/>
  <c r="H383" i="5" s="1"/>
  <c r="G81" i="5"/>
  <c r="G124" i="5" s="1"/>
  <c r="G167" i="5" s="1"/>
  <c r="G210" i="5" s="1"/>
  <c r="G253" i="5" s="1"/>
  <c r="G296" i="5" s="1"/>
  <c r="G340" i="5" s="1"/>
  <c r="G383" i="5" s="1"/>
  <c r="F81" i="5"/>
  <c r="F124" i="5" s="1"/>
  <c r="F167" i="5" s="1"/>
  <c r="F210" i="5" s="1"/>
  <c r="F253" i="5" s="1"/>
  <c r="F296" i="5" s="1"/>
  <c r="F340" i="5" s="1"/>
  <c r="F383" i="5" s="1"/>
  <c r="E81" i="5"/>
  <c r="E124" i="5" s="1"/>
  <c r="E167" i="5" s="1"/>
  <c r="E210" i="5" s="1"/>
  <c r="E253" i="5" s="1"/>
  <c r="E296" i="5" s="1"/>
  <c r="E340" i="5" s="1"/>
  <c r="E383" i="5" s="1"/>
  <c r="D81" i="5"/>
  <c r="D124" i="5" s="1"/>
  <c r="D167" i="5" s="1"/>
  <c r="D210" i="5" s="1"/>
  <c r="D253" i="5" s="1"/>
  <c r="D296" i="5" s="1"/>
  <c r="D340" i="5" s="1"/>
  <c r="D383" i="5" s="1"/>
  <c r="P80" i="5"/>
  <c r="P123" i="5" s="1"/>
  <c r="P166" i="5" s="1"/>
  <c r="P209" i="5" s="1"/>
  <c r="P252" i="5" s="1"/>
  <c r="P295" i="5" s="1"/>
  <c r="P339" i="5" s="1"/>
  <c r="P382" i="5" s="1"/>
  <c r="O80" i="5"/>
  <c r="O123" i="5" s="1"/>
  <c r="O166" i="5" s="1"/>
  <c r="O209" i="5" s="1"/>
  <c r="O252" i="5" s="1"/>
  <c r="O295" i="5" s="1"/>
  <c r="O339" i="5" s="1"/>
  <c r="O382" i="5" s="1"/>
  <c r="N80" i="5"/>
  <c r="M80" i="5"/>
  <c r="M123" i="5" s="1"/>
  <c r="M166" i="5" s="1"/>
  <c r="M209" i="5" s="1"/>
  <c r="M252" i="5" s="1"/>
  <c r="M295" i="5" s="1"/>
  <c r="M339" i="5" s="1"/>
  <c r="M382" i="5" s="1"/>
  <c r="L80" i="5"/>
  <c r="L123" i="5" s="1"/>
  <c r="L166" i="5" s="1"/>
  <c r="L209" i="5" s="1"/>
  <c r="L252" i="5" s="1"/>
  <c r="L295" i="5" s="1"/>
  <c r="L339" i="5" s="1"/>
  <c r="L382" i="5" s="1"/>
  <c r="K80" i="5"/>
  <c r="K123" i="5" s="1"/>
  <c r="K166" i="5" s="1"/>
  <c r="K209" i="5" s="1"/>
  <c r="K252" i="5" s="1"/>
  <c r="K295" i="5" s="1"/>
  <c r="K339" i="5" s="1"/>
  <c r="K382" i="5" s="1"/>
  <c r="J80" i="5"/>
  <c r="J123" i="5" s="1"/>
  <c r="J166" i="5" s="1"/>
  <c r="J209" i="5" s="1"/>
  <c r="J252" i="5" s="1"/>
  <c r="J295" i="5" s="1"/>
  <c r="J339" i="5" s="1"/>
  <c r="J382" i="5" s="1"/>
  <c r="I80" i="5"/>
  <c r="I123" i="5" s="1"/>
  <c r="I166" i="5" s="1"/>
  <c r="I209" i="5" s="1"/>
  <c r="I252" i="5" s="1"/>
  <c r="I295" i="5" s="1"/>
  <c r="I339" i="5" s="1"/>
  <c r="I382" i="5" s="1"/>
  <c r="H80" i="5"/>
  <c r="H123" i="5" s="1"/>
  <c r="H166" i="5" s="1"/>
  <c r="H209" i="5" s="1"/>
  <c r="H252" i="5" s="1"/>
  <c r="H295" i="5" s="1"/>
  <c r="H339" i="5" s="1"/>
  <c r="H382" i="5" s="1"/>
  <c r="G80" i="5"/>
  <c r="G123" i="5" s="1"/>
  <c r="G166" i="5" s="1"/>
  <c r="G209" i="5" s="1"/>
  <c r="G252" i="5" s="1"/>
  <c r="G295" i="5" s="1"/>
  <c r="G339" i="5" s="1"/>
  <c r="G382" i="5" s="1"/>
  <c r="F80" i="5"/>
  <c r="F123" i="5" s="1"/>
  <c r="F166" i="5" s="1"/>
  <c r="F209" i="5" s="1"/>
  <c r="F252" i="5" s="1"/>
  <c r="F295" i="5" s="1"/>
  <c r="F339" i="5" s="1"/>
  <c r="F382" i="5" s="1"/>
  <c r="E80" i="5"/>
  <c r="D80" i="5"/>
  <c r="D123" i="5" s="1"/>
  <c r="D166" i="5" s="1"/>
  <c r="D209" i="5" s="1"/>
  <c r="D252" i="5" s="1"/>
  <c r="D295" i="5" s="1"/>
  <c r="D339" i="5" s="1"/>
  <c r="D382" i="5" s="1"/>
  <c r="P79" i="5"/>
  <c r="P122" i="5" s="1"/>
  <c r="P165" i="5" s="1"/>
  <c r="P208" i="5" s="1"/>
  <c r="P251" i="5" s="1"/>
  <c r="P294" i="5" s="1"/>
  <c r="P338" i="5" s="1"/>
  <c r="P381" i="5" s="1"/>
  <c r="O79" i="5"/>
  <c r="O122" i="5" s="1"/>
  <c r="O165" i="5" s="1"/>
  <c r="O208" i="5" s="1"/>
  <c r="O251" i="5" s="1"/>
  <c r="O294" i="5" s="1"/>
  <c r="O338" i="5" s="1"/>
  <c r="O381" i="5" s="1"/>
  <c r="N79" i="5"/>
  <c r="N122" i="5" s="1"/>
  <c r="N165" i="5" s="1"/>
  <c r="N208" i="5" s="1"/>
  <c r="N251" i="5" s="1"/>
  <c r="N294" i="5" s="1"/>
  <c r="N338" i="5" s="1"/>
  <c r="N381" i="5" s="1"/>
  <c r="M79" i="5"/>
  <c r="M122" i="5" s="1"/>
  <c r="M165" i="5" s="1"/>
  <c r="M208" i="5" s="1"/>
  <c r="M251" i="5" s="1"/>
  <c r="M294" i="5" s="1"/>
  <c r="M338" i="5" s="1"/>
  <c r="M381" i="5" s="1"/>
  <c r="L79" i="5"/>
  <c r="L122" i="5" s="1"/>
  <c r="L165" i="5" s="1"/>
  <c r="L208" i="5" s="1"/>
  <c r="L251" i="5" s="1"/>
  <c r="L294" i="5" s="1"/>
  <c r="L338" i="5" s="1"/>
  <c r="L381" i="5" s="1"/>
  <c r="K79" i="5"/>
  <c r="K122" i="5" s="1"/>
  <c r="K165" i="5" s="1"/>
  <c r="K208" i="5" s="1"/>
  <c r="K251" i="5" s="1"/>
  <c r="K294" i="5" s="1"/>
  <c r="K338" i="5" s="1"/>
  <c r="K381" i="5" s="1"/>
  <c r="J79" i="5"/>
  <c r="J122" i="5" s="1"/>
  <c r="J165" i="5" s="1"/>
  <c r="J208" i="5" s="1"/>
  <c r="J251" i="5" s="1"/>
  <c r="J294" i="5" s="1"/>
  <c r="J338" i="5" s="1"/>
  <c r="J381" i="5" s="1"/>
  <c r="I79" i="5"/>
  <c r="I122" i="5" s="1"/>
  <c r="I165" i="5" s="1"/>
  <c r="I208" i="5" s="1"/>
  <c r="I251" i="5" s="1"/>
  <c r="I294" i="5" s="1"/>
  <c r="I338" i="5" s="1"/>
  <c r="I381" i="5" s="1"/>
  <c r="H79" i="5"/>
  <c r="H122" i="5" s="1"/>
  <c r="H165" i="5" s="1"/>
  <c r="H208" i="5" s="1"/>
  <c r="H251" i="5" s="1"/>
  <c r="H294" i="5" s="1"/>
  <c r="H338" i="5" s="1"/>
  <c r="H381" i="5" s="1"/>
  <c r="G79" i="5"/>
  <c r="F79" i="5"/>
  <c r="F122" i="5" s="1"/>
  <c r="F165" i="5" s="1"/>
  <c r="F208" i="5" s="1"/>
  <c r="F251" i="5" s="1"/>
  <c r="F294" i="5" s="1"/>
  <c r="F338" i="5" s="1"/>
  <c r="F381" i="5" s="1"/>
  <c r="E79" i="5"/>
  <c r="E122" i="5" s="1"/>
  <c r="E165" i="5" s="1"/>
  <c r="E208" i="5" s="1"/>
  <c r="E251" i="5" s="1"/>
  <c r="E294" i="5" s="1"/>
  <c r="E338" i="5" s="1"/>
  <c r="E381" i="5" s="1"/>
  <c r="D79" i="5"/>
  <c r="D122" i="5" s="1"/>
  <c r="D165" i="5" s="1"/>
  <c r="D208" i="5" s="1"/>
  <c r="D251" i="5" s="1"/>
  <c r="D294" i="5" s="1"/>
  <c r="D338" i="5" s="1"/>
  <c r="D381" i="5" s="1"/>
  <c r="P78" i="5"/>
  <c r="P121" i="5" s="1"/>
  <c r="P164" i="5" s="1"/>
  <c r="P207" i="5" s="1"/>
  <c r="P250" i="5" s="1"/>
  <c r="P293" i="5" s="1"/>
  <c r="P337" i="5" s="1"/>
  <c r="P380" i="5" s="1"/>
  <c r="O78" i="5"/>
  <c r="O121" i="5" s="1"/>
  <c r="O164" i="5" s="1"/>
  <c r="O207" i="5" s="1"/>
  <c r="O250" i="5" s="1"/>
  <c r="O293" i="5" s="1"/>
  <c r="O337" i="5" s="1"/>
  <c r="O380" i="5" s="1"/>
  <c r="N78" i="5"/>
  <c r="N121" i="5" s="1"/>
  <c r="N164" i="5" s="1"/>
  <c r="N207" i="5" s="1"/>
  <c r="N250" i="5" s="1"/>
  <c r="N293" i="5" s="1"/>
  <c r="N337" i="5" s="1"/>
  <c r="N380" i="5" s="1"/>
  <c r="M78" i="5"/>
  <c r="M121" i="5" s="1"/>
  <c r="M164" i="5" s="1"/>
  <c r="M207" i="5" s="1"/>
  <c r="M250" i="5" s="1"/>
  <c r="M293" i="5" s="1"/>
  <c r="M337" i="5" s="1"/>
  <c r="M380" i="5" s="1"/>
  <c r="L78" i="5"/>
  <c r="L121" i="5" s="1"/>
  <c r="L164" i="5" s="1"/>
  <c r="L207" i="5" s="1"/>
  <c r="L250" i="5" s="1"/>
  <c r="L293" i="5" s="1"/>
  <c r="L337" i="5" s="1"/>
  <c r="L380" i="5" s="1"/>
  <c r="K78" i="5"/>
  <c r="K121" i="5" s="1"/>
  <c r="K164" i="5" s="1"/>
  <c r="K207" i="5" s="1"/>
  <c r="K250" i="5" s="1"/>
  <c r="K293" i="5" s="1"/>
  <c r="K337" i="5" s="1"/>
  <c r="K380" i="5" s="1"/>
  <c r="J78" i="5"/>
  <c r="J121" i="5" s="1"/>
  <c r="J164" i="5" s="1"/>
  <c r="J207" i="5" s="1"/>
  <c r="J250" i="5" s="1"/>
  <c r="J293" i="5" s="1"/>
  <c r="J337" i="5" s="1"/>
  <c r="J380" i="5" s="1"/>
  <c r="I78" i="5"/>
  <c r="I121" i="5" s="1"/>
  <c r="I164" i="5" s="1"/>
  <c r="I207" i="5" s="1"/>
  <c r="I250" i="5" s="1"/>
  <c r="I293" i="5" s="1"/>
  <c r="I337" i="5" s="1"/>
  <c r="I380" i="5" s="1"/>
  <c r="H78" i="5"/>
  <c r="G78" i="5"/>
  <c r="G121" i="5" s="1"/>
  <c r="G164" i="5" s="1"/>
  <c r="G207" i="5" s="1"/>
  <c r="G250" i="5" s="1"/>
  <c r="G293" i="5" s="1"/>
  <c r="G337" i="5" s="1"/>
  <c r="G380" i="5" s="1"/>
  <c r="F78" i="5"/>
  <c r="F121" i="5" s="1"/>
  <c r="F164" i="5" s="1"/>
  <c r="F207" i="5" s="1"/>
  <c r="F250" i="5" s="1"/>
  <c r="F293" i="5" s="1"/>
  <c r="F337" i="5" s="1"/>
  <c r="F380" i="5" s="1"/>
  <c r="E78" i="5"/>
  <c r="E121" i="5" s="1"/>
  <c r="E164" i="5" s="1"/>
  <c r="E207" i="5" s="1"/>
  <c r="E250" i="5" s="1"/>
  <c r="E293" i="5" s="1"/>
  <c r="E337" i="5" s="1"/>
  <c r="E380" i="5" s="1"/>
  <c r="D78" i="5"/>
  <c r="D121" i="5" s="1"/>
  <c r="D164" i="5" s="1"/>
  <c r="D207" i="5" s="1"/>
  <c r="D250" i="5" s="1"/>
  <c r="D293" i="5" s="1"/>
  <c r="D337" i="5" s="1"/>
  <c r="D380" i="5" s="1"/>
  <c r="P72" i="5"/>
  <c r="O72" i="5"/>
  <c r="N72" i="5"/>
  <c r="M72" i="5"/>
  <c r="L72" i="5"/>
  <c r="K72" i="5"/>
  <c r="J72" i="5"/>
  <c r="I72" i="5"/>
  <c r="H72" i="5"/>
  <c r="G72" i="5"/>
  <c r="F72" i="5"/>
  <c r="E72" i="5"/>
  <c r="D72" i="5"/>
  <c r="P71" i="5"/>
  <c r="O71" i="5"/>
  <c r="N71" i="5"/>
  <c r="M71" i="5"/>
  <c r="L71" i="5"/>
  <c r="K71" i="5"/>
  <c r="J71" i="5"/>
  <c r="I71" i="5"/>
  <c r="H71" i="5"/>
  <c r="G71" i="5"/>
  <c r="F71" i="5"/>
  <c r="E71" i="5"/>
  <c r="D71" i="5"/>
  <c r="P69" i="5"/>
  <c r="O69" i="5"/>
  <c r="N69" i="5"/>
  <c r="M69" i="5"/>
  <c r="L69" i="5"/>
  <c r="K69" i="5"/>
  <c r="J69" i="5"/>
  <c r="I69" i="5"/>
  <c r="H69" i="5"/>
  <c r="G69" i="5"/>
  <c r="F69" i="5"/>
  <c r="E69" i="5"/>
  <c r="D69" i="5"/>
  <c r="P57" i="5"/>
  <c r="O57" i="5"/>
  <c r="N57" i="5"/>
  <c r="M57" i="5"/>
  <c r="L57" i="5"/>
  <c r="K57" i="5"/>
  <c r="J57" i="5"/>
  <c r="I57" i="5"/>
  <c r="H57" i="5"/>
  <c r="G57" i="5"/>
  <c r="F57" i="5"/>
  <c r="E57" i="5"/>
  <c r="D57" i="5"/>
  <c r="P54" i="5"/>
  <c r="O54" i="5"/>
  <c r="N54" i="5"/>
  <c r="M54" i="5"/>
  <c r="L54" i="5"/>
  <c r="K54" i="5"/>
  <c r="J54" i="5"/>
  <c r="I54" i="5"/>
  <c r="H54" i="5"/>
  <c r="G54" i="5"/>
  <c r="F54" i="5"/>
  <c r="E54" i="5"/>
  <c r="D54" i="5"/>
  <c r="P50" i="5"/>
  <c r="P93" i="5" s="1"/>
  <c r="P136" i="5" s="1"/>
  <c r="P179" i="5" s="1"/>
  <c r="P222" i="5" s="1"/>
  <c r="P265" i="5" s="1"/>
  <c r="P308" i="5" s="1"/>
  <c r="P352" i="5" s="1"/>
  <c r="O50" i="5"/>
  <c r="O93" i="5" s="1"/>
  <c r="O136" i="5" s="1"/>
  <c r="O179" i="5" s="1"/>
  <c r="O222" i="5" s="1"/>
  <c r="O265" i="5" s="1"/>
  <c r="O308" i="5" s="1"/>
  <c r="O352" i="5" s="1"/>
  <c r="N50" i="5"/>
  <c r="N93" i="5" s="1"/>
  <c r="N136" i="5" s="1"/>
  <c r="N179" i="5" s="1"/>
  <c r="N222" i="5" s="1"/>
  <c r="N265" i="5" s="1"/>
  <c r="N308" i="5" s="1"/>
  <c r="N352" i="5" s="1"/>
  <c r="M50" i="5"/>
  <c r="M93" i="5" s="1"/>
  <c r="M136" i="5" s="1"/>
  <c r="M179" i="5" s="1"/>
  <c r="M222" i="5" s="1"/>
  <c r="M265" i="5" s="1"/>
  <c r="M308" i="5" s="1"/>
  <c r="M352" i="5" s="1"/>
  <c r="L50" i="5"/>
  <c r="L93" i="5" s="1"/>
  <c r="L136" i="5" s="1"/>
  <c r="L179" i="5" s="1"/>
  <c r="L222" i="5" s="1"/>
  <c r="L265" i="5" s="1"/>
  <c r="L308" i="5" s="1"/>
  <c r="L352" i="5" s="1"/>
  <c r="K50" i="5"/>
  <c r="K93" i="5" s="1"/>
  <c r="K136" i="5" s="1"/>
  <c r="K179" i="5" s="1"/>
  <c r="K222" i="5" s="1"/>
  <c r="K265" i="5" s="1"/>
  <c r="K308" i="5" s="1"/>
  <c r="K352" i="5" s="1"/>
  <c r="J50" i="5"/>
  <c r="J93" i="5" s="1"/>
  <c r="J136" i="5" s="1"/>
  <c r="J179" i="5" s="1"/>
  <c r="J222" i="5" s="1"/>
  <c r="J265" i="5" s="1"/>
  <c r="J308" i="5" s="1"/>
  <c r="J352" i="5" s="1"/>
  <c r="I50" i="5"/>
  <c r="I93" i="5" s="1"/>
  <c r="I136" i="5" s="1"/>
  <c r="I179" i="5" s="1"/>
  <c r="I222" i="5" s="1"/>
  <c r="I265" i="5" s="1"/>
  <c r="I308" i="5" s="1"/>
  <c r="I352" i="5" s="1"/>
  <c r="H50" i="5"/>
  <c r="H93" i="5" s="1"/>
  <c r="H136" i="5" s="1"/>
  <c r="H179" i="5" s="1"/>
  <c r="H222" i="5" s="1"/>
  <c r="H265" i="5" s="1"/>
  <c r="H308" i="5" s="1"/>
  <c r="H352" i="5" s="1"/>
  <c r="G50" i="5"/>
  <c r="G93" i="5" s="1"/>
  <c r="G136" i="5" s="1"/>
  <c r="G179" i="5" s="1"/>
  <c r="G222" i="5" s="1"/>
  <c r="G265" i="5" s="1"/>
  <c r="G308" i="5" s="1"/>
  <c r="G352" i="5" s="1"/>
  <c r="F50" i="5"/>
  <c r="F93" i="5" s="1"/>
  <c r="F136" i="5" s="1"/>
  <c r="F179" i="5" s="1"/>
  <c r="F222" i="5" s="1"/>
  <c r="F265" i="5" s="1"/>
  <c r="F308" i="5" s="1"/>
  <c r="F352" i="5" s="1"/>
  <c r="E50" i="5"/>
  <c r="E93" i="5" s="1"/>
  <c r="E136" i="5" s="1"/>
  <c r="E179" i="5" s="1"/>
  <c r="E222" i="5" s="1"/>
  <c r="E265" i="5" s="1"/>
  <c r="E308" i="5" s="1"/>
  <c r="E352" i="5" s="1"/>
  <c r="D50" i="5"/>
  <c r="D93" i="5" s="1"/>
  <c r="D136" i="5" s="1"/>
  <c r="D179" i="5" s="1"/>
  <c r="D222" i="5" s="1"/>
  <c r="D265" i="5" s="1"/>
  <c r="D308" i="5" s="1"/>
  <c r="D352" i="5" s="1"/>
  <c r="A49" i="5"/>
  <c r="P43" i="5"/>
  <c r="O43" i="5"/>
  <c r="N43" i="5"/>
  <c r="M43" i="5"/>
  <c r="L43" i="5"/>
  <c r="K43" i="5"/>
  <c r="J43" i="5"/>
  <c r="I43" i="5"/>
  <c r="H43" i="5"/>
  <c r="G43" i="5"/>
  <c r="F43" i="5"/>
  <c r="E43" i="5"/>
  <c r="D43" i="5"/>
  <c r="P42" i="5"/>
  <c r="O42" i="5"/>
  <c r="N42" i="5"/>
  <c r="M42" i="5"/>
  <c r="L42" i="5"/>
  <c r="K42" i="5"/>
  <c r="J42" i="5"/>
  <c r="I42" i="5"/>
  <c r="H42" i="5"/>
  <c r="G42" i="5"/>
  <c r="F42" i="5"/>
  <c r="E42" i="5"/>
  <c r="D42" i="5"/>
  <c r="P41" i="5"/>
  <c r="O41" i="5"/>
  <c r="N41" i="5"/>
  <c r="M41" i="5"/>
  <c r="L41" i="5"/>
  <c r="K41" i="5"/>
  <c r="J41" i="5"/>
  <c r="I41" i="5"/>
  <c r="H41" i="5"/>
  <c r="G41" i="5"/>
  <c r="F41" i="5"/>
  <c r="E41" i="5"/>
  <c r="D41" i="5"/>
  <c r="P28" i="5"/>
  <c r="O28" i="5"/>
  <c r="N28" i="5"/>
  <c r="M28" i="5"/>
  <c r="L28" i="5"/>
  <c r="K28" i="5"/>
  <c r="J28" i="5"/>
  <c r="I28" i="5"/>
  <c r="H28" i="5"/>
  <c r="G28" i="5"/>
  <c r="F28" i="5"/>
  <c r="E28" i="5"/>
  <c r="D28" i="5"/>
  <c r="P26" i="5"/>
  <c r="O26" i="5"/>
  <c r="N26" i="5"/>
  <c r="M26" i="5"/>
  <c r="L26" i="5"/>
  <c r="K26" i="5"/>
  <c r="J26" i="5"/>
  <c r="I26" i="5"/>
  <c r="H26" i="5"/>
  <c r="G26" i="5"/>
  <c r="F26" i="5"/>
  <c r="E26" i="5"/>
  <c r="D26" i="5"/>
  <c r="P14" i="5"/>
  <c r="O14" i="5"/>
  <c r="N14" i="5"/>
  <c r="M14" i="5"/>
  <c r="L14" i="5"/>
  <c r="K14" i="5"/>
  <c r="J14" i="5"/>
  <c r="I14" i="5"/>
  <c r="H14" i="5"/>
  <c r="G14" i="5"/>
  <c r="F14" i="5"/>
  <c r="E14" i="5"/>
  <c r="D14" i="5"/>
  <c r="P11" i="5"/>
  <c r="O11" i="5"/>
  <c r="N11" i="5"/>
  <c r="M11" i="5"/>
  <c r="L11" i="5"/>
  <c r="K11" i="5"/>
  <c r="J11" i="5"/>
  <c r="I11" i="5"/>
  <c r="H11" i="5"/>
  <c r="G11" i="5"/>
  <c r="F11" i="5"/>
  <c r="E11" i="5"/>
  <c r="D11" i="5"/>
  <c r="P9" i="5"/>
  <c r="O9" i="5"/>
  <c r="N9" i="5"/>
  <c r="M9" i="5"/>
  <c r="L9" i="5"/>
  <c r="K9" i="5"/>
  <c r="J9" i="5"/>
  <c r="I9" i="5"/>
  <c r="H9" i="5"/>
  <c r="G9" i="5"/>
  <c r="F9" i="5"/>
  <c r="E9" i="5"/>
  <c r="D9" i="5"/>
  <c r="A3" i="5"/>
  <c r="F81" i="7" l="1"/>
  <c r="F131" i="7" s="1"/>
  <c r="F181" i="7" s="1"/>
  <c r="F711" i="7" s="1"/>
  <c r="F761" i="7" s="1"/>
  <c r="F811" i="7" s="1"/>
  <c r="F861" i="7" s="1"/>
  <c r="F911" i="7" s="1"/>
  <c r="F961" i="7" s="1"/>
  <c r="G31" i="7"/>
  <c r="F146" i="7"/>
  <c r="G96" i="7"/>
  <c r="H80" i="7"/>
  <c r="H130" i="7" s="1"/>
  <c r="H180" i="7" s="1"/>
  <c r="H710" i="7" s="1"/>
  <c r="H760" i="7" s="1"/>
  <c r="H810" i="7" s="1"/>
  <c r="H860" i="7" s="1"/>
  <c r="H910" i="7" s="1"/>
  <c r="H960" i="7" s="1"/>
  <c r="I30" i="7"/>
  <c r="H397" i="5"/>
  <c r="H396" i="5"/>
  <c r="H441" i="5" s="1"/>
  <c r="P397" i="5"/>
  <c r="P396" i="5"/>
  <c r="P441" i="5" s="1"/>
  <c r="D396" i="5"/>
  <c r="D441" i="5" s="1"/>
  <c r="D397" i="5"/>
  <c r="L396" i="5"/>
  <c r="L441" i="5" s="1"/>
  <c r="L397" i="5"/>
  <c r="J396" i="5"/>
  <c r="J441" i="5" s="1"/>
  <c r="J397" i="5"/>
  <c r="I396" i="5"/>
  <c r="I441" i="5" s="1"/>
  <c r="I397" i="5"/>
  <c r="O397" i="5"/>
  <c r="O396" i="5"/>
  <c r="O441" i="5" s="1"/>
  <c r="E396" i="5"/>
  <c r="E441" i="5" s="1"/>
  <c r="E397" i="5"/>
  <c r="M396" i="5"/>
  <c r="M441" i="5" s="1"/>
  <c r="M397" i="5"/>
  <c r="F397" i="5"/>
  <c r="F396" i="5"/>
  <c r="F441" i="5" s="1"/>
  <c r="N397" i="5"/>
  <c r="N396" i="5"/>
  <c r="N441" i="5" s="1"/>
  <c r="G397" i="5"/>
  <c r="G396" i="5"/>
  <c r="G441" i="5" s="1"/>
  <c r="K396" i="5"/>
  <c r="K441" i="5" s="1"/>
  <c r="K397" i="5"/>
  <c r="I80" i="7" l="1"/>
  <c r="I130" i="7" s="1"/>
  <c r="I180" i="7" s="1"/>
  <c r="I710" i="7" s="1"/>
  <c r="I760" i="7" s="1"/>
  <c r="I810" i="7" s="1"/>
  <c r="I860" i="7" s="1"/>
  <c r="I910" i="7" s="1"/>
  <c r="I960" i="7" s="1"/>
  <c r="J30" i="7"/>
  <c r="G81" i="7"/>
  <c r="G131" i="7" s="1"/>
  <c r="G181" i="7" s="1"/>
  <c r="G711" i="7" s="1"/>
  <c r="G761" i="7" s="1"/>
  <c r="G811" i="7" s="1"/>
  <c r="G861" i="7" s="1"/>
  <c r="G911" i="7" s="1"/>
  <c r="G961" i="7" s="1"/>
  <c r="H31" i="7"/>
  <c r="I96" i="7"/>
  <c r="G146" i="7"/>
  <c r="H96" i="7"/>
  <c r="H146" i="7" s="1"/>
  <c r="P488" i="4"/>
  <c r="O488" i="4"/>
  <c r="N488" i="4"/>
  <c r="M488" i="4"/>
  <c r="L488" i="4"/>
  <c r="K488" i="4"/>
  <c r="J488" i="4"/>
  <c r="I488" i="4"/>
  <c r="H488" i="4"/>
  <c r="G488" i="4"/>
  <c r="F488" i="4"/>
  <c r="E488" i="4"/>
  <c r="D488" i="4"/>
  <c r="P487" i="4"/>
  <c r="O487" i="4"/>
  <c r="N487" i="4"/>
  <c r="M487" i="4"/>
  <c r="L487" i="4"/>
  <c r="K487" i="4"/>
  <c r="J487" i="4"/>
  <c r="I487" i="4"/>
  <c r="H487" i="4"/>
  <c r="G487" i="4"/>
  <c r="F487" i="4"/>
  <c r="E487" i="4"/>
  <c r="D487" i="4"/>
  <c r="P486" i="4"/>
  <c r="O486" i="4"/>
  <c r="N486" i="4"/>
  <c r="M486" i="4"/>
  <c r="L486" i="4"/>
  <c r="K486" i="4"/>
  <c r="J486" i="4"/>
  <c r="I486" i="4"/>
  <c r="H486" i="4"/>
  <c r="G486" i="4"/>
  <c r="F486" i="4"/>
  <c r="E486" i="4"/>
  <c r="D486" i="4"/>
  <c r="P473" i="4"/>
  <c r="O473" i="4"/>
  <c r="N473" i="4"/>
  <c r="M473" i="4"/>
  <c r="L473" i="4"/>
  <c r="K473" i="4"/>
  <c r="J473" i="4"/>
  <c r="I473" i="4"/>
  <c r="H473" i="4"/>
  <c r="G473" i="4"/>
  <c r="F473" i="4"/>
  <c r="E473" i="4"/>
  <c r="D473" i="4"/>
  <c r="P471" i="4"/>
  <c r="O471" i="4"/>
  <c r="N471" i="4"/>
  <c r="M471" i="4"/>
  <c r="L471" i="4"/>
  <c r="K471" i="4"/>
  <c r="J471" i="4"/>
  <c r="I471" i="4"/>
  <c r="H471" i="4"/>
  <c r="G471" i="4"/>
  <c r="F471" i="4"/>
  <c r="E471" i="4"/>
  <c r="D471" i="4"/>
  <c r="P454" i="4"/>
  <c r="O454" i="4"/>
  <c r="N454" i="4"/>
  <c r="M454" i="4"/>
  <c r="L454" i="4"/>
  <c r="K454" i="4"/>
  <c r="J454" i="4"/>
  <c r="I454" i="4"/>
  <c r="H454" i="4"/>
  <c r="G454" i="4"/>
  <c r="F454" i="4"/>
  <c r="E454" i="4"/>
  <c r="D454" i="4"/>
  <c r="P452" i="4"/>
  <c r="O452" i="4"/>
  <c r="N452" i="4"/>
  <c r="M452" i="4"/>
  <c r="L452" i="4"/>
  <c r="K452" i="4"/>
  <c r="J452" i="4"/>
  <c r="I452" i="4"/>
  <c r="H452" i="4"/>
  <c r="G452" i="4"/>
  <c r="F452" i="4"/>
  <c r="E452" i="4"/>
  <c r="D452" i="4"/>
  <c r="P450" i="4"/>
  <c r="O450" i="4"/>
  <c r="N450" i="4"/>
  <c r="M450" i="4"/>
  <c r="L450" i="4"/>
  <c r="K450" i="4"/>
  <c r="J450" i="4"/>
  <c r="I450" i="4"/>
  <c r="H450" i="4"/>
  <c r="G450" i="4"/>
  <c r="F450" i="4"/>
  <c r="E450" i="4"/>
  <c r="D450" i="4"/>
  <c r="P447" i="4"/>
  <c r="O447" i="4"/>
  <c r="N447" i="4"/>
  <c r="M447" i="4"/>
  <c r="L447" i="4"/>
  <c r="K447" i="4"/>
  <c r="J447" i="4"/>
  <c r="I447" i="4"/>
  <c r="H447" i="4"/>
  <c r="G447" i="4"/>
  <c r="F447" i="4"/>
  <c r="E447" i="4"/>
  <c r="D447" i="4"/>
  <c r="A444" i="4"/>
  <c r="P438" i="4"/>
  <c r="O438" i="4"/>
  <c r="N438" i="4"/>
  <c r="M438" i="4"/>
  <c r="L438" i="4"/>
  <c r="K438" i="4"/>
  <c r="J438" i="4"/>
  <c r="I438" i="4"/>
  <c r="H438" i="4"/>
  <c r="G438" i="4"/>
  <c r="F438" i="4"/>
  <c r="E438" i="4"/>
  <c r="D438" i="4"/>
  <c r="P437" i="4"/>
  <c r="O437" i="4"/>
  <c r="N437" i="4"/>
  <c r="M437" i="4"/>
  <c r="L437" i="4"/>
  <c r="K437" i="4"/>
  <c r="J437" i="4"/>
  <c r="I437" i="4"/>
  <c r="H437" i="4"/>
  <c r="G437" i="4"/>
  <c r="F437" i="4"/>
  <c r="E437" i="4"/>
  <c r="D437" i="4"/>
  <c r="P436" i="4"/>
  <c r="O436" i="4"/>
  <c r="N436" i="4"/>
  <c r="M436" i="4"/>
  <c r="L436" i="4"/>
  <c r="K436" i="4"/>
  <c r="J436" i="4"/>
  <c r="I436" i="4"/>
  <c r="H436" i="4"/>
  <c r="G436" i="4"/>
  <c r="F436" i="4"/>
  <c r="E436" i="4"/>
  <c r="D436" i="4"/>
  <c r="P423" i="4"/>
  <c r="O423" i="4"/>
  <c r="N423" i="4"/>
  <c r="M423" i="4"/>
  <c r="L423" i="4"/>
  <c r="K423" i="4"/>
  <c r="J423" i="4"/>
  <c r="I423" i="4"/>
  <c r="H423" i="4"/>
  <c r="G423" i="4"/>
  <c r="F423" i="4"/>
  <c r="E423" i="4"/>
  <c r="D423" i="4"/>
  <c r="P421" i="4"/>
  <c r="O421" i="4"/>
  <c r="N421" i="4"/>
  <c r="M421" i="4"/>
  <c r="L421" i="4"/>
  <c r="K421" i="4"/>
  <c r="J421" i="4"/>
  <c r="I421" i="4"/>
  <c r="H421" i="4"/>
  <c r="G421" i="4"/>
  <c r="F421" i="4"/>
  <c r="E421" i="4"/>
  <c r="D421" i="4"/>
  <c r="G419" i="4"/>
  <c r="F419" i="4"/>
  <c r="E419" i="4"/>
  <c r="D419" i="4"/>
  <c r="G418" i="4"/>
  <c r="F418" i="4"/>
  <c r="E418" i="4"/>
  <c r="D418" i="4"/>
  <c r="G417" i="4"/>
  <c r="F417" i="4"/>
  <c r="E417" i="4"/>
  <c r="D417" i="4"/>
  <c r="G408" i="4"/>
  <c r="F408" i="4"/>
  <c r="E408" i="4"/>
  <c r="D408" i="4"/>
  <c r="G407" i="4"/>
  <c r="F407" i="4"/>
  <c r="E407" i="4"/>
  <c r="D407" i="4"/>
  <c r="G406" i="4"/>
  <c r="F406" i="4"/>
  <c r="E406" i="4"/>
  <c r="D406" i="4"/>
  <c r="P399" i="4"/>
  <c r="O399" i="4"/>
  <c r="N399" i="4"/>
  <c r="M399" i="4"/>
  <c r="L399" i="4"/>
  <c r="K399" i="4"/>
  <c r="J399" i="4"/>
  <c r="I399" i="4"/>
  <c r="H399" i="4"/>
  <c r="G399" i="4"/>
  <c r="F399" i="4"/>
  <c r="E399" i="4"/>
  <c r="D399" i="4"/>
  <c r="P392" i="4"/>
  <c r="O392" i="4"/>
  <c r="N392" i="4"/>
  <c r="M392" i="4"/>
  <c r="L392" i="4"/>
  <c r="K392" i="4"/>
  <c r="J392" i="4"/>
  <c r="I392" i="4"/>
  <c r="H392" i="4"/>
  <c r="G392" i="4"/>
  <c r="F392" i="4"/>
  <c r="E392" i="4"/>
  <c r="D392" i="4"/>
  <c r="P390" i="4"/>
  <c r="O390" i="4"/>
  <c r="N390" i="4"/>
  <c r="M390" i="4"/>
  <c r="L390" i="4"/>
  <c r="K390" i="4"/>
  <c r="J390" i="4"/>
  <c r="I390" i="4"/>
  <c r="H390" i="4"/>
  <c r="G390" i="4"/>
  <c r="F390" i="4"/>
  <c r="E390" i="4"/>
  <c r="D390" i="4"/>
  <c r="P386" i="4"/>
  <c r="O386" i="4"/>
  <c r="N386" i="4"/>
  <c r="M386" i="4"/>
  <c r="L386" i="4"/>
  <c r="K386" i="4"/>
  <c r="J386" i="4"/>
  <c r="I386" i="4"/>
  <c r="H386" i="4"/>
  <c r="G386" i="4"/>
  <c r="F386" i="4"/>
  <c r="E386" i="4"/>
  <c r="D386" i="4"/>
  <c r="O385" i="4"/>
  <c r="N385" i="4"/>
  <c r="M385" i="4"/>
  <c r="L385" i="4"/>
  <c r="K385" i="4"/>
  <c r="J385" i="4"/>
  <c r="I385" i="4"/>
  <c r="H385" i="4"/>
  <c r="G385" i="4"/>
  <c r="F385" i="4"/>
  <c r="E385" i="4"/>
  <c r="D385" i="4"/>
  <c r="D384" i="4"/>
  <c r="P382" i="4"/>
  <c r="O382" i="4"/>
  <c r="N382" i="4"/>
  <c r="M382" i="4"/>
  <c r="L382" i="4"/>
  <c r="K382" i="4"/>
  <c r="J382" i="4"/>
  <c r="I382" i="4"/>
  <c r="H382" i="4"/>
  <c r="G382" i="4"/>
  <c r="F382" i="4"/>
  <c r="E382" i="4"/>
  <c r="D382" i="4"/>
  <c r="A379" i="4"/>
  <c r="P373" i="4"/>
  <c r="O373" i="4"/>
  <c r="N373" i="4"/>
  <c r="M373" i="4"/>
  <c r="L373" i="4"/>
  <c r="K373" i="4"/>
  <c r="J373" i="4"/>
  <c r="I373" i="4"/>
  <c r="H373" i="4"/>
  <c r="G373" i="4"/>
  <c r="F373" i="4"/>
  <c r="E373" i="4"/>
  <c r="D373" i="4"/>
  <c r="P372" i="4"/>
  <c r="O372" i="4"/>
  <c r="N372" i="4"/>
  <c r="M372" i="4"/>
  <c r="L372" i="4"/>
  <c r="K372" i="4"/>
  <c r="J372" i="4"/>
  <c r="I372" i="4"/>
  <c r="H372" i="4"/>
  <c r="G372" i="4"/>
  <c r="F372" i="4"/>
  <c r="E372" i="4"/>
  <c r="D372" i="4"/>
  <c r="P371" i="4"/>
  <c r="O371" i="4"/>
  <c r="N371" i="4"/>
  <c r="M371" i="4"/>
  <c r="L371" i="4"/>
  <c r="K371" i="4"/>
  <c r="J371" i="4"/>
  <c r="I371" i="4"/>
  <c r="H371" i="4"/>
  <c r="G371" i="4"/>
  <c r="F371" i="4"/>
  <c r="E371" i="4"/>
  <c r="D371" i="4"/>
  <c r="P358" i="4"/>
  <c r="O358" i="4"/>
  <c r="N358" i="4"/>
  <c r="M358" i="4"/>
  <c r="L358" i="4"/>
  <c r="K358" i="4"/>
  <c r="J358" i="4"/>
  <c r="I358" i="4"/>
  <c r="H358" i="4"/>
  <c r="G358" i="4"/>
  <c r="F358" i="4"/>
  <c r="E358" i="4"/>
  <c r="D358" i="4"/>
  <c r="P356" i="4"/>
  <c r="O356" i="4"/>
  <c r="N356" i="4"/>
  <c r="M356" i="4"/>
  <c r="L356" i="4"/>
  <c r="K356" i="4"/>
  <c r="J356" i="4"/>
  <c r="I356" i="4"/>
  <c r="H356" i="4"/>
  <c r="G356" i="4"/>
  <c r="F356" i="4"/>
  <c r="E356" i="4"/>
  <c r="D356" i="4"/>
  <c r="G354" i="4"/>
  <c r="F354" i="4"/>
  <c r="E354" i="4"/>
  <c r="D354" i="4"/>
  <c r="G353" i="4"/>
  <c r="F353" i="4"/>
  <c r="E353" i="4"/>
  <c r="D353" i="4"/>
  <c r="G352" i="4"/>
  <c r="F352" i="4"/>
  <c r="E352" i="4"/>
  <c r="D352" i="4"/>
  <c r="G343" i="4"/>
  <c r="F343" i="4"/>
  <c r="E343" i="4"/>
  <c r="D343" i="4"/>
  <c r="G342" i="4"/>
  <c r="F342" i="4"/>
  <c r="E342" i="4"/>
  <c r="D342" i="4"/>
  <c r="G341" i="4"/>
  <c r="F341" i="4"/>
  <c r="E341" i="4"/>
  <c r="D341" i="4"/>
  <c r="P334" i="4"/>
  <c r="O334" i="4"/>
  <c r="N334" i="4"/>
  <c r="M334" i="4"/>
  <c r="L334" i="4"/>
  <c r="K334" i="4"/>
  <c r="J334" i="4"/>
  <c r="I334" i="4"/>
  <c r="H334" i="4"/>
  <c r="G334" i="4"/>
  <c r="F334" i="4"/>
  <c r="E334" i="4"/>
  <c r="D334" i="4"/>
  <c r="P327" i="4"/>
  <c r="O327" i="4"/>
  <c r="N327" i="4"/>
  <c r="M327" i="4"/>
  <c r="L327" i="4"/>
  <c r="K327" i="4"/>
  <c r="J327" i="4"/>
  <c r="I327" i="4"/>
  <c r="H327" i="4"/>
  <c r="G327" i="4"/>
  <c r="F327" i="4"/>
  <c r="E327" i="4"/>
  <c r="D327" i="4"/>
  <c r="P325" i="4"/>
  <c r="O325" i="4"/>
  <c r="N325" i="4"/>
  <c r="M325" i="4"/>
  <c r="L325" i="4"/>
  <c r="K325" i="4"/>
  <c r="J325" i="4"/>
  <c r="I325" i="4"/>
  <c r="H325" i="4"/>
  <c r="G325" i="4"/>
  <c r="F325" i="4"/>
  <c r="E325" i="4"/>
  <c r="D325" i="4"/>
  <c r="P322" i="4"/>
  <c r="O322" i="4"/>
  <c r="N322" i="4"/>
  <c r="M322" i="4"/>
  <c r="L322" i="4"/>
  <c r="K322" i="4"/>
  <c r="J322" i="4"/>
  <c r="I322" i="4"/>
  <c r="H322" i="4"/>
  <c r="G322" i="4"/>
  <c r="F322" i="4"/>
  <c r="E322" i="4"/>
  <c r="D322" i="4"/>
  <c r="O321" i="4"/>
  <c r="N321" i="4"/>
  <c r="M321" i="4"/>
  <c r="L321" i="4"/>
  <c r="K321" i="4"/>
  <c r="J321" i="4"/>
  <c r="I321" i="4"/>
  <c r="H321" i="4"/>
  <c r="G321" i="4"/>
  <c r="F321" i="4"/>
  <c r="E321" i="4"/>
  <c r="D321" i="4"/>
  <c r="D320" i="4"/>
  <c r="P318" i="4"/>
  <c r="O318" i="4"/>
  <c r="N318" i="4"/>
  <c r="M318" i="4"/>
  <c r="L318" i="4"/>
  <c r="K318" i="4"/>
  <c r="J318" i="4"/>
  <c r="I318" i="4"/>
  <c r="H318" i="4"/>
  <c r="G318" i="4"/>
  <c r="F318" i="4"/>
  <c r="E318" i="4"/>
  <c r="D318" i="4"/>
  <c r="A315" i="4"/>
  <c r="P309" i="4"/>
  <c r="O309" i="4"/>
  <c r="N309" i="4"/>
  <c r="M309" i="4"/>
  <c r="L309" i="4"/>
  <c r="K309" i="4"/>
  <c r="J309" i="4"/>
  <c r="I309" i="4"/>
  <c r="H309" i="4"/>
  <c r="G309" i="4"/>
  <c r="F309" i="4"/>
  <c r="E309" i="4"/>
  <c r="D309" i="4"/>
  <c r="P308" i="4"/>
  <c r="O308" i="4"/>
  <c r="N308" i="4"/>
  <c r="M308" i="4"/>
  <c r="L308" i="4"/>
  <c r="K308" i="4"/>
  <c r="J308" i="4"/>
  <c r="I308" i="4"/>
  <c r="H308" i="4"/>
  <c r="G308" i="4"/>
  <c r="F308" i="4"/>
  <c r="E308" i="4"/>
  <c r="D308" i="4"/>
  <c r="P307" i="4"/>
  <c r="O307" i="4"/>
  <c r="N307" i="4"/>
  <c r="M307" i="4"/>
  <c r="L307" i="4"/>
  <c r="K307" i="4"/>
  <c r="J307" i="4"/>
  <c r="I307" i="4"/>
  <c r="H307" i="4"/>
  <c r="G307" i="4"/>
  <c r="F307" i="4"/>
  <c r="E307" i="4"/>
  <c r="D307" i="4"/>
  <c r="P294" i="4"/>
  <c r="O294" i="4"/>
  <c r="N294" i="4"/>
  <c r="M294" i="4"/>
  <c r="L294" i="4"/>
  <c r="K294" i="4"/>
  <c r="J294" i="4"/>
  <c r="I294" i="4"/>
  <c r="H294" i="4"/>
  <c r="G294" i="4"/>
  <c r="F294" i="4"/>
  <c r="E294" i="4"/>
  <c r="D294" i="4"/>
  <c r="P292" i="4"/>
  <c r="O292" i="4"/>
  <c r="N292" i="4"/>
  <c r="M292" i="4"/>
  <c r="L292" i="4"/>
  <c r="K292" i="4"/>
  <c r="J292" i="4"/>
  <c r="I292" i="4"/>
  <c r="H292" i="4"/>
  <c r="G292" i="4"/>
  <c r="F292" i="4"/>
  <c r="E292" i="4"/>
  <c r="D292" i="4"/>
  <c r="G290" i="4"/>
  <c r="F290" i="4"/>
  <c r="E290" i="4"/>
  <c r="D290" i="4"/>
  <c r="G289" i="4"/>
  <c r="F289" i="4"/>
  <c r="E289" i="4"/>
  <c r="D289" i="4"/>
  <c r="G288" i="4"/>
  <c r="F288" i="4"/>
  <c r="E288" i="4"/>
  <c r="D288" i="4"/>
  <c r="G279" i="4"/>
  <c r="F279" i="4"/>
  <c r="E279" i="4"/>
  <c r="D279" i="4"/>
  <c r="G278" i="4"/>
  <c r="F278" i="4"/>
  <c r="E278" i="4"/>
  <c r="D278" i="4"/>
  <c r="G277" i="4"/>
  <c r="F277" i="4"/>
  <c r="E277" i="4"/>
  <c r="D277" i="4"/>
  <c r="P270" i="4"/>
  <c r="O270" i="4"/>
  <c r="N270" i="4"/>
  <c r="M270" i="4"/>
  <c r="L270" i="4"/>
  <c r="K270" i="4"/>
  <c r="J270" i="4"/>
  <c r="I270" i="4"/>
  <c r="H270" i="4"/>
  <c r="G270" i="4"/>
  <c r="F270" i="4"/>
  <c r="E270" i="4"/>
  <c r="D270" i="4"/>
  <c r="P263" i="4"/>
  <c r="O263" i="4"/>
  <c r="N263" i="4"/>
  <c r="M263" i="4"/>
  <c r="L263" i="4"/>
  <c r="K263" i="4"/>
  <c r="J263" i="4"/>
  <c r="I263" i="4"/>
  <c r="H263" i="4"/>
  <c r="G263" i="4"/>
  <c r="F263" i="4"/>
  <c r="E263" i="4"/>
  <c r="D263" i="4"/>
  <c r="P261" i="4"/>
  <c r="O261" i="4"/>
  <c r="N261" i="4"/>
  <c r="M261" i="4"/>
  <c r="L261" i="4"/>
  <c r="K261" i="4"/>
  <c r="J261" i="4"/>
  <c r="I261" i="4"/>
  <c r="H261" i="4"/>
  <c r="G261" i="4"/>
  <c r="F261" i="4"/>
  <c r="E261" i="4"/>
  <c r="D261" i="4"/>
  <c r="P258" i="4"/>
  <c r="O258" i="4"/>
  <c r="N258" i="4"/>
  <c r="M258" i="4"/>
  <c r="L258" i="4"/>
  <c r="K258" i="4"/>
  <c r="J258" i="4"/>
  <c r="I258" i="4"/>
  <c r="H258" i="4"/>
  <c r="G258" i="4"/>
  <c r="F258" i="4"/>
  <c r="E258" i="4"/>
  <c r="D258" i="4"/>
  <c r="O257" i="4"/>
  <c r="N257" i="4"/>
  <c r="M257" i="4"/>
  <c r="L257" i="4"/>
  <c r="K257" i="4"/>
  <c r="J257" i="4"/>
  <c r="I257" i="4"/>
  <c r="H257" i="4"/>
  <c r="G257" i="4"/>
  <c r="F257" i="4"/>
  <c r="E257" i="4"/>
  <c r="D257" i="4"/>
  <c r="D256" i="4"/>
  <c r="P254" i="4"/>
  <c r="O254" i="4"/>
  <c r="N254" i="4"/>
  <c r="M254" i="4"/>
  <c r="L254" i="4"/>
  <c r="K254" i="4"/>
  <c r="J254" i="4"/>
  <c r="I254" i="4"/>
  <c r="H254" i="4"/>
  <c r="G254" i="4"/>
  <c r="F254" i="4"/>
  <c r="E254" i="4"/>
  <c r="D254" i="4"/>
  <c r="A251" i="4"/>
  <c r="P245" i="4"/>
  <c r="O245" i="4"/>
  <c r="N245" i="4"/>
  <c r="M245" i="4"/>
  <c r="L245" i="4"/>
  <c r="K245" i="4"/>
  <c r="J245" i="4"/>
  <c r="I245" i="4"/>
  <c r="H245" i="4"/>
  <c r="G245" i="4"/>
  <c r="F245" i="4"/>
  <c r="E245" i="4"/>
  <c r="D245" i="4"/>
  <c r="P244" i="4"/>
  <c r="O244" i="4"/>
  <c r="N244" i="4"/>
  <c r="M244" i="4"/>
  <c r="L244" i="4"/>
  <c r="K244" i="4"/>
  <c r="J244" i="4"/>
  <c r="I244" i="4"/>
  <c r="H244" i="4"/>
  <c r="G244" i="4"/>
  <c r="F244" i="4"/>
  <c r="E244" i="4"/>
  <c r="D244" i="4"/>
  <c r="P243" i="4"/>
  <c r="O243" i="4"/>
  <c r="N243" i="4"/>
  <c r="M243" i="4"/>
  <c r="L243" i="4"/>
  <c r="K243" i="4"/>
  <c r="J243" i="4"/>
  <c r="I243" i="4"/>
  <c r="H243" i="4"/>
  <c r="G243" i="4"/>
  <c r="F243" i="4"/>
  <c r="E243" i="4"/>
  <c r="D243" i="4"/>
  <c r="P230" i="4"/>
  <c r="O230" i="4"/>
  <c r="N230" i="4"/>
  <c r="M230" i="4"/>
  <c r="L230" i="4"/>
  <c r="K230" i="4"/>
  <c r="J230" i="4"/>
  <c r="I230" i="4"/>
  <c r="H230" i="4"/>
  <c r="G230" i="4"/>
  <c r="F230" i="4"/>
  <c r="E230" i="4"/>
  <c r="D230" i="4"/>
  <c r="P228" i="4"/>
  <c r="O228" i="4"/>
  <c r="N228" i="4"/>
  <c r="M228" i="4"/>
  <c r="L228" i="4"/>
  <c r="K228" i="4"/>
  <c r="J228" i="4"/>
  <c r="I228" i="4"/>
  <c r="H228" i="4"/>
  <c r="G228" i="4"/>
  <c r="F228" i="4"/>
  <c r="E228" i="4"/>
  <c r="D228" i="4"/>
  <c r="G226" i="4"/>
  <c r="F226" i="4"/>
  <c r="E226" i="4"/>
  <c r="D226" i="4"/>
  <c r="P221" i="4"/>
  <c r="O221" i="4"/>
  <c r="N221" i="4"/>
  <c r="M221" i="4"/>
  <c r="L221" i="4"/>
  <c r="K221" i="4"/>
  <c r="J221" i="4"/>
  <c r="I221" i="4"/>
  <c r="H221" i="4"/>
  <c r="G221" i="4"/>
  <c r="F221" i="4"/>
  <c r="E221" i="4"/>
  <c r="D221" i="4"/>
  <c r="P218" i="4"/>
  <c r="O218" i="4"/>
  <c r="N218" i="4"/>
  <c r="M218" i="4"/>
  <c r="L218" i="4"/>
  <c r="K218" i="4"/>
  <c r="J218" i="4"/>
  <c r="I218" i="4"/>
  <c r="H218" i="4"/>
  <c r="G218" i="4"/>
  <c r="F218" i="4"/>
  <c r="E218" i="4"/>
  <c r="D218" i="4"/>
  <c r="P211" i="4"/>
  <c r="O211" i="4"/>
  <c r="N211" i="4"/>
  <c r="M211" i="4"/>
  <c r="L211" i="4"/>
  <c r="K211" i="4"/>
  <c r="J211" i="4"/>
  <c r="I211" i="4"/>
  <c r="H211" i="4"/>
  <c r="G211" i="4"/>
  <c r="F211" i="4"/>
  <c r="E211" i="4"/>
  <c r="D211" i="4"/>
  <c r="P209" i="4"/>
  <c r="O209" i="4"/>
  <c r="N209" i="4"/>
  <c r="M209" i="4"/>
  <c r="L209" i="4"/>
  <c r="K209" i="4"/>
  <c r="J209" i="4"/>
  <c r="I209" i="4"/>
  <c r="H209" i="4"/>
  <c r="G209" i="4"/>
  <c r="F209" i="4"/>
  <c r="E209" i="4"/>
  <c r="D209" i="4"/>
  <c r="P206" i="4"/>
  <c r="O206" i="4"/>
  <c r="N206" i="4"/>
  <c r="M206" i="4"/>
  <c r="L206" i="4"/>
  <c r="K206" i="4"/>
  <c r="J206" i="4"/>
  <c r="I206" i="4"/>
  <c r="H206" i="4"/>
  <c r="G206" i="4"/>
  <c r="F206" i="4"/>
  <c r="E206" i="4"/>
  <c r="D206" i="4"/>
  <c r="O205" i="4"/>
  <c r="N205" i="4"/>
  <c r="M205" i="4"/>
  <c r="L205" i="4"/>
  <c r="K205" i="4"/>
  <c r="J205" i="4"/>
  <c r="I205" i="4"/>
  <c r="H205" i="4"/>
  <c r="G205" i="4"/>
  <c r="F205" i="4"/>
  <c r="E205" i="4"/>
  <c r="D205" i="4"/>
  <c r="D204" i="4"/>
  <c r="P202" i="4"/>
  <c r="O202" i="4"/>
  <c r="N202" i="4"/>
  <c r="M202" i="4"/>
  <c r="L202" i="4"/>
  <c r="K202" i="4"/>
  <c r="J202" i="4"/>
  <c r="I202" i="4"/>
  <c r="H202" i="4"/>
  <c r="G202" i="4"/>
  <c r="F202" i="4"/>
  <c r="E202" i="4"/>
  <c r="D202" i="4"/>
  <c r="A199" i="4"/>
  <c r="P178" i="4"/>
  <c r="O178" i="4"/>
  <c r="N178" i="4"/>
  <c r="M178" i="4"/>
  <c r="L178" i="4"/>
  <c r="K178" i="4"/>
  <c r="J178" i="4"/>
  <c r="I178" i="4"/>
  <c r="H178" i="4"/>
  <c r="G178" i="4"/>
  <c r="F178" i="4"/>
  <c r="E178" i="4"/>
  <c r="D178" i="4"/>
  <c r="P176" i="4"/>
  <c r="O176" i="4"/>
  <c r="N176" i="4"/>
  <c r="M176" i="4"/>
  <c r="L176" i="4"/>
  <c r="K176" i="4"/>
  <c r="J176" i="4"/>
  <c r="I176" i="4"/>
  <c r="H176" i="4"/>
  <c r="G176" i="4"/>
  <c r="F176" i="4"/>
  <c r="E176" i="4"/>
  <c r="D176" i="4"/>
  <c r="P165" i="4"/>
  <c r="O165" i="4"/>
  <c r="N165" i="4"/>
  <c r="M165" i="4"/>
  <c r="L165" i="4"/>
  <c r="K165" i="4"/>
  <c r="J165" i="4"/>
  <c r="I165" i="4"/>
  <c r="H165" i="4"/>
  <c r="G165" i="4"/>
  <c r="F165" i="4"/>
  <c r="E165" i="4"/>
  <c r="D165" i="4"/>
  <c r="P162" i="4"/>
  <c r="O162" i="4"/>
  <c r="N162" i="4"/>
  <c r="M162" i="4"/>
  <c r="L162" i="4"/>
  <c r="K162" i="4"/>
  <c r="J162" i="4"/>
  <c r="I162" i="4"/>
  <c r="H162" i="4"/>
  <c r="G162" i="4"/>
  <c r="F162" i="4"/>
  <c r="E162" i="4"/>
  <c r="D162" i="4"/>
  <c r="P160" i="4"/>
  <c r="O160" i="4"/>
  <c r="N160" i="4"/>
  <c r="M160" i="4"/>
  <c r="L160" i="4"/>
  <c r="K160" i="4"/>
  <c r="J160" i="4"/>
  <c r="I160" i="4"/>
  <c r="H160" i="4"/>
  <c r="G160" i="4"/>
  <c r="F160" i="4"/>
  <c r="E160" i="4"/>
  <c r="D160" i="4"/>
  <c r="A157" i="4"/>
  <c r="P151" i="4"/>
  <c r="P193" i="4" s="1"/>
  <c r="O151" i="4"/>
  <c r="O193" i="4" s="1"/>
  <c r="N151" i="4"/>
  <c r="N193" i="4" s="1"/>
  <c r="M151" i="4"/>
  <c r="M193" i="4" s="1"/>
  <c r="L151" i="4"/>
  <c r="L193" i="4" s="1"/>
  <c r="K151" i="4"/>
  <c r="K193" i="4" s="1"/>
  <c r="J151" i="4"/>
  <c r="J193" i="4" s="1"/>
  <c r="I151" i="4"/>
  <c r="I193" i="4" s="1"/>
  <c r="H151" i="4"/>
  <c r="H193" i="4" s="1"/>
  <c r="G151" i="4"/>
  <c r="G193" i="4" s="1"/>
  <c r="F151" i="4"/>
  <c r="F193" i="4" s="1"/>
  <c r="E151" i="4"/>
  <c r="E193" i="4" s="1"/>
  <c r="D151" i="4"/>
  <c r="D193" i="4" s="1"/>
  <c r="P150" i="4"/>
  <c r="P192" i="4" s="1"/>
  <c r="O150" i="4"/>
  <c r="O192" i="4" s="1"/>
  <c r="N150" i="4"/>
  <c r="N192" i="4" s="1"/>
  <c r="M150" i="4"/>
  <c r="M192" i="4" s="1"/>
  <c r="L150" i="4"/>
  <c r="L192" i="4" s="1"/>
  <c r="K150" i="4"/>
  <c r="K192" i="4" s="1"/>
  <c r="J150" i="4"/>
  <c r="J192" i="4" s="1"/>
  <c r="I150" i="4"/>
  <c r="I192" i="4" s="1"/>
  <c r="H150" i="4"/>
  <c r="H192" i="4" s="1"/>
  <c r="G150" i="4"/>
  <c r="G192" i="4" s="1"/>
  <c r="F150" i="4"/>
  <c r="F192" i="4" s="1"/>
  <c r="E150" i="4"/>
  <c r="E192" i="4" s="1"/>
  <c r="D150" i="4"/>
  <c r="D192" i="4" s="1"/>
  <c r="P149" i="4"/>
  <c r="P191" i="4" s="1"/>
  <c r="O149" i="4"/>
  <c r="O191" i="4" s="1"/>
  <c r="N149" i="4"/>
  <c r="N191" i="4" s="1"/>
  <c r="M149" i="4"/>
  <c r="M191" i="4" s="1"/>
  <c r="L149" i="4"/>
  <c r="L191" i="4" s="1"/>
  <c r="K149" i="4"/>
  <c r="K191" i="4" s="1"/>
  <c r="J149" i="4"/>
  <c r="J191" i="4" s="1"/>
  <c r="I149" i="4"/>
  <c r="I191" i="4" s="1"/>
  <c r="H149" i="4"/>
  <c r="H191" i="4" s="1"/>
  <c r="G149" i="4"/>
  <c r="G191" i="4" s="1"/>
  <c r="F149" i="4"/>
  <c r="F191" i="4" s="1"/>
  <c r="E149" i="4"/>
  <c r="E191" i="4" s="1"/>
  <c r="D149" i="4"/>
  <c r="D191" i="4" s="1"/>
  <c r="P136" i="4"/>
  <c r="O136" i="4"/>
  <c r="N136" i="4"/>
  <c r="M136" i="4"/>
  <c r="L136" i="4"/>
  <c r="K136" i="4"/>
  <c r="J136" i="4"/>
  <c r="I136" i="4"/>
  <c r="H136" i="4"/>
  <c r="G136" i="4"/>
  <c r="F136" i="4"/>
  <c r="E136" i="4"/>
  <c r="D136" i="4"/>
  <c r="P134" i="4"/>
  <c r="O134" i="4"/>
  <c r="N134" i="4"/>
  <c r="M134" i="4"/>
  <c r="L134" i="4"/>
  <c r="K134" i="4"/>
  <c r="J134" i="4"/>
  <c r="I134" i="4"/>
  <c r="H134" i="4"/>
  <c r="G134" i="4"/>
  <c r="F134" i="4"/>
  <c r="E134" i="4"/>
  <c r="D134" i="4"/>
  <c r="P119" i="4"/>
  <c r="O119" i="4"/>
  <c r="N119" i="4"/>
  <c r="M119" i="4"/>
  <c r="L119" i="4"/>
  <c r="K119" i="4"/>
  <c r="J119" i="4"/>
  <c r="I119" i="4"/>
  <c r="H119" i="4"/>
  <c r="G119" i="4"/>
  <c r="F119" i="4"/>
  <c r="E119" i="4"/>
  <c r="D119" i="4"/>
  <c r="P117" i="4"/>
  <c r="O117" i="4"/>
  <c r="N117" i="4"/>
  <c r="M117" i="4"/>
  <c r="L117" i="4"/>
  <c r="K117" i="4"/>
  <c r="J117" i="4"/>
  <c r="I117" i="4"/>
  <c r="H117" i="4"/>
  <c r="G117" i="4"/>
  <c r="F117" i="4"/>
  <c r="E117" i="4"/>
  <c r="D117" i="4"/>
  <c r="P116" i="4"/>
  <c r="O116" i="4"/>
  <c r="N116" i="4"/>
  <c r="M116" i="4"/>
  <c r="L116" i="4"/>
  <c r="K116" i="4"/>
  <c r="J116" i="4"/>
  <c r="I116" i="4"/>
  <c r="H116" i="4"/>
  <c r="G116" i="4"/>
  <c r="F116" i="4"/>
  <c r="E116" i="4"/>
  <c r="D116" i="4"/>
  <c r="P114" i="4"/>
  <c r="O114" i="4"/>
  <c r="N114" i="4"/>
  <c r="M114" i="4"/>
  <c r="L114" i="4"/>
  <c r="K114" i="4"/>
  <c r="J114" i="4"/>
  <c r="I114" i="4"/>
  <c r="H114" i="4"/>
  <c r="G114" i="4"/>
  <c r="F114" i="4"/>
  <c r="E114" i="4"/>
  <c r="D114" i="4"/>
  <c r="A111" i="4"/>
  <c r="P107" i="4"/>
  <c r="P153" i="4" s="1"/>
  <c r="P195" i="4" s="1"/>
  <c r="P247" i="4" s="1"/>
  <c r="P311" i="4" s="1"/>
  <c r="P375" i="4" s="1"/>
  <c r="P440" i="4" s="1"/>
  <c r="P490" i="4" s="1"/>
  <c r="O107" i="4"/>
  <c r="O153" i="4" s="1"/>
  <c r="O195" i="4" s="1"/>
  <c r="O247" i="4" s="1"/>
  <c r="O311" i="4" s="1"/>
  <c r="O375" i="4" s="1"/>
  <c r="O440" i="4" s="1"/>
  <c r="O490" i="4" s="1"/>
  <c r="N107" i="4"/>
  <c r="N153" i="4" s="1"/>
  <c r="N195" i="4" s="1"/>
  <c r="N247" i="4" s="1"/>
  <c r="N311" i="4" s="1"/>
  <c r="N375" i="4" s="1"/>
  <c r="N440" i="4" s="1"/>
  <c r="N490" i="4" s="1"/>
  <c r="M107" i="4"/>
  <c r="M153" i="4" s="1"/>
  <c r="M195" i="4" s="1"/>
  <c r="M247" i="4" s="1"/>
  <c r="M311" i="4" s="1"/>
  <c r="M375" i="4" s="1"/>
  <c r="M440" i="4" s="1"/>
  <c r="M490" i="4" s="1"/>
  <c r="L107" i="4"/>
  <c r="L153" i="4" s="1"/>
  <c r="L195" i="4" s="1"/>
  <c r="L247" i="4" s="1"/>
  <c r="L311" i="4" s="1"/>
  <c r="L375" i="4" s="1"/>
  <c r="L440" i="4" s="1"/>
  <c r="L490" i="4" s="1"/>
  <c r="K107" i="4"/>
  <c r="K153" i="4" s="1"/>
  <c r="K195" i="4" s="1"/>
  <c r="K247" i="4" s="1"/>
  <c r="K311" i="4" s="1"/>
  <c r="K375" i="4" s="1"/>
  <c r="K440" i="4" s="1"/>
  <c r="K490" i="4" s="1"/>
  <c r="J107" i="4"/>
  <c r="J153" i="4" s="1"/>
  <c r="J195" i="4" s="1"/>
  <c r="J247" i="4" s="1"/>
  <c r="J311" i="4" s="1"/>
  <c r="J375" i="4" s="1"/>
  <c r="J440" i="4" s="1"/>
  <c r="J490" i="4" s="1"/>
  <c r="I107" i="4"/>
  <c r="I153" i="4" s="1"/>
  <c r="I195" i="4" s="1"/>
  <c r="I247" i="4" s="1"/>
  <c r="I311" i="4" s="1"/>
  <c r="I375" i="4" s="1"/>
  <c r="I440" i="4" s="1"/>
  <c r="I490" i="4" s="1"/>
  <c r="H107" i="4"/>
  <c r="H153" i="4" s="1"/>
  <c r="H195" i="4" s="1"/>
  <c r="H247" i="4" s="1"/>
  <c r="H311" i="4" s="1"/>
  <c r="H375" i="4" s="1"/>
  <c r="H440" i="4" s="1"/>
  <c r="H490" i="4" s="1"/>
  <c r="G107" i="4"/>
  <c r="G153" i="4" s="1"/>
  <c r="G195" i="4" s="1"/>
  <c r="G247" i="4" s="1"/>
  <c r="G311" i="4" s="1"/>
  <c r="G375" i="4" s="1"/>
  <c r="G440" i="4" s="1"/>
  <c r="G490" i="4" s="1"/>
  <c r="F107" i="4"/>
  <c r="F153" i="4" s="1"/>
  <c r="F195" i="4" s="1"/>
  <c r="F247" i="4" s="1"/>
  <c r="F311" i="4" s="1"/>
  <c r="F375" i="4" s="1"/>
  <c r="F440" i="4" s="1"/>
  <c r="F490" i="4" s="1"/>
  <c r="E107" i="4"/>
  <c r="E153" i="4" s="1"/>
  <c r="E195" i="4" s="1"/>
  <c r="E247" i="4" s="1"/>
  <c r="E311" i="4" s="1"/>
  <c r="E375" i="4" s="1"/>
  <c r="E440" i="4" s="1"/>
  <c r="E490" i="4" s="1"/>
  <c r="D107" i="4"/>
  <c r="D153" i="4" s="1"/>
  <c r="D195" i="4" s="1"/>
  <c r="D247" i="4" s="1"/>
  <c r="D311" i="4" s="1"/>
  <c r="D375" i="4" s="1"/>
  <c r="D440" i="4" s="1"/>
  <c r="D490" i="4" s="1"/>
  <c r="P106" i="4"/>
  <c r="P152" i="4" s="1"/>
  <c r="P194" i="4" s="1"/>
  <c r="P246" i="4" s="1"/>
  <c r="P310" i="4" s="1"/>
  <c r="P374" i="4" s="1"/>
  <c r="P439" i="4" s="1"/>
  <c r="P489" i="4" s="1"/>
  <c r="O106" i="4"/>
  <c r="O152" i="4" s="1"/>
  <c r="O194" i="4" s="1"/>
  <c r="O246" i="4" s="1"/>
  <c r="O310" i="4" s="1"/>
  <c r="O374" i="4" s="1"/>
  <c r="O439" i="4" s="1"/>
  <c r="O489" i="4" s="1"/>
  <c r="N106" i="4"/>
  <c r="N152" i="4" s="1"/>
  <c r="N194" i="4" s="1"/>
  <c r="N246" i="4" s="1"/>
  <c r="N310" i="4" s="1"/>
  <c r="N374" i="4" s="1"/>
  <c r="N439" i="4" s="1"/>
  <c r="N489" i="4" s="1"/>
  <c r="M106" i="4"/>
  <c r="M152" i="4" s="1"/>
  <c r="M194" i="4" s="1"/>
  <c r="M246" i="4" s="1"/>
  <c r="M310" i="4" s="1"/>
  <c r="M374" i="4" s="1"/>
  <c r="M439" i="4" s="1"/>
  <c r="M489" i="4" s="1"/>
  <c r="L106" i="4"/>
  <c r="L152" i="4" s="1"/>
  <c r="L194" i="4" s="1"/>
  <c r="L246" i="4" s="1"/>
  <c r="L310" i="4" s="1"/>
  <c r="L374" i="4" s="1"/>
  <c r="L439" i="4" s="1"/>
  <c r="L489" i="4" s="1"/>
  <c r="K106" i="4"/>
  <c r="K152" i="4" s="1"/>
  <c r="K194" i="4" s="1"/>
  <c r="K246" i="4" s="1"/>
  <c r="K310" i="4" s="1"/>
  <c r="K374" i="4" s="1"/>
  <c r="K439" i="4" s="1"/>
  <c r="K489" i="4" s="1"/>
  <c r="J106" i="4"/>
  <c r="J152" i="4" s="1"/>
  <c r="J194" i="4" s="1"/>
  <c r="J246" i="4" s="1"/>
  <c r="J310" i="4" s="1"/>
  <c r="J374" i="4" s="1"/>
  <c r="J439" i="4" s="1"/>
  <c r="J489" i="4" s="1"/>
  <c r="I106" i="4"/>
  <c r="I152" i="4" s="1"/>
  <c r="I194" i="4" s="1"/>
  <c r="I246" i="4" s="1"/>
  <c r="I310" i="4" s="1"/>
  <c r="I374" i="4" s="1"/>
  <c r="I439" i="4" s="1"/>
  <c r="I489" i="4" s="1"/>
  <c r="H106" i="4"/>
  <c r="H152" i="4" s="1"/>
  <c r="H194" i="4" s="1"/>
  <c r="H246" i="4" s="1"/>
  <c r="H310" i="4" s="1"/>
  <c r="H374" i="4" s="1"/>
  <c r="H439" i="4" s="1"/>
  <c r="H489" i="4" s="1"/>
  <c r="G106" i="4"/>
  <c r="G152" i="4" s="1"/>
  <c r="G194" i="4" s="1"/>
  <c r="G246" i="4" s="1"/>
  <c r="G310" i="4" s="1"/>
  <c r="G374" i="4" s="1"/>
  <c r="G439" i="4" s="1"/>
  <c r="G489" i="4" s="1"/>
  <c r="F106" i="4"/>
  <c r="F152" i="4" s="1"/>
  <c r="F194" i="4" s="1"/>
  <c r="F246" i="4" s="1"/>
  <c r="F310" i="4" s="1"/>
  <c r="F374" i="4" s="1"/>
  <c r="F439" i="4" s="1"/>
  <c r="F489" i="4" s="1"/>
  <c r="E106" i="4"/>
  <c r="E152" i="4" s="1"/>
  <c r="E194" i="4" s="1"/>
  <c r="E246" i="4" s="1"/>
  <c r="E310" i="4" s="1"/>
  <c r="E374" i="4" s="1"/>
  <c r="E439" i="4" s="1"/>
  <c r="E489" i="4" s="1"/>
  <c r="D106" i="4"/>
  <c r="D152" i="4" s="1"/>
  <c r="D194" i="4" s="1"/>
  <c r="D246" i="4" s="1"/>
  <c r="D310" i="4" s="1"/>
  <c r="D374" i="4" s="1"/>
  <c r="D439" i="4" s="1"/>
  <c r="D489" i="4" s="1"/>
  <c r="P105" i="4"/>
  <c r="O105" i="4"/>
  <c r="N105" i="4"/>
  <c r="M105" i="4"/>
  <c r="L105" i="4"/>
  <c r="K105" i="4"/>
  <c r="J105" i="4"/>
  <c r="I105" i="4"/>
  <c r="H105" i="4"/>
  <c r="G105" i="4"/>
  <c r="F105" i="4"/>
  <c r="E105" i="4"/>
  <c r="D105" i="4"/>
  <c r="P104" i="4"/>
  <c r="O104" i="4"/>
  <c r="N104" i="4"/>
  <c r="M104" i="4"/>
  <c r="L104" i="4"/>
  <c r="K104" i="4"/>
  <c r="J104" i="4"/>
  <c r="I104" i="4"/>
  <c r="H104" i="4"/>
  <c r="G104" i="4"/>
  <c r="F104" i="4"/>
  <c r="E104" i="4"/>
  <c r="D104" i="4"/>
  <c r="P103" i="4"/>
  <c r="O103" i="4"/>
  <c r="N103" i="4"/>
  <c r="M103" i="4"/>
  <c r="L103" i="4"/>
  <c r="K103" i="4"/>
  <c r="J103" i="4"/>
  <c r="I103" i="4"/>
  <c r="H103" i="4"/>
  <c r="G103" i="4"/>
  <c r="F103" i="4"/>
  <c r="E103" i="4"/>
  <c r="D103" i="4"/>
  <c r="P101" i="4"/>
  <c r="P147" i="4" s="1"/>
  <c r="P189" i="4" s="1"/>
  <c r="P241" i="4" s="1"/>
  <c r="P305" i="4" s="1"/>
  <c r="P369" i="4" s="1"/>
  <c r="P434" i="4" s="1"/>
  <c r="P484" i="4" s="1"/>
  <c r="O101" i="4"/>
  <c r="O147" i="4" s="1"/>
  <c r="O189" i="4" s="1"/>
  <c r="O241" i="4" s="1"/>
  <c r="O305" i="4" s="1"/>
  <c r="O369" i="4" s="1"/>
  <c r="O434" i="4" s="1"/>
  <c r="O484" i="4" s="1"/>
  <c r="N101" i="4"/>
  <c r="N147" i="4" s="1"/>
  <c r="N189" i="4" s="1"/>
  <c r="N241" i="4" s="1"/>
  <c r="N305" i="4" s="1"/>
  <c r="N369" i="4" s="1"/>
  <c r="N434" i="4" s="1"/>
  <c r="N484" i="4" s="1"/>
  <c r="M101" i="4"/>
  <c r="M147" i="4" s="1"/>
  <c r="M189" i="4" s="1"/>
  <c r="M241" i="4" s="1"/>
  <c r="M305" i="4" s="1"/>
  <c r="M369" i="4" s="1"/>
  <c r="M434" i="4" s="1"/>
  <c r="M484" i="4" s="1"/>
  <c r="L101" i="4"/>
  <c r="L147" i="4" s="1"/>
  <c r="L189" i="4" s="1"/>
  <c r="L241" i="4" s="1"/>
  <c r="L305" i="4" s="1"/>
  <c r="L369" i="4" s="1"/>
  <c r="L434" i="4" s="1"/>
  <c r="L484" i="4" s="1"/>
  <c r="K101" i="4"/>
  <c r="K147" i="4" s="1"/>
  <c r="K189" i="4" s="1"/>
  <c r="K241" i="4" s="1"/>
  <c r="K305" i="4" s="1"/>
  <c r="K369" i="4" s="1"/>
  <c r="K434" i="4" s="1"/>
  <c r="K484" i="4" s="1"/>
  <c r="J101" i="4"/>
  <c r="J147" i="4" s="1"/>
  <c r="J189" i="4" s="1"/>
  <c r="J241" i="4" s="1"/>
  <c r="J305" i="4" s="1"/>
  <c r="J369" i="4" s="1"/>
  <c r="J434" i="4" s="1"/>
  <c r="J484" i="4" s="1"/>
  <c r="I101" i="4"/>
  <c r="I147" i="4" s="1"/>
  <c r="I189" i="4" s="1"/>
  <c r="I241" i="4" s="1"/>
  <c r="I305" i="4" s="1"/>
  <c r="I369" i="4" s="1"/>
  <c r="I434" i="4" s="1"/>
  <c r="I484" i="4" s="1"/>
  <c r="H101" i="4"/>
  <c r="H147" i="4" s="1"/>
  <c r="H189" i="4" s="1"/>
  <c r="H241" i="4" s="1"/>
  <c r="H305" i="4" s="1"/>
  <c r="H369" i="4" s="1"/>
  <c r="H434" i="4" s="1"/>
  <c r="H484" i="4" s="1"/>
  <c r="G101" i="4"/>
  <c r="G147" i="4" s="1"/>
  <c r="G189" i="4" s="1"/>
  <c r="G241" i="4" s="1"/>
  <c r="G305" i="4" s="1"/>
  <c r="G369" i="4" s="1"/>
  <c r="G434" i="4" s="1"/>
  <c r="G484" i="4" s="1"/>
  <c r="F101" i="4"/>
  <c r="F147" i="4" s="1"/>
  <c r="F189" i="4" s="1"/>
  <c r="F241" i="4" s="1"/>
  <c r="F305" i="4" s="1"/>
  <c r="F369" i="4" s="1"/>
  <c r="F434" i="4" s="1"/>
  <c r="F484" i="4" s="1"/>
  <c r="E101" i="4"/>
  <c r="E147" i="4" s="1"/>
  <c r="E189" i="4" s="1"/>
  <c r="E241" i="4" s="1"/>
  <c r="E305" i="4" s="1"/>
  <c r="E369" i="4" s="1"/>
  <c r="E434" i="4" s="1"/>
  <c r="E484" i="4" s="1"/>
  <c r="D101" i="4"/>
  <c r="D147" i="4" s="1"/>
  <c r="D189" i="4" s="1"/>
  <c r="D241" i="4" s="1"/>
  <c r="D305" i="4" s="1"/>
  <c r="D369" i="4" s="1"/>
  <c r="D434" i="4" s="1"/>
  <c r="D484" i="4" s="1"/>
  <c r="P100" i="4"/>
  <c r="P146" i="4" s="1"/>
  <c r="P188" i="4" s="1"/>
  <c r="P240" i="4" s="1"/>
  <c r="P304" i="4" s="1"/>
  <c r="P368" i="4" s="1"/>
  <c r="P433" i="4" s="1"/>
  <c r="P483" i="4" s="1"/>
  <c r="O100" i="4"/>
  <c r="O146" i="4" s="1"/>
  <c r="O188" i="4" s="1"/>
  <c r="O240" i="4" s="1"/>
  <c r="O304" i="4" s="1"/>
  <c r="O368" i="4" s="1"/>
  <c r="O433" i="4" s="1"/>
  <c r="O483" i="4" s="1"/>
  <c r="N100" i="4"/>
  <c r="N146" i="4" s="1"/>
  <c r="N188" i="4" s="1"/>
  <c r="N240" i="4" s="1"/>
  <c r="N304" i="4" s="1"/>
  <c r="N368" i="4" s="1"/>
  <c r="N433" i="4" s="1"/>
  <c r="N483" i="4" s="1"/>
  <c r="M100" i="4"/>
  <c r="M146" i="4" s="1"/>
  <c r="M188" i="4" s="1"/>
  <c r="M240" i="4" s="1"/>
  <c r="M304" i="4" s="1"/>
  <c r="M368" i="4" s="1"/>
  <c r="M433" i="4" s="1"/>
  <c r="M483" i="4" s="1"/>
  <c r="L100" i="4"/>
  <c r="L146" i="4" s="1"/>
  <c r="L188" i="4" s="1"/>
  <c r="L240" i="4" s="1"/>
  <c r="L304" i="4" s="1"/>
  <c r="L368" i="4" s="1"/>
  <c r="L433" i="4" s="1"/>
  <c r="L483" i="4" s="1"/>
  <c r="K100" i="4"/>
  <c r="K146" i="4" s="1"/>
  <c r="K188" i="4" s="1"/>
  <c r="K240" i="4" s="1"/>
  <c r="K304" i="4" s="1"/>
  <c r="K368" i="4" s="1"/>
  <c r="K433" i="4" s="1"/>
  <c r="K483" i="4" s="1"/>
  <c r="J100" i="4"/>
  <c r="J146" i="4" s="1"/>
  <c r="J188" i="4" s="1"/>
  <c r="J240" i="4" s="1"/>
  <c r="J304" i="4" s="1"/>
  <c r="J368" i="4" s="1"/>
  <c r="J433" i="4" s="1"/>
  <c r="J483" i="4" s="1"/>
  <c r="I100" i="4"/>
  <c r="I146" i="4" s="1"/>
  <c r="I188" i="4" s="1"/>
  <c r="I240" i="4" s="1"/>
  <c r="I304" i="4" s="1"/>
  <c r="I368" i="4" s="1"/>
  <c r="I433" i="4" s="1"/>
  <c r="I483" i="4" s="1"/>
  <c r="H100" i="4"/>
  <c r="H146" i="4" s="1"/>
  <c r="H188" i="4" s="1"/>
  <c r="H240" i="4" s="1"/>
  <c r="H304" i="4" s="1"/>
  <c r="H368" i="4" s="1"/>
  <c r="H433" i="4" s="1"/>
  <c r="H483" i="4" s="1"/>
  <c r="G100" i="4"/>
  <c r="G146" i="4" s="1"/>
  <c r="G188" i="4" s="1"/>
  <c r="G240" i="4" s="1"/>
  <c r="G304" i="4" s="1"/>
  <c r="G368" i="4" s="1"/>
  <c r="G433" i="4" s="1"/>
  <c r="G483" i="4" s="1"/>
  <c r="F100" i="4"/>
  <c r="F146" i="4" s="1"/>
  <c r="F188" i="4" s="1"/>
  <c r="F240" i="4" s="1"/>
  <c r="F304" i="4" s="1"/>
  <c r="F368" i="4" s="1"/>
  <c r="F433" i="4" s="1"/>
  <c r="F483" i="4" s="1"/>
  <c r="E100" i="4"/>
  <c r="E146" i="4" s="1"/>
  <c r="E188" i="4" s="1"/>
  <c r="E240" i="4" s="1"/>
  <c r="E304" i="4" s="1"/>
  <c r="E368" i="4" s="1"/>
  <c r="E433" i="4" s="1"/>
  <c r="E483" i="4" s="1"/>
  <c r="D100" i="4"/>
  <c r="D146" i="4" s="1"/>
  <c r="D188" i="4" s="1"/>
  <c r="D240" i="4" s="1"/>
  <c r="D304" i="4" s="1"/>
  <c r="D368" i="4" s="1"/>
  <c r="D433" i="4" s="1"/>
  <c r="D483" i="4" s="1"/>
  <c r="P99" i="4"/>
  <c r="P145" i="4" s="1"/>
  <c r="P187" i="4" s="1"/>
  <c r="P239" i="4" s="1"/>
  <c r="P303" i="4" s="1"/>
  <c r="P367" i="4" s="1"/>
  <c r="P432" i="4" s="1"/>
  <c r="P482" i="4" s="1"/>
  <c r="O99" i="4"/>
  <c r="O145" i="4" s="1"/>
  <c r="O187" i="4" s="1"/>
  <c r="O239" i="4" s="1"/>
  <c r="O303" i="4" s="1"/>
  <c r="O367" i="4" s="1"/>
  <c r="O432" i="4" s="1"/>
  <c r="O482" i="4" s="1"/>
  <c r="N99" i="4"/>
  <c r="N145" i="4" s="1"/>
  <c r="N187" i="4" s="1"/>
  <c r="N239" i="4" s="1"/>
  <c r="N303" i="4" s="1"/>
  <c r="N367" i="4" s="1"/>
  <c r="N432" i="4" s="1"/>
  <c r="N482" i="4" s="1"/>
  <c r="M99" i="4"/>
  <c r="M145" i="4" s="1"/>
  <c r="M187" i="4" s="1"/>
  <c r="M239" i="4" s="1"/>
  <c r="M303" i="4" s="1"/>
  <c r="M367" i="4" s="1"/>
  <c r="M432" i="4" s="1"/>
  <c r="M482" i="4" s="1"/>
  <c r="L99" i="4"/>
  <c r="L145" i="4" s="1"/>
  <c r="L187" i="4" s="1"/>
  <c r="L239" i="4" s="1"/>
  <c r="L303" i="4" s="1"/>
  <c r="L367" i="4" s="1"/>
  <c r="L432" i="4" s="1"/>
  <c r="L482" i="4" s="1"/>
  <c r="K99" i="4"/>
  <c r="K145" i="4" s="1"/>
  <c r="K187" i="4" s="1"/>
  <c r="K239" i="4" s="1"/>
  <c r="K303" i="4" s="1"/>
  <c r="K367" i="4" s="1"/>
  <c r="K432" i="4" s="1"/>
  <c r="K482" i="4" s="1"/>
  <c r="J99" i="4"/>
  <c r="J145" i="4" s="1"/>
  <c r="J187" i="4" s="1"/>
  <c r="J239" i="4" s="1"/>
  <c r="J303" i="4" s="1"/>
  <c r="J367" i="4" s="1"/>
  <c r="J432" i="4" s="1"/>
  <c r="J482" i="4" s="1"/>
  <c r="I99" i="4"/>
  <c r="I145" i="4" s="1"/>
  <c r="I187" i="4" s="1"/>
  <c r="I239" i="4" s="1"/>
  <c r="I303" i="4" s="1"/>
  <c r="I367" i="4" s="1"/>
  <c r="I432" i="4" s="1"/>
  <c r="I482" i="4" s="1"/>
  <c r="H99" i="4"/>
  <c r="H145" i="4" s="1"/>
  <c r="H187" i="4" s="1"/>
  <c r="H239" i="4" s="1"/>
  <c r="H303" i="4" s="1"/>
  <c r="H367" i="4" s="1"/>
  <c r="H432" i="4" s="1"/>
  <c r="H482" i="4" s="1"/>
  <c r="G99" i="4"/>
  <c r="G145" i="4" s="1"/>
  <c r="G187" i="4" s="1"/>
  <c r="G239" i="4" s="1"/>
  <c r="G303" i="4" s="1"/>
  <c r="G367" i="4" s="1"/>
  <c r="G432" i="4" s="1"/>
  <c r="G482" i="4" s="1"/>
  <c r="F99" i="4"/>
  <c r="F145" i="4" s="1"/>
  <c r="F187" i="4" s="1"/>
  <c r="F239" i="4" s="1"/>
  <c r="F303" i="4" s="1"/>
  <c r="F367" i="4" s="1"/>
  <c r="F432" i="4" s="1"/>
  <c r="F482" i="4" s="1"/>
  <c r="E99" i="4"/>
  <c r="E145" i="4" s="1"/>
  <c r="E187" i="4" s="1"/>
  <c r="E239" i="4" s="1"/>
  <c r="E303" i="4" s="1"/>
  <c r="E367" i="4" s="1"/>
  <c r="E432" i="4" s="1"/>
  <c r="E482" i="4" s="1"/>
  <c r="D99" i="4"/>
  <c r="D145" i="4" s="1"/>
  <c r="D187" i="4" s="1"/>
  <c r="D239" i="4" s="1"/>
  <c r="D303" i="4" s="1"/>
  <c r="D367" i="4" s="1"/>
  <c r="D432" i="4" s="1"/>
  <c r="D482" i="4" s="1"/>
  <c r="P98" i="4"/>
  <c r="P144" i="4" s="1"/>
  <c r="P186" i="4" s="1"/>
  <c r="P238" i="4" s="1"/>
  <c r="P302" i="4" s="1"/>
  <c r="P366" i="4" s="1"/>
  <c r="P431" i="4" s="1"/>
  <c r="P481" i="4" s="1"/>
  <c r="O98" i="4"/>
  <c r="O144" i="4" s="1"/>
  <c r="O186" i="4" s="1"/>
  <c r="O238" i="4" s="1"/>
  <c r="O302" i="4" s="1"/>
  <c r="O366" i="4" s="1"/>
  <c r="O431" i="4" s="1"/>
  <c r="O481" i="4" s="1"/>
  <c r="N98" i="4"/>
  <c r="N144" i="4" s="1"/>
  <c r="N186" i="4" s="1"/>
  <c r="N238" i="4" s="1"/>
  <c r="N302" i="4" s="1"/>
  <c r="N366" i="4" s="1"/>
  <c r="N431" i="4" s="1"/>
  <c r="N481" i="4" s="1"/>
  <c r="M98" i="4"/>
  <c r="M144" i="4" s="1"/>
  <c r="M186" i="4" s="1"/>
  <c r="M238" i="4" s="1"/>
  <c r="M302" i="4" s="1"/>
  <c r="M366" i="4" s="1"/>
  <c r="M431" i="4" s="1"/>
  <c r="M481" i="4" s="1"/>
  <c r="L98" i="4"/>
  <c r="L144" i="4" s="1"/>
  <c r="L186" i="4" s="1"/>
  <c r="L238" i="4" s="1"/>
  <c r="L302" i="4" s="1"/>
  <c r="L366" i="4" s="1"/>
  <c r="L431" i="4" s="1"/>
  <c r="L481" i="4" s="1"/>
  <c r="K98" i="4"/>
  <c r="K144" i="4" s="1"/>
  <c r="K186" i="4" s="1"/>
  <c r="K238" i="4" s="1"/>
  <c r="K302" i="4" s="1"/>
  <c r="K366" i="4" s="1"/>
  <c r="K431" i="4" s="1"/>
  <c r="K481" i="4" s="1"/>
  <c r="J98" i="4"/>
  <c r="J144" i="4" s="1"/>
  <c r="J186" i="4" s="1"/>
  <c r="J238" i="4" s="1"/>
  <c r="J302" i="4" s="1"/>
  <c r="J366" i="4" s="1"/>
  <c r="J431" i="4" s="1"/>
  <c r="J481" i="4" s="1"/>
  <c r="I98" i="4"/>
  <c r="I144" i="4" s="1"/>
  <c r="I186" i="4" s="1"/>
  <c r="I238" i="4" s="1"/>
  <c r="I302" i="4" s="1"/>
  <c r="I366" i="4" s="1"/>
  <c r="I431" i="4" s="1"/>
  <c r="I481" i="4" s="1"/>
  <c r="H98" i="4"/>
  <c r="H144" i="4" s="1"/>
  <c r="H186" i="4" s="1"/>
  <c r="H238" i="4" s="1"/>
  <c r="H302" i="4" s="1"/>
  <c r="H366" i="4" s="1"/>
  <c r="H431" i="4" s="1"/>
  <c r="H481" i="4" s="1"/>
  <c r="G98" i="4"/>
  <c r="G144" i="4" s="1"/>
  <c r="G186" i="4" s="1"/>
  <c r="G238" i="4" s="1"/>
  <c r="G302" i="4" s="1"/>
  <c r="G366" i="4" s="1"/>
  <c r="G431" i="4" s="1"/>
  <c r="G481" i="4" s="1"/>
  <c r="F98" i="4"/>
  <c r="F144" i="4" s="1"/>
  <c r="F186" i="4" s="1"/>
  <c r="F238" i="4" s="1"/>
  <c r="F302" i="4" s="1"/>
  <c r="F366" i="4" s="1"/>
  <c r="F431" i="4" s="1"/>
  <c r="F481" i="4" s="1"/>
  <c r="E98" i="4"/>
  <c r="E144" i="4" s="1"/>
  <c r="E186" i="4" s="1"/>
  <c r="E238" i="4" s="1"/>
  <c r="E302" i="4" s="1"/>
  <c r="E366" i="4" s="1"/>
  <c r="E431" i="4" s="1"/>
  <c r="E481" i="4" s="1"/>
  <c r="D98" i="4"/>
  <c r="D144" i="4" s="1"/>
  <c r="D186" i="4" s="1"/>
  <c r="D238" i="4" s="1"/>
  <c r="D302" i="4" s="1"/>
  <c r="D366" i="4" s="1"/>
  <c r="D431" i="4" s="1"/>
  <c r="D481" i="4" s="1"/>
  <c r="P97" i="4"/>
  <c r="P143" i="4" s="1"/>
  <c r="P185" i="4" s="1"/>
  <c r="P237" i="4" s="1"/>
  <c r="P301" i="4" s="1"/>
  <c r="P365" i="4" s="1"/>
  <c r="P430" i="4" s="1"/>
  <c r="P480" i="4" s="1"/>
  <c r="O97" i="4"/>
  <c r="O143" i="4" s="1"/>
  <c r="O185" i="4" s="1"/>
  <c r="O237" i="4" s="1"/>
  <c r="O301" i="4" s="1"/>
  <c r="O365" i="4" s="1"/>
  <c r="O430" i="4" s="1"/>
  <c r="O480" i="4" s="1"/>
  <c r="N97" i="4"/>
  <c r="N143" i="4" s="1"/>
  <c r="N185" i="4" s="1"/>
  <c r="N237" i="4" s="1"/>
  <c r="N301" i="4" s="1"/>
  <c r="N365" i="4" s="1"/>
  <c r="N430" i="4" s="1"/>
  <c r="N480" i="4" s="1"/>
  <c r="M97" i="4"/>
  <c r="M143" i="4" s="1"/>
  <c r="M185" i="4" s="1"/>
  <c r="M237" i="4" s="1"/>
  <c r="M301" i="4" s="1"/>
  <c r="M365" i="4" s="1"/>
  <c r="M430" i="4" s="1"/>
  <c r="M480" i="4" s="1"/>
  <c r="L97" i="4"/>
  <c r="L143" i="4" s="1"/>
  <c r="L185" i="4" s="1"/>
  <c r="L237" i="4" s="1"/>
  <c r="L301" i="4" s="1"/>
  <c r="L365" i="4" s="1"/>
  <c r="L430" i="4" s="1"/>
  <c r="L480" i="4" s="1"/>
  <c r="K97" i="4"/>
  <c r="K143" i="4" s="1"/>
  <c r="K185" i="4" s="1"/>
  <c r="K237" i="4" s="1"/>
  <c r="K301" i="4" s="1"/>
  <c r="K365" i="4" s="1"/>
  <c r="K430" i="4" s="1"/>
  <c r="K480" i="4" s="1"/>
  <c r="J97" i="4"/>
  <c r="J143" i="4" s="1"/>
  <c r="J185" i="4" s="1"/>
  <c r="J237" i="4" s="1"/>
  <c r="J301" i="4" s="1"/>
  <c r="J365" i="4" s="1"/>
  <c r="J430" i="4" s="1"/>
  <c r="J480" i="4" s="1"/>
  <c r="I97" i="4"/>
  <c r="I143" i="4" s="1"/>
  <c r="I185" i="4" s="1"/>
  <c r="I237" i="4" s="1"/>
  <c r="I301" i="4" s="1"/>
  <c r="I365" i="4" s="1"/>
  <c r="I430" i="4" s="1"/>
  <c r="I480" i="4" s="1"/>
  <c r="H97" i="4"/>
  <c r="H143" i="4" s="1"/>
  <c r="H185" i="4" s="1"/>
  <c r="H237" i="4" s="1"/>
  <c r="H301" i="4" s="1"/>
  <c r="H365" i="4" s="1"/>
  <c r="H430" i="4" s="1"/>
  <c r="H480" i="4" s="1"/>
  <c r="G97" i="4"/>
  <c r="G143" i="4" s="1"/>
  <c r="G185" i="4" s="1"/>
  <c r="G237" i="4" s="1"/>
  <c r="G301" i="4" s="1"/>
  <c r="G365" i="4" s="1"/>
  <c r="G430" i="4" s="1"/>
  <c r="G480" i="4" s="1"/>
  <c r="F97" i="4"/>
  <c r="F143" i="4" s="1"/>
  <c r="F185" i="4" s="1"/>
  <c r="F237" i="4" s="1"/>
  <c r="F301" i="4" s="1"/>
  <c r="F365" i="4" s="1"/>
  <c r="F430" i="4" s="1"/>
  <c r="F480" i="4" s="1"/>
  <c r="E97" i="4"/>
  <c r="E143" i="4" s="1"/>
  <c r="E185" i="4" s="1"/>
  <c r="E237" i="4" s="1"/>
  <c r="E301" i="4" s="1"/>
  <c r="E365" i="4" s="1"/>
  <c r="E430" i="4" s="1"/>
  <c r="E480" i="4" s="1"/>
  <c r="D97" i="4"/>
  <c r="D143" i="4" s="1"/>
  <c r="D185" i="4" s="1"/>
  <c r="D237" i="4" s="1"/>
  <c r="D301" i="4" s="1"/>
  <c r="D365" i="4" s="1"/>
  <c r="D430" i="4" s="1"/>
  <c r="D480" i="4" s="1"/>
  <c r="P88" i="4"/>
  <c r="O88" i="4"/>
  <c r="N88" i="4"/>
  <c r="M88" i="4"/>
  <c r="L88" i="4"/>
  <c r="K88" i="4"/>
  <c r="J88" i="4"/>
  <c r="I88" i="4"/>
  <c r="H88" i="4"/>
  <c r="G88" i="4"/>
  <c r="F88" i="4"/>
  <c r="E88" i="4"/>
  <c r="D88" i="4"/>
  <c r="P87" i="4"/>
  <c r="O87" i="4"/>
  <c r="N87" i="4"/>
  <c r="M87" i="4"/>
  <c r="L87" i="4"/>
  <c r="K87" i="4"/>
  <c r="J87" i="4"/>
  <c r="I87" i="4"/>
  <c r="H87" i="4"/>
  <c r="G87" i="4"/>
  <c r="F87" i="4"/>
  <c r="E87" i="4"/>
  <c r="D87" i="4"/>
  <c r="P81" i="4"/>
  <c r="O81" i="4"/>
  <c r="N81" i="4"/>
  <c r="M81" i="4"/>
  <c r="L81" i="4"/>
  <c r="K81" i="4"/>
  <c r="J81" i="4"/>
  <c r="I81" i="4"/>
  <c r="H81" i="4"/>
  <c r="G81" i="4"/>
  <c r="F81" i="4"/>
  <c r="E81" i="4"/>
  <c r="D81" i="4"/>
  <c r="G79" i="4"/>
  <c r="F79" i="4"/>
  <c r="E79" i="4"/>
  <c r="D79" i="4"/>
  <c r="G74" i="4"/>
  <c r="F74" i="4"/>
  <c r="E74" i="4"/>
  <c r="D74" i="4"/>
  <c r="G71" i="4"/>
  <c r="F71" i="4"/>
  <c r="E71" i="4"/>
  <c r="D71" i="4"/>
  <c r="P60" i="4"/>
  <c r="O60" i="4"/>
  <c r="N60" i="4"/>
  <c r="M60" i="4"/>
  <c r="L60" i="4"/>
  <c r="K60" i="4"/>
  <c r="J60" i="4"/>
  <c r="I60" i="4"/>
  <c r="H60" i="4"/>
  <c r="G60" i="4"/>
  <c r="F60" i="4"/>
  <c r="E60" i="4"/>
  <c r="D60" i="4"/>
  <c r="P57" i="4"/>
  <c r="O57" i="4"/>
  <c r="N57" i="4"/>
  <c r="M57" i="4"/>
  <c r="L57" i="4"/>
  <c r="K57" i="4"/>
  <c r="J57" i="4"/>
  <c r="I57" i="4"/>
  <c r="H57" i="4"/>
  <c r="G57" i="4"/>
  <c r="F57" i="4"/>
  <c r="E57" i="4"/>
  <c r="D57" i="4"/>
  <c r="O54" i="4"/>
  <c r="N54" i="4"/>
  <c r="M54" i="4"/>
  <c r="L54" i="4"/>
  <c r="K54" i="4"/>
  <c r="J54" i="4"/>
  <c r="I54" i="4"/>
  <c r="H54" i="4"/>
  <c r="G54" i="4"/>
  <c r="F54" i="4"/>
  <c r="E54" i="4"/>
  <c r="D54" i="4"/>
  <c r="D53" i="4"/>
  <c r="P51" i="4"/>
  <c r="O51" i="4"/>
  <c r="N51" i="4"/>
  <c r="M51" i="4"/>
  <c r="L51" i="4"/>
  <c r="K51" i="4"/>
  <c r="J51" i="4"/>
  <c r="I51" i="4"/>
  <c r="H51" i="4"/>
  <c r="G51" i="4"/>
  <c r="F51" i="4"/>
  <c r="E51" i="4"/>
  <c r="D51" i="4"/>
  <c r="P49" i="4"/>
  <c r="P112" i="4" s="1"/>
  <c r="P158" i="4" s="1"/>
  <c r="P200" i="4" s="1"/>
  <c r="P252" i="4" s="1"/>
  <c r="P316" i="4" s="1"/>
  <c r="P380" i="4" s="1"/>
  <c r="P445" i="4" s="1"/>
  <c r="O49" i="4"/>
  <c r="O112" i="4" s="1"/>
  <c r="O158" i="4" s="1"/>
  <c r="O200" i="4" s="1"/>
  <c r="O252" i="4" s="1"/>
  <c r="O316" i="4" s="1"/>
  <c r="O380" i="4" s="1"/>
  <c r="O445" i="4" s="1"/>
  <c r="N49" i="4"/>
  <c r="N112" i="4" s="1"/>
  <c r="N158" i="4" s="1"/>
  <c r="N200" i="4" s="1"/>
  <c r="N252" i="4" s="1"/>
  <c r="N316" i="4" s="1"/>
  <c r="N380" i="4" s="1"/>
  <c r="N445" i="4" s="1"/>
  <c r="M49" i="4"/>
  <c r="M112" i="4" s="1"/>
  <c r="M158" i="4" s="1"/>
  <c r="M200" i="4" s="1"/>
  <c r="M252" i="4" s="1"/>
  <c r="M316" i="4" s="1"/>
  <c r="M380" i="4" s="1"/>
  <c r="M445" i="4" s="1"/>
  <c r="L49" i="4"/>
  <c r="L112" i="4" s="1"/>
  <c r="L158" i="4" s="1"/>
  <c r="L200" i="4" s="1"/>
  <c r="L252" i="4" s="1"/>
  <c r="L316" i="4" s="1"/>
  <c r="L380" i="4" s="1"/>
  <c r="L445" i="4" s="1"/>
  <c r="K49" i="4"/>
  <c r="K112" i="4" s="1"/>
  <c r="K158" i="4" s="1"/>
  <c r="K200" i="4" s="1"/>
  <c r="K252" i="4" s="1"/>
  <c r="K316" i="4" s="1"/>
  <c r="K380" i="4" s="1"/>
  <c r="K445" i="4" s="1"/>
  <c r="J49" i="4"/>
  <c r="J112" i="4" s="1"/>
  <c r="J158" i="4" s="1"/>
  <c r="J200" i="4" s="1"/>
  <c r="J252" i="4" s="1"/>
  <c r="J316" i="4" s="1"/>
  <c r="J380" i="4" s="1"/>
  <c r="J445" i="4" s="1"/>
  <c r="I49" i="4"/>
  <c r="I112" i="4" s="1"/>
  <c r="I158" i="4" s="1"/>
  <c r="I200" i="4" s="1"/>
  <c r="I252" i="4" s="1"/>
  <c r="I316" i="4" s="1"/>
  <c r="I380" i="4" s="1"/>
  <c r="I445" i="4" s="1"/>
  <c r="H49" i="4"/>
  <c r="H112" i="4" s="1"/>
  <c r="H158" i="4" s="1"/>
  <c r="H200" i="4" s="1"/>
  <c r="H252" i="4" s="1"/>
  <c r="H316" i="4" s="1"/>
  <c r="H380" i="4" s="1"/>
  <c r="H445" i="4" s="1"/>
  <c r="G49" i="4"/>
  <c r="G112" i="4" s="1"/>
  <c r="G158" i="4" s="1"/>
  <c r="G200" i="4" s="1"/>
  <c r="G252" i="4" s="1"/>
  <c r="G316" i="4" s="1"/>
  <c r="G380" i="4" s="1"/>
  <c r="G445" i="4" s="1"/>
  <c r="F49" i="4"/>
  <c r="F112" i="4" s="1"/>
  <c r="F158" i="4" s="1"/>
  <c r="F200" i="4" s="1"/>
  <c r="F252" i="4" s="1"/>
  <c r="F316" i="4" s="1"/>
  <c r="F380" i="4" s="1"/>
  <c r="F445" i="4" s="1"/>
  <c r="E49" i="4"/>
  <c r="E112" i="4" s="1"/>
  <c r="E158" i="4" s="1"/>
  <c r="E200" i="4" s="1"/>
  <c r="E252" i="4" s="1"/>
  <c r="E316" i="4" s="1"/>
  <c r="E380" i="4" s="1"/>
  <c r="E445" i="4" s="1"/>
  <c r="D49" i="4"/>
  <c r="D112" i="4" s="1"/>
  <c r="D158" i="4" s="1"/>
  <c r="D200" i="4" s="1"/>
  <c r="D252" i="4" s="1"/>
  <c r="D316" i="4" s="1"/>
  <c r="D380" i="4" s="1"/>
  <c r="D445" i="4" s="1"/>
  <c r="A48" i="4"/>
  <c r="P42" i="4"/>
  <c r="O42" i="4"/>
  <c r="N42" i="4"/>
  <c r="M42" i="4"/>
  <c r="L42" i="4"/>
  <c r="K42" i="4"/>
  <c r="J42" i="4"/>
  <c r="I42" i="4"/>
  <c r="H42" i="4"/>
  <c r="G42" i="4"/>
  <c r="F42" i="4"/>
  <c r="E42" i="4"/>
  <c r="D42" i="4"/>
  <c r="P41" i="4"/>
  <c r="O41" i="4"/>
  <c r="N41" i="4"/>
  <c r="M41" i="4"/>
  <c r="L41" i="4"/>
  <c r="K41" i="4"/>
  <c r="J41" i="4"/>
  <c r="I41" i="4"/>
  <c r="H41" i="4"/>
  <c r="G41" i="4"/>
  <c r="F41" i="4"/>
  <c r="E41" i="4"/>
  <c r="D41" i="4"/>
  <c r="P40" i="4"/>
  <c r="O40" i="4"/>
  <c r="N40" i="4"/>
  <c r="M40" i="4"/>
  <c r="L40" i="4"/>
  <c r="K40" i="4"/>
  <c r="J40" i="4"/>
  <c r="I40" i="4"/>
  <c r="H40" i="4"/>
  <c r="G40" i="4"/>
  <c r="F40" i="4"/>
  <c r="E40" i="4"/>
  <c r="D40" i="4"/>
  <c r="P27" i="4"/>
  <c r="O27" i="4"/>
  <c r="N27" i="4"/>
  <c r="M27" i="4"/>
  <c r="L27" i="4"/>
  <c r="K27" i="4"/>
  <c r="J27" i="4"/>
  <c r="I27" i="4"/>
  <c r="H27" i="4"/>
  <c r="G27" i="4"/>
  <c r="F27" i="4"/>
  <c r="E27" i="4"/>
  <c r="D27" i="4"/>
  <c r="P25" i="4"/>
  <c r="O25" i="4"/>
  <c r="N25" i="4"/>
  <c r="M25" i="4"/>
  <c r="L25" i="4"/>
  <c r="K25" i="4"/>
  <c r="J25" i="4"/>
  <c r="I25" i="4"/>
  <c r="H25" i="4"/>
  <c r="G25" i="4"/>
  <c r="F25" i="4"/>
  <c r="E25" i="4"/>
  <c r="D25" i="4"/>
  <c r="P14" i="4"/>
  <c r="O14" i="4"/>
  <c r="N14" i="4"/>
  <c r="M14" i="4"/>
  <c r="L14" i="4"/>
  <c r="K14" i="4"/>
  <c r="J14" i="4"/>
  <c r="I14" i="4"/>
  <c r="H14" i="4"/>
  <c r="G14" i="4"/>
  <c r="F14" i="4"/>
  <c r="E14" i="4"/>
  <c r="D14" i="4"/>
  <c r="P11" i="4"/>
  <c r="O11" i="4"/>
  <c r="N11" i="4"/>
  <c r="M11" i="4"/>
  <c r="L11" i="4"/>
  <c r="K11" i="4"/>
  <c r="J11" i="4"/>
  <c r="I11" i="4"/>
  <c r="H11" i="4"/>
  <c r="G11" i="4"/>
  <c r="F11" i="4"/>
  <c r="E11" i="4"/>
  <c r="D11" i="4"/>
  <c r="P9" i="4"/>
  <c r="O9" i="4"/>
  <c r="N9" i="4"/>
  <c r="M9" i="4"/>
  <c r="L9" i="4"/>
  <c r="K9" i="4"/>
  <c r="J9" i="4"/>
  <c r="I9" i="4"/>
  <c r="H9" i="4"/>
  <c r="G9" i="4"/>
  <c r="F9" i="4"/>
  <c r="E9" i="4"/>
  <c r="D9" i="4"/>
  <c r="A3" i="4"/>
  <c r="K30" i="7" l="1"/>
  <c r="J80" i="7"/>
  <c r="J130" i="7" s="1"/>
  <c r="J180" i="7" s="1"/>
  <c r="J710" i="7" s="1"/>
  <c r="J760" i="7" s="1"/>
  <c r="J810" i="7" s="1"/>
  <c r="J860" i="7" s="1"/>
  <c r="J910" i="7" s="1"/>
  <c r="J960" i="7" s="1"/>
  <c r="H81" i="7"/>
  <c r="H131" i="7" s="1"/>
  <c r="H181" i="7" s="1"/>
  <c r="H711" i="7" s="1"/>
  <c r="H761" i="7" s="1"/>
  <c r="H811" i="7" s="1"/>
  <c r="H861" i="7" s="1"/>
  <c r="H911" i="7" s="1"/>
  <c r="H961" i="7" s="1"/>
  <c r="I31" i="7"/>
  <c r="I146" i="7"/>
  <c r="J96" i="7"/>
  <c r="P444" i="3"/>
  <c r="O444" i="3"/>
  <c r="N444" i="3"/>
  <c r="M444" i="3"/>
  <c r="L444" i="3"/>
  <c r="K444" i="3"/>
  <c r="J444" i="3"/>
  <c r="I444" i="3"/>
  <c r="H444" i="3"/>
  <c r="G444" i="3"/>
  <c r="F444" i="3"/>
  <c r="E444" i="3"/>
  <c r="D444" i="3"/>
  <c r="P443" i="3"/>
  <c r="O443" i="3"/>
  <c r="N443" i="3"/>
  <c r="M443" i="3"/>
  <c r="L443" i="3"/>
  <c r="K443" i="3"/>
  <c r="J443" i="3"/>
  <c r="I443" i="3"/>
  <c r="H443" i="3"/>
  <c r="G443" i="3"/>
  <c r="F443" i="3"/>
  <c r="E443" i="3"/>
  <c r="D443" i="3"/>
  <c r="P442" i="3"/>
  <c r="O442" i="3"/>
  <c r="N442" i="3"/>
  <c r="M442" i="3"/>
  <c r="L442" i="3"/>
  <c r="K442" i="3"/>
  <c r="J442" i="3"/>
  <c r="I442" i="3"/>
  <c r="H442" i="3"/>
  <c r="G442" i="3"/>
  <c r="F442" i="3"/>
  <c r="E442" i="3"/>
  <c r="D442" i="3"/>
  <c r="P441" i="3"/>
  <c r="O441" i="3"/>
  <c r="N441" i="3"/>
  <c r="M441" i="3"/>
  <c r="L441" i="3"/>
  <c r="K441" i="3"/>
  <c r="J441" i="3"/>
  <c r="I441" i="3"/>
  <c r="H441" i="3"/>
  <c r="G441" i="3"/>
  <c r="F441" i="3"/>
  <c r="E441" i="3"/>
  <c r="D441" i="3"/>
  <c r="P440" i="3"/>
  <c r="O440" i="3"/>
  <c r="N440" i="3"/>
  <c r="M440" i="3"/>
  <c r="L440" i="3"/>
  <c r="K440" i="3"/>
  <c r="J440" i="3"/>
  <c r="I440" i="3"/>
  <c r="H440" i="3"/>
  <c r="G440" i="3"/>
  <c r="F440" i="3"/>
  <c r="E440" i="3"/>
  <c r="D440" i="3"/>
  <c r="P430" i="3"/>
  <c r="O430" i="3"/>
  <c r="N430" i="3"/>
  <c r="M430" i="3"/>
  <c r="L430" i="3"/>
  <c r="K430" i="3"/>
  <c r="J430" i="3"/>
  <c r="I430" i="3"/>
  <c r="H430" i="3"/>
  <c r="G430" i="3"/>
  <c r="F430" i="3"/>
  <c r="E430" i="3"/>
  <c r="D430" i="3"/>
  <c r="P429" i="3"/>
  <c r="O429" i="3"/>
  <c r="N429" i="3"/>
  <c r="M429" i="3"/>
  <c r="L429" i="3"/>
  <c r="K429" i="3"/>
  <c r="J429" i="3"/>
  <c r="I429" i="3"/>
  <c r="H429" i="3"/>
  <c r="G429" i="3"/>
  <c r="F429" i="3"/>
  <c r="E429" i="3"/>
  <c r="D429" i="3"/>
  <c r="P428" i="3"/>
  <c r="O428" i="3"/>
  <c r="N428" i="3"/>
  <c r="M428" i="3"/>
  <c r="L428" i="3"/>
  <c r="K428" i="3"/>
  <c r="J428" i="3"/>
  <c r="I428" i="3"/>
  <c r="H428" i="3"/>
  <c r="G428" i="3"/>
  <c r="F428" i="3"/>
  <c r="E428" i="3"/>
  <c r="D428" i="3"/>
  <c r="P427" i="3"/>
  <c r="O427" i="3"/>
  <c r="N427" i="3"/>
  <c r="M427" i="3"/>
  <c r="L427" i="3"/>
  <c r="K427" i="3"/>
  <c r="J427" i="3"/>
  <c r="I427" i="3"/>
  <c r="H427" i="3"/>
  <c r="G427" i="3"/>
  <c r="F427" i="3"/>
  <c r="E427" i="3"/>
  <c r="D427" i="3"/>
  <c r="P426" i="3"/>
  <c r="O426" i="3"/>
  <c r="N426" i="3"/>
  <c r="M426" i="3"/>
  <c r="L426" i="3"/>
  <c r="K426" i="3"/>
  <c r="J426" i="3"/>
  <c r="I426" i="3"/>
  <c r="H426" i="3"/>
  <c r="G426" i="3"/>
  <c r="F426" i="3"/>
  <c r="E426" i="3"/>
  <c r="D426" i="3"/>
  <c r="P416" i="3"/>
  <c r="O416" i="3"/>
  <c r="N416" i="3"/>
  <c r="M416" i="3"/>
  <c r="L416" i="3"/>
  <c r="K416" i="3"/>
  <c r="J416" i="3"/>
  <c r="I416" i="3"/>
  <c r="H416" i="3"/>
  <c r="G416" i="3"/>
  <c r="F416" i="3"/>
  <c r="E416" i="3"/>
  <c r="D416" i="3"/>
  <c r="P415" i="3"/>
  <c r="O415" i="3"/>
  <c r="N415" i="3"/>
  <c r="M415" i="3"/>
  <c r="L415" i="3"/>
  <c r="K415" i="3"/>
  <c r="J415" i="3"/>
  <c r="I415" i="3"/>
  <c r="H415" i="3"/>
  <c r="G415" i="3"/>
  <c r="F415" i="3"/>
  <c r="E415" i="3"/>
  <c r="D415" i="3"/>
  <c r="O392" i="3"/>
  <c r="N392" i="3"/>
  <c r="M392" i="3"/>
  <c r="L392" i="3"/>
  <c r="K392" i="3"/>
  <c r="J392" i="3"/>
  <c r="I392" i="3"/>
  <c r="H392" i="3"/>
  <c r="G392" i="3"/>
  <c r="F392" i="3"/>
  <c r="E392" i="3"/>
  <c r="D392" i="3"/>
  <c r="O391" i="3"/>
  <c r="N391" i="3"/>
  <c r="M391" i="3"/>
  <c r="L391" i="3"/>
  <c r="K391" i="3"/>
  <c r="J391" i="3"/>
  <c r="I391" i="3"/>
  <c r="H391" i="3"/>
  <c r="G391" i="3"/>
  <c r="F391" i="3"/>
  <c r="E391" i="3"/>
  <c r="D391" i="3"/>
  <c r="P389" i="3"/>
  <c r="O389" i="3"/>
  <c r="N389" i="3"/>
  <c r="N9" i="3" s="1"/>
  <c r="M389" i="3"/>
  <c r="L389" i="3"/>
  <c r="K389" i="3"/>
  <c r="J389" i="3"/>
  <c r="I389" i="3"/>
  <c r="H389" i="3"/>
  <c r="G389" i="3"/>
  <c r="F389" i="3"/>
  <c r="F9" i="3" s="1"/>
  <c r="E389" i="3"/>
  <c r="D389" i="3"/>
  <c r="P379" i="3"/>
  <c r="O379" i="3"/>
  <c r="N379" i="3"/>
  <c r="M379" i="3"/>
  <c r="L379" i="3"/>
  <c r="K379" i="3"/>
  <c r="J379" i="3"/>
  <c r="I379" i="3"/>
  <c r="H379" i="3"/>
  <c r="G379" i="3"/>
  <c r="F379" i="3"/>
  <c r="E379" i="3"/>
  <c r="D379" i="3"/>
  <c r="P378" i="3"/>
  <c r="O378" i="3"/>
  <c r="N378" i="3"/>
  <c r="M378" i="3"/>
  <c r="L378" i="3"/>
  <c r="K378" i="3"/>
  <c r="J378" i="3"/>
  <c r="I378" i="3"/>
  <c r="H378" i="3"/>
  <c r="G378" i="3"/>
  <c r="F378" i="3"/>
  <c r="E378" i="3"/>
  <c r="D378" i="3"/>
  <c r="P377" i="3"/>
  <c r="O377" i="3"/>
  <c r="N377" i="3"/>
  <c r="M377" i="3"/>
  <c r="L377" i="3"/>
  <c r="K377" i="3"/>
  <c r="J377" i="3"/>
  <c r="I377" i="3"/>
  <c r="H377" i="3"/>
  <c r="G377" i="3"/>
  <c r="F377" i="3"/>
  <c r="E377" i="3"/>
  <c r="D377" i="3"/>
  <c r="P364" i="3"/>
  <c r="O364" i="3"/>
  <c r="N364" i="3"/>
  <c r="M364" i="3"/>
  <c r="L364" i="3"/>
  <c r="K364" i="3"/>
  <c r="J364" i="3"/>
  <c r="I364" i="3"/>
  <c r="H364" i="3"/>
  <c r="G364" i="3"/>
  <c r="F364" i="3"/>
  <c r="E364" i="3"/>
  <c r="D364" i="3"/>
  <c r="P362" i="3"/>
  <c r="O362" i="3"/>
  <c r="N362" i="3"/>
  <c r="M362" i="3"/>
  <c r="L362" i="3"/>
  <c r="K362" i="3"/>
  <c r="J362" i="3"/>
  <c r="I362" i="3"/>
  <c r="H362" i="3"/>
  <c r="G362" i="3"/>
  <c r="F362" i="3"/>
  <c r="E362" i="3"/>
  <c r="D362" i="3"/>
  <c r="P353" i="3"/>
  <c r="O353" i="3"/>
  <c r="N353" i="3"/>
  <c r="M353" i="3"/>
  <c r="L353" i="3"/>
  <c r="K353" i="3"/>
  <c r="J353" i="3"/>
  <c r="I353" i="3"/>
  <c r="H353" i="3"/>
  <c r="G353" i="3"/>
  <c r="F353" i="3"/>
  <c r="E353" i="3"/>
  <c r="D353" i="3"/>
  <c r="P351" i="3"/>
  <c r="O351" i="3"/>
  <c r="N351" i="3"/>
  <c r="M351" i="3"/>
  <c r="L351" i="3"/>
  <c r="K351" i="3"/>
  <c r="J351" i="3"/>
  <c r="I351" i="3"/>
  <c r="H351" i="3"/>
  <c r="G351" i="3"/>
  <c r="F351" i="3"/>
  <c r="E351" i="3"/>
  <c r="D351" i="3"/>
  <c r="P349" i="3"/>
  <c r="O349" i="3"/>
  <c r="N349" i="3"/>
  <c r="M349" i="3"/>
  <c r="L349" i="3"/>
  <c r="K349" i="3"/>
  <c r="J349" i="3"/>
  <c r="I349" i="3"/>
  <c r="H349" i="3"/>
  <c r="G349" i="3"/>
  <c r="F349" i="3"/>
  <c r="E349" i="3"/>
  <c r="D349" i="3"/>
  <c r="A343" i="3"/>
  <c r="P337" i="3"/>
  <c r="O337" i="3"/>
  <c r="N337" i="3"/>
  <c r="M337" i="3"/>
  <c r="L337" i="3"/>
  <c r="K337" i="3"/>
  <c r="J337" i="3"/>
  <c r="I337" i="3"/>
  <c r="H337" i="3"/>
  <c r="G337" i="3"/>
  <c r="F337" i="3"/>
  <c r="E337" i="3"/>
  <c r="D337" i="3"/>
  <c r="P336" i="3"/>
  <c r="O336" i="3"/>
  <c r="N336" i="3"/>
  <c r="M336" i="3"/>
  <c r="L336" i="3"/>
  <c r="K336" i="3"/>
  <c r="J336" i="3"/>
  <c r="I336" i="3"/>
  <c r="H336" i="3"/>
  <c r="G336" i="3"/>
  <c r="F336" i="3"/>
  <c r="E336" i="3"/>
  <c r="D336" i="3"/>
  <c r="P335" i="3"/>
  <c r="O335" i="3"/>
  <c r="N335" i="3"/>
  <c r="M335" i="3"/>
  <c r="L335" i="3"/>
  <c r="K335" i="3"/>
  <c r="J335" i="3"/>
  <c r="I335" i="3"/>
  <c r="H335" i="3"/>
  <c r="G335" i="3"/>
  <c r="F335" i="3"/>
  <c r="E335" i="3"/>
  <c r="D335" i="3"/>
  <c r="P322" i="3"/>
  <c r="O322" i="3"/>
  <c r="N322" i="3"/>
  <c r="M322" i="3"/>
  <c r="L322" i="3"/>
  <c r="K322" i="3"/>
  <c r="J322" i="3"/>
  <c r="I322" i="3"/>
  <c r="H322" i="3"/>
  <c r="G322" i="3"/>
  <c r="F322" i="3"/>
  <c r="E322" i="3"/>
  <c r="D322" i="3"/>
  <c r="P320" i="3"/>
  <c r="O320" i="3"/>
  <c r="N320" i="3"/>
  <c r="M320" i="3"/>
  <c r="L320" i="3"/>
  <c r="K320" i="3"/>
  <c r="J320" i="3"/>
  <c r="I320" i="3"/>
  <c r="H320" i="3"/>
  <c r="G320" i="3"/>
  <c r="F320" i="3"/>
  <c r="E320" i="3"/>
  <c r="D320" i="3"/>
  <c r="P309" i="3"/>
  <c r="O309" i="3"/>
  <c r="N309" i="3"/>
  <c r="M309" i="3"/>
  <c r="L309" i="3"/>
  <c r="K309" i="3"/>
  <c r="J309" i="3"/>
  <c r="I309" i="3"/>
  <c r="H309" i="3"/>
  <c r="G309" i="3"/>
  <c r="F309" i="3"/>
  <c r="E309" i="3"/>
  <c r="D309" i="3"/>
  <c r="P307" i="3"/>
  <c r="O307" i="3"/>
  <c r="N307" i="3"/>
  <c r="M307" i="3"/>
  <c r="L307" i="3"/>
  <c r="K307" i="3"/>
  <c r="J307" i="3"/>
  <c r="I307" i="3"/>
  <c r="H307" i="3"/>
  <c r="G307" i="3"/>
  <c r="F307" i="3"/>
  <c r="E307" i="3"/>
  <c r="D307" i="3"/>
  <c r="A300" i="3"/>
  <c r="P294" i="3"/>
  <c r="O294" i="3"/>
  <c r="N294" i="3"/>
  <c r="M294" i="3"/>
  <c r="L294" i="3"/>
  <c r="K294" i="3"/>
  <c r="J294" i="3"/>
  <c r="I294" i="3"/>
  <c r="H294" i="3"/>
  <c r="G294" i="3"/>
  <c r="F294" i="3"/>
  <c r="E294" i="3"/>
  <c r="D294" i="3"/>
  <c r="P293" i="3"/>
  <c r="O293" i="3"/>
  <c r="N293" i="3"/>
  <c r="M293" i="3"/>
  <c r="L293" i="3"/>
  <c r="K293" i="3"/>
  <c r="J293" i="3"/>
  <c r="I293" i="3"/>
  <c r="H293" i="3"/>
  <c r="G293" i="3"/>
  <c r="F293" i="3"/>
  <c r="E293" i="3"/>
  <c r="D293" i="3"/>
  <c r="P292" i="3"/>
  <c r="O292" i="3"/>
  <c r="N292" i="3"/>
  <c r="M292" i="3"/>
  <c r="L292" i="3"/>
  <c r="K292" i="3"/>
  <c r="J292" i="3"/>
  <c r="I292" i="3"/>
  <c r="H292" i="3"/>
  <c r="G292" i="3"/>
  <c r="F292" i="3"/>
  <c r="E292" i="3"/>
  <c r="D292" i="3"/>
  <c r="P279" i="3"/>
  <c r="O279" i="3"/>
  <c r="N279" i="3"/>
  <c r="M279" i="3"/>
  <c r="L279" i="3"/>
  <c r="K279" i="3"/>
  <c r="J279" i="3"/>
  <c r="I279" i="3"/>
  <c r="H279" i="3"/>
  <c r="G279" i="3"/>
  <c r="F279" i="3"/>
  <c r="E279" i="3"/>
  <c r="D279" i="3"/>
  <c r="P277" i="3"/>
  <c r="O277" i="3"/>
  <c r="N277" i="3"/>
  <c r="M277" i="3"/>
  <c r="L277" i="3"/>
  <c r="K277" i="3"/>
  <c r="J277" i="3"/>
  <c r="I277" i="3"/>
  <c r="H277" i="3"/>
  <c r="G277" i="3"/>
  <c r="F277" i="3"/>
  <c r="E277" i="3"/>
  <c r="D277" i="3"/>
  <c r="P266" i="3"/>
  <c r="O266" i="3"/>
  <c r="N266" i="3"/>
  <c r="M266" i="3"/>
  <c r="L266" i="3"/>
  <c r="K266" i="3"/>
  <c r="J266" i="3"/>
  <c r="I266" i="3"/>
  <c r="H266" i="3"/>
  <c r="G266" i="3"/>
  <c r="F266" i="3"/>
  <c r="E266" i="3"/>
  <c r="D266" i="3"/>
  <c r="P264" i="3"/>
  <c r="O264" i="3"/>
  <c r="N264" i="3"/>
  <c r="M264" i="3"/>
  <c r="L264" i="3"/>
  <c r="K264" i="3"/>
  <c r="J264" i="3"/>
  <c r="I264" i="3"/>
  <c r="H264" i="3"/>
  <c r="G264" i="3"/>
  <c r="F264" i="3"/>
  <c r="E264" i="3"/>
  <c r="D264" i="3"/>
  <c r="A258" i="3"/>
  <c r="P252" i="3"/>
  <c r="O252" i="3"/>
  <c r="N252" i="3"/>
  <c r="M252" i="3"/>
  <c r="L252" i="3"/>
  <c r="K252" i="3"/>
  <c r="J252" i="3"/>
  <c r="I252" i="3"/>
  <c r="H252" i="3"/>
  <c r="G252" i="3"/>
  <c r="F252" i="3"/>
  <c r="E252" i="3"/>
  <c r="D252" i="3"/>
  <c r="P251" i="3"/>
  <c r="O251" i="3"/>
  <c r="N251" i="3"/>
  <c r="M251" i="3"/>
  <c r="L251" i="3"/>
  <c r="K251" i="3"/>
  <c r="J251" i="3"/>
  <c r="I251" i="3"/>
  <c r="H251" i="3"/>
  <c r="G251" i="3"/>
  <c r="F251" i="3"/>
  <c r="E251" i="3"/>
  <c r="D251" i="3"/>
  <c r="P250" i="3"/>
  <c r="O250" i="3"/>
  <c r="N250" i="3"/>
  <c r="M250" i="3"/>
  <c r="L250" i="3"/>
  <c r="K250" i="3"/>
  <c r="J250" i="3"/>
  <c r="I250" i="3"/>
  <c r="H250" i="3"/>
  <c r="G250" i="3"/>
  <c r="F250" i="3"/>
  <c r="E250" i="3"/>
  <c r="D250" i="3"/>
  <c r="P237" i="3"/>
  <c r="O237" i="3"/>
  <c r="N237" i="3"/>
  <c r="M237" i="3"/>
  <c r="L237" i="3"/>
  <c r="K237" i="3"/>
  <c r="J237" i="3"/>
  <c r="I237" i="3"/>
  <c r="H237" i="3"/>
  <c r="G237" i="3"/>
  <c r="F237" i="3"/>
  <c r="E237" i="3"/>
  <c r="D237" i="3"/>
  <c r="P235" i="3"/>
  <c r="O235" i="3"/>
  <c r="N235" i="3"/>
  <c r="M235" i="3"/>
  <c r="L235" i="3"/>
  <c r="K235" i="3"/>
  <c r="J235" i="3"/>
  <c r="I235" i="3"/>
  <c r="H235" i="3"/>
  <c r="G235" i="3"/>
  <c r="F235" i="3"/>
  <c r="E235" i="3"/>
  <c r="D235" i="3"/>
  <c r="P224" i="3"/>
  <c r="O224" i="3"/>
  <c r="N224" i="3"/>
  <c r="M224" i="3"/>
  <c r="L224" i="3"/>
  <c r="K224" i="3"/>
  <c r="J224" i="3"/>
  <c r="I224" i="3"/>
  <c r="H224" i="3"/>
  <c r="G224" i="3"/>
  <c r="F224" i="3"/>
  <c r="E224" i="3"/>
  <c r="D224" i="3"/>
  <c r="P222" i="3"/>
  <c r="O222" i="3"/>
  <c r="N222" i="3"/>
  <c r="M222" i="3"/>
  <c r="L222" i="3"/>
  <c r="K222" i="3"/>
  <c r="J222" i="3"/>
  <c r="I222" i="3"/>
  <c r="H222" i="3"/>
  <c r="G222" i="3"/>
  <c r="F222" i="3"/>
  <c r="E222" i="3"/>
  <c r="D222" i="3"/>
  <c r="A216" i="3"/>
  <c r="P210" i="3"/>
  <c r="O210" i="3"/>
  <c r="N210" i="3"/>
  <c r="M210" i="3"/>
  <c r="L210" i="3"/>
  <c r="K210" i="3"/>
  <c r="J210" i="3"/>
  <c r="I210" i="3"/>
  <c r="H210" i="3"/>
  <c r="G210" i="3"/>
  <c r="F210" i="3"/>
  <c r="E210" i="3"/>
  <c r="D210" i="3"/>
  <c r="P209" i="3"/>
  <c r="O209" i="3"/>
  <c r="N209" i="3"/>
  <c r="M209" i="3"/>
  <c r="L209" i="3"/>
  <c r="K209" i="3"/>
  <c r="J209" i="3"/>
  <c r="I209" i="3"/>
  <c r="H209" i="3"/>
  <c r="G209" i="3"/>
  <c r="F209" i="3"/>
  <c r="E209" i="3"/>
  <c r="D209" i="3"/>
  <c r="P208" i="3"/>
  <c r="O208" i="3"/>
  <c r="N208" i="3"/>
  <c r="M208" i="3"/>
  <c r="L208" i="3"/>
  <c r="K208" i="3"/>
  <c r="J208" i="3"/>
  <c r="I208" i="3"/>
  <c r="H208" i="3"/>
  <c r="G208" i="3"/>
  <c r="F208" i="3"/>
  <c r="E208" i="3"/>
  <c r="D208" i="3"/>
  <c r="P195" i="3"/>
  <c r="O195" i="3"/>
  <c r="N195" i="3"/>
  <c r="M195" i="3"/>
  <c r="L195" i="3"/>
  <c r="K195" i="3"/>
  <c r="J195" i="3"/>
  <c r="I195" i="3"/>
  <c r="H195" i="3"/>
  <c r="G195" i="3"/>
  <c r="F195" i="3"/>
  <c r="E195" i="3"/>
  <c r="D195" i="3"/>
  <c r="P193" i="3"/>
  <c r="O193" i="3"/>
  <c r="N193" i="3"/>
  <c r="M193" i="3"/>
  <c r="L193" i="3"/>
  <c r="K193" i="3"/>
  <c r="J193" i="3"/>
  <c r="I193" i="3"/>
  <c r="H193" i="3"/>
  <c r="G193" i="3"/>
  <c r="F193" i="3"/>
  <c r="E193" i="3"/>
  <c r="D193" i="3"/>
  <c r="P182" i="3"/>
  <c r="O182" i="3"/>
  <c r="N182" i="3"/>
  <c r="M182" i="3"/>
  <c r="L182" i="3"/>
  <c r="K182" i="3"/>
  <c r="J182" i="3"/>
  <c r="I182" i="3"/>
  <c r="H182" i="3"/>
  <c r="G182" i="3"/>
  <c r="F182" i="3"/>
  <c r="E182" i="3"/>
  <c r="D182" i="3"/>
  <c r="P180" i="3"/>
  <c r="O180" i="3"/>
  <c r="N180" i="3"/>
  <c r="M180" i="3"/>
  <c r="L180" i="3"/>
  <c r="K180" i="3"/>
  <c r="J180" i="3"/>
  <c r="I180" i="3"/>
  <c r="H180" i="3"/>
  <c r="G180" i="3"/>
  <c r="F180" i="3"/>
  <c r="E180" i="3"/>
  <c r="D180" i="3"/>
  <c r="A174" i="3"/>
  <c r="P153" i="3"/>
  <c r="O153" i="3"/>
  <c r="N153" i="3"/>
  <c r="M153" i="3"/>
  <c r="L153" i="3"/>
  <c r="K153" i="3"/>
  <c r="J153" i="3"/>
  <c r="I153" i="3"/>
  <c r="H153" i="3"/>
  <c r="G153" i="3"/>
  <c r="F153" i="3"/>
  <c r="E153" i="3"/>
  <c r="D153" i="3"/>
  <c r="P151" i="3"/>
  <c r="O151" i="3"/>
  <c r="N151" i="3"/>
  <c r="M151" i="3"/>
  <c r="L151" i="3"/>
  <c r="K151" i="3"/>
  <c r="J151" i="3"/>
  <c r="I151" i="3"/>
  <c r="H151" i="3"/>
  <c r="G151" i="3"/>
  <c r="F151" i="3"/>
  <c r="E151" i="3"/>
  <c r="D151" i="3"/>
  <c r="P140" i="3"/>
  <c r="O140" i="3"/>
  <c r="N140" i="3"/>
  <c r="M140" i="3"/>
  <c r="L140" i="3"/>
  <c r="K140" i="3"/>
  <c r="J140" i="3"/>
  <c r="I140" i="3"/>
  <c r="H140" i="3"/>
  <c r="G140" i="3"/>
  <c r="F140" i="3"/>
  <c r="E140" i="3"/>
  <c r="D140" i="3"/>
  <c r="P137" i="3"/>
  <c r="O137" i="3"/>
  <c r="N137" i="3"/>
  <c r="M137" i="3"/>
  <c r="L137" i="3"/>
  <c r="K137" i="3"/>
  <c r="J137" i="3"/>
  <c r="I137" i="3"/>
  <c r="H137" i="3"/>
  <c r="G137" i="3"/>
  <c r="F137" i="3"/>
  <c r="E137" i="3"/>
  <c r="D137" i="3"/>
  <c r="P135" i="3"/>
  <c r="O135" i="3"/>
  <c r="N135" i="3"/>
  <c r="M135" i="3"/>
  <c r="L135" i="3"/>
  <c r="K135" i="3"/>
  <c r="J135" i="3"/>
  <c r="I135" i="3"/>
  <c r="H135" i="3"/>
  <c r="G135" i="3"/>
  <c r="F135" i="3"/>
  <c r="E135" i="3"/>
  <c r="D135" i="3"/>
  <c r="A132" i="3"/>
  <c r="P126" i="3"/>
  <c r="P168" i="3" s="1"/>
  <c r="O126" i="3"/>
  <c r="O168" i="3" s="1"/>
  <c r="N126" i="3"/>
  <c r="N168" i="3" s="1"/>
  <c r="M126" i="3"/>
  <c r="M168" i="3" s="1"/>
  <c r="L126" i="3"/>
  <c r="L168" i="3" s="1"/>
  <c r="K126" i="3"/>
  <c r="K168" i="3" s="1"/>
  <c r="J126" i="3"/>
  <c r="J168" i="3" s="1"/>
  <c r="I126" i="3"/>
  <c r="I168" i="3" s="1"/>
  <c r="H126" i="3"/>
  <c r="H168" i="3" s="1"/>
  <c r="G126" i="3"/>
  <c r="G168" i="3" s="1"/>
  <c r="F126" i="3"/>
  <c r="F168" i="3" s="1"/>
  <c r="E126" i="3"/>
  <c r="E168" i="3" s="1"/>
  <c r="D126" i="3"/>
  <c r="D168" i="3" s="1"/>
  <c r="P125" i="3"/>
  <c r="P167" i="3" s="1"/>
  <c r="O125" i="3"/>
  <c r="O167" i="3" s="1"/>
  <c r="N125" i="3"/>
  <c r="N167" i="3" s="1"/>
  <c r="M125" i="3"/>
  <c r="M167" i="3" s="1"/>
  <c r="L125" i="3"/>
  <c r="L167" i="3" s="1"/>
  <c r="K125" i="3"/>
  <c r="K167" i="3" s="1"/>
  <c r="J125" i="3"/>
  <c r="J167" i="3" s="1"/>
  <c r="I125" i="3"/>
  <c r="I167" i="3" s="1"/>
  <c r="H125" i="3"/>
  <c r="H167" i="3" s="1"/>
  <c r="G125" i="3"/>
  <c r="G167" i="3" s="1"/>
  <c r="F125" i="3"/>
  <c r="F167" i="3" s="1"/>
  <c r="E125" i="3"/>
  <c r="E167" i="3" s="1"/>
  <c r="D125" i="3"/>
  <c r="D167" i="3" s="1"/>
  <c r="P124" i="3"/>
  <c r="P166" i="3" s="1"/>
  <c r="O124" i="3"/>
  <c r="O166" i="3" s="1"/>
  <c r="N124" i="3"/>
  <c r="N166" i="3" s="1"/>
  <c r="M124" i="3"/>
  <c r="M166" i="3" s="1"/>
  <c r="L124" i="3"/>
  <c r="L166" i="3" s="1"/>
  <c r="K124" i="3"/>
  <c r="K166" i="3" s="1"/>
  <c r="J124" i="3"/>
  <c r="J166" i="3" s="1"/>
  <c r="I124" i="3"/>
  <c r="I166" i="3" s="1"/>
  <c r="H124" i="3"/>
  <c r="H166" i="3" s="1"/>
  <c r="G124" i="3"/>
  <c r="G166" i="3" s="1"/>
  <c r="F124" i="3"/>
  <c r="F166" i="3" s="1"/>
  <c r="E124" i="3"/>
  <c r="E166" i="3" s="1"/>
  <c r="D124" i="3"/>
  <c r="D166" i="3" s="1"/>
  <c r="P111" i="3"/>
  <c r="O111" i="3"/>
  <c r="N111" i="3"/>
  <c r="M111" i="3"/>
  <c r="L111" i="3"/>
  <c r="K111" i="3"/>
  <c r="J111" i="3"/>
  <c r="I111" i="3"/>
  <c r="H111" i="3"/>
  <c r="G111" i="3"/>
  <c r="F111" i="3"/>
  <c r="E111" i="3"/>
  <c r="D111" i="3"/>
  <c r="P109" i="3"/>
  <c r="O109" i="3"/>
  <c r="N109" i="3"/>
  <c r="M109" i="3"/>
  <c r="L109" i="3"/>
  <c r="K109" i="3"/>
  <c r="J109" i="3"/>
  <c r="I109" i="3"/>
  <c r="H109" i="3"/>
  <c r="G109" i="3"/>
  <c r="F109" i="3"/>
  <c r="E109" i="3"/>
  <c r="D109" i="3"/>
  <c r="P100" i="3"/>
  <c r="O100" i="3"/>
  <c r="N100" i="3"/>
  <c r="M100" i="3"/>
  <c r="L100" i="3"/>
  <c r="K100" i="3"/>
  <c r="J100" i="3"/>
  <c r="I100" i="3"/>
  <c r="H100" i="3"/>
  <c r="G100" i="3"/>
  <c r="F100" i="3"/>
  <c r="E100" i="3"/>
  <c r="D100" i="3"/>
  <c r="P98" i="3"/>
  <c r="O98" i="3"/>
  <c r="N98" i="3"/>
  <c r="M98" i="3"/>
  <c r="L98" i="3"/>
  <c r="K98" i="3"/>
  <c r="J98" i="3"/>
  <c r="I98" i="3"/>
  <c r="H98" i="3"/>
  <c r="G98" i="3"/>
  <c r="F98" i="3"/>
  <c r="E98" i="3"/>
  <c r="D98" i="3"/>
  <c r="P96" i="3"/>
  <c r="O96" i="3"/>
  <c r="N96" i="3"/>
  <c r="M96" i="3"/>
  <c r="L96" i="3"/>
  <c r="K96" i="3"/>
  <c r="J96" i="3"/>
  <c r="I96" i="3"/>
  <c r="H96" i="3"/>
  <c r="G96" i="3"/>
  <c r="F96" i="3"/>
  <c r="E96" i="3"/>
  <c r="D96" i="3"/>
  <c r="P95" i="3"/>
  <c r="O95" i="3"/>
  <c r="N95" i="3"/>
  <c r="M95" i="3"/>
  <c r="L95" i="3"/>
  <c r="K95" i="3"/>
  <c r="J95" i="3"/>
  <c r="I95" i="3"/>
  <c r="H95" i="3"/>
  <c r="G95" i="3"/>
  <c r="F95" i="3"/>
  <c r="E95" i="3"/>
  <c r="D95" i="3"/>
  <c r="P93" i="3"/>
  <c r="O93" i="3"/>
  <c r="N93" i="3"/>
  <c r="M93" i="3"/>
  <c r="L93" i="3"/>
  <c r="K93" i="3"/>
  <c r="J93" i="3"/>
  <c r="I93" i="3"/>
  <c r="H93" i="3"/>
  <c r="G93" i="3"/>
  <c r="F93" i="3"/>
  <c r="E93" i="3"/>
  <c r="D93" i="3"/>
  <c r="A90" i="3"/>
  <c r="P86" i="3"/>
  <c r="P128" i="3" s="1"/>
  <c r="P170" i="3" s="1"/>
  <c r="P212" i="3" s="1"/>
  <c r="P254" i="3" s="1"/>
  <c r="P296" i="3" s="1"/>
  <c r="P339" i="3" s="1"/>
  <c r="P381" i="3" s="1"/>
  <c r="O86" i="3"/>
  <c r="O128" i="3" s="1"/>
  <c r="O170" i="3" s="1"/>
  <c r="O212" i="3" s="1"/>
  <c r="O254" i="3" s="1"/>
  <c r="O296" i="3" s="1"/>
  <c r="O339" i="3" s="1"/>
  <c r="O381" i="3" s="1"/>
  <c r="N86" i="3"/>
  <c r="N128" i="3" s="1"/>
  <c r="N170" i="3" s="1"/>
  <c r="N212" i="3" s="1"/>
  <c r="N254" i="3" s="1"/>
  <c r="N296" i="3" s="1"/>
  <c r="N339" i="3" s="1"/>
  <c r="N381" i="3" s="1"/>
  <c r="M86" i="3"/>
  <c r="M128" i="3" s="1"/>
  <c r="M170" i="3" s="1"/>
  <c r="M212" i="3" s="1"/>
  <c r="M254" i="3" s="1"/>
  <c r="M296" i="3" s="1"/>
  <c r="M339" i="3" s="1"/>
  <c r="M381" i="3" s="1"/>
  <c r="L86" i="3"/>
  <c r="L128" i="3" s="1"/>
  <c r="L170" i="3" s="1"/>
  <c r="L212" i="3" s="1"/>
  <c r="L254" i="3" s="1"/>
  <c r="L296" i="3" s="1"/>
  <c r="L339" i="3" s="1"/>
  <c r="L381" i="3" s="1"/>
  <c r="K86" i="3"/>
  <c r="K128" i="3" s="1"/>
  <c r="K170" i="3" s="1"/>
  <c r="K212" i="3" s="1"/>
  <c r="K254" i="3" s="1"/>
  <c r="K296" i="3" s="1"/>
  <c r="K339" i="3" s="1"/>
  <c r="K381" i="3" s="1"/>
  <c r="J86" i="3"/>
  <c r="J128" i="3" s="1"/>
  <c r="J170" i="3" s="1"/>
  <c r="J212" i="3" s="1"/>
  <c r="J254" i="3" s="1"/>
  <c r="J296" i="3" s="1"/>
  <c r="J339" i="3" s="1"/>
  <c r="J381" i="3" s="1"/>
  <c r="I86" i="3"/>
  <c r="I128" i="3" s="1"/>
  <c r="I170" i="3" s="1"/>
  <c r="I212" i="3" s="1"/>
  <c r="I254" i="3" s="1"/>
  <c r="I296" i="3" s="1"/>
  <c r="I339" i="3" s="1"/>
  <c r="I381" i="3" s="1"/>
  <c r="H86" i="3"/>
  <c r="H128" i="3" s="1"/>
  <c r="H170" i="3" s="1"/>
  <c r="H212" i="3" s="1"/>
  <c r="H254" i="3" s="1"/>
  <c r="H296" i="3" s="1"/>
  <c r="H339" i="3" s="1"/>
  <c r="H381" i="3" s="1"/>
  <c r="G86" i="3"/>
  <c r="G128" i="3" s="1"/>
  <c r="G170" i="3" s="1"/>
  <c r="G212" i="3" s="1"/>
  <c r="G254" i="3" s="1"/>
  <c r="G296" i="3" s="1"/>
  <c r="G339" i="3" s="1"/>
  <c r="G381" i="3" s="1"/>
  <c r="F86" i="3"/>
  <c r="F128" i="3" s="1"/>
  <c r="F170" i="3" s="1"/>
  <c r="F212" i="3" s="1"/>
  <c r="F254" i="3" s="1"/>
  <c r="F296" i="3" s="1"/>
  <c r="F339" i="3" s="1"/>
  <c r="F381" i="3" s="1"/>
  <c r="E86" i="3"/>
  <c r="E128" i="3" s="1"/>
  <c r="E170" i="3" s="1"/>
  <c r="E212" i="3" s="1"/>
  <c r="E254" i="3" s="1"/>
  <c r="E296" i="3" s="1"/>
  <c r="E339" i="3" s="1"/>
  <c r="E381" i="3" s="1"/>
  <c r="D86" i="3"/>
  <c r="D128" i="3" s="1"/>
  <c r="D170" i="3" s="1"/>
  <c r="D212" i="3" s="1"/>
  <c r="D254" i="3" s="1"/>
  <c r="D296" i="3" s="1"/>
  <c r="D339" i="3" s="1"/>
  <c r="D381" i="3" s="1"/>
  <c r="P85" i="3"/>
  <c r="P127" i="3" s="1"/>
  <c r="P169" i="3" s="1"/>
  <c r="P211" i="3" s="1"/>
  <c r="P253" i="3" s="1"/>
  <c r="P295" i="3" s="1"/>
  <c r="P338" i="3" s="1"/>
  <c r="P380" i="3" s="1"/>
  <c r="O85" i="3"/>
  <c r="O127" i="3" s="1"/>
  <c r="O169" i="3" s="1"/>
  <c r="O211" i="3" s="1"/>
  <c r="O253" i="3" s="1"/>
  <c r="O295" i="3" s="1"/>
  <c r="O338" i="3" s="1"/>
  <c r="O380" i="3" s="1"/>
  <c r="N85" i="3"/>
  <c r="N127" i="3" s="1"/>
  <c r="N169" i="3" s="1"/>
  <c r="N211" i="3" s="1"/>
  <c r="N253" i="3" s="1"/>
  <c r="N295" i="3" s="1"/>
  <c r="N338" i="3" s="1"/>
  <c r="N380" i="3" s="1"/>
  <c r="M85" i="3"/>
  <c r="M127" i="3" s="1"/>
  <c r="M169" i="3" s="1"/>
  <c r="M211" i="3" s="1"/>
  <c r="M253" i="3" s="1"/>
  <c r="M295" i="3" s="1"/>
  <c r="M338" i="3" s="1"/>
  <c r="M380" i="3" s="1"/>
  <c r="L85" i="3"/>
  <c r="L127" i="3" s="1"/>
  <c r="L169" i="3" s="1"/>
  <c r="L211" i="3" s="1"/>
  <c r="L253" i="3" s="1"/>
  <c r="L295" i="3" s="1"/>
  <c r="L338" i="3" s="1"/>
  <c r="L380" i="3" s="1"/>
  <c r="K85" i="3"/>
  <c r="K127" i="3" s="1"/>
  <c r="K169" i="3" s="1"/>
  <c r="K211" i="3" s="1"/>
  <c r="K253" i="3" s="1"/>
  <c r="K295" i="3" s="1"/>
  <c r="K338" i="3" s="1"/>
  <c r="K380" i="3" s="1"/>
  <c r="J85" i="3"/>
  <c r="J127" i="3" s="1"/>
  <c r="J169" i="3" s="1"/>
  <c r="J211" i="3" s="1"/>
  <c r="J253" i="3" s="1"/>
  <c r="J295" i="3" s="1"/>
  <c r="J338" i="3" s="1"/>
  <c r="J380" i="3" s="1"/>
  <c r="I85" i="3"/>
  <c r="I127" i="3" s="1"/>
  <c r="I169" i="3" s="1"/>
  <c r="I211" i="3" s="1"/>
  <c r="I253" i="3" s="1"/>
  <c r="I295" i="3" s="1"/>
  <c r="I338" i="3" s="1"/>
  <c r="I380" i="3" s="1"/>
  <c r="H85" i="3"/>
  <c r="H127" i="3" s="1"/>
  <c r="H169" i="3" s="1"/>
  <c r="H211" i="3" s="1"/>
  <c r="H253" i="3" s="1"/>
  <c r="H295" i="3" s="1"/>
  <c r="H338" i="3" s="1"/>
  <c r="H380" i="3" s="1"/>
  <c r="G85" i="3"/>
  <c r="G127" i="3" s="1"/>
  <c r="G169" i="3" s="1"/>
  <c r="G211" i="3" s="1"/>
  <c r="G253" i="3" s="1"/>
  <c r="G295" i="3" s="1"/>
  <c r="G338" i="3" s="1"/>
  <c r="G380" i="3" s="1"/>
  <c r="F85" i="3"/>
  <c r="F127" i="3" s="1"/>
  <c r="F169" i="3" s="1"/>
  <c r="F211" i="3" s="1"/>
  <c r="F253" i="3" s="1"/>
  <c r="F295" i="3" s="1"/>
  <c r="F338" i="3" s="1"/>
  <c r="F380" i="3" s="1"/>
  <c r="E85" i="3"/>
  <c r="E127" i="3" s="1"/>
  <c r="E169" i="3" s="1"/>
  <c r="E211" i="3" s="1"/>
  <c r="E253" i="3" s="1"/>
  <c r="E295" i="3" s="1"/>
  <c r="E338" i="3" s="1"/>
  <c r="E380" i="3" s="1"/>
  <c r="D85" i="3"/>
  <c r="D127" i="3" s="1"/>
  <c r="D169" i="3" s="1"/>
  <c r="D211" i="3" s="1"/>
  <c r="D253" i="3" s="1"/>
  <c r="D295" i="3" s="1"/>
  <c r="D338" i="3" s="1"/>
  <c r="D380" i="3" s="1"/>
  <c r="P84" i="3"/>
  <c r="O84" i="3"/>
  <c r="N84" i="3"/>
  <c r="M84" i="3"/>
  <c r="L84" i="3"/>
  <c r="K84" i="3"/>
  <c r="J84" i="3"/>
  <c r="I84" i="3"/>
  <c r="H84" i="3"/>
  <c r="G84" i="3"/>
  <c r="F84" i="3"/>
  <c r="E84" i="3"/>
  <c r="D84" i="3"/>
  <c r="P83" i="3"/>
  <c r="O83" i="3"/>
  <c r="N83" i="3"/>
  <c r="M83" i="3"/>
  <c r="L83" i="3"/>
  <c r="K83" i="3"/>
  <c r="J83" i="3"/>
  <c r="I83" i="3"/>
  <c r="H83" i="3"/>
  <c r="G83" i="3"/>
  <c r="F83" i="3"/>
  <c r="E83" i="3"/>
  <c r="D83" i="3"/>
  <c r="P82" i="3"/>
  <c r="O82" i="3"/>
  <c r="N82" i="3"/>
  <c r="M82" i="3"/>
  <c r="L82" i="3"/>
  <c r="K82" i="3"/>
  <c r="J82" i="3"/>
  <c r="I82" i="3"/>
  <c r="H82" i="3"/>
  <c r="G82" i="3"/>
  <c r="F82" i="3"/>
  <c r="E82" i="3"/>
  <c r="D82" i="3"/>
  <c r="P80" i="3"/>
  <c r="P122" i="3" s="1"/>
  <c r="P164" i="3" s="1"/>
  <c r="P206" i="3" s="1"/>
  <c r="P248" i="3" s="1"/>
  <c r="P290" i="3" s="1"/>
  <c r="P333" i="3" s="1"/>
  <c r="P375" i="3" s="1"/>
  <c r="O80" i="3"/>
  <c r="O122" i="3" s="1"/>
  <c r="O164" i="3" s="1"/>
  <c r="O206" i="3" s="1"/>
  <c r="O248" i="3" s="1"/>
  <c r="O290" i="3" s="1"/>
  <c r="O333" i="3" s="1"/>
  <c r="O375" i="3" s="1"/>
  <c r="N80" i="3"/>
  <c r="N122" i="3" s="1"/>
  <c r="N164" i="3" s="1"/>
  <c r="N206" i="3" s="1"/>
  <c r="N248" i="3" s="1"/>
  <c r="N290" i="3" s="1"/>
  <c r="N333" i="3" s="1"/>
  <c r="N375" i="3" s="1"/>
  <c r="M80" i="3"/>
  <c r="M122" i="3" s="1"/>
  <c r="M164" i="3" s="1"/>
  <c r="M206" i="3" s="1"/>
  <c r="M248" i="3" s="1"/>
  <c r="M290" i="3" s="1"/>
  <c r="M333" i="3" s="1"/>
  <c r="M375" i="3" s="1"/>
  <c r="L80" i="3"/>
  <c r="L122" i="3" s="1"/>
  <c r="L164" i="3" s="1"/>
  <c r="L206" i="3" s="1"/>
  <c r="L248" i="3" s="1"/>
  <c r="L290" i="3" s="1"/>
  <c r="L333" i="3" s="1"/>
  <c r="L375" i="3" s="1"/>
  <c r="K80" i="3"/>
  <c r="K122" i="3" s="1"/>
  <c r="K164" i="3" s="1"/>
  <c r="K206" i="3" s="1"/>
  <c r="K248" i="3" s="1"/>
  <c r="K290" i="3" s="1"/>
  <c r="K333" i="3" s="1"/>
  <c r="K375" i="3" s="1"/>
  <c r="J80" i="3"/>
  <c r="J122" i="3" s="1"/>
  <c r="J164" i="3" s="1"/>
  <c r="J206" i="3" s="1"/>
  <c r="J248" i="3" s="1"/>
  <c r="J290" i="3" s="1"/>
  <c r="J333" i="3" s="1"/>
  <c r="J375" i="3" s="1"/>
  <c r="I80" i="3"/>
  <c r="I122" i="3" s="1"/>
  <c r="I164" i="3" s="1"/>
  <c r="I206" i="3" s="1"/>
  <c r="I248" i="3" s="1"/>
  <c r="I290" i="3" s="1"/>
  <c r="I333" i="3" s="1"/>
  <c r="I375" i="3" s="1"/>
  <c r="H80" i="3"/>
  <c r="H122" i="3" s="1"/>
  <c r="H164" i="3" s="1"/>
  <c r="H206" i="3" s="1"/>
  <c r="H248" i="3" s="1"/>
  <c r="H290" i="3" s="1"/>
  <c r="H333" i="3" s="1"/>
  <c r="H375" i="3" s="1"/>
  <c r="G80" i="3"/>
  <c r="G122" i="3" s="1"/>
  <c r="G164" i="3" s="1"/>
  <c r="G206" i="3" s="1"/>
  <c r="G248" i="3" s="1"/>
  <c r="G290" i="3" s="1"/>
  <c r="G333" i="3" s="1"/>
  <c r="G375" i="3" s="1"/>
  <c r="F80" i="3"/>
  <c r="F122" i="3" s="1"/>
  <c r="F164" i="3" s="1"/>
  <c r="F206" i="3" s="1"/>
  <c r="F248" i="3" s="1"/>
  <c r="F290" i="3" s="1"/>
  <c r="F333" i="3" s="1"/>
  <c r="F375" i="3" s="1"/>
  <c r="E80" i="3"/>
  <c r="E122" i="3" s="1"/>
  <c r="E164" i="3" s="1"/>
  <c r="E206" i="3" s="1"/>
  <c r="E248" i="3" s="1"/>
  <c r="E290" i="3" s="1"/>
  <c r="E333" i="3" s="1"/>
  <c r="E375" i="3" s="1"/>
  <c r="D80" i="3"/>
  <c r="D122" i="3" s="1"/>
  <c r="D164" i="3" s="1"/>
  <c r="D206" i="3" s="1"/>
  <c r="D248" i="3" s="1"/>
  <c r="D290" i="3" s="1"/>
  <c r="D333" i="3" s="1"/>
  <c r="D375" i="3" s="1"/>
  <c r="P79" i="3"/>
  <c r="P121" i="3" s="1"/>
  <c r="P163" i="3" s="1"/>
  <c r="P205" i="3" s="1"/>
  <c r="P247" i="3" s="1"/>
  <c r="P289" i="3" s="1"/>
  <c r="P332" i="3" s="1"/>
  <c r="P374" i="3" s="1"/>
  <c r="O79" i="3"/>
  <c r="O121" i="3" s="1"/>
  <c r="O163" i="3" s="1"/>
  <c r="O205" i="3" s="1"/>
  <c r="O247" i="3" s="1"/>
  <c r="O289" i="3" s="1"/>
  <c r="O332" i="3" s="1"/>
  <c r="O374" i="3" s="1"/>
  <c r="N79" i="3"/>
  <c r="N121" i="3" s="1"/>
  <c r="N163" i="3" s="1"/>
  <c r="N205" i="3" s="1"/>
  <c r="N247" i="3" s="1"/>
  <c r="N289" i="3" s="1"/>
  <c r="N332" i="3" s="1"/>
  <c r="N374" i="3" s="1"/>
  <c r="M79" i="3"/>
  <c r="M121" i="3" s="1"/>
  <c r="M163" i="3" s="1"/>
  <c r="M205" i="3" s="1"/>
  <c r="M247" i="3" s="1"/>
  <c r="M289" i="3" s="1"/>
  <c r="M332" i="3" s="1"/>
  <c r="M374" i="3" s="1"/>
  <c r="L79" i="3"/>
  <c r="L121" i="3" s="1"/>
  <c r="L163" i="3" s="1"/>
  <c r="L205" i="3" s="1"/>
  <c r="L247" i="3" s="1"/>
  <c r="L289" i="3" s="1"/>
  <c r="L332" i="3" s="1"/>
  <c r="L374" i="3" s="1"/>
  <c r="K79" i="3"/>
  <c r="K121" i="3" s="1"/>
  <c r="K163" i="3" s="1"/>
  <c r="K205" i="3" s="1"/>
  <c r="K247" i="3" s="1"/>
  <c r="K289" i="3" s="1"/>
  <c r="K332" i="3" s="1"/>
  <c r="K374" i="3" s="1"/>
  <c r="J79" i="3"/>
  <c r="J121" i="3" s="1"/>
  <c r="J163" i="3" s="1"/>
  <c r="J205" i="3" s="1"/>
  <c r="J247" i="3" s="1"/>
  <c r="J289" i="3" s="1"/>
  <c r="J332" i="3" s="1"/>
  <c r="J374" i="3" s="1"/>
  <c r="I79" i="3"/>
  <c r="I121" i="3" s="1"/>
  <c r="I163" i="3" s="1"/>
  <c r="I205" i="3" s="1"/>
  <c r="I247" i="3" s="1"/>
  <c r="I289" i="3" s="1"/>
  <c r="I332" i="3" s="1"/>
  <c r="I374" i="3" s="1"/>
  <c r="H79" i="3"/>
  <c r="H121" i="3" s="1"/>
  <c r="H163" i="3" s="1"/>
  <c r="H205" i="3" s="1"/>
  <c r="H247" i="3" s="1"/>
  <c r="H289" i="3" s="1"/>
  <c r="H332" i="3" s="1"/>
  <c r="H374" i="3" s="1"/>
  <c r="G79" i="3"/>
  <c r="G121" i="3" s="1"/>
  <c r="G163" i="3" s="1"/>
  <c r="G205" i="3" s="1"/>
  <c r="G247" i="3" s="1"/>
  <c r="G289" i="3" s="1"/>
  <c r="G332" i="3" s="1"/>
  <c r="G374" i="3" s="1"/>
  <c r="F79" i="3"/>
  <c r="F121" i="3" s="1"/>
  <c r="F163" i="3" s="1"/>
  <c r="F205" i="3" s="1"/>
  <c r="F247" i="3" s="1"/>
  <c r="F289" i="3" s="1"/>
  <c r="F332" i="3" s="1"/>
  <c r="F374" i="3" s="1"/>
  <c r="E79" i="3"/>
  <c r="E121" i="3" s="1"/>
  <c r="E163" i="3" s="1"/>
  <c r="E205" i="3" s="1"/>
  <c r="E247" i="3" s="1"/>
  <c r="E289" i="3" s="1"/>
  <c r="E332" i="3" s="1"/>
  <c r="E374" i="3" s="1"/>
  <c r="D79" i="3"/>
  <c r="D121" i="3" s="1"/>
  <c r="D163" i="3" s="1"/>
  <c r="D205" i="3" s="1"/>
  <c r="D247" i="3" s="1"/>
  <c r="D289" i="3" s="1"/>
  <c r="D332" i="3" s="1"/>
  <c r="D374" i="3" s="1"/>
  <c r="P78" i="3"/>
  <c r="P120" i="3" s="1"/>
  <c r="P162" i="3" s="1"/>
  <c r="P204" i="3" s="1"/>
  <c r="P246" i="3" s="1"/>
  <c r="P288" i="3" s="1"/>
  <c r="P331" i="3" s="1"/>
  <c r="P373" i="3" s="1"/>
  <c r="O78" i="3"/>
  <c r="O120" i="3" s="1"/>
  <c r="O162" i="3" s="1"/>
  <c r="O204" i="3" s="1"/>
  <c r="O246" i="3" s="1"/>
  <c r="O288" i="3" s="1"/>
  <c r="O331" i="3" s="1"/>
  <c r="O373" i="3" s="1"/>
  <c r="N78" i="3"/>
  <c r="N120" i="3" s="1"/>
  <c r="N162" i="3" s="1"/>
  <c r="N204" i="3" s="1"/>
  <c r="N246" i="3" s="1"/>
  <c r="N288" i="3" s="1"/>
  <c r="N331" i="3" s="1"/>
  <c r="N373" i="3" s="1"/>
  <c r="M78" i="3"/>
  <c r="M120" i="3" s="1"/>
  <c r="M162" i="3" s="1"/>
  <c r="M204" i="3" s="1"/>
  <c r="M246" i="3" s="1"/>
  <c r="M288" i="3" s="1"/>
  <c r="M331" i="3" s="1"/>
  <c r="M373" i="3" s="1"/>
  <c r="L78" i="3"/>
  <c r="L120" i="3" s="1"/>
  <c r="L162" i="3" s="1"/>
  <c r="L204" i="3" s="1"/>
  <c r="L246" i="3" s="1"/>
  <c r="L288" i="3" s="1"/>
  <c r="L331" i="3" s="1"/>
  <c r="L373" i="3" s="1"/>
  <c r="K78" i="3"/>
  <c r="K120" i="3" s="1"/>
  <c r="K162" i="3" s="1"/>
  <c r="K204" i="3" s="1"/>
  <c r="K246" i="3" s="1"/>
  <c r="K288" i="3" s="1"/>
  <c r="K331" i="3" s="1"/>
  <c r="K373" i="3" s="1"/>
  <c r="J78" i="3"/>
  <c r="J120" i="3" s="1"/>
  <c r="J162" i="3" s="1"/>
  <c r="J204" i="3" s="1"/>
  <c r="J246" i="3" s="1"/>
  <c r="J288" i="3" s="1"/>
  <c r="J331" i="3" s="1"/>
  <c r="J373" i="3" s="1"/>
  <c r="I78" i="3"/>
  <c r="I120" i="3" s="1"/>
  <c r="I162" i="3" s="1"/>
  <c r="I204" i="3" s="1"/>
  <c r="I246" i="3" s="1"/>
  <c r="I288" i="3" s="1"/>
  <c r="I331" i="3" s="1"/>
  <c r="I373" i="3" s="1"/>
  <c r="H78" i="3"/>
  <c r="H120" i="3" s="1"/>
  <c r="H162" i="3" s="1"/>
  <c r="H204" i="3" s="1"/>
  <c r="H246" i="3" s="1"/>
  <c r="H288" i="3" s="1"/>
  <c r="H331" i="3" s="1"/>
  <c r="H373" i="3" s="1"/>
  <c r="G78" i="3"/>
  <c r="G120" i="3" s="1"/>
  <c r="G162" i="3" s="1"/>
  <c r="G204" i="3" s="1"/>
  <c r="G246" i="3" s="1"/>
  <c r="G288" i="3" s="1"/>
  <c r="G331" i="3" s="1"/>
  <c r="G373" i="3" s="1"/>
  <c r="F78" i="3"/>
  <c r="F120" i="3" s="1"/>
  <c r="F162" i="3" s="1"/>
  <c r="F204" i="3" s="1"/>
  <c r="F246" i="3" s="1"/>
  <c r="F288" i="3" s="1"/>
  <c r="F331" i="3" s="1"/>
  <c r="F373" i="3" s="1"/>
  <c r="E78" i="3"/>
  <c r="E120" i="3" s="1"/>
  <c r="E162" i="3" s="1"/>
  <c r="E204" i="3" s="1"/>
  <c r="E246" i="3" s="1"/>
  <c r="E288" i="3" s="1"/>
  <c r="E331" i="3" s="1"/>
  <c r="E373" i="3" s="1"/>
  <c r="D78" i="3"/>
  <c r="D120" i="3" s="1"/>
  <c r="D162" i="3" s="1"/>
  <c r="D204" i="3" s="1"/>
  <c r="D246" i="3" s="1"/>
  <c r="D288" i="3" s="1"/>
  <c r="D331" i="3" s="1"/>
  <c r="D373" i="3" s="1"/>
  <c r="P77" i="3"/>
  <c r="P119" i="3" s="1"/>
  <c r="P161" i="3" s="1"/>
  <c r="P203" i="3" s="1"/>
  <c r="P245" i="3" s="1"/>
  <c r="P287" i="3" s="1"/>
  <c r="P330" i="3" s="1"/>
  <c r="P372" i="3" s="1"/>
  <c r="O77" i="3"/>
  <c r="O119" i="3" s="1"/>
  <c r="O161" i="3" s="1"/>
  <c r="O203" i="3" s="1"/>
  <c r="O245" i="3" s="1"/>
  <c r="O287" i="3" s="1"/>
  <c r="O330" i="3" s="1"/>
  <c r="O372" i="3" s="1"/>
  <c r="N77" i="3"/>
  <c r="N119" i="3" s="1"/>
  <c r="N161" i="3" s="1"/>
  <c r="N203" i="3" s="1"/>
  <c r="N245" i="3" s="1"/>
  <c r="N287" i="3" s="1"/>
  <c r="N330" i="3" s="1"/>
  <c r="N372" i="3" s="1"/>
  <c r="M77" i="3"/>
  <c r="M119" i="3" s="1"/>
  <c r="M161" i="3" s="1"/>
  <c r="M203" i="3" s="1"/>
  <c r="M245" i="3" s="1"/>
  <c r="M287" i="3" s="1"/>
  <c r="M330" i="3" s="1"/>
  <c r="M372" i="3" s="1"/>
  <c r="L77" i="3"/>
  <c r="L119" i="3" s="1"/>
  <c r="L161" i="3" s="1"/>
  <c r="L203" i="3" s="1"/>
  <c r="L245" i="3" s="1"/>
  <c r="L287" i="3" s="1"/>
  <c r="L330" i="3" s="1"/>
  <c r="L372" i="3" s="1"/>
  <c r="K77" i="3"/>
  <c r="K119" i="3" s="1"/>
  <c r="K161" i="3" s="1"/>
  <c r="K203" i="3" s="1"/>
  <c r="K245" i="3" s="1"/>
  <c r="K287" i="3" s="1"/>
  <c r="K330" i="3" s="1"/>
  <c r="K372" i="3" s="1"/>
  <c r="J77" i="3"/>
  <c r="J119" i="3" s="1"/>
  <c r="J161" i="3" s="1"/>
  <c r="J203" i="3" s="1"/>
  <c r="J245" i="3" s="1"/>
  <c r="J287" i="3" s="1"/>
  <c r="J330" i="3" s="1"/>
  <c r="J372" i="3" s="1"/>
  <c r="I77" i="3"/>
  <c r="I119" i="3" s="1"/>
  <c r="I161" i="3" s="1"/>
  <c r="I203" i="3" s="1"/>
  <c r="I245" i="3" s="1"/>
  <c r="I287" i="3" s="1"/>
  <c r="I330" i="3" s="1"/>
  <c r="I372" i="3" s="1"/>
  <c r="H77" i="3"/>
  <c r="H119" i="3" s="1"/>
  <c r="H161" i="3" s="1"/>
  <c r="H203" i="3" s="1"/>
  <c r="H245" i="3" s="1"/>
  <c r="H287" i="3" s="1"/>
  <c r="H330" i="3" s="1"/>
  <c r="H372" i="3" s="1"/>
  <c r="G77" i="3"/>
  <c r="G119" i="3" s="1"/>
  <c r="G161" i="3" s="1"/>
  <c r="G203" i="3" s="1"/>
  <c r="G245" i="3" s="1"/>
  <c r="G287" i="3" s="1"/>
  <c r="G330" i="3" s="1"/>
  <c r="G372" i="3" s="1"/>
  <c r="F77" i="3"/>
  <c r="F119" i="3" s="1"/>
  <c r="F161" i="3" s="1"/>
  <c r="F203" i="3" s="1"/>
  <c r="F245" i="3" s="1"/>
  <c r="F287" i="3" s="1"/>
  <c r="F330" i="3" s="1"/>
  <c r="F372" i="3" s="1"/>
  <c r="E77" i="3"/>
  <c r="E119" i="3" s="1"/>
  <c r="E161" i="3" s="1"/>
  <c r="E203" i="3" s="1"/>
  <c r="E245" i="3" s="1"/>
  <c r="E287" i="3" s="1"/>
  <c r="E330" i="3" s="1"/>
  <c r="E372" i="3" s="1"/>
  <c r="D77" i="3"/>
  <c r="D119" i="3" s="1"/>
  <c r="D161" i="3" s="1"/>
  <c r="D203" i="3" s="1"/>
  <c r="D245" i="3" s="1"/>
  <c r="D287" i="3" s="1"/>
  <c r="D330" i="3" s="1"/>
  <c r="D372" i="3" s="1"/>
  <c r="P76" i="3"/>
  <c r="P118" i="3" s="1"/>
  <c r="P160" i="3" s="1"/>
  <c r="P202" i="3" s="1"/>
  <c r="P244" i="3" s="1"/>
  <c r="P286" i="3" s="1"/>
  <c r="P329" i="3" s="1"/>
  <c r="P371" i="3" s="1"/>
  <c r="O76" i="3"/>
  <c r="O118" i="3" s="1"/>
  <c r="O160" i="3" s="1"/>
  <c r="O202" i="3" s="1"/>
  <c r="O244" i="3" s="1"/>
  <c r="O286" i="3" s="1"/>
  <c r="O329" i="3" s="1"/>
  <c r="O371" i="3" s="1"/>
  <c r="N76" i="3"/>
  <c r="N118" i="3" s="1"/>
  <c r="N160" i="3" s="1"/>
  <c r="N202" i="3" s="1"/>
  <c r="N244" i="3" s="1"/>
  <c r="N286" i="3" s="1"/>
  <c r="N329" i="3" s="1"/>
  <c r="N371" i="3" s="1"/>
  <c r="M76" i="3"/>
  <c r="M118" i="3" s="1"/>
  <c r="M160" i="3" s="1"/>
  <c r="M202" i="3" s="1"/>
  <c r="M244" i="3" s="1"/>
  <c r="M286" i="3" s="1"/>
  <c r="M329" i="3" s="1"/>
  <c r="M371" i="3" s="1"/>
  <c r="L76" i="3"/>
  <c r="L118" i="3" s="1"/>
  <c r="L160" i="3" s="1"/>
  <c r="L202" i="3" s="1"/>
  <c r="L244" i="3" s="1"/>
  <c r="L286" i="3" s="1"/>
  <c r="L329" i="3" s="1"/>
  <c r="L371" i="3" s="1"/>
  <c r="K76" i="3"/>
  <c r="K118" i="3" s="1"/>
  <c r="K160" i="3" s="1"/>
  <c r="K202" i="3" s="1"/>
  <c r="K244" i="3" s="1"/>
  <c r="K286" i="3" s="1"/>
  <c r="K329" i="3" s="1"/>
  <c r="K371" i="3" s="1"/>
  <c r="J76" i="3"/>
  <c r="J118" i="3" s="1"/>
  <c r="J160" i="3" s="1"/>
  <c r="J202" i="3" s="1"/>
  <c r="J244" i="3" s="1"/>
  <c r="J286" i="3" s="1"/>
  <c r="J329" i="3" s="1"/>
  <c r="J371" i="3" s="1"/>
  <c r="I76" i="3"/>
  <c r="I118" i="3" s="1"/>
  <c r="I160" i="3" s="1"/>
  <c r="I202" i="3" s="1"/>
  <c r="I244" i="3" s="1"/>
  <c r="I286" i="3" s="1"/>
  <c r="I329" i="3" s="1"/>
  <c r="I371" i="3" s="1"/>
  <c r="H76" i="3"/>
  <c r="H118" i="3" s="1"/>
  <c r="H160" i="3" s="1"/>
  <c r="H202" i="3" s="1"/>
  <c r="H244" i="3" s="1"/>
  <c r="H286" i="3" s="1"/>
  <c r="H329" i="3" s="1"/>
  <c r="H371" i="3" s="1"/>
  <c r="G76" i="3"/>
  <c r="G118" i="3" s="1"/>
  <c r="G160" i="3" s="1"/>
  <c r="G202" i="3" s="1"/>
  <c r="G244" i="3" s="1"/>
  <c r="G286" i="3" s="1"/>
  <c r="G329" i="3" s="1"/>
  <c r="G371" i="3" s="1"/>
  <c r="F76" i="3"/>
  <c r="F118" i="3" s="1"/>
  <c r="F160" i="3" s="1"/>
  <c r="F202" i="3" s="1"/>
  <c r="F244" i="3" s="1"/>
  <c r="F286" i="3" s="1"/>
  <c r="F329" i="3" s="1"/>
  <c r="F371" i="3" s="1"/>
  <c r="E76" i="3"/>
  <c r="E118" i="3" s="1"/>
  <c r="E160" i="3" s="1"/>
  <c r="E202" i="3" s="1"/>
  <c r="E244" i="3" s="1"/>
  <c r="E286" i="3" s="1"/>
  <c r="E329" i="3" s="1"/>
  <c r="E371" i="3" s="1"/>
  <c r="D76" i="3"/>
  <c r="D118" i="3" s="1"/>
  <c r="D160" i="3" s="1"/>
  <c r="D202" i="3" s="1"/>
  <c r="D244" i="3" s="1"/>
  <c r="D286" i="3" s="1"/>
  <c r="D329" i="3" s="1"/>
  <c r="D371" i="3" s="1"/>
  <c r="P70" i="3"/>
  <c r="O70" i="3"/>
  <c r="N70" i="3"/>
  <c r="M70" i="3"/>
  <c r="L70" i="3"/>
  <c r="K70" i="3"/>
  <c r="J70" i="3"/>
  <c r="I70" i="3"/>
  <c r="H70" i="3"/>
  <c r="G70" i="3"/>
  <c r="F70" i="3"/>
  <c r="E70" i="3"/>
  <c r="D70" i="3"/>
  <c r="P69" i="3"/>
  <c r="O69" i="3"/>
  <c r="N69" i="3"/>
  <c r="M69" i="3"/>
  <c r="L69" i="3"/>
  <c r="K69" i="3"/>
  <c r="J69" i="3"/>
  <c r="I69" i="3"/>
  <c r="H69" i="3"/>
  <c r="G69" i="3"/>
  <c r="F69" i="3"/>
  <c r="E69" i="3"/>
  <c r="D69" i="3"/>
  <c r="P67" i="3"/>
  <c r="O67" i="3"/>
  <c r="N67" i="3"/>
  <c r="M67" i="3"/>
  <c r="L67" i="3"/>
  <c r="K67" i="3"/>
  <c r="J67" i="3"/>
  <c r="I67" i="3"/>
  <c r="H67" i="3"/>
  <c r="G67" i="3"/>
  <c r="F67" i="3"/>
  <c r="E67" i="3"/>
  <c r="D67" i="3"/>
  <c r="P56" i="3"/>
  <c r="O56" i="3"/>
  <c r="N56" i="3"/>
  <c r="M56" i="3"/>
  <c r="L56" i="3"/>
  <c r="K56" i="3"/>
  <c r="J56" i="3"/>
  <c r="I56" i="3"/>
  <c r="H56" i="3"/>
  <c r="G56" i="3"/>
  <c r="F56" i="3"/>
  <c r="E56" i="3"/>
  <c r="D56" i="3"/>
  <c r="P53" i="3"/>
  <c r="O53" i="3"/>
  <c r="N53" i="3"/>
  <c r="M53" i="3"/>
  <c r="L53" i="3"/>
  <c r="K53" i="3"/>
  <c r="J53" i="3"/>
  <c r="I53" i="3"/>
  <c r="H53" i="3"/>
  <c r="G53" i="3"/>
  <c r="F53" i="3"/>
  <c r="E53" i="3"/>
  <c r="D53" i="3"/>
  <c r="P49" i="3"/>
  <c r="P91" i="3" s="1"/>
  <c r="P133" i="3" s="1"/>
  <c r="P175" i="3" s="1"/>
  <c r="P217" i="3" s="1"/>
  <c r="P259" i="3" s="1"/>
  <c r="P301" i="3" s="1"/>
  <c r="P344" i="3" s="1"/>
  <c r="P387" i="3" s="1"/>
  <c r="O49" i="3"/>
  <c r="O91" i="3" s="1"/>
  <c r="O133" i="3" s="1"/>
  <c r="O175" i="3" s="1"/>
  <c r="O217" i="3" s="1"/>
  <c r="O259" i="3" s="1"/>
  <c r="O301" i="3" s="1"/>
  <c r="O344" i="3" s="1"/>
  <c r="O387" i="3" s="1"/>
  <c r="N49" i="3"/>
  <c r="N91" i="3" s="1"/>
  <c r="N133" i="3" s="1"/>
  <c r="N175" i="3" s="1"/>
  <c r="N217" i="3" s="1"/>
  <c r="N259" i="3" s="1"/>
  <c r="N301" i="3" s="1"/>
  <c r="N344" i="3" s="1"/>
  <c r="N387" i="3" s="1"/>
  <c r="M49" i="3"/>
  <c r="M91" i="3" s="1"/>
  <c r="M133" i="3" s="1"/>
  <c r="M175" i="3" s="1"/>
  <c r="M217" i="3" s="1"/>
  <c r="M259" i="3" s="1"/>
  <c r="M301" i="3" s="1"/>
  <c r="M344" i="3" s="1"/>
  <c r="M387" i="3" s="1"/>
  <c r="L49" i="3"/>
  <c r="L91" i="3" s="1"/>
  <c r="L133" i="3" s="1"/>
  <c r="L175" i="3" s="1"/>
  <c r="L217" i="3" s="1"/>
  <c r="L259" i="3" s="1"/>
  <c r="L301" i="3" s="1"/>
  <c r="L344" i="3" s="1"/>
  <c r="L387" i="3" s="1"/>
  <c r="K49" i="3"/>
  <c r="K91" i="3" s="1"/>
  <c r="K133" i="3" s="1"/>
  <c r="K175" i="3" s="1"/>
  <c r="K217" i="3" s="1"/>
  <c r="K259" i="3" s="1"/>
  <c r="K301" i="3" s="1"/>
  <c r="K344" i="3" s="1"/>
  <c r="K387" i="3" s="1"/>
  <c r="J49" i="3"/>
  <c r="J91" i="3" s="1"/>
  <c r="J133" i="3" s="1"/>
  <c r="J175" i="3" s="1"/>
  <c r="J217" i="3" s="1"/>
  <c r="J259" i="3" s="1"/>
  <c r="J301" i="3" s="1"/>
  <c r="J344" i="3" s="1"/>
  <c r="J387" i="3" s="1"/>
  <c r="I49" i="3"/>
  <c r="I91" i="3" s="1"/>
  <c r="I133" i="3" s="1"/>
  <c r="I175" i="3" s="1"/>
  <c r="I217" i="3" s="1"/>
  <c r="I259" i="3" s="1"/>
  <c r="I301" i="3" s="1"/>
  <c r="I344" i="3" s="1"/>
  <c r="I387" i="3" s="1"/>
  <c r="H49" i="3"/>
  <c r="H91" i="3" s="1"/>
  <c r="H133" i="3" s="1"/>
  <c r="H175" i="3" s="1"/>
  <c r="H217" i="3" s="1"/>
  <c r="H259" i="3" s="1"/>
  <c r="H301" i="3" s="1"/>
  <c r="H344" i="3" s="1"/>
  <c r="H387" i="3" s="1"/>
  <c r="G49" i="3"/>
  <c r="G91" i="3" s="1"/>
  <c r="G133" i="3" s="1"/>
  <c r="G175" i="3" s="1"/>
  <c r="G217" i="3" s="1"/>
  <c r="G259" i="3" s="1"/>
  <c r="G301" i="3" s="1"/>
  <c r="G344" i="3" s="1"/>
  <c r="G387" i="3" s="1"/>
  <c r="F49" i="3"/>
  <c r="F91" i="3" s="1"/>
  <c r="F133" i="3" s="1"/>
  <c r="F175" i="3" s="1"/>
  <c r="F217" i="3" s="1"/>
  <c r="F259" i="3" s="1"/>
  <c r="F301" i="3" s="1"/>
  <c r="F344" i="3" s="1"/>
  <c r="F387" i="3" s="1"/>
  <c r="E49" i="3"/>
  <c r="E91" i="3" s="1"/>
  <c r="E133" i="3" s="1"/>
  <c r="E175" i="3" s="1"/>
  <c r="E217" i="3" s="1"/>
  <c r="E259" i="3" s="1"/>
  <c r="E301" i="3" s="1"/>
  <c r="E344" i="3" s="1"/>
  <c r="E387" i="3" s="1"/>
  <c r="D49" i="3"/>
  <c r="D91" i="3" s="1"/>
  <c r="D133" i="3" s="1"/>
  <c r="D175" i="3" s="1"/>
  <c r="D217" i="3" s="1"/>
  <c r="D259" i="3" s="1"/>
  <c r="D301" i="3" s="1"/>
  <c r="D344" i="3" s="1"/>
  <c r="D387" i="3" s="1"/>
  <c r="A48" i="3"/>
  <c r="P42" i="3"/>
  <c r="O42" i="3"/>
  <c r="N42" i="3"/>
  <c r="M42" i="3"/>
  <c r="L42" i="3"/>
  <c r="K42" i="3"/>
  <c r="J42" i="3"/>
  <c r="I42" i="3"/>
  <c r="H42" i="3"/>
  <c r="G42" i="3"/>
  <c r="F42" i="3"/>
  <c r="E42" i="3"/>
  <c r="D42" i="3"/>
  <c r="P41" i="3"/>
  <c r="O41" i="3"/>
  <c r="N41" i="3"/>
  <c r="M41" i="3"/>
  <c r="L41" i="3"/>
  <c r="K41" i="3"/>
  <c r="J41" i="3"/>
  <c r="I41" i="3"/>
  <c r="H41" i="3"/>
  <c r="G41" i="3"/>
  <c r="F41" i="3"/>
  <c r="E41" i="3"/>
  <c r="D41" i="3"/>
  <c r="P40" i="3"/>
  <c r="O40" i="3"/>
  <c r="N40" i="3"/>
  <c r="M40" i="3"/>
  <c r="L40" i="3"/>
  <c r="K40" i="3"/>
  <c r="J40" i="3"/>
  <c r="I40" i="3"/>
  <c r="H40" i="3"/>
  <c r="G40" i="3"/>
  <c r="F40" i="3"/>
  <c r="E40" i="3"/>
  <c r="D40" i="3"/>
  <c r="P27" i="3"/>
  <c r="O27" i="3"/>
  <c r="N27" i="3"/>
  <c r="M27" i="3"/>
  <c r="L27" i="3"/>
  <c r="K27" i="3"/>
  <c r="J27" i="3"/>
  <c r="I27" i="3"/>
  <c r="H27" i="3"/>
  <c r="G27" i="3"/>
  <c r="F27" i="3"/>
  <c r="E27" i="3"/>
  <c r="D27" i="3"/>
  <c r="P25" i="3"/>
  <c r="O25" i="3"/>
  <c r="N25" i="3"/>
  <c r="M25" i="3"/>
  <c r="L25" i="3"/>
  <c r="K25" i="3"/>
  <c r="J25" i="3"/>
  <c r="I25" i="3"/>
  <c r="H25" i="3"/>
  <c r="G25" i="3"/>
  <c r="F25" i="3"/>
  <c r="E25" i="3"/>
  <c r="D25" i="3"/>
  <c r="P14" i="3"/>
  <c r="O14" i="3"/>
  <c r="N14" i="3"/>
  <c r="M14" i="3"/>
  <c r="L14" i="3"/>
  <c r="K14" i="3"/>
  <c r="J14" i="3"/>
  <c r="I14" i="3"/>
  <c r="H14" i="3"/>
  <c r="G14" i="3"/>
  <c r="F14" i="3"/>
  <c r="E14" i="3"/>
  <c r="D14" i="3"/>
  <c r="P11" i="3"/>
  <c r="O11" i="3"/>
  <c r="N11" i="3"/>
  <c r="M11" i="3"/>
  <c r="L11" i="3"/>
  <c r="K11" i="3"/>
  <c r="J11" i="3"/>
  <c r="I11" i="3"/>
  <c r="H11" i="3"/>
  <c r="G11" i="3"/>
  <c r="F11" i="3"/>
  <c r="E11" i="3"/>
  <c r="D11" i="3"/>
  <c r="P9" i="3"/>
  <c r="O9" i="3"/>
  <c r="M9" i="3"/>
  <c r="L9" i="3"/>
  <c r="K9" i="3"/>
  <c r="J9" i="3"/>
  <c r="I9" i="3"/>
  <c r="H9" i="3"/>
  <c r="G9" i="3"/>
  <c r="E9" i="3"/>
  <c r="D9" i="3"/>
  <c r="A3" i="3"/>
  <c r="I81" i="7" l="1"/>
  <c r="I131" i="7" s="1"/>
  <c r="I181" i="7" s="1"/>
  <c r="I711" i="7" s="1"/>
  <c r="I761" i="7" s="1"/>
  <c r="I811" i="7" s="1"/>
  <c r="I861" i="7" s="1"/>
  <c r="I911" i="7" s="1"/>
  <c r="I961" i="7" s="1"/>
  <c r="J31" i="7"/>
  <c r="J146" i="7"/>
  <c r="K96" i="7"/>
  <c r="L30" i="7"/>
  <c r="K80" i="7"/>
  <c r="K130" i="7" s="1"/>
  <c r="K180" i="7" s="1"/>
  <c r="K710" i="7" s="1"/>
  <c r="K760" i="7" s="1"/>
  <c r="K810" i="7" s="1"/>
  <c r="K860" i="7" s="1"/>
  <c r="K910" i="7" s="1"/>
  <c r="K960" i="7" s="1"/>
  <c r="G444" i="2"/>
  <c r="F444" i="2"/>
  <c r="E444" i="2"/>
  <c r="D444" i="2"/>
  <c r="G443" i="2"/>
  <c r="F443" i="2"/>
  <c r="E443" i="2"/>
  <c r="D443" i="2"/>
  <c r="G442" i="2"/>
  <c r="F442" i="2"/>
  <c r="E442" i="2"/>
  <c r="D442" i="2"/>
  <c r="G441" i="2"/>
  <c r="F441" i="2"/>
  <c r="E441" i="2"/>
  <c r="D441" i="2"/>
  <c r="G440" i="2"/>
  <c r="F440" i="2"/>
  <c r="E440" i="2"/>
  <c r="D440" i="2"/>
  <c r="G430" i="2"/>
  <c r="F430" i="2"/>
  <c r="E430" i="2"/>
  <c r="D430" i="2"/>
  <c r="G429" i="2"/>
  <c r="F429" i="2"/>
  <c r="E429" i="2"/>
  <c r="D429" i="2"/>
  <c r="G428" i="2"/>
  <c r="F428" i="2"/>
  <c r="E428" i="2"/>
  <c r="D428" i="2"/>
  <c r="G427" i="2"/>
  <c r="F427" i="2"/>
  <c r="E427" i="2"/>
  <c r="D427" i="2"/>
  <c r="G426" i="2"/>
  <c r="F426" i="2"/>
  <c r="E426" i="2"/>
  <c r="D426" i="2"/>
  <c r="G416" i="2"/>
  <c r="F416" i="2"/>
  <c r="E416" i="2"/>
  <c r="D416" i="2"/>
  <c r="G415" i="2"/>
  <c r="F415" i="2"/>
  <c r="E415" i="2"/>
  <c r="D415" i="2"/>
  <c r="P392" i="2"/>
  <c r="O392" i="2"/>
  <c r="N392" i="2"/>
  <c r="M392" i="2"/>
  <c r="L392" i="2"/>
  <c r="K392" i="2"/>
  <c r="J392" i="2"/>
  <c r="I392" i="2"/>
  <c r="H392" i="2"/>
  <c r="G392" i="2"/>
  <c r="F392" i="2"/>
  <c r="E392" i="2"/>
  <c r="D392" i="2"/>
  <c r="D391" i="2"/>
  <c r="P389" i="2"/>
  <c r="O389" i="2"/>
  <c r="N389" i="2"/>
  <c r="M389" i="2"/>
  <c r="L389" i="2"/>
  <c r="L346" i="2" s="1"/>
  <c r="K389" i="2"/>
  <c r="J389" i="2"/>
  <c r="J346" i="2" s="1"/>
  <c r="I389" i="2"/>
  <c r="I346" i="2" s="1"/>
  <c r="H389" i="2"/>
  <c r="G389" i="2"/>
  <c r="F389" i="2"/>
  <c r="E389" i="2"/>
  <c r="D389" i="2"/>
  <c r="D346" i="2" s="1"/>
  <c r="P379" i="2"/>
  <c r="O379" i="2"/>
  <c r="N379" i="2"/>
  <c r="M379" i="2"/>
  <c r="L379" i="2"/>
  <c r="K379" i="2"/>
  <c r="J379" i="2"/>
  <c r="I379" i="2"/>
  <c r="H379" i="2"/>
  <c r="G379" i="2"/>
  <c r="F379" i="2"/>
  <c r="E379" i="2"/>
  <c r="D379" i="2"/>
  <c r="P378" i="2"/>
  <c r="O378" i="2"/>
  <c r="N378" i="2"/>
  <c r="M378" i="2"/>
  <c r="L378" i="2"/>
  <c r="K378" i="2"/>
  <c r="J378" i="2"/>
  <c r="I378" i="2"/>
  <c r="H378" i="2"/>
  <c r="G378" i="2"/>
  <c r="F378" i="2"/>
  <c r="E378" i="2"/>
  <c r="D378" i="2"/>
  <c r="P377" i="2"/>
  <c r="O377" i="2"/>
  <c r="N377" i="2"/>
  <c r="M377" i="2"/>
  <c r="L377" i="2"/>
  <c r="K377" i="2"/>
  <c r="J377" i="2"/>
  <c r="I377" i="2"/>
  <c r="H377" i="2"/>
  <c r="G377" i="2"/>
  <c r="F377" i="2"/>
  <c r="E377" i="2"/>
  <c r="D377" i="2"/>
  <c r="P364" i="2"/>
  <c r="O364" i="2"/>
  <c r="N364" i="2"/>
  <c r="M364" i="2"/>
  <c r="L364" i="2"/>
  <c r="K364" i="2"/>
  <c r="J364" i="2"/>
  <c r="I364" i="2"/>
  <c r="H364" i="2"/>
  <c r="G364" i="2"/>
  <c r="F364" i="2"/>
  <c r="E364" i="2"/>
  <c r="D364" i="2"/>
  <c r="P362" i="2"/>
  <c r="O362" i="2"/>
  <c r="N362" i="2"/>
  <c r="M362" i="2"/>
  <c r="L362" i="2"/>
  <c r="K362" i="2"/>
  <c r="J362" i="2"/>
  <c r="I362" i="2"/>
  <c r="H362" i="2"/>
  <c r="G362" i="2"/>
  <c r="F362" i="2"/>
  <c r="E362" i="2"/>
  <c r="D362" i="2"/>
  <c r="P353" i="2"/>
  <c r="O353" i="2"/>
  <c r="N353" i="2"/>
  <c r="M353" i="2"/>
  <c r="L353" i="2"/>
  <c r="K353" i="2"/>
  <c r="J353" i="2"/>
  <c r="I353" i="2"/>
  <c r="H353" i="2"/>
  <c r="G353" i="2"/>
  <c r="F353" i="2"/>
  <c r="E353" i="2"/>
  <c r="D353" i="2"/>
  <c r="P351" i="2"/>
  <c r="O351" i="2"/>
  <c r="N351" i="2"/>
  <c r="M351" i="2"/>
  <c r="L351" i="2"/>
  <c r="K351" i="2"/>
  <c r="J351" i="2"/>
  <c r="I351" i="2"/>
  <c r="H351" i="2"/>
  <c r="G351" i="2"/>
  <c r="F351" i="2"/>
  <c r="E351" i="2"/>
  <c r="D351" i="2"/>
  <c r="P349" i="2"/>
  <c r="O349" i="2"/>
  <c r="N349" i="2"/>
  <c r="M349" i="2"/>
  <c r="L349" i="2"/>
  <c r="K349" i="2"/>
  <c r="J349" i="2"/>
  <c r="I349" i="2"/>
  <c r="H349" i="2"/>
  <c r="G349" i="2"/>
  <c r="F349" i="2"/>
  <c r="E349" i="2"/>
  <c r="D349" i="2"/>
  <c r="P346" i="2"/>
  <c r="O346" i="2"/>
  <c r="N346" i="2"/>
  <c r="M346" i="2"/>
  <c r="K346" i="2"/>
  <c r="H346" i="2"/>
  <c r="G346" i="2"/>
  <c r="F346" i="2"/>
  <c r="E346" i="2"/>
  <c r="A343" i="2"/>
  <c r="P337" i="2"/>
  <c r="O337" i="2"/>
  <c r="N337" i="2"/>
  <c r="M337" i="2"/>
  <c r="L337" i="2"/>
  <c r="K337" i="2"/>
  <c r="J337" i="2"/>
  <c r="I337" i="2"/>
  <c r="H337" i="2"/>
  <c r="G337" i="2"/>
  <c r="F337" i="2"/>
  <c r="E337" i="2"/>
  <c r="D337" i="2"/>
  <c r="P336" i="2"/>
  <c r="O336" i="2"/>
  <c r="N336" i="2"/>
  <c r="M336" i="2"/>
  <c r="L336" i="2"/>
  <c r="K336" i="2"/>
  <c r="J336" i="2"/>
  <c r="I336" i="2"/>
  <c r="H336" i="2"/>
  <c r="G336" i="2"/>
  <c r="F336" i="2"/>
  <c r="E336" i="2"/>
  <c r="D336" i="2"/>
  <c r="P335" i="2"/>
  <c r="O335" i="2"/>
  <c r="N335" i="2"/>
  <c r="M335" i="2"/>
  <c r="L335" i="2"/>
  <c r="K335" i="2"/>
  <c r="J335" i="2"/>
  <c r="I335" i="2"/>
  <c r="H335" i="2"/>
  <c r="G335" i="2"/>
  <c r="F335" i="2"/>
  <c r="E335" i="2"/>
  <c r="D335" i="2"/>
  <c r="P322" i="2"/>
  <c r="O322" i="2"/>
  <c r="N322" i="2"/>
  <c r="M322" i="2"/>
  <c r="L322" i="2"/>
  <c r="K322" i="2"/>
  <c r="J322" i="2"/>
  <c r="I322" i="2"/>
  <c r="H322" i="2"/>
  <c r="G322" i="2"/>
  <c r="F322" i="2"/>
  <c r="E322" i="2"/>
  <c r="D322" i="2"/>
  <c r="P320" i="2"/>
  <c r="O320" i="2"/>
  <c r="N320" i="2"/>
  <c r="M320" i="2"/>
  <c r="L320" i="2"/>
  <c r="K320" i="2"/>
  <c r="J320" i="2"/>
  <c r="I320" i="2"/>
  <c r="H320" i="2"/>
  <c r="G320" i="2"/>
  <c r="F320" i="2"/>
  <c r="E320" i="2"/>
  <c r="D320" i="2"/>
  <c r="P309" i="2"/>
  <c r="O309" i="2"/>
  <c r="N309" i="2"/>
  <c r="M309" i="2"/>
  <c r="L309" i="2"/>
  <c r="K309" i="2"/>
  <c r="J309" i="2"/>
  <c r="I309" i="2"/>
  <c r="H309" i="2"/>
  <c r="G309" i="2"/>
  <c r="F309" i="2"/>
  <c r="E309" i="2"/>
  <c r="D309" i="2"/>
  <c r="P307" i="2"/>
  <c r="O307" i="2"/>
  <c r="N307" i="2"/>
  <c r="M307" i="2"/>
  <c r="L307" i="2"/>
  <c r="K307" i="2"/>
  <c r="J307" i="2"/>
  <c r="I307" i="2"/>
  <c r="H307" i="2"/>
  <c r="G307" i="2"/>
  <c r="F307" i="2"/>
  <c r="E307" i="2"/>
  <c r="D307" i="2"/>
  <c r="A300" i="2"/>
  <c r="P294" i="2"/>
  <c r="O294" i="2"/>
  <c r="N294" i="2"/>
  <c r="M294" i="2"/>
  <c r="L294" i="2"/>
  <c r="K294" i="2"/>
  <c r="J294" i="2"/>
  <c r="I294" i="2"/>
  <c r="H294" i="2"/>
  <c r="G294" i="2"/>
  <c r="F294" i="2"/>
  <c r="E294" i="2"/>
  <c r="D294" i="2"/>
  <c r="P293" i="2"/>
  <c r="O293" i="2"/>
  <c r="N293" i="2"/>
  <c r="M293" i="2"/>
  <c r="L293" i="2"/>
  <c r="K293" i="2"/>
  <c r="J293" i="2"/>
  <c r="I293" i="2"/>
  <c r="H293" i="2"/>
  <c r="G293" i="2"/>
  <c r="F293" i="2"/>
  <c r="E293" i="2"/>
  <c r="D293" i="2"/>
  <c r="P292" i="2"/>
  <c r="O292" i="2"/>
  <c r="N292" i="2"/>
  <c r="M292" i="2"/>
  <c r="L292" i="2"/>
  <c r="K292" i="2"/>
  <c r="J292" i="2"/>
  <c r="I292" i="2"/>
  <c r="H292" i="2"/>
  <c r="G292" i="2"/>
  <c r="F292" i="2"/>
  <c r="E292" i="2"/>
  <c r="D292" i="2"/>
  <c r="P279" i="2"/>
  <c r="O279" i="2"/>
  <c r="N279" i="2"/>
  <c r="M279" i="2"/>
  <c r="L279" i="2"/>
  <c r="K279" i="2"/>
  <c r="J279" i="2"/>
  <c r="I279" i="2"/>
  <c r="H279" i="2"/>
  <c r="G279" i="2"/>
  <c r="F279" i="2"/>
  <c r="E279" i="2"/>
  <c r="D279" i="2"/>
  <c r="P277" i="2"/>
  <c r="O277" i="2"/>
  <c r="N277" i="2"/>
  <c r="M277" i="2"/>
  <c r="L277" i="2"/>
  <c r="K277" i="2"/>
  <c r="J277" i="2"/>
  <c r="I277" i="2"/>
  <c r="H277" i="2"/>
  <c r="G277" i="2"/>
  <c r="F277" i="2"/>
  <c r="E277" i="2"/>
  <c r="D277" i="2"/>
  <c r="P266" i="2"/>
  <c r="O266" i="2"/>
  <c r="N266" i="2"/>
  <c r="M266" i="2"/>
  <c r="L266" i="2"/>
  <c r="K266" i="2"/>
  <c r="J266" i="2"/>
  <c r="I266" i="2"/>
  <c r="H266" i="2"/>
  <c r="G266" i="2"/>
  <c r="F266" i="2"/>
  <c r="E266" i="2"/>
  <c r="D266" i="2"/>
  <c r="P264" i="2"/>
  <c r="O264" i="2"/>
  <c r="N264" i="2"/>
  <c r="M264" i="2"/>
  <c r="L264" i="2"/>
  <c r="K264" i="2"/>
  <c r="J264" i="2"/>
  <c r="I264" i="2"/>
  <c r="H264" i="2"/>
  <c r="G264" i="2"/>
  <c r="F264" i="2"/>
  <c r="E264" i="2"/>
  <c r="D264" i="2"/>
  <c r="A258" i="2"/>
  <c r="P252" i="2"/>
  <c r="O252" i="2"/>
  <c r="N252" i="2"/>
  <c r="M252" i="2"/>
  <c r="L252" i="2"/>
  <c r="K252" i="2"/>
  <c r="J252" i="2"/>
  <c r="I252" i="2"/>
  <c r="H252" i="2"/>
  <c r="G252" i="2"/>
  <c r="F252" i="2"/>
  <c r="E252" i="2"/>
  <c r="D252" i="2"/>
  <c r="P251" i="2"/>
  <c r="O251" i="2"/>
  <c r="N251" i="2"/>
  <c r="M251" i="2"/>
  <c r="L251" i="2"/>
  <c r="K251" i="2"/>
  <c r="J251" i="2"/>
  <c r="I251" i="2"/>
  <c r="H251" i="2"/>
  <c r="G251" i="2"/>
  <c r="F251" i="2"/>
  <c r="E251" i="2"/>
  <c r="D251" i="2"/>
  <c r="P250" i="2"/>
  <c r="O250" i="2"/>
  <c r="N250" i="2"/>
  <c r="M250" i="2"/>
  <c r="L250" i="2"/>
  <c r="K250" i="2"/>
  <c r="J250" i="2"/>
  <c r="I250" i="2"/>
  <c r="H250" i="2"/>
  <c r="G250" i="2"/>
  <c r="F250" i="2"/>
  <c r="E250" i="2"/>
  <c r="D250" i="2"/>
  <c r="P237" i="2"/>
  <c r="O237" i="2"/>
  <c r="N237" i="2"/>
  <c r="M237" i="2"/>
  <c r="L237" i="2"/>
  <c r="K237" i="2"/>
  <c r="J237" i="2"/>
  <c r="I237" i="2"/>
  <c r="H237" i="2"/>
  <c r="G237" i="2"/>
  <c r="F237" i="2"/>
  <c r="E237" i="2"/>
  <c r="D237" i="2"/>
  <c r="P235" i="2"/>
  <c r="O235" i="2"/>
  <c r="N235" i="2"/>
  <c r="M235" i="2"/>
  <c r="L235" i="2"/>
  <c r="K235" i="2"/>
  <c r="J235" i="2"/>
  <c r="I235" i="2"/>
  <c r="H235" i="2"/>
  <c r="G235" i="2"/>
  <c r="F235" i="2"/>
  <c r="E235" i="2"/>
  <c r="D235" i="2"/>
  <c r="P224" i="2"/>
  <c r="O224" i="2"/>
  <c r="N224" i="2"/>
  <c r="M224" i="2"/>
  <c r="L224" i="2"/>
  <c r="K224" i="2"/>
  <c r="J224" i="2"/>
  <c r="I224" i="2"/>
  <c r="H224" i="2"/>
  <c r="G224" i="2"/>
  <c r="F224" i="2"/>
  <c r="E224" i="2"/>
  <c r="D224" i="2"/>
  <c r="P222" i="2"/>
  <c r="O222" i="2"/>
  <c r="N222" i="2"/>
  <c r="M222" i="2"/>
  <c r="L222" i="2"/>
  <c r="K222" i="2"/>
  <c r="J222" i="2"/>
  <c r="I222" i="2"/>
  <c r="H222" i="2"/>
  <c r="G222" i="2"/>
  <c r="F222" i="2"/>
  <c r="E222" i="2"/>
  <c r="D222" i="2"/>
  <c r="A216" i="2"/>
  <c r="P210" i="2"/>
  <c r="O210" i="2"/>
  <c r="N210" i="2"/>
  <c r="M210" i="2"/>
  <c r="L210" i="2"/>
  <c r="K210" i="2"/>
  <c r="J210" i="2"/>
  <c r="I210" i="2"/>
  <c r="H210" i="2"/>
  <c r="G210" i="2"/>
  <c r="F210" i="2"/>
  <c r="E210" i="2"/>
  <c r="D210" i="2"/>
  <c r="P209" i="2"/>
  <c r="O209" i="2"/>
  <c r="N209" i="2"/>
  <c r="M209" i="2"/>
  <c r="L209" i="2"/>
  <c r="K209" i="2"/>
  <c r="J209" i="2"/>
  <c r="I209" i="2"/>
  <c r="H209" i="2"/>
  <c r="G209" i="2"/>
  <c r="F209" i="2"/>
  <c r="E209" i="2"/>
  <c r="D209" i="2"/>
  <c r="P208" i="2"/>
  <c r="O208" i="2"/>
  <c r="N208" i="2"/>
  <c r="M208" i="2"/>
  <c r="L208" i="2"/>
  <c r="K208" i="2"/>
  <c r="J208" i="2"/>
  <c r="I208" i="2"/>
  <c r="H208" i="2"/>
  <c r="G208" i="2"/>
  <c r="F208" i="2"/>
  <c r="E208" i="2"/>
  <c r="D208" i="2"/>
  <c r="P195" i="2"/>
  <c r="O195" i="2"/>
  <c r="N195" i="2"/>
  <c r="M195" i="2"/>
  <c r="L195" i="2"/>
  <c r="K195" i="2"/>
  <c r="J195" i="2"/>
  <c r="I195" i="2"/>
  <c r="H195" i="2"/>
  <c r="G195" i="2"/>
  <c r="F195" i="2"/>
  <c r="E195" i="2"/>
  <c r="D195" i="2"/>
  <c r="P193" i="2"/>
  <c r="O193" i="2"/>
  <c r="N193" i="2"/>
  <c r="M193" i="2"/>
  <c r="L193" i="2"/>
  <c r="K193" i="2"/>
  <c r="J193" i="2"/>
  <c r="I193" i="2"/>
  <c r="H193" i="2"/>
  <c r="G193" i="2"/>
  <c r="F193" i="2"/>
  <c r="E193" i="2"/>
  <c r="D193" i="2"/>
  <c r="P182" i="2"/>
  <c r="O182" i="2"/>
  <c r="N182" i="2"/>
  <c r="M182" i="2"/>
  <c r="L182" i="2"/>
  <c r="K182" i="2"/>
  <c r="J182" i="2"/>
  <c r="I182" i="2"/>
  <c r="H182" i="2"/>
  <c r="G182" i="2"/>
  <c r="F182" i="2"/>
  <c r="E182" i="2"/>
  <c r="D182" i="2"/>
  <c r="P180" i="2"/>
  <c r="O180" i="2"/>
  <c r="N180" i="2"/>
  <c r="M180" i="2"/>
  <c r="L180" i="2"/>
  <c r="K180" i="2"/>
  <c r="J180" i="2"/>
  <c r="I180" i="2"/>
  <c r="H180" i="2"/>
  <c r="G180" i="2"/>
  <c r="F180" i="2"/>
  <c r="E180" i="2"/>
  <c r="D180" i="2"/>
  <c r="A174" i="2"/>
  <c r="P153" i="2"/>
  <c r="O153" i="2"/>
  <c r="N153" i="2"/>
  <c r="M153" i="2"/>
  <c r="L153" i="2"/>
  <c r="K153" i="2"/>
  <c r="J153" i="2"/>
  <c r="I153" i="2"/>
  <c r="H153" i="2"/>
  <c r="G153" i="2"/>
  <c r="F153" i="2"/>
  <c r="E153" i="2"/>
  <c r="D153" i="2"/>
  <c r="P151" i="2"/>
  <c r="O151" i="2"/>
  <c r="N151" i="2"/>
  <c r="M151" i="2"/>
  <c r="L151" i="2"/>
  <c r="K151" i="2"/>
  <c r="J151" i="2"/>
  <c r="I151" i="2"/>
  <c r="H151" i="2"/>
  <c r="G151" i="2"/>
  <c r="F151" i="2"/>
  <c r="E151" i="2"/>
  <c r="D151" i="2"/>
  <c r="P140" i="2"/>
  <c r="O140" i="2"/>
  <c r="N140" i="2"/>
  <c r="M140" i="2"/>
  <c r="L140" i="2"/>
  <c r="K140" i="2"/>
  <c r="J140" i="2"/>
  <c r="I140" i="2"/>
  <c r="H140" i="2"/>
  <c r="G140" i="2"/>
  <c r="F140" i="2"/>
  <c r="E140" i="2"/>
  <c r="D140" i="2"/>
  <c r="P137" i="2"/>
  <c r="O137" i="2"/>
  <c r="N137" i="2"/>
  <c r="M137" i="2"/>
  <c r="L137" i="2"/>
  <c r="K137" i="2"/>
  <c r="J137" i="2"/>
  <c r="I137" i="2"/>
  <c r="H137" i="2"/>
  <c r="G137" i="2"/>
  <c r="F137" i="2"/>
  <c r="E137" i="2"/>
  <c r="D137" i="2"/>
  <c r="P135" i="2"/>
  <c r="O135" i="2"/>
  <c r="N135" i="2"/>
  <c r="M135" i="2"/>
  <c r="L135" i="2"/>
  <c r="K135" i="2"/>
  <c r="J135" i="2"/>
  <c r="I135" i="2"/>
  <c r="H135" i="2"/>
  <c r="G135" i="2"/>
  <c r="F135" i="2"/>
  <c r="E135" i="2"/>
  <c r="D135" i="2"/>
  <c r="A132" i="2"/>
  <c r="P126" i="2"/>
  <c r="P168" i="2" s="1"/>
  <c r="O126" i="2"/>
  <c r="O168" i="2" s="1"/>
  <c r="N126" i="2"/>
  <c r="N168" i="2" s="1"/>
  <c r="M126" i="2"/>
  <c r="M168" i="2" s="1"/>
  <c r="L126" i="2"/>
  <c r="L168" i="2" s="1"/>
  <c r="K126" i="2"/>
  <c r="K168" i="2" s="1"/>
  <c r="J126" i="2"/>
  <c r="J168" i="2" s="1"/>
  <c r="I126" i="2"/>
  <c r="I168" i="2" s="1"/>
  <c r="H126" i="2"/>
  <c r="H168" i="2" s="1"/>
  <c r="G126" i="2"/>
  <c r="G168" i="2" s="1"/>
  <c r="F126" i="2"/>
  <c r="F168" i="2" s="1"/>
  <c r="E126" i="2"/>
  <c r="E168" i="2" s="1"/>
  <c r="D126" i="2"/>
  <c r="D168" i="2" s="1"/>
  <c r="P125" i="2"/>
  <c r="P167" i="2" s="1"/>
  <c r="O125" i="2"/>
  <c r="O167" i="2" s="1"/>
  <c r="N125" i="2"/>
  <c r="N167" i="2" s="1"/>
  <c r="M125" i="2"/>
  <c r="M167" i="2" s="1"/>
  <c r="L125" i="2"/>
  <c r="L167" i="2" s="1"/>
  <c r="K125" i="2"/>
  <c r="K167" i="2" s="1"/>
  <c r="J125" i="2"/>
  <c r="J167" i="2" s="1"/>
  <c r="I125" i="2"/>
  <c r="I167" i="2" s="1"/>
  <c r="H125" i="2"/>
  <c r="H167" i="2" s="1"/>
  <c r="G125" i="2"/>
  <c r="G167" i="2" s="1"/>
  <c r="F125" i="2"/>
  <c r="F167" i="2" s="1"/>
  <c r="E125" i="2"/>
  <c r="E167" i="2" s="1"/>
  <c r="D125" i="2"/>
  <c r="D167" i="2" s="1"/>
  <c r="P124" i="2"/>
  <c r="P166" i="2" s="1"/>
  <c r="O124" i="2"/>
  <c r="O166" i="2" s="1"/>
  <c r="N124" i="2"/>
  <c r="N166" i="2" s="1"/>
  <c r="M124" i="2"/>
  <c r="M166" i="2" s="1"/>
  <c r="L124" i="2"/>
  <c r="L166" i="2" s="1"/>
  <c r="K124" i="2"/>
  <c r="K166" i="2" s="1"/>
  <c r="J124" i="2"/>
  <c r="J166" i="2" s="1"/>
  <c r="I124" i="2"/>
  <c r="I166" i="2" s="1"/>
  <c r="H124" i="2"/>
  <c r="H166" i="2" s="1"/>
  <c r="G124" i="2"/>
  <c r="G166" i="2" s="1"/>
  <c r="F124" i="2"/>
  <c r="F166" i="2" s="1"/>
  <c r="E124" i="2"/>
  <c r="E166" i="2" s="1"/>
  <c r="D124" i="2"/>
  <c r="D166" i="2" s="1"/>
  <c r="P111" i="2"/>
  <c r="O111" i="2"/>
  <c r="N111" i="2"/>
  <c r="M111" i="2"/>
  <c r="L111" i="2"/>
  <c r="K111" i="2"/>
  <c r="J111" i="2"/>
  <c r="I111" i="2"/>
  <c r="H111" i="2"/>
  <c r="G111" i="2"/>
  <c r="F111" i="2"/>
  <c r="E111" i="2"/>
  <c r="D111" i="2"/>
  <c r="P109" i="2"/>
  <c r="O109" i="2"/>
  <c r="N109" i="2"/>
  <c r="M109" i="2"/>
  <c r="L109" i="2"/>
  <c r="K109" i="2"/>
  <c r="J109" i="2"/>
  <c r="I109" i="2"/>
  <c r="H109" i="2"/>
  <c r="G109" i="2"/>
  <c r="F109" i="2"/>
  <c r="E109" i="2"/>
  <c r="D109" i="2"/>
  <c r="P100" i="2"/>
  <c r="O100" i="2"/>
  <c r="N100" i="2"/>
  <c r="M100" i="2"/>
  <c r="L100" i="2"/>
  <c r="K100" i="2"/>
  <c r="J100" i="2"/>
  <c r="I100" i="2"/>
  <c r="H100" i="2"/>
  <c r="G100" i="2"/>
  <c r="F100" i="2"/>
  <c r="E100" i="2"/>
  <c r="D100" i="2"/>
  <c r="P98" i="2"/>
  <c r="O98" i="2"/>
  <c r="N98" i="2"/>
  <c r="M98" i="2"/>
  <c r="L98" i="2"/>
  <c r="K98" i="2"/>
  <c r="J98" i="2"/>
  <c r="I98" i="2"/>
  <c r="H98" i="2"/>
  <c r="G98" i="2"/>
  <c r="F98" i="2"/>
  <c r="E98" i="2"/>
  <c r="D98" i="2"/>
  <c r="P96" i="2"/>
  <c r="O96" i="2"/>
  <c r="N96" i="2"/>
  <c r="M96" i="2"/>
  <c r="L96" i="2"/>
  <c r="K96" i="2"/>
  <c r="J96" i="2"/>
  <c r="I96" i="2"/>
  <c r="H96" i="2"/>
  <c r="G96" i="2"/>
  <c r="F96" i="2"/>
  <c r="E96" i="2"/>
  <c r="D96" i="2"/>
  <c r="P95" i="2"/>
  <c r="O95" i="2"/>
  <c r="N95" i="2"/>
  <c r="M95" i="2"/>
  <c r="L95" i="2"/>
  <c r="K95" i="2"/>
  <c r="J95" i="2"/>
  <c r="I95" i="2"/>
  <c r="H95" i="2"/>
  <c r="G95" i="2"/>
  <c r="F95" i="2"/>
  <c r="E95" i="2"/>
  <c r="D95" i="2"/>
  <c r="P93" i="2"/>
  <c r="O93" i="2"/>
  <c r="N93" i="2"/>
  <c r="M93" i="2"/>
  <c r="L93" i="2"/>
  <c r="K93" i="2"/>
  <c r="J93" i="2"/>
  <c r="I93" i="2"/>
  <c r="H93" i="2"/>
  <c r="G93" i="2"/>
  <c r="F93" i="2"/>
  <c r="E93" i="2"/>
  <c r="D93" i="2"/>
  <c r="A90" i="2"/>
  <c r="P86" i="2"/>
  <c r="P128" i="2" s="1"/>
  <c r="P170" i="2" s="1"/>
  <c r="P212" i="2" s="1"/>
  <c r="P254" i="2" s="1"/>
  <c r="P296" i="2" s="1"/>
  <c r="P339" i="2" s="1"/>
  <c r="P381" i="2" s="1"/>
  <c r="O86" i="2"/>
  <c r="O128" i="2" s="1"/>
  <c r="O170" i="2" s="1"/>
  <c r="O212" i="2" s="1"/>
  <c r="O254" i="2" s="1"/>
  <c r="O296" i="2" s="1"/>
  <c r="O339" i="2" s="1"/>
  <c r="O381" i="2" s="1"/>
  <c r="N86" i="2"/>
  <c r="N128" i="2" s="1"/>
  <c r="N170" i="2" s="1"/>
  <c r="N212" i="2" s="1"/>
  <c r="N254" i="2" s="1"/>
  <c r="N296" i="2" s="1"/>
  <c r="N339" i="2" s="1"/>
  <c r="N381" i="2" s="1"/>
  <c r="M86" i="2"/>
  <c r="M128" i="2" s="1"/>
  <c r="M170" i="2" s="1"/>
  <c r="M212" i="2" s="1"/>
  <c r="M254" i="2" s="1"/>
  <c r="M296" i="2" s="1"/>
  <c r="M339" i="2" s="1"/>
  <c r="M381" i="2" s="1"/>
  <c r="L86" i="2"/>
  <c r="L128" i="2" s="1"/>
  <c r="L170" i="2" s="1"/>
  <c r="L212" i="2" s="1"/>
  <c r="L254" i="2" s="1"/>
  <c r="L296" i="2" s="1"/>
  <c r="L339" i="2" s="1"/>
  <c r="L381" i="2" s="1"/>
  <c r="K86" i="2"/>
  <c r="K128" i="2" s="1"/>
  <c r="K170" i="2" s="1"/>
  <c r="K212" i="2" s="1"/>
  <c r="K254" i="2" s="1"/>
  <c r="K296" i="2" s="1"/>
  <c r="K339" i="2" s="1"/>
  <c r="K381" i="2" s="1"/>
  <c r="J86" i="2"/>
  <c r="J128" i="2" s="1"/>
  <c r="J170" i="2" s="1"/>
  <c r="J212" i="2" s="1"/>
  <c r="J254" i="2" s="1"/>
  <c r="J296" i="2" s="1"/>
  <c r="J339" i="2" s="1"/>
  <c r="J381" i="2" s="1"/>
  <c r="I86" i="2"/>
  <c r="I128" i="2" s="1"/>
  <c r="I170" i="2" s="1"/>
  <c r="I212" i="2" s="1"/>
  <c r="I254" i="2" s="1"/>
  <c r="I296" i="2" s="1"/>
  <c r="I339" i="2" s="1"/>
  <c r="I381" i="2" s="1"/>
  <c r="H86" i="2"/>
  <c r="H128" i="2" s="1"/>
  <c r="H170" i="2" s="1"/>
  <c r="H212" i="2" s="1"/>
  <c r="H254" i="2" s="1"/>
  <c r="H296" i="2" s="1"/>
  <c r="H339" i="2" s="1"/>
  <c r="H381" i="2" s="1"/>
  <c r="G86" i="2"/>
  <c r="G128" i="2" s="1"/>
  <c r="G170" i="2" s="1"/>
  <c r="G212" i="2" s="1"/>
  <c r="G254" i="2" s="1"/>
  <c r="G296" i="2" s="1"/>
  <c r="G339" i="2" s="1"/>
  <c r="G381" i="2" s="1"/>
  <c r="F86" i="2"/>
  <c r="F128" i="2" s="1"/>
  <c r="F170" i="2" s="1"/>
  <c r="F212" i="2" s="1"/>
  <c r="F254" i="2" s="1"/>
  <c r="F296" i="2" s="1"/>
  <c r="F339" i="2" s="1"/>
  <c r="F381" i="2" s="1"/>
  <c r="E86" i="2"/>
  <c r="E128" i="2" s="1"/>
  <c r="E170" i="2" s="1"/>
  <c r="E212" i="2" s="1"/>
  <c r="E254" i="2" s="1"/>
  <c r="E296" i="2" s="1"/>
  <c r="E339" i="2" s="1"/>
  <c r="E381" i="2" s="1"/>
  <c r="D86" i="2"/>
  <c r="D128" i="2" s="1"/>
  <c r="D170" i="2" s="1"/>
  <c r="D212" i="2" s="1"/>
  <c r="D254" i="2" s="1"/>
  <c r="D296" i="2" s="1"/>
  <c r="D339" i="2" s="1"/>
  <c r="D381" i="2" s="1"/>
  <c r="P85" i="2"/>
  <c r="P127" i="2" s="1"/>
  <c r="P169" i="2" s="1"/>
  <c r="P211" i="2" s="1"/>
  <c r="P253" i="2" s="1"/>
  <c r="P295" i="2" s="1"/>
  <c r="P338" i="2" s="1"/>
  <c r="P380" i="2" s="1"/>
  <c r="O85" i="2"/>
  <c r="O127" i="2" s="1"/>
  <c r="O169" i="2" s="1"/>
  <c r="O211" i="2" s="1"/>
  <c r="O253" i="2" s="1"/>
  <c r="O295" i="2" s="1"/>
  <c r="O338" i="2" s="1"/>
  <c r="O380" i="2" s="1"/>
  <c r="N85" i="2"/>
  <c r="N127" i="2" s="1"/>
  <c r="N169" i="2" s="1"/>
  <c r="N211" i="2" s="1"/>
  <c r="N253" i="2" s="1"/>
  <c r="N295" i="2" s="1"/>
  <c r="N338" i="2" s="1"/>
  <c r="N380" i="2" s="1"/>
  <c r="M85" i="2"/>
  <c r="M127" i="2" s="1"/>
  <c r="M169" i="2" s="1"/>
  <c r="M211" i="2" s="1"/>
  <c r="M253" i="2" s="1"/>
  <c r="M295" i="2" s="1"/>
  <c r="M338" i="2" s="1"/>
  <c r="M380" i="2" s="1"/>
  <c r="L85" i="2"/>
  <c r="L127" i="2" s="1"/>
  <c r="L169" i="2" s="1"/>
  <c r="L211" i="2" s="1"/>
  <c r="L253" i="2" s="1"/>
  <c r="L295" i="2" s="1"/>
  <c r="L338" i="2" s="1"/>
  <c r="L380" i="2" s="1"/>
  <c r="K85" i="2"/>
  <c r="K127" i="2" s="1"/>
  <c r="K169" i="2" s="1"/>
  <c r="K211" i="2" s="1"/>
  <c r="K253" i="2" s="1"/>
  <c r="K295" i="2" s="1"/>
  <c r="K338" i="2" s="1"/>
  <c r="K380" i="2" s="1"/>
  <c r="J85" i="2"/>
  <c r="J127" i="2" s="1"/>
  <c r="J169" i="2" s="1"/>
  <c r="J211" i="2" s="1"/>
  <c r="J253" i="2" s="1"/>
  <c r="J295" i="2" s="1"/>
  <c r="J338" i="2" s="1"/>
  <c r="J380" i="2" s="1"/>
  <c r="I85" i="2"/>
  <c r="I127" i="2" s="1"/>
  <c r="I169" i="2" s="1"/>
  <c r="I211" i="2" s="1"/>
  <c r="I253" i="2" s="1"/>
  <c r="I295" i="2" s="1"/>
  <c r="I338" i="2" s="1"/>
  <c r="I380" i="2" s="1"/>
  <c r="H85" i="2"/>
  <c r="H127" i="2" s="1"/>
  <c r="H169" i="2" s="1"/>
  <c r="H211" i="2" s="1"/>
  <c r="H253" i="2" s="1"/>
  <c r="H295" i="2" s="1"/>
  <c r="H338" i="2" s="1"/>
  <c r="H380" i="2" s="1"/>
  <c r="G85" i="2"/>
  <c r="G127" i="2" s="1"/>
  <c r="G169" i="2" s="1"/>
  <c r="G211" i="2" s="1"/>
  <c r="G253" i="2" s="1"/>
  <c r="G295" i="2" s="1"/>
  <c r="G338" i="2" s="1"/>
  <c r="G380" i="2" s="1"/>
  <c r="F85" i="2"/>
  <c r="F127" i="2" s="1"/>
  <c r="F169" i="2" s="1"/>
  <c r="F211" i="2" s="1"/>
  <c r="F253" i="2" s="1"/>
  <c r="F295" i="2" s="1"/>
  <c r="F338" i="2" s="1"/>
  <c r="F380" i="2" s="1"/>
  <c r="E85" i="2"/>
  <c r="E127" i="2" s="1"/>
  <c r="E169" i="2" s="1"/>
  <c r="E211" i="2" s="1"/>
  <c r="E253" i="2" s="1"/>
  <c r="E295" i="2" s="1"/>
  <c r="E338" i="2" s="1"/>
  <c r="E380" i="2" s="1"/>
  <c r="D85" i="2"/>
  <c r="D127" i="2" s="1"/>
  <c r="D169" i="2" s="1"/>
  <c r="D211" i="2" s="1"/>
  <c r="D253" i="2" s="1"/>
  <c r="D295" i="2" s="1"/>
  <c r="D338" i="2" s="1"/>
  <c r="D380" i="2" s="1"/>
  <c r="P84" i="2"/>
  <c r="O84" i="2"/>
  <c r="N84" i="2"/>
  <c r="M84" i="2"/>
  <c r="L84" i="2"/>
  <c r="K84" i="2"/>
  <c r="J84" i="2"/>
  <c r="I84" i="2"/>
  <c r="H84" i="2"/>
  <c r="G84" i="2"/>
  <c r="F84" i="2"/>
  <c r="E84" i="2"/>
  <c r="D84" i="2"/>
  <c r="P83" i="2"/>
  <c r="O83" i="2"/>
  <c r="N83" i="2"/>
  <c r="M83" i="2"/>
  <c r="L83" i="2"/>
  <c r="K83" i="2"/>
  <c r="J83" i="2"/>
  <c r="I83" i="2"/>
  <c r="H83" i="2"/>
  <c r="G83" i="2"/>
  <c r="F83" i="2"/>
  <c r="E83" i="2"/>
  <c r="D83" i="2"/>
  <c r="P82" i="2"/>
  <c r="O82" i="2"/>
  <c r="N82" i="2"/>
  <c r="M82" i="2"/>
  <c r="L82" i="2"/>
  <c r="K82" i="2"/>
  <c r="J82" i="2"/>
  <c r="I82" i="2"/>
  <c r="H82" i="2"/>
  <c r="G82" i="2"/>
  <c r="F82" i="2"/>
  <c r="E82" i="2"/>
  <c r="D82" i="2"/>
  <c r="P80" i="2"/>
  <c r="P122" i="2" s="1"/>
  <c r="P164" i="2" s="1"/>
  <c r="P206" i="2" s="1"/>
  <c r="P248" i="2" s="1"/>
  <c r="P290" i="2" s="1"/>
  <c r="P333" i="2" s="1"/>
  <c r="P375" i="2" s="1"/>
  <c r="O80" i="2"/>
  <c r="O122" i="2" s="1"/>
  <c r="O164" i="2" s="1"/>
  <c r="O206" i="2" s="1"/>
  <c r="O248" i="2" s="1"/>
  <c r="O290" i="2" s="1"/>
  <c r="O333" i="2" s="1"/>
  <c r="O375" i="2" s="1"/>
  <c r="N80" i="2"/>
  <c r="N122" i="2" s="1"/>
  <c r="N164" i="2" s="1"/>
  <c r="N206" i="2" s="1"/>
  <c r="N248" i="2" s="1"/>
  <c r="N290" i="2" s="1"/>
  <c r="N333" i="2" s="1"/>
  <c r="N375" i="2" s="1"/>
  <c r="M80" i="2"/>
  <c r="M122" i="2" s="1"/>
  <c r="M164" i="2" s="1"/>
  <c r="M206" i="2" s="1"/>
  <c r="M248" i="2" s="1"/>
  <c r="M290" i="2" s="1"/>
  <c r="M333" i="2" s="1"/>
  <c r="M375" i="2" s="1"/>
  <c r="L80" i="2"/>
  <c r="L122" i="2" s="1"/>
  <c r="L164" i="2" s="1"/>
  <c r="L206" i="2" s="1"/>
  <c r="L248" i="2" s="1"/>
  <c r="L290" i="2" s="1"/>
  <c r="L333" i="2" s="1"/>
  <c r="L375" i="2" s="1"/>
  <c r="K80" i="2"/>
  <c r="K122" i="2" s="1"/>
  <c r="K164" i="2" s="1"/>
  <c r="K206" i="2" s="1"/>
  <c r="K248" i="2" s="1"/>
  <c r="K290" i="2" s="1"/>
  <c r="K333" i="2" s="1"/>
  <c r="K375" i="2" s="1"/>
  <c r="J80" i="2"/>
  <c r="J122" i="2" s="1"/>
  <c r="J164" i="2" s="1"/>
  <c r="J206" i="2" s="1"/>
  <c r="J248" i="2" s="1"/>
  <c r="J290" i="2" s="1"/>
  <c r="J333" i="2" s="1"/>
  <c r="J375" i="2" s="1"/>
  <c r="I80" i="2"/>
  <c r="I122" i="2" s="1"/>
  <c r="I164" i="2" s="1"/>
  <c r="I206" i="2" s="1"/>
  <c r="I248" i="2" s="1"/>
  <c r="I290" i="2" s="1"/>
  <c r="I333" i="2" s="1"/>
  <c r="I375" i="2" s="1"/>
  <c r="H80" i="2"/>
  <c r="H122" i="2" s="1"/>
  <c r="H164" i="2" s="1"/>
  <c r="H206" i="2" s="1"/>
  <c r="H248" i="2" s="1"/>
  <c r="H290" i="2" s="1"/>
  <c r="H333" i="2" s="1"/>
  <c r="H375" i="2" s="1"/>
  <c r="G80" i="2"/>
  <c r="G122" i="2" s="1"/>
  <c r="G164" i="2" s="1"/>
  <c r="G206" i="2" s="1"/>
  <c r="G248" i="2" s="1"/>
  <c r="G290" i="2" s="1"/>
  <c r="G333" i="2" s="1"/>
  <c r="G375" i="2" s="1"/>
  <c r="F80" i="2"/>
  <c r="F122" i="2" s="1"/>
  <c r="F164" i="2" s="1"/>
  <c r="F206" i="2" s="1"/>
  <c r="F248" i="2" s="1"/>
  <c r="F290" i="2" s="1"/>
  <c r="F333" i="2" s="1"/>
  <c r="F375" i="2" s="1"/>
  <c r="E80" i="2"/>
  <c r="E122" i="2" s="1"/>
  <c r="E164" i="2" s="1"/>
  <c r="E206" i="2" s="1"/>
  <c r="E248" i="2" s="1"/>
  <c r="E290" i="2" s="1"/>
  <c r="E333" i="2" s="1"/>
  <c r="E375" i="2" s="1"/>
  <c r="D80" i="2"/>
  <c r="D122" i="2" s="1"/>
  <c r="D164" i="2" s="1"/>
  <c r="D206" i="2" s="1"/>
  <c r="D248" i="2" s="1"/>
  <c r="D290" i="2" s="1"/>
  <c r="D333" i="2" s="1"/>
  <c r="D375" i="2" s="1"/>
  <c r="P79" i="2"/>
  <c r="P121" i="2" s="1"/>
  <c r="P163" i="2" s="1"/>
  <c r="P205" i="2" s="1"/>
  <c r="P247" i="2" s="1"/>
  <c r="P289" i="2" s="1"/>
  <c r="P332" i="2" s="1"/>
  <c r="P374" i="2" s="1"/>
  <c r="O79" i="2"/>
  <c r="O121" i="2" s="1"/>
  <c r="O163" i="2" s="1"/>
  <c r="O205" i="2" s="1"/>
  <c r="O247" i="2" s="1"/>
  <c r="O289" i="2" s="1"/>
  <c r="O332" i="2" s="1"/>
  <c r="O374" i="2" s="1"/>
  <c r="N79" i="2"/>
  <c r="N121" i="2" s="1"/>
  <c r="N163" i="2" s="1"/>
  <c r="N205" i="2" s="1"/>
  <c r="N247" i="2" s="1"/>
  <c r="N289" i="2" s="1"/>
  <c r="N332" i="2" s="1"/>
  <c r="N374" i="2" s="1"/>
  <c r="M79" i="2"/>
  <c r="M121" i="2" s="1"/>
  <c r="M163" i="2" s="1"/>
  <c r="M205" i="2" s="1"/>
  <c r="M247" i="2" s="1"/>
  <c r="M289" i="2" s="1"/>
  <c r="M332" i="2" s="1"/>
  <c r="M374" i="2" s="1"/>
  <c r="L79" i="2"/>
  <c r="L121" i="2" s="1"/>
  <c r="L163" i="2" s="1"/>
  <c r="L205" i="2" s="1"/>
  <c r="L247" i="2" s="1"/>
  <c r="L289" i="2" s="1"/>
  <c r="L332" i="2" s="1"/>
  <c r="L374" i="2" s="1"/>
  <c r="K79" i="2"/>
  <c r="K121" i="2" s="1"/>
  <c r="K163" i="2" s="1"/>
  <c r="K205" i="2" s="1"/>
  <c r="K247" i="2" s="1"/>
  <c r="K289" i="2" s="1"/>
  <c r="K332" i="2" s="1"/>
  <c r="K374" i="2" s="1"/>
  <c r="J79" i="2"/>
  <c r="J121" i="2" s="1"/>
  <c r="J163" i="2" s="1"/>
  <c r="J205" i="2" s="1"/>
  <c r="J247" i="2" s="1"/>
  <c r="J289" i="2" s="1"/>
  <c r="J332" i="2" s="1"/>
  <c r="J374" i="2" s="1"/>
  <c r="I79" i="2"/>
  <c r="I121" i="2" s="1"/>
  <c r="I163" i="2" s="1"/>
  <c r="I205" i="2" s="1"/>
  <c r="I247" i="2" s="1"/>
  <c r="I289" i="2" s="1"/>
  <c r="I332" i="2" s="1"/>
  <c r="I374" i="2" s="1"/>
  <c r="H79" i="2"/>
  <c r="H121" i="2" s="1"/>
  <c r="H163" i="2" s="1"/>
  <c r="H205" i="2" s="1"/>
  <c r="H247" i="2" s="1"/>
  <c r="H289" i="2" s="1"/>
  <c r="H332" i="2" s="1"/>
  <c r="H374" i="2" s="1"/>
  <c r="G79" i="2"/>
  <c r="G121" i="2" s="1"/>
  <c r="G163" i="2" s="1"/>
  <c r="G205" i="2" s="1"/>
  <c r="G247" i="2" s="1"/>
  <c r="G289" i="2" s="1"/>
  <c r="G332" i="2" s="1"/>
  <c r="G374" i="2" s="1"/>
  <c r="F79" i="2"/>
  <c r="F121" i="2" s="1"/>
  <c r="F163" i="2" s="1"/>
  <c r="F205" i="2" s="1"/>
  <c r="F247" i="2" s="1"/>
  <c r="F289" i="2" s="1"/>
  <c r="F332" i="2" s="1"/>
  <c r="F374" i="2" s="1"/>
  <c r="E79" i="2"/>
  <c r="E121" i="2" s="1"/>
  <c r="E163" i="2" s="1"/>
  <c r="E205" i="2" s="1"/>
  <c r="E247" i="2" s="1"/>
  <c r="E289" i="2" s="1"/>
  <c r="E332" i="2" s="1"/>
  <c r="E374" i="2" s="1"/>
  <c r="D79" i="2"/>
  <c r="D121" i="2" s="1"/>
  <c r="D163" i="2" s="1"/>
  <c r="D205" i="2" s="1"/>
  <c r="D247" i="2" s="1"/>
  <c r="D289" i="2" s="1"/>
  <c r="D332" i="2" s="1"/>
  <c r="D374" i="2" s="1"/>
  <c r="P78" i="2"/>
  <c r="P120" i="2" s="1"/>
  <c r="P162" i="2" s="1"/>
  <c r="P204" i="2" s="1"/>
  <c r="P246" i="2" s="1"/>
  <c r="P288" i="2" s="1"/>
  <c r="P331" i="2" s="1"/>
  <c r="P373" i="2" s="1"/>
  <c r="O78" i="2"/>
  <c r="O120" i="2" s="1"/>
  <c r="O162" i="2" s="1"/>
  <c r="O204" i="2" s="1"/>
  <c r="O246" i="2" s="1"/>
  <c r="O288" i="2" s="1"/>
  <c r="O331" i="2" s="1"/>
  <c r="O373" i="2" s="1"/>
  <c r="N78" i="2"/>
  <c r="N120" i="2" s="1"/>
  <c r="N162" i="2" s="1"/>
  <c r="N204" i="2" s="1"/>
  <c r="N246" i="2" s="1"/>
  <c r="N288" i="2" s="1"/>
  <c r="N331" i="2" s="1"/>
  <c r="N373" i="2" s="1"/>
  <c r="M78" i="2"/>
  <c r="M120" i="2" s="1"/>
  <c r="M162" i="2" s="1"/>
  <c r="M204" i="2" s="1"/>
  <c r="M246" i="2" s="1"/>
  <c r="M288" i="2" s="1"/>
  <c r="M331" i="2" s="1"/>
  <c r="M373" i="2" s="1"/>
  <c r="L78" i="2"/>
  <c r="L120" i="2" s="1"/>
  <c r="L162" i="2" s="1"/>
  <c r="L204" i="2" s="1"/>
  <c r="L246" i="2" s="1"/>
  <c r="L288" i="2" s="1"/>
  <c r="L331" i="2" s="1"/>
  <c r="L373" i="2" s="1"/>
  <c r="K78" i="2"/>
  <c r="K120" i="2" s="1"/>
  <c r="K162" i="2" s="1"/>
  <c r="K204" i="2" s="1"/>
  <c r="K246" i="2" s="1"/>
  <c r="K288" i="2" s="1"/>
  <c r="K331" i="2" s="1"/>
  <c r="K373" i="2" s="1"/>
  <c r="J78" i="2"/>
  <c r="J120" i="2" s="1"/>
  <c r="J162" i="2" s="1"/>
  <c r="J204" i="2" s="1"/>
  <c r="J246" i="2" s="1"/>
  <c r="J288" i="2" s="1"/>
  <c r="J331" i="2" s="1"/>
  <c r="J373" i="2" s="1"/>
  <c r="I78" i="2"/>
  <c r="I120" i="2" s="1"/>
  <c r="I162" i="2" s="1"/>
  <c r="I204" i="2" s="1"/>
  <c r="I246" i="2" s="1"/>
  <c r="I288" i="2" s="1"/>
  <c r="I331" i="2" s="1"/>
  <c r="I373" i="2" s="1"/>
  <c r="H78" i="2"/>
  <c r="H120" i="2" s="1"/>
  <c r="H162" i="2" s="1"/>
  <c r="H204" i="2" s="1"/>
  <c r="H246" i="2" s="1"/>
  <c r="H288" i="2" s="1"/>
  <c r="H331" i="2" s="1"/>
  <c r="H373" i="2" s="1"/>
  <c r="G78" i="2"/>
  <c r="G120" i="2" s="1"/>
  <c r="G162" i="2" s="1"/>
  <c r="G204" i="2" s="1"/>
  <c r="G246" i="2" s="1"/>
  <c r="G288" i="2" s="1"/>
  <c r="G331" i="2" s="1"/>
  <c r="G373" i="2" s="1"/>
  <c r="F78" i="2"/>
  <c r="F120" i="2" s="1"/>
  <c r="F162" i="2" s="1"/>
  <c r="F204" i="2" s="1"/>
  <c r="F246" i="2" s="1"/>
  <c r="F288" i="2" s="1"/>
  <c r="F331" i="2" s="1"/>
  <c r="F373" i="2" s="1"/>
  <c r="E78" i="2"/>
  <c r="E120" i="2" s="1"/>
  <c r="E162" i="2" s="1"/>
  <c r="E204" i="2" s="1"/>
  <c r="E246" i="2" s="1"/>
  <c r="E288" i="2" s="1"/>
  <c r="E331" i="2" s="1"/>
  <c r="E373" i="2" s="1"/>
  <c r="D78" i="2"/>
  <c r="D120" i="2" s="1"/>
  <c r="D162" i="2" s="1"/>
  <c r="D204" i="2" s="1"/>
  <c r="D246" i="2" s="1"/>
  <c r="D288" i="2" s="1"/>
  <c r="D331" i="2" s="1"/>
  <c r="D373" i="2" s="1"/>
  <c r="P77" i="2"/>
  <c r="P119" i="2" s="1"/>
  <c r="P161" i="2" s="1"/>
  <c r="P203" i="2" s="1"/>
  <c r="P245" i="2" s="1"/>
  <c r="P287" i="2" s="1"/>
  <c r="P330" i="2" s="1"/>
  <c r="P372" i="2" s="1"/>
  <c r="O77" i="2"/>
  <c r="O119" i="2" s="1"/>
  <c r="O161" i="2" s="1"/>
  <c r="O203" i="2" s="1"/>
  <c r="O245" i="2" s="1"/>
  <c r="O287" i="2" s="1"/>
  <c r="O330" i="2" s="1"/>
  <c r="O372" i="2" s="1"/>
  <c r="N77" i="2"/>
  <c r="N119" i="2" s="1"/>
  <c r="N161" i="2" s="1"/>
  <c r="N203" i="2" s="1"/>
  <c r="N245" i="2" s="1"/>
  <c r="N287" i="2" s="1"/>
  <c r="N330" i="2" s="1"/>
  <c r="N372" i="2" s="1"/>
  <c r="M77" i="2"/>
  <c r="M119" i="2" s="1"/>
  <c r="M161" i="2" s="1"/>
  <c r="M203" i="2" s="1"/>
  <c r="M245" i="2" s="1"/>
  <c r="M287" i="2" s="1"/>
  <c r="M330" i="2" s="1"/>
  <c r="M372" i="2" s="1"/>
  <c r="L77" i="2"/>
  <c r="L119" i="2" s="1"/>
  <c r="L161" i="2" s="1"/>
  <c r="L203" i="2" s="1"/>
  <c r="L245" i="2" s="1"/>
  <c r="L287" i="2" s="1"/>
  <c r="L330" i="2" s="1"/>
  <c r="L372" i="2" s="1"/>
  <c r="K77" i="2"/>
  <c r="K119" i="2" s="1"/>
  <c r="K161" i="2" s="1"/>
  <c r="K203" i="2" s="1"/>
  <c r="K245" i="2" s="1"/>
  <c r="K287" i="2" s="1"/>
  <c r="K330" i="2" s="1"/>
  <c r="K372" i="2" s="1"/>
  <c r="J77" i="2"/>
  <c r="J119" i="2" s="1"/>
  <c r="J161" i="2" s="1"/>
  <c r="J203" i="2" s="1"/>
  <c r="J245" i="2" s="1"/>
  <c r="J287" i="2" s="1"/>
  <c r="J330" i="2" s="1"/>
  <c r="J372" i="2" s="1"/>
  <c r="I77" i="2"/>
  <c r="I119" i="2" s="1"/>
  <c r="I161" i="2" s="1"/>
  <c r="I203" i="2" s="1"/>
  <c r="I245" i="2" s="1"/>
  <c r="I287" i="2" s="1"/>
  <c r="I330" i="2" s="1"/>
  <c r="I372" i="2" s="1"/>
  <c r="H77" i="2"/>
  <c r="H119" i="2" s="1"/>
  <c r="H161" i="2" s="1"/>
  <c r="H203" i="2" s="1"/>
  <c r="H245" i="2" s="1"/>
  <c r="H287" i="2" s="1"/>
  <c r="H330" i="2" s="1"/>
  <c r="H372" i="2" s="1"/>
  <c r="G77" i="2"/>
  <c r="G119" i="2" s="1"/>
  <c r="G161" i="2" s="1"/>
  <c r="G203" i="2" s="1"/>
  <c r="G245" i="2" s="1"/>
  <c r="G287" i="2" s="1"/>
  <c r="G330" i="2" s="1"/>
  <c r="G372" i="2" s="1"/>
  <c r="F77" i="2"/>
  <c r="F119" i="2" s="1"/>
  <c r="F161" i="2" s="1"/>
  <c r="F203" i="2" s="1"/>
  <c r="F245" i="2" s="1"/>
  <c r="F287" i="2" s="1"/>
  <c r="F330" i="2" s="1"/>
  <c r="F372" i="2" s="1"/>
  <c r="E77" i="2"/>
  <c r="E119" i="2" s="1"/>
  <c r="E161" i="2" s="1"/>
  <c r="E203" i="2" s="1"/>
  <c r="E245" i="2" s="1"/>
  <c r="E287" i="2" s="1"/>
  <c r="E330" i="2" s="1"/>
  <c r="E372" i="2" s="1"/>
  <c r="D77" i="2"/>
  <c r="D119" i="2" s="1"/>
  <c r="D161" i="2" s="1"/>
  <c r="D203" i="2" s="1"/>
  <c r="D245" i="2" s="1"/>
  <c r="D287" i="2" s="1"/>
  <c r="D330" i="2" s="1"/>
  <c r="D372" i="2" s="1"/>
  <c r="P76" i="2"/>
  <c r="P118" i="2" s="1"/>
  <c r="P160" i="2" s="1"/>
  <c r="P202" i="2" s="1"/>
  <c r="P244" i="2" s="1"/>
  <c r="P286" i="2" s="1"/>
  <c r="P329" i="2" s="1"/>
  <c r="P371" i="2" s="1"/>
  <c r="O76" i="2"/>
  <c r="O118" i="2" s="1"/>
  <c r="O160" i="2" s="1"/>
  <c r="O202" i="2" s="1"/>
  <c r="O244" i="2" s="1"/>
  <c r="O286" i="2" s="1"/>
  <c r="O329" i="2" s="1"/>
  <c r="O371" i="2" s="1"/>
  <c r="N76" i="2"/>
  <c r="N118" i="2" s="1"/>
  <c r="N160" i="2" s="1"/>
  <c r="N202" i="2" s="1"/>
  <c r="N244" i="2" s="1"/>
  <c r="N286" i="2" s="1"/>
  <c r="N329" i="2" s="1"/>
  <c r="N371" i="2" s="1"/>
  <c r="M76" i="2"/>
  <c r="M118" i="2" s="1"/>
  <c r="M160" i="2" s="1"/>
  <c r="M202" i="2" s="1"/>
  <c r="M244" i="2" s="1"/>
  <c r="M286" i="2" s="1"/>
  <c r="M329" i="2" s="1"/>
  <c r="M371" i="2" s="1"/>
  <c r="L76" i="2"/>
  <c r="L118" i="2" s="1"/>
  <c r="L160" i="2" s="1"/>
  <c r="L202" i="2" s="1"/>
  <c r="L244" i="2" s="1"/>
  <c r="L286" i="2" s="1"/>
  <c r="L329" i="2" s="1"/>
  <c r="L371" i="2" s="1"/>
  <c r="K76" i="2"/>
  <c r="K118" i="2" s="1"/>
  <c r="K160" i="2" s="1"/>
  <c r="K202" i="2" s="1"/>
  <c r="K244" i="2" s="1"/>
  <c r="K286" i="2" s="1"/>
  <c r="K329" i="2" s="1"/>
  <c r="K371" i="2" s="1"/>
  <c r="J76" i="2"/>
  <c r="J118" i="2" s="1"/>
  <c r="J160" i="2" s="1"/>
  <c r="J202" i="2" s="1"/>
  <c r="J244" i="2" s="1"/>
  <c r="J286" i="2" s="1"/>
  <c r="J329" i="2" s="1"/>
  <c r="J371" i="2" s="1"/>
  <c r="I76" i="2"/>
  <c r="I118" i="2" s="1"/>
  <c r="I160" i="2" s="1"/>
  <c r="I202" i="2" s="1"/>
  <c r="I244" i="2" s="1"/>
  <c r="I286" i="2" s="1"/>
  <c r="I329" i="2" s="1"/>
  <c r="I371" i="2" s="1"/>
  <c r="H76" i="2"/>
  <c r="H118" i="2" s="1"/>
  <c r="H160" i="2" s="1"/>
  <c r="H202" i="2" s="1"/>
  <c r="H244" i="2" s="1"/>
  <c r="H286" i="2" s="1"/>
  <c r="H329" i="2" s="1"/>
  <c r="H371" i="2" s="1"/>
  <c r="G76" i="2"/>
  <c r="G118" i="2" s="1"/>
  <c r="G160" i="2" s="1"/>
  <c r="G202" i="2" s="1"/>
  <c r="G244" i="2" s="1"/>
  <c r="G286" i="2" s="1"/>
  <c r="G329" i="2" s="1"/>
  <c r="G371" i="2" s="1"/>
  <c r="F76" i="2"/>
  <c r="F118" i="2" s="1"/>
  <c r="F160" i="2" s="1"/>
  <c r="F202" i="2" s="1"/>
  <c r="F244" i="2" s="1"/>
  <c r="F286" i="2" s="1"/>
  <c r="F329" i="2" s="1"/>
  <c r="F371" i="2" s="1"/>
  <c r="E76" i="2"/>
  <c r="E118" i="2" s="1"/>
  <c r="E160" i="2" s="1"/>
  <c r="E202" i="2" s="1"/>
  <c r="E244" i="2" s="1"/>
  <c r="E286" i="2" s="1"/>
  <c r="E329" i="2" s="1"/>
  <c r="E371" i="2" s="1"/>
  <c r="D76" i="2"/>
  <c r="D118" i="2" s="1"/>
  <c r="D160" i="2" s="1"/>
  <c r="D202" i="2" s="1"/>
  <c r="D244" i="2" s="1"/>
  <c r="D286" i="2" s="1"/>
  <c r="D329" i="2" s="1"/>
  <c r="D371" i="2" s="1"/>
  <c r="P70" i="2"/>
  <c r="O70" i="2"/>
  <c r="N70" i="2"/>
  <c r="M70" i="2"/>
  <c r="L70" i="2"/>
  <c r="K70" i="2"/>
  <c r="J70" i="2"/>
  <c r="I70" i="2"/>
  <c r="H70" i="2"/>
  <c r="G70" i="2"/>
  <c r="F70" i="2"/>
  <c r="E70" i="2"/>
  <c r="D70" i="2"/>
  <c r="P69" i="2"/>
  <c r="O69" i="2"/>
  <c r="N69" i="2"/>
  <c r="M69" i="2"/>
  <c r="L69" i="2"/>
  <c r="K69" i="2"/>
  <c r="J69" i="2"/>
  <c r="I69" i="2"/>
  <c r="H69" i="2"/>
  <c r="G69" i="2"/>
  <c r="F69" i="2"/>
  <c r="E69" i="2"/>
  <c r="D69" i="2"/>
  <c r="P67" i="2"/>
  <c r="O67" i="2"/>
  <c r="N67" i="2"/>
  <c r="M67" i="2"/>
  <c r="L67" i="2"/>
  <c r="K67" i="2"/>
  <c r="J67" i="2"/>
  <c r="I67" i="2"/>
  <c r="H67" i="2"/>
  <c r="G67" i="2"/>
  <c r="F67" i="2"/>
  <c r="E67" i="2"/>
  <c r="D67" i="2"/>
  <c r="P56" i="2"/>
  <c r="O56" i="2"/>
  <c r="N56" i="2"/>
  <c r="M56" i="2"/>
  <c r="L56" i="2"/>
  <c r="K56" i="2"/>
  <c r="J56" i="2"/>
  <c r="I56" i="2"/>
  <c r="H56" i="2"/>
  <c r="G56" i="2"/>
  <c r="F56" i="2"/>
  <c r="E56" i="2"/>
  <c r="D56" i="2"/>
  <c r="P53" i="2"/>
  <c r="O53" i="2"/>
  <c r="N53" i="2"/>
  <c r="M53" i="2"/>
  <c r="L53" i="2"/>
  <c r="K53" i="2"/>
  <c r="J53" i="2"/>
  <c r="I53" i="2"/>
  <c r="H53" i="2"/>
  <c r="G53" i="2"/>
  <c r="F53" i="2"/>
  <c r="E53" i="2"/>
  <c r="D53" i="2"/>
  <c r="P49" i="2"/>
  <c r="P91" i="2" s="1"/>
  <c r="P133" i="2" s="1"/>
  <c r="P175" i="2" s="1"/>
  <c r="P217" i="2" s="1"/>
  <c r="P259" i="2" s="1"/>
  <c r="P301" i="2" s="1"/>
  <c r="P344" i="2" s="1"/>
  <c r="O49" i="2"/>
  <c r="O91" i="2" s="1"/>
  <c r="O133" i="2" s="1"/>
  <c r="O175" i="2" s="1"/>
  <c r="O217" i="2" s="1"/>
  <c r="O259" i="2" s="1"/>
  <c r="O301" i="2" s="1"/>
  <c r="O344" i="2" s="1"/>
  <c r="N49" i="2"/>
  <c r="N91" i="2" s="1"/>
  <c r="N133" i="2" s="1"/>
  <c r="N175" i="2" s="1"/>
  <c r="N217" i="2" s="1"/>
  <c r="N259" i="2" s="1"/>
  <c r="N301" i="2" s="1"/>
  <c r="N344" i="2" s="1"/>
  <c r="M49" i="2"/>
  <c r="M91" i="2" s="1"/>
  <c r="M133" i="2" s="1"/>
  <c r="M175" i="2" s="1"/>
  <c r="M217" i="2" s="1"/>
  <c r="M259" i="2" s="1"/>
  <c r="M301" i="2" s="1"/>
  <c r="M344" i="2" s="1"/>
  <c r="L49" i="2"/>
  <c r="L91" i="2" s="1"/>
  <c r="L133" i="2" s="1"/>
  <c r="L175" i="2" s="1"/>
  <c r="L217" i="2" s="1"/>
  <c r="L259" i="2" s="1"/>
  <c r="L301" i="2" s="1"/>
  <c r="L344" i="2" s="1"/>
  <c r="K49" i="2"/>
  <c r="K91" i="2" s="1"/>
  <c r="K133" i="2" s="1"/>
  <c r="K175" i="2" s="1"/>
  <c r="K217" i="2" s="1"/>
  <c r="K259" i="2" s="1"/>
  <c r="K301" i="2" s="1"/>
  <c r="K344" i="2" s="1"/>
  <c r="J49" i="2"/>
  <c r="J91" i="2" s="1"/>
  <c r="J133" i="2" s="1"/>
  <c r="J175" i="2" s="1"/>
  <c r="J217" i="2" s="1"/>
  <c r="J259" i="2" s="1"/>
  <c r="J301" i="2" s="1"/>
  <c r="J344" i="2" s="1"/>
  <c r="I49" i="2"/>
  <c r="I91" i="2" s="1"/>
  <c r="I133" i="2" s="1"/>
  <c r="I175" i="2" s="1"/>
  <c r="I217" i="2" s="1"/>
  <c r="I259" i="2" s="1"/>
  <c r="I301" i="2" s="1"/>
  <c r="I344" i="2" s="1"/>
  <c r="H49" i="2"/>
  <c r="H91" i="2" s="1"/>
  <c r="H133" i="2" s="1"/>
  <c r="H175" i="2" s="1"/>
  <c r="H217" i="2" s="1"/>
  <c r="H259" i="2" s="1"/>
  <c r="H301" i="2" s="1"/>
  <c r="H344" i="2" s="1"/>
  <c r="G49" i="2"/>
  <c r="G91" i="2" s="1"/>
  <c r="G133" i="2" s="1"/>
  <c r="G175" i="2" s="1"/>
  <c r="G217" i="2" s="1"/>
  <c r="G259" i="2" s="1"/>
  <c r="G301" i="2" s="1"/>
  <c r="G344" i="2" s="1"/>
  <c r="F49" i="2"/>
  <c r="F91" i="2" s="1"/>
  <c r="F133" i="2" s="1"/>
  <c r="F175" i="2" s="1"/>
  <c r="F217" i="2" s="1"/>
  <c r="F259" i="2" s="1"/>
  <c r="F301" i="2" s="1"/>
  <c r="F344" i="2" s="1"/>
  <c r="E49" i="2"/>
  <c r="E91" i="2" s="1"/>
  <c r="E133" i="2" s="1"/>
  <c r="E175" i="2" s="1"/>
  <c r="E217" i="2" s="1"/>
  <c r="E259" i="2" s="1"/>
  <c r="E301" i="2" s="1"/>
  <c r="E344" i="2" s="1"/>
  <c r="D49" i="2"/>
  <c r="D91" i="2" s="1"/>
  <c r="D133" i="2" s="1"/>
  <c r="D175" i="2" s="1"/>
  <c r="D217" i="2" s="1"/>
  <c r="D259" i="2" s="1"/>
  <c r="D301" i="2" s="1"/>
  <c r="D344" i="2" s="1"/>
  <c r="A48" i="2"/>
  <c r="P42" i="2"/>
  <c r="O42" i="2"/>
  <c r="N42" i="2"/>
  <c r="M42" i="2"/>
  <c r="L42" i="2"/>
  <c r="K42" i="2"/>
  <c r="J42" i="2"/>
  <c r="I42" i="2"/>
  <c r="H42" i="2"/>
  <c r="G42" i="2"/>
  <c r="F42" i="2"/>
  <c r="E42" i="2"/>
  <c r="D42" i="2"/>
  <c r="P41" i="2"/>
  <c r="O41" i="2"/>
  <c r="N41" i="2"/>
  <c r="M41" i="2"/>
  <c r="L41" i="2"/>
  <c r="K41" i="2"/>
  <c r="J41" i="2"/>
  <c r="I41" i="2"/>
  <c r="H41" i="2"/>
  <c r="G41" i="2"/>
  <c r="F41" i="2"/>
  <c r="E41" i="2"/>
  <c r="D41" i="2"/>
  <c r="P40" i="2"/>
  <c r="O40" i="2"/>
  <c r="N40" i="2"/>
  <c r="M40" i="2"/>
  <c r="L40" i="2"/>
  <c r="K40" i="2"/>
  <c r="J40" i="2"/>
  <c r="I40" i="2"/>
  <c r="H40" i="2"/>
  <c r="G40" i="2"/>
  <c r="F40" i="2"/>
  <c r="E40" i="2"/>
  <c r="D40" i="2"/>
  <c r="P27" i="2"/>
  <c r="O27" i="2"/>
  <c r="N27" i="2"/>
  <c r="M27" i="2"/>
  <c r="L27" i="2"/>
  <c r="K27" i="2"/>
  <c r="J27" i="2"/>
  <c r="I27" i="2"/>
  <c r="H27" i="2"/>
  <c r="G27" i="2"/>
  <c r="F27" i="2"/>
  <c r="E27" i="2"/>
  <c r="D27" i="2"/>
  <c r="P25" i="2"/>
  <c r="O25" i="2"/>
  <c r="N25" i="2"/>
  <c r="M25" i="2"/>
  <c r="L25" i="2"/>
  <c r="K25" i="2"/>
  <c r="J25" i="2"/>
  <c r="I25" i="2"/>
  <c r="H25" i="2"/>
  <c r="G25" i="2"/>
  <c r="F25" i="2"/>
  <c r="E25" i="2"/>
  <c r="D25" i="2"/>
  <c r="P14" i="2"/>
  <c r="O14" i="2"/>
  <c r="N14" i="2"/>
  <c r="M14" i="2"/>
  <c r="L14" i="2"/>
  <c r="K14" i="2"/>
  <c r="J14" i="2"/>
  <c r="I14" i="2"/>
  <c r="H14" i="2"/>
  <c r="G14" i="2"/>
  <c r="F14" i="2"/>
  <c r="E14" i="2"/>
  <c r="D14" i="2"/>
  <c r="P11" i="2"/>
  <c r="O11" i="2"/>
  <c r="N11" i="2"/>
  <c r="M11" i="2"/>
  <c r="L11" i="2"/>
  <c r="K11" i="2"/>
  <c r="J11" i="2"/>
  <c r="I11" i="2"/>
  <c r="H11" i="2"/>
  <c r="G11" i="2"/>
  <c r="F11" i="2"/>
  <c r="E11" i="2"/>
  <c r="D11" i="2"/>
  <c r="P9" i="2"/>
  <c r="O9" i="2"/>
  <c r="N9" i="2"/>
  <c r="M9" i="2"/>
  <c r="K9" i="2"/>
  <c r="J9" i="2"/>
  <c r="I9" i="2"/>
  <c r="H9" i="2"/>
  <c r="G9" i="2"/>
  <c r="F9" i="2"/>
  <c r="E9" i="2"/>
  <c r="A3" i="2"/>
  <c r="J81" i="7" l="1"/>
  <c r="J131" i="7" s="1"/>
  <c r="J181" i="7" s="1"/>
  <c r="J711" i="7" s="1"/>
  <c r="J761" i="7" s="1"/>
  <c r="J811" i="7" s="1"/>
  <c r="J861" i="7" s="1"/>
  <c r="J911" i="7" s="1"/>
  <c r="J961" i="7" s="1"/>
  <c r="K31" i="7"/>
  <c r="L96" i="7"/>
  <c r="K146" i="7"/>
  <c r="L80" i="7"/>
  <c r="L130" i="7" s="1"/>
  <c r="L180" i="7" s="1"/>
  <c r="L710" i="7" s="1"/>
  <c r="L760" i="7" s="1"/>
  <c r="L810" i="7" s="1"/>
  <c r="L860" i="7" s="1"/>
  <c r="L910" i="7" s="1"/>
  <c r="L960" i="7" s="1"/>
  <c r="M30" i="7"/>
  <c r="P387" i="2"/>
  <c r="P388" i="2"/>
  <c r="O388" i="2"/>
  <c r="O432" i="2" s="1"/>
  <c r="O387" i="2"/>
  <c r="L387" i="2"/>
  <c r="L388" i="2"/>
  <c r="L432" i="2" s="1"/>
  <c r="H387" i="2"/>
  <c r="H388" i="2"/>
  <c r="H432" i="2" s="1"/>
  <c r="I387" i="2"/>
  <c r="I388" i="2"/>
  <c r="I432" i="2" s="1"/>
  <c r="K387" i="2"/>
  <c r="K388" i="2"/>
  <c r="K432" i="2" s="1"/>
  <c r="J387" i="2"/>
  <c r="J388" i="2"/>
  <c r="J432" i="2" s="1"/>
  <c r="E388" i="2"/>
  <c r="E432" i="2" s="1"/>
  <c r="E387" i="2"/>
  <c r="M388" i="2"/>
  <c r="M432" i="2" s="1"/>
  <c r="M387" i="2"/>
  <c r="D387" i="2"/>
  <c r="D388" i="2"/>
  <c r="D432" i="2" s="1"/>
  <c r="F388" i="2"/>
  <c r="F432" i="2" s="1"/>
  <c r="F387" i="2"/>
  <c r="N388" i="2"/>
  <c r="N432" i="2" s="1"/>
  <c r="N387" i="2"/>
  <c r="G388" i="2"/>
  <c r="G432" i="2" s="1"/>
  <c r="G387" i="2"/>
  <c r="D9" i="2"/>
  <c r="L9" i="2"/>
  <c r="L146" i="7" l="1"/>
  <c r="M96" i="7"/>
  <c r="M80" i="7"/>
  <c r="M130" i="7" s="1"/>
  <c r="M180" i="7" s="1"/>
  <c r="M710" i="7" s="1"/>
  <c r="M760" i="7" s="1"/>
  <c r="M810" i="7" s="1"/>
  <c r="M860" i="7" s="1"/>
  <c r="M910" i="7" s="1"/>
  <c r="M960" i="7" s="1"/>
  <c r="N30" i="7"/>
  <c r="L31" i="7"/>
  <c r="K81" i="7"/>
  <c r="K131" i="7" s="1"/>
  <c r="K181" i="7" s="1"/>
  <c r="K711" i="7" s="1"/>
  <c r="K761" i="7" s="1"/>
  <c r="K811" i="7" s="1"/>
  <c r="K861" i="7" s="1"/>
  <c r="K911" i="7" s="1"/>
  <c r="K961" i="7" s="1"/>
  <c r="P441" i="1"/>
  <c r="O441" i="1"/>
  <c r="N441" i="1"/>
  <c r="M441" i="1"/>
  <c r="L441" i="1"/>
  <c r="K441" i="1"/>
  <c r="J441" i="1"/>
  <c r="I441" i="1"/>
  <c r="H441" i="1"/>
  <c r="G441" i="1"/>
  <c r="F441" i="1"/>
  <c r="E441" i="1"/>
  <c r="D441" i="1"/>
  <c r="P440" i="1"/>
  <c r="O440" i="1"/>
  <c r="N440" i="1"/>
  <c r="M440" i="1"/>
  <c r="L440" i="1"/>
  <c r="K440" i="1"/>
  <c r="J440" i="1"/>
  <c r="I440" i="1"/>
  <c r="H440" i="1"/>
  <c r="G440" i="1"/>
  <c r="F440" i="1"/>
  <c r="E440" i="1"/>
  <c r="D440" i="1"/>
  <c r="P439" i="1"/>
  <c r="O439" i="1"/>
  <c r="N439" i="1"/>
  <c r="M439" i="1"/>
  <c r="L439" i="1"/>
  <c r="K439" i="1"/>
  <c r="J439" i="1"/>
  <c r="I439" i="1"/>
  <c r="H439" i="1"/>
  <c r="G439" i="1"/>
  <c r="F439" i="1"/>
  <c r="E439" i="1"/>
  <c r="D439" i="1"/>
  <c r="P438" i="1"/>
  <c r="O438" i="1"/>
  <c r="N438" i="1"/>
  <c r="M438" i="1"/>
  <c r="L438" i="1"/>
  <c r="K438" i="1"/>
  <c r="J438" i="1"/>
  <c r="I438" i="1"/>
  <c r="H438" i="1"/>
  <c r="G438" i="1"/>
  <c r="F438" i="1"/>
  <c r="E438" i="1"/>
  <c r="D438" i="1"/>
  <c r="P437" i="1"/>
  <c r="O437" i="1"/>
  <c r="N437" i="1"/>
  <c r="M437" i="1"/>
  <c r="L437" i="1"/>
  <c r="P436" i="1"/>
  <c r="O436" i="1"/>
  <c r="N436" i="1"/>
  <c r="M436" i="1"/>
  <c r="L436" i="1"/>
  <c r="K436" i="1"/>
  <c r="J436" i="1"/>
  <c r="I436" i="1"/>
  <c r="H436" i="1"/>
  <c r="G436" i="1"/>
  <c r="F436" i="1"/>
  <c r="E436" i="1"/>
  <c r="D436" i="1"/>
  <c r="P425" i="1"/>
  <c r="O425" i="1"/>
  <c r="N425" i="1"/>
  <c r="M425" i="1"/>
  <c r="L425" i="1"/>
  <c r="K425" i="1"/>
  <c r="J425" i="1"/>
  <c r="I425" i="1"/>
  <c r="H425" i="1"/>
  <c r="G425" i="1"/>
  <c r="F425" i="1"/>
  <c r="E425" i="1"/>
  <c r="D425" i="1"/>
  <c r="P424" i="1"/>
  <c r="O424" i="1"/>
  <c r="N424" i="1"/>
  <c r="M424" i="1"/>
  <c r="L424" i="1"/>
  <c r="K424" i="1"/>
  <c r="J424" i="1"/>
  <c r="I424" i="1"/>
  <c r="H424" i="1"/>
  <c r="G424" i="1"/>
  <c r="F424" i="1"/>
  <c r="E424" i="1"/>
  <c r="D424" i="1"/>
  <c r="P423" i="1"/>
  <c r="O423" i="1"/>
  <c r="N423" i="1"/>
  <c r="M423" i="1"/>
  <c r="L423" i="1"/>
  <c r="K423" i="1"/>
  <c r="J423" i="1"/>
  <c r="I423" i="1"/>
  <c r="H423" i="1"/>
  <c r="G423" i="1"/>
  <c r="F423" i="1"/>
  <c r="E423" i="1"/>
  <c r="D423" i="1"/>
  <c r="P422" i="1"/>
  <c r="O422" i="1"/>
  <c r="N422" i="1"/>
  <c r="M422" i="1"/>
  <c r="L422" i="1"/>
  <c r="K422" i="1"/>
  <c r="J422" i="1"/>
  <c r="I422" i="1"/>
  <c r="H422" i="1"/>
  <c r="G422" i="1"/>
  <c r="F422" i="1"/>
  <c r="E422" i="1"/>
  <c r="D422" i="1"/>
  <c r="P421" i="1"/>
  <c r="O421" i="1"/>
  <c r="N421" i="1"/>
  <c r="M421" i="1"/>
  <c r="L421" i="1"/>
  <c r="P420" i="1"/>
  <c r="O420" i="1"/>
  <c r="N420" i="1"/>
  <c r="M420" i="1"/>
  <c r="L420" i="1"/>
  <c r="K420" i="1"/>
  <c r="J420" i="1"/>
  <c r="I420" i="1"/>
  <c r="H420" i="1"/>
  <c r="G420" i="1"/>
  <c r="F420" i="1"/>
  <c r="E420" i="1"/>
  <c r="D420" i="1"/>
  <c r="P409" i="1"/>
  <c r="O409" i="1"/>
  <c r="N409" i="1"/>
  <c r="M409" i="1"/>
  <c r="L409" i="1"/>
  <c r="K409" i="1"/>
  <c r="J409" i="1"/>
  <c r="I409" i="1"/>
  <c r="H409" i="1"/>
  <c r="G409" i="1"/>
  <c r="F409" i="1"/>
  <c r="E409" i="1"/>
  <c r="D409" i="1"/>
  <c r="P408" i="1"/>
  <c r="O408" i="1"/>
  <c r="N408" i="1"/>
  <c r="M408" i="1"/>
  <c r="L408" i="1"/>
  <c r="K408" i="1"/>
  <c r="J408" i="1"/>
  <c r="I408" i="1"/>
  <c r="H408" i="1"/>
  <c r="G408" i="1"/>
  <c r="F408" i="1"/>
  <c r="E408" i="1"/>
  <c r="D408" i="1"/>
  <c r="O383" i="1"/>
  <c r="N383" i="1"/>
  <c r="M383" i="1"/>
  <c r="L383" i="1"/>
  <c r="K383" i="1"/>
  <c r="J383" i="1"/>
  <c r="I383" i="1"/>
  <c r="H383" i="1"/>
  <c r="G383" i="1"/>
  <c r="F383" i="1"/>
  <c r="E383" i="1"/>
  <c r="D383" i="1"/>
  <c r="O382" i="1"/>
  <c r="N382" i="1"/>
  <c r="M382" i="1"/>
  <c r="L382" i="1"/>
  <c r="K382" i="1"/>
  <c r="J382" i="1"/>
  <c r="I382" i="1"/>
  <c r="H382" i="1"/>
  <c r="G382" i="1"/>
  <c r="F382" i="1"/>
  <c r="E382" i="1"/>
  <c r="D382" i="1"/>
  <c r="P380" i="1"/>
  <c r="P9" i="1" s="1"/>
  <c r="O380" i="1"/>
  <c r="N380" i="1"/>
  <c r="M380" i="1"/>
  <c r="L380" i="1"/>
  <c r="K380" i="1"/>
  <c r="J380" i="1"/>
  <c r="I380" i="1"/>
  <c r="H380" i="1"/>
  <c r="H9" i="1" s="1"/>
  <c r="G380" i="1"/>
  <c r="F380" i="1"/>
  <c r="E380" i="1"/>
  <c r="D380" i="1"/>
  <c r="P370" i="1"/>
  <c r="O370" i="1"/>
  <c r="N370" i="1"/>
  <c r="M370" i="1"/>
  <c r="L370" i="1"/>
  <c r="K370" i="1"/>
  <c r="J370" i="1"/>
  <c r="I370" i="1"/>
  <c r="H370" i="1"/>
  <c r="G370" i="1"/>
  <c r="F370" i="1"/>
  <c r="E370" i="1"/>
  <c r="D370" i="1"/>
  <c r="P369" i="1"/>
  <c r="O369" i="1"/>
  <c r="N369" i="1"/>
  <c r="M369" i="1"/>
  <c r="L369" i="1"/>
  <c r="K369" i="1"/>
  <c r="J369" i="1"/>
  <c r="I369" i="1"/>
  <c r="H369" i="1"/>
  <c r="G369" i="1"/>
  <c r="F369" i="1"/>
  <c r="E369" i="1"/>
  <c r="D369" i="1"/>
  <c r="P368" i="1"/>
  <c r="O368" i="1"/>
  <c r="N368" i="1"/>
  <c r="M368" i="1"/>
  <c r="L368" i="1"/>
  <c r="K368" i="1"/>
  <c r="J368" i="1"/>
  <c r="I368" i="1"/>
  <c r="H368" i="1"/>
  <c r="G368" i="1"/>
  <c r="F368" i="1"/>
  <c r="E368" i="1"/>
  <c r="D368" i="1"/>
  <c r="P356" i="1"/>
  <c r="O356" i="1"/>
  <c r="N356" i="1"/>
  <c r="M356" i="1"/>
  <c r="L356" i="1"/>
  <c r="K356" i="1"/>
  <c r="J356" i="1"/>
  <c r="I356" i="1"/>
  <c r="H356" i="1"/>
  <c r="G356" i="1"/>
  <c r="F356" i="1"/>
  <c r="E356" i="1"/>
  <c r="D356" i="1"/>
  <c r="P354" i="1"/>
  <c r="O354" i="1"/>
  <c r="N354" i="1"/>
  <c r="M354" i="1"/>
  <c r="L354" i="1"/>
  <c r="K354" i="1"/>
  <c r="J354" i="1"/>
  <c r="I354" i="1"/>
  <c r="H354" i="1"/>
  <c r="G354" i="1"/>
  <c r="F354" i="1"/>
  <c r="E354" i="1"/>
  <c r="D354" i="1"/>
  <c r="P345" i="1"/>
  <c r="O345" i="1"/>
  <c r="N345" i="1"/>
  <c r="M345" i="1"/>
  <c r="L345" i="1"/>
  <c r="K345" i="1"/>
  <c r="J345" i="1"/>
  <c r="I345" i="1"/>
  <c r="H345" i="1"/>
  <c r="G345" i="1"/>
  <c r="F345" i="1"/>
  <c r="E345" i="1"/>
  <c r="D345" i="1"/>
  <c r="P343" i="1"/>
  <c r="O343" i="1"/>
  <c r="N343" i="1"/>
  <c r="M343" i="1"/>
  <c r="L343" i="1"/>
  <c r="K343" i="1"/>
  <c r="J343" i="1"/>
  <c r="I343" i="1"/>
  <c r="H343" i="1"/>
  <c r="G343" i="1"/>
  <c r="F343" i="1"/>
  <c r="E343" i="1"/>
  <c r="D343" i="1"/>
  <c r="P341" i="1"/>
  <c r="O341" i="1"/>
  <c r="N341" i="1"/>
  <c r="M341" i="1"/>
  <c r="L341" i="1"/>
  <c r="K341" i="1"/>
  <c r="J341" i="1"/>
  <c r="I341" i="1"/>
  <c r="H341" i="1"/>
  <c r="G341" i="1"/>
  <c r="F341" i="1"/>
  <c r="E341" i="1"/>
  <c r="D341" i="1"/>
  <c r="A335" i="1"/>
  <c r="P329" i="1"/>
  <c r="O329" i="1"/>
  <c r="N329" i="1"/>
  <c r="M329" i="1"/>
  <c r="L329" i="1"/>
  <c r="K329" i="1"/>
  <c r="J329" i="1"/>
  <c r="I329" i="1"/>
  <c r="H329" i="1"/>
  <c r="G329" i="1"/>
  <c r="F329" i="1"/>
  <c r="E329" i="1"/>
  <c r="D329" i="1"/>
  <c r="P328" i="1"/>
  <c r="O328" i="1"/>
  <c r="N328" i="1"/>
  <c r="M328" i="1"/>
  <c r="L328" i="1"/>
  <c r="K328" i="1"/>
  <c r="J328" i="1"/>
  <c r="I328" i="1"/>
  <c r="H328" i="1"/>
  <c r="G328" i="1"/>
  <c r="F328" i="1"/>
  <c r="E328" i="1"/>
  <c r="D328" i="1"/>
  <c r="P327" i="1"/>
  <c r="O327" i="1"/>
  <c r="N327" i="1"/>
  <c r="M327" i="1"/>
  <c r="L327" i="1"/>
  <c r="K327" i="1"/>
  <c r="J327" i="1"/>
  <c r="I327" i="1"/>
  <c r="H327" i="1"/>
  <c r="G327" i="1"/>
  <c r="F327" i="1"/>
  <c r="E327" i="1"/>
  <c r="D327" i="1"/>
  <c r="P315" i="1"/>
  <c r="O315" i="1"/>
  <c r="N315" i="1"/>
  <c r="M315" i="1"/>
  <c r="L315" i="1"/>
  <c r="K315" i="1"/>
  <c r="J315" i="1"/>
  <c r="I315" i="1"/>
  <c r="H315" i="1"/>
  <c r="G315" i="1"/>
  <c r="F315" i="1"/>
  <c r="E315" i="1"/>
  <c r="D315" i="1"/>
  <c r="P313" i="1"/>
  <c r="O313" i="1"/>
  <c r="N313" i="1"/>
  <c r="M313" i="1"/>
  <c r="L313" i="1"/>
  <c r="K313" i="1"/>
  <c r="J313" i="1"/>
  <c r="I313" i="1"/>
  <c r="H313" i="1"/>
  <c r="G313" i="1"/>
  <c r="F313" i="1"/>
  <c r="E313" i="1"/>
  <c r="D313" i="1"/>
  <c r="P302" i="1"/>
  <c r="O302" i="1"/>
  <c r="N302" i="1"/>
  <c r="M302" i="1"/>
  <c r="L302" i="1"/>
  <c r="K302" i="1"/>
  <c r="J302" i="1"/>
  <c r="I302" i="1"/>
  <c r="H302" i="1"/>
  <c r="G302" i="1"/>
  <c r="F302" i="1"/>
  <c r="E302" i="1"/>
  <c r="D302" i="1"/>
  <c r="P300" i="1"/>
  <c r="O300" i="1"/>
  <c r="N300" i="1"/>
  <c r="M300" i="1"/>
  <c r="L300" i="1"/>
  <c r="K300" i="1"/>
  <c r="J300" i="1"/>
  <c r="I300" i="1"/>
  <c r="H300" i="1"/>
  <c r="G300" i="1"/>
  <c r="F300" i="1"/>
  <c r="E300" i="1"/>
  <c r="D300" i="1"/>
  <c r="A293" i="1"/>
  <c r="P287" i="1"/>
  <c r="O287" i="1"/>
  <c r="N287" i="1"/>
  <c r="M287" i="1"/>
  <c r="L287" i="1"/>
  <c r="K287" i="1"/>
  <c r="J287" i="1"/>
  <c r="I287" i="1"/>
  <c r="H287" i="1"/>
  <c r="G287" i="1"/>
  <c r="F287" i="1"/>
  <c r="E287" i="1"/>
  <c r="D287" i="1"/>
  <c r="P286" i="1"/>
  <c r="O286" i="1"/>
  <c r="N286" i="1"/>
  <c r="M286" i="1"/>
  <c r="L286" i="1"/>
  <c r="K286" i="1"/>
  <c r="J286" i="1"/>
  <c r="I286" i="1"/>
  <c r="H286" i="1"/>
  <c r="G286" i="1"/>
  <c r="F286" i="1"/>
  <c r="E286" i="1"/>
  <c r="D286" i="1"/>
  <c r="P285" i="1"/>
  <c r="O285" i="1"/>
  <c r="N285" i="1"/>
  <c r="M285" i="1"/>
  <c r="L285" i="1"/>
  <c r="K285" i="1"/>
  <c r="J285" i="1"/>
  <c r="I285" i="1"/>
  <c r="H285" i="1"/>
  <c r="G285" i="1"/>
  <c r="F285" i="1"/>
  <c r="E285" i="1"/>
  <c r="D285" i="1"/>
  <c r="P273" i="1"/>
  <c r="O273" i="1"/>
  <c r="N273" i="1"/>
  <c r="M273" i="1"/>
  <c r="L273" i="1"/>
  <c r="K273" i="1"/>
  <c r="J273" i="1"/>
  <c r="I273" i="1"/>
  <c r="H273" i="1"/>
  <c r="G273" i="1"/>
  <c r="F273" i="1"/>
  <c r="E273" i="1"/>
  <c r="D273" i="1"/>
  <c r="P271" i="1"/>
  <c r="O271" i="1"/>
  <c r="N271" i="1"/>
  <c r="M271" i="1"/>
  <c r="L271" i="1"/>
  <c r="K271" i="1"/>
  <c r="J271" i="1"/>
  <c r="I271" i="1"/>
  <c r="H271" i="1"/>
  <c r="G271" i="1"/>
  <c r="F271" i="1"/>
  <c r="E271" i="1"/>
  <c r="D271" i="1"/>
  <c r="P260" i="1"/>
  <c r="O260" i="1"/>
  <c r="N260" i="1"/>
  <c r="M260" i="1"/>
  <c r="L260" i="1"/>
  <c r="K260" i="1"/>
  <c r="J260" i="1"/>
  <c r="I260" i="1"/>
  <c r="H260" i="1"/>
  <c r="G260" i="1"/>
  <c r="F260" i="1"/>
  <c r="E260" i="1"/>
  <c r="D260" i="1"/>
  <c r="P258" i="1"/>
  <c r="O258" i="1"/>
  <c r="N258" i="1"/>
  <c r="M258" i="1"/>
  <c r="L258" i="1"/>
  <c r="K258" i="1"/>
  <c r="J258" i="1"/>
  <c r="I258" i="1"/>
  <c r="H258" i="1"/>
  <c r="G258" i="1"/>
  <c r="F258" i="1"/>
  <c r="E258" i="1"/>
  <c r="D258" i="1"/>
  <c r="A252" i="1"/>
  <c r="P246" i="1"/>
  <c r="O246" i="1"/>
  <c r="N246" i="1"/>
  <c r="M246" i="1"/>
  <c r="L246" i="1"/>
  <c r="K246" i="1"/>
  <c r="J246" i="1"/>
  <c r="I246" i="1"/>
  <c r="H246" i="1"/>
  <c r="G246" i="1"/>
  <c r="F246" i="1"/>
  <c r="E246" i="1"/>
  <c r="D246" i="1"/>
  <c r="P245" i="1"/>
  <c r="O245" i="1"/>
  <c r="N245" i="1"/>
  <c r="M245" i="1"/>
  <c r="L245" i="1"/>
  <c r="K245" i="1"/>
  <c r="J245" i="1"/>
  <c r="I245" i="1"/>
  <c r="H245" i="1"/>
  <c r="G245" i="1"/>
  <c r="F245" i="1"/>
  <c r="E245" i="1"/>
  <c r="D245" i="1"/>
  <c r="P244" i="1"/>
  <c r="O244" i="1"/>
  <c r="N244" i="1"/>
  <c r="M244" i="1"/>
  <c r="L244" i="1"/>
  <c r="K244" i="1"/>
  <c r="J244" i="1"/>
  <c r="I244" i="1"/>
  <c r="H244" i="1"/>
  <c r="G244" i="1"/>
  <c r="F244" i="1"/>
  <c r="E244" i="1"/>
  <c r="D244" i="1"/>
  <c r="P232" i="1"/>
  <c r="O232" i="1"/>
  <c r="N232" i="1"/>
  <c r="M232" i="1"/>
  <c r="L232" i="1"/>
  <c r="K232" i="1"/>
  <c r="J232" i="1"/>
  <c r="I232" i="1"/>
  <c r="H232" i="1"/>
  <c r="G232" i="1"/>
  <c r="F232" i="1"/>
  <c r="E232" i="1"/>
  <c r="D232" i="1"/>
  <c r="P230" i="1"/>
  <c r="O230" i="1"/>
  <c r="N230" i="1"/>
  <c r="M230" i="1"/>
  <c r="L230" i="1"/>
  <c r="K230" i="1"/>
  <c r="J230" i="1"/>
  <c r="I230" i="1"/>
  <c r="H230" i="1"/>
  <c r="G230" i="1"/>
  <c r="F230" i="1"/>
  <c r="E230" i="1"/>
  <c r="D230" i="1"/>
  <c r="P219" i="1"/>
  <c r="O219" i="1"/>
  <c r="N219" i="1"/>
  <c r="M219" i="1"/>
  <c r="L219" i="1"/>
  <c r="K219" i="1"/>
  <c r="J219" i="1"/>
  <c r="I219" i="1"/>
  <c r="H219" i="1"/>
  <c r="G219" i="1"/>
  <c r="F219" i="1"/>
  <c r="E219" i="1"/>
  <c r="D219" i="1"/>
  <c r="P217" i="1"/>
  <c r="O217" i="1"/>
  <c r="N217" i="1"/>
  <c r="M217" i="1"/>
  <c r="L217" i="1"/>
  <c r="K217" i="1"/>
  <c r="J217" i="1"/>
  <c r="I217" i="1"/>
  <c r="H217" i="1"/>
  <c r="G217" i="1"/>
  <c r="F217" i="1"/>
  <c r="E217" i="1"/>
  <c r="D217" i="1"/>
  <c r="A211" i="1"/>
  <c r="P205" i="1"/>
  <c r="O205" i="1"/>
  <c r="N205" i="1"/>
  <c r="M205" i="1"/>
  <c r="L205" i="1"/>
  <c r="K205" i="1"/>
  <c r="J205" i="1"/>
  <c r="I205" i="1"/>
  <c r="H205" i="1"/>
  <c r="G205" i="1"/>
  <c r="F205" i="1"/>
  <c r="E205" i="1"/>
  <c r="D205" i="1"/>
  <c r="P204" i="1"/>
  <c r="O204" i="1"/>
  <c r="N204" i="1"/>
  <c r="M204" i="1"/>
  <c r="L204" i="1"/>
  <c r="K204" i="1"/>
  <c r="J204" i="1"/>
  <c r="I204" i="1"/>
  <c r="H204" i="1"/>
  <c r="G204" i="1"/>
  <c r="F204" i="1"/>
  <c r="E204" i="1"/>
  <c r="D204" i="1"/>
  <c r="P203" i="1"/>
  <c r="O203" i="1"/>
  <c r="N203" i="1"/>
  <c r="M203" i="1"/>
  <c r="L203" i="1"/>
  <c r="K203" i="1"/>
  <c r="J203" i="1"/>
  <c r="I203" i="1"/>
  <c r="H203" i="1"/>
  <c r="G203" i="1"/>
  <c r="F203" i="1"/>
  <c r="E203" i="1"/>
  <c r="D203" i="1"/>
  <c r="P191" i="1"/>
  <c r="O191" i="1"/>
  <c r="N191" i="1"/>
  <c r="M191" i="1"/>
  <c r="L191" i="1"/>
  <c r="K191" i="1"/>
  <c r="J191" i="1"/>
  <c r="I191" i="1"/>
  <c r="H191" i="1"/>
  <c r="G191" i="1"/>
  <c r="F191" i="1"/>
  <c r="E191" i="1"/>
  <c r="D191" i="1"/>
  <c r="P189" i="1"/>
  <c r="O189" i="1"/>
  <c r="N189" i="1"/>
  <c r="M189" i="1"/>
  <c r="L189" i="1"/>
  <c r="K189" i="1"/>
  <c r="J189" i="1"/>
  <c r="I189" i="1"/>
  <c r="H189" i="1"/>
  <c r="G189" i="1"/>
  <c r="F189" i="1"/>
  <c r="E189" i="1"/>
  <c r="D189" i="1"/>
  <c r="P178" i="1"/>
  <c r="O178" i="1"/>
  <c r="N178" i="1"/>
  <c r="M178" i="1"/>
  <c r="L178" i="1"/>
  <c r="K178" i="1"/>
  <c r="J178" i="1"/>
  <c r="I178" i="1"/>
  <c r="H178" i="1"/>
  <c r="G178" i="1"/>
  <c r="F178" i="1"/>
  <c r="E178" i="1"/>
  <c r="D178" i="1"/>
  <c r="P176" i="1"/>
  <c r="O176" i="1"/>
  <c r="N176" i="1"/>
  <c r="M176" i="1"/>
  <c r="L176" i="1"/>
  <c r="K176" i="1"/>
  <c r="J176" i="1"/>
  <c r="I176" i="1"/>
  <c r="H176" i="1"/>
  <c r="G176" i="1"/>
  <c r="F176" i="1"/>
  <c r="E176" i="1"/>
  <c r="D176" i="1"/>
  <c r="A170" i="1"/>
  <c r="P150" i="1"/>
  <c r="O150" i="1"/>
  <c r="N150" i="1"/>
  <c r="M150" i="1"/>
  <c r="L150" i="1"/>
  <c r="K150" i="1"/>
  <c r="J150" i="1"/>
  <c r="I150" i="1"/>
  <c r="H150" i="1"/>
  <c r="G150" i="1"/>
  <c r="F150" i="1"/>
  <c r="E150" i="1"/>
  <c r="D150" i="1"/>
  <c r="P148" i="1"/>
  <c r="O148" i="1"/>
  <c r="N148" i="1"/>
  <c r="M148" i="1"/>
  <c r="L148" i="1"/>
  <c r="K148" i="1"/>
  <c r="J148" i="1"/>
  <c r="I148" i="1"/>
  <c r="H148" i="1"/>
  <c r="G148" i="1"/>
  <c r="F148" i="1"/>
  <c r="E148" i="1"/>
  <c r="D148" i="1"/>
  <c r="P137" i="1"/>
  <c r="O137" i="1"/>
  <c r="N137" i="1"/>
  <c r="M137" i="1"/>
  <c r="L137" i="1"/>
  <c r="K137" i="1"/>
  <c r="J137" i="1"/>
  <c r="I137" i="1"/>
  <c r="H137" i="1"/>
  <c r="G137" i="1"/>
  <c r="F137" i="1"/>
  <c r="E137" i="1"/>
  <c r="D137" i="1"/>
  <c r="P134" i="1"/>
  <c r="O134" i="1"/>
  <c r="N134" i="1"/>
  <c r="M134" i="1"/>
  <c r="L134" i="1"/>
  <c r="K134" i="1"/>
  <c r="J134" i="1"/>
  <c r="I134" i="1"/>
  <c r="H134" i="1"/>
  <c r="G134" i="1"/>
  <c r="F134" i="1"/>
  <c r="E134" i="1"/>
  <c r="D134" i="1"/>
  <c r="K132" i="1"/>
  <c r="J132" i="1"/>
  <c r="I132" i="1"/>
  <c r="H132" i="1"/>
  <c r="G132" i="1"/>
  <c r="F132" i="1"/>
  <c r="E132" i="1"/>
  <c r="D132" i="1"/>
  <c r="A129" i="1"/>
  <c r="P123" i="1"/>
  <c r="P164" i="1" s="1"/>
  <c r="O123" i="1"/>
  <c r="O164" i="1" s="1"/>
  <c r="N123" i="1"/>
  <c r="N164" i="1" s="1"/>
  <c r="M123" i="1"/>
  <c r="M164" i="1" s="1"/>
  <c r="L123" i="1"/>
  <c r="L164" i="1" s="1"/>
  <c r="K123" i="1"/>
  <c r="K164" i="1" s="1"/>
  <c r="J123" i="1"/>
  <c r="J164" i="1" s="1"/>
  <c r="I123" i="1"/>
  <c r="I164" i="1" s="1"/>
  <c r="H123" i="1"/>
  <c r="H164" i="1" s="1"/>
  <c r="G123" i="1"/>
  <c r="G164" i="1" s="1"/>
  <c r="F123" i="1"/>
  <c r="F164" i="1" s="1"/>
  <c r="E123" i="1"/>
  <c r="E164" i="1" s="1"/>
  <c r="D123" i="1"/>
  <c r="D164" i="1" s="1"/>
  <c r="P122" i="1"/>
  <c r="P163" i="1" s="1"/>
  <c r="O122" i="1"/>
  <c r="O163" i="1" s="1"/>
  <c r="N122" i="1"/>
  <c r="N163" i="1" s="1"/>
  <c r="M122" i="1"/>
  <c r="M163" i="1" s="1"/>
  <c r="L122" i="1"/>
  <c r="L163" i="1" s="1"/>
  <c r="K122" i="1"/>
  <c r="K163" i="1" s="1"/>
  <c r="J122" i="1"/>
  <c r="J163" i="1" s="1"/>
  <c r="I122" i="1"/>
  <c r="I163" i="1" s="1"/>
  <c r="H122" i="1"/>
  <c r="H163" i="1" s="1"/>
  <c r="G122" i="1"/>
  <c r="G163" i="1" s="1"/>
  <c r="F122" i="1"/>
  <c r="F163" i="1" s="1"/>
  <c r="E122" i="1"/>
  <c r="E163" i="1" s="1"/>
  <c r="D122" i="1"/>
  <c r="D163" i="1" s="1"/>
  <c r="P121" i="1"/>
  <c r="P162" i="1" s="1"/>
  <c r="O121" i="1"/>
  <c r="O162" i="1" s="1"/>
  <c r="N121" i="1"/>
  <c r="N162" i="1" s="1"/>
  <c r="M121" i="1"/>
  <c r="M162" i="1" s="1"/>
  <c r="L121" i="1"/>
  <c r="L162" i="1" s="1"/>
  <c r="K121" i="1"/>
  <c r="K162" i="1" s="1"/>
  <c r="J121" i="1"/>
  <c r="J162" i="1" s="1"/>
  <c r="I121" i="1"/>
  <c r="I162" i="1" s="1"/>
  <c r="H121" i="1"/>
  <c r="H162" i="1" s="1"/>
  <c r="G121" i="1"/>
  <c r="G162" i="1" s="1"/>
  <c r="F121" i="1"/>
  <c r="F162" i="1" s="1"/>
  <c r="E121" i="1"/>
  <c r="E162" i="1" s="1"/>
  <c r="D121" i="1"/>
  <c r="D162" i="1" s="1"/>
  <c r="P109" i="1"/>
  <c r="O109" i="1"/>
  <c r="N109" i="1"/>
  <c r="M109" i="1"/>
  <c r="L109" i="1"/>
  <c r="K109" i="1"/>
  <c r="J109" i="1"/>
  <c r="I109" i="1"/>
  <c r="H109" i="1"/>
  <c r="G109" i="1"/>
  <c r="F109" i="1"/>
  <c r="E109" i="1"/>
  <c r="D109" i="1"/>
  <c r="P107" i="1"/>
  <c r="O107" i="1"/>
  <c r="N107" i="1"/>
  <c r="M107" i="1"/>
  <c r="L107" i="1"/>
  <c r="K107" i="1"/>
  <c r="J107" i="1"/>
  <c r="I107" i="1"/>
  <c r="H107" i="1"/>
  <c r="G107" i="1"/>
  <c r="F107" i="1"/>
  <c r="E107" i="1"/>
  <c r="D107" i="1"/>
  <c r="P98" i="1"/>
  <c r="O98" i="1"/>
  <c r="N98" i="1"/>
  <c r="M98" i="1"/>
  <c r="L98" i="1"/>
  <c r="K98" i="1"/>
  <c r="J98" i="1"/>
  <c r="I98" i="1"/>
  <c r="H98" i="1"/>
  <c r="G98" i="1"/>
  <c r="F98" i="1"/>
  <c r="E98" i="1"/>
  <c r="D98" i="1"/>
  <c r="P96" i="1"/>
  <c r="O96" i="1"/>
  <c r="N96" i="1"/>
  <c r="M96" i="1"/>
  <c r="L96" i="1"/>
  <c r="K96" i="1"/>
  <c r="J96" i="1"/>
  <c r="I96" i="1"/>
  <c r="H96" i="1"/>
  <c r="G96" i="1"/>
  <c r="F96" i="1"/>
  <c r="E96" i="1"/>
  <c r="D96" i="1"/>
  <c r="P94" i="1"/>
  <c r="O94" i="1"/>
  <c r="N94" i="1"/>
  <c r="M94" i="1"/>
  <c r="L94" i="1"/>
  <c r="K94" i="1"/>
  <c r="J94" i="1"/>
  <c r="I94" i="1"/>
  <c r="H94" i="1"/>
  <c r="G94" i="1"/>
  <c r="F94" i="1"/>
  <c r="E94" i="1"/>
  <c r="D94" i="1"/>
  <c r="P93" i="1"/>
  <c r="O93" i="1"/>
  <c r="N93" i="1"/>
  <c r="M93" i="1"/>
  <c r="L93" i="1"/>
  <c r="K93" i="1"/>
  <c r="J93" i="1"/>
  <c r="I93" i="1"/>
  <c r="H93" i="1"/>
  <c r="G93" i="1"/>
  <c r="F93" i="1"/>
  <c r="E93" i="1"/>
  <c r="D93" i="1"/>
  <c r="K91" i="1"/>
  <c r="J91" i="1"/>
  <c r="I91" i="1"/>
  <c r="H91" i="1"/>
  <c r="G91" i="1"/>
  <c r="F91" i="1"/>
  <c r="E91" i="1"/>
  <c r="D91" i="1"/>
  <c r="A88" i="1"/>
  <c r="P84" i="1"/>
  <c r="P125" i="1" s="1"/>
  <c r="P166" i="1" s="1"/>
  <c r="P207" i="1" s="1"/>
  <c r="P248" i="1" s="1"/>
  <c r="P289" i="1" s="1"/>
  <c r="P331" i="1" s="1"/>
  <c r="P372" i="1" s="1"/>
  <c r="O84" i="1"/>
  <c r="O125" i="1" s="1"/>
  <c r="O166" i="1" s="1"/>
  <c r="O207" i="1" s="1"/>
  <c r="O248" i="1" s="1"/>
  <c r="O289" i="1" s="1"/>
  <c r="O331" i="1" s="1"/>
  <c r="O372" i="1" s="1"/>
  <c r="N84" i="1"/>
  <c r="N125" i="1" s="1"/>
  <c r="N166" i="1" s="1"/>
  <c r="N207" i="1" s="1"/>
  <c r="N248" i="1" s="1"/>
  <c r="N289" i="1" s="1"/>
  <c r="N331" i="1" s="1"/>
  <c r="N372" i="1" s="1"/>
  <c r="M84" i="1"/>
  <c r="M125" i="1" s="1"/>
  <c r="M166" i="1" s="1"/>
  <c r="M207" i="1" s="1"/>
  <c r="M248" i="1" s="1"/>
  <c r="M289" i="1" s="1"/>
  <c r="M331" i="1" s="1"/>
  <c r="M372" i="1" s="1"/>
  <c r="L84" i="1"/>
  <c r="L125" i="1" s="1"/>
  <c r="L166" i="1" s="1"/>
  <c r="L207" i="1" s="1"/>
  <c r="L248" i="1" s="1"/>
  <c r="L289" i="1" s="1"/>
  <c r="L331" i="1" s="1"/>
  <c r="L372" i="1" s="1"/>
  <c r="K84" i="1"/>
  <c r="K125" i="1" s="1"/>
  <c r="K166" i="1" s="1"/>
  <c r="K207" i="1" s="1"/>
  <c r="K248" i="1" s="1"/>
  <c r="K289" i="1" s="1"/>
  <c r="K331" i="1" s="1"/>
  <c r="K372" i="1" s="1"/>
  <c r="J84" i="1"/>
  <c r="J125" i="1" s="1"/>
  <c r="J166" i="1" s="1"/>
  <c r="J207" i="1" s="1"/>
  <c r="J248" i="1" s="1"/>
  <c r="J289" i="1" s="1"/>
  <c r="J331" i="1" s="1"/>
  <c r="J372" i="1" s="1"/>
  <c r="I84" i="1"/>
  <c r="I125" i="1" s="1"/>
  <c r="I166" i="1" s="1"/>
  <c r="I207" i="1" s="1"/>
  <c r="I248" i="1" s="1"/>
  <c r="I289" i="1" s="1"/>
  <c r="I331" i="1" s="1"/>
  <c r="I372" i="1" s="1"/>
  <c r="H84" i="1"/>
  <c r="H125" i="1" s="1"/>
  <c r="H166" i="1" s="1"/>
  <c r="H207" i="1" s="1"/>
  <c r="H248" i="1" s="1"/>
  <c r="H289" i="1" s="1"/>
  <c r="H331" i="1" s="1"/>
  <c r="H372" i="1" s="1"/>
  <c r="G84" i="1"/>
  <c r="G125" i="1" s="1"/>
  <c r="G166" i="1" s="1"/>
  <c r="G207" i="1" s="1"/>
  <c r="G248" i="1" s="1"/>
  <c r="G289" i="1" s="1"/>
  <c r="G331" i="1" s="1"/>
  <c r="G372" i="1" s="1"/>
  <c r="F84" i="1"/>
  <c r="F125" i="1" s="1"/>
  <c r="F166" i="1" s="1"/>
  <c r="F207" i="1" s="1"/>
  <c r="F248" i="1" s="1"/>
  <c r="F289" i="1" s="1"/>
  <c r="F331" i="1" s="1"/>
  <c r="F372" i="1" s="1"/>
  <c r="E84" i="1"/>
  <c r="E125" i="1" s="1"/>
  <c r="E166" i="1" s="1"/>
  <c r="E207" i="1" s="1"/>
  <c r="E248" i="1" s="1"/>
  <c r="E289" i="1" s="1"/>
  <c r="E331" i="1" s="1"/>
  <c r="E372" i="1" s="1"/>
  <c r="D84" i="1"/>
  <c r="D125" i="1" s="1"/>
  <c r="D166" i="1" s="1"/>
  <c r="D207" i="1" s="1"/>
  <c r="D248" i="1" s="1"/>
  <c r="D289" i="1" s="1"/>
  <c r="D331" i="1" s="1"/>
  <c r="D372" i="1" s="1"/>
  <c r="P83" i="1"/>
  <c r="P124" i="1" s="1"/>
  <c r="P165" i="1" s="1"/>
  <c r="P206" i="1" s="1"/>
  <c r="P247" i="1" s="1"/>
  <c r="P288" i="1" s="1"/>
  <c r="P330" i="1" s="1"/>
  <c r="P371" i="1" s="1"/>
  <c r="O83" i="1"/>
  <c r="O124" i="1" s="1"/>
  <c r="O165" i="1" s="1"/>
  <c r="O206" i="1" s="1"/>
  <c r="O247" i="1" s="1"/>
  <c r="O288" i="1" s="1"/>
  <c r="O330" i="1" s="1"/>
  <c r="O371" i="1" s="1"/>
  <c r="N83" i="1"/>
  <c r="N124" i="1" s="1"/>
  <c r="N165" i="1" s="1"/>
  <c r="N206" i="1" s="1"/>
  <c r="N247" i="1" s="1"/>
  <c r="N288" i="1" s="1"/>
  <c r="N330" i="1" s="1"/>
  <c r="N371" i="1" s="1"/>
  <c r="M83" i="1"/>
  <c r="M124" i="1" s="1"/>
  <c r="M165" i="1" s="1"/>
  <c r="M206" i="1" s="1"/>
  <c r="M247" i="1" s="1"/>
  <c r="M288" i="1" s="1"/>
  <c r="M330" i="1" s="1"/>
  <c r="M371" i="1" s="1"/>
  <c r="L83" i="1"/>
  <c r="L124" i="1" s="1"/>
  <c r="L165" i="1" s="1"/>
  <c r="L206" i="1" s="1"/>
  <c r="L247" i="1" s="1"/>
  <c r="L288" i="1" s="1"/>
  <c r="L330" i="1" s="1"/>
  <c r="L371" i="1" s="1"/>
  <c r="K83" i="1"/>
  <c r="K124" i="1" s="1"/>
  <c r="K165" i="1" s="1"/>
  <c r="K206" i="1" s="1"/>
  <c r="K247" i="1" s="1"/>
  <c r="K288" i="1" s="1"/>
  <c r="K330" i="1" s="1"/>
  <c r="K371" i="1" s="1"/>
  <c r="J83" i="1"/>
  <c r="J124" i="1" s="1"/>
  <c r="J165" i="1" s="1"/>
  <c r="J206" i="1" s="1"/>
  <c r="J247" i="1" s="1"/>
  <c r="J288" i="1" s="1"/>
  <c r="J330" i="1" s="1"/>
  <c r="J371" i="1" s="1"/>
  <c r="I83" i="1"/>
  <c r="I124" i="1" s="1"/>
  <c r="I165" i="1" s="1"/>
  <c r="I206" i="1" s="1"/>
  <c r="I247" i="1" s="1"/>
  <c r="I288" i="1" s="1"/>
  <c r="I330" i="1" s="1"/>
  <c r="I371" i="1" s="1"/>
  <c r="H83" i="1"/>
  <c r="H124" i="1" s="1"/>
  <c r="H165" i="1" s="1"/>
  <c r="H206" i="1" s="1"/>
  <c r="H247" i="1" s="1"/>
  <c r="H288" i="1" s="1"/>
  <c r="H330" i="1" s="1"/>
  <c r="H371" i="1" s="1"/>
  <c r="G83" i="1"/>
  <c r="G124" i="1" s="1"/>
  <c r="G165" i="1" s="1"/>
  <c r="G206" i="1" s="1"/>
  <c r="G247" i="1" s="1"/>
  <c r="G288" i="1" s="1"/>
  <c r="G330" i="1" s="1"/>
  <c r="G371" i="1" s="1"/>
  <c r="F83" i="1"/>
  <c r="F124" i="1" s="1"/>
  <c r="F165" i="1" s="1"/>
  <c r="F206" i="1" s="1"/>
  <c r="F247" i="1" s="1"/>
  <c r="F288" i="1" s="1"/>
  <c r="F330" i="1" s="1"/>
  <c r="F371" i="1" s="1"/>
  <c r="E83" i="1"/>
  <c r="E124" i="1" s="1"/>
  <c r="E165" i="1" s="1"/>
  <c r="E206" i="1" s="1"/>
  <c r="E247" i="1" s="1"/>
  <c r="E288" i="1" s="1"/>
  <c r="E330" i="1" s="1"/>
  <c r="E371" i="1" s="1"/>
  <c r="D83" i="1"/>
  <c r="D124" i="1" s="1"/>
  <c r="D165" i="1" s="1"/>
  <c r="D206" i="1" s="1"/>
  <c r="D247" i="1" s="1"/>
  <c r="D288" i="1" s="1"/>
  <c r="D330" i="1" s="1"/>
  <c r="D371" i="1" s="1"/>
  <c r="P82" i="1"/>
  <c r="O82" i="1"/>
  <c r="N82" i="1"/>
  <c r="M82" i="1"/>
  <c r="L82" i="1"/>
  <c r="K82" i="1"/>
  <c r="J82" i="1"/>
  <c r="I82" i="1"/>
  <c r="H82" i="1"/>
  <c r="G82" i="1"/>
  <c r="F82" i="1"/>
  <c r="E82" i="1"/>
  <c r="D82" i="1"/>
  <c r="P81" i="1"/>
  <c r="O81" i="1"/>
  <c r="N81" i="1"/>
  <c r="M81" i="1"/>
  <c r="L81" i="1"/>
  <c r="K81" i="1"/>
  <c r="J81" i="1"/>
  <c r="I81" i="1"/>
  <c r="H81" i="1"/>
  <c r="G81" i="1"/>
  <c r="F81" i="1"/>
  <c r="E81" i="1"/>
  <c r="D81" i="1"/>
  <c r="P80" i="1"/>
  <c r="O80" i="1"/>
  <c r="N80" i="1"/>
  <c r="M80" i="1"/>
  <c r="L80" i="1"/>
  <c r="K80" i="1"/>
  <c r="J80" i="1"/>
  <c r="I80" i="1"/>
  <c r="H80" i="1"/>
  <c r="G80" i="1"/>
  <c r="F80" i="1"/>
  <c r="E80" i="1"/>
  <c r="D80" i="1"/>
  <c r="P78" i="1"/>
  <c r="P119" i="1" s="1"/>
  <c r="P160" i="1" s="1"/>
  <c r="P201" i="1" s="1"/>
  <c r="P242" i="1" s="1"/>
  <c r="P283" i="1" s="1"/>
  <c r="P325" i="1" s="1"/>
  <c r="P366" i="1" s="1"/>
  <c r="O78" i="1"/>
  <c r="O119" i="1" s="1"/>
  <c r="O160" i="1" s="1"/>
  <c r="O201" i="1" s="1"/>
  <c r="O242" i="1" s="1"/>
  <c r="O283" i="1" s="1"/>
  <c r="O325" i="1" s="1"/>
  <c r="O366" i="1" s="1"/>
  <c r="N78" i="1"/>
  <c r="N119" i="1" s="1"/>
  <c r="N160" i="1" s="1"/>
  <c r="N201" i="1" s="1"/>
  <c r="N242" i="1" s="1"/>
  <c r="N283" i="1" s="1"/>
  <c r="N325" i="1" s="1"/>
  <c r="N366" i="1" s="1"/>
  <c r="M78" i="1"/>
  <c r="M119" i="1" s="1"/>
  <c r="M160" i="1" s="1"/>
  <c r="M201" i="1" s="1"/>
  <c r="M242" i="1" s="1"/>
  <c r="M283" i="1" s="1"/>
  <c r="M325" i="1" s="1"/>
  <c r="M366" i="1" s="1"/>
  <c r="L78" i="1"/>
  <c r="L119" i="1" s="1"/>
  <c r="L160" i="1" s="1"/>
  <c r="L201" i="1" s="1"/>
  <c r="L242" i="1" s="1"/>
  <c r="L283" i="1" s="1"/>
  <c r="L325" i="1" s="1"/>
  <c r="L366" i="1" s="1"/>
  <c r="K78" i="1"/>
  <c r="K119" i="1" s="1"/>
  <c r="K160" i="1" s="1"/>
  <c r="K201" i="1" s="1"/>
  <c r="K242" i="1" s="1"/>
  <c r="K283" i="1" s="1"/>
  <c r="K325" i="1" s="1"/>
  <c r="K366" i="1" s="1"/>
  <c r="J78" i="1"/>
  <c r="J119" i="1" s="1"/>
  <c r="J160" i="1" s="1"/>
  <c r="J201" i="1" s="1"/>
  <c r="J242" i="1" s="1"/>
  <c r="J283" i="1" s="1"/>
  <c r="J325" i="1" s="1"/>
  <c r="J366" i="1" s="1"/>
  <c r="I78" i="1"/>
  <c r="I119" i="1" s="1"/>
  <c r="I160" i="1" s="1"/>
  <c r="I201" i="1" s="1"/>
  <c r="I242" i="1" s="1"/>
  <c r="I283" i="1" s="1"/>
  <c r="I325" i="1" s="1"/>
  <c r="I366" i="1" s="1"/>
  <c r="H78" i="1"/>
  <c r="H119" i="1" s="1"/>
  <c r="H160" i="1" s="1"/>
  <c r="H201" i="1" s="1"/>
  <c r="H242" i="1" s="1"/>
  <c r="H283" i="1" s="1"/>
  <c r="H325" i="1" s="1"/>
  <c r="H366" i="1" s="1"/>
  <c r="G78" i="1"/>
  <c r="G119" i="1" s="1"/>
  <c r="G160" i="1" s="1"/>
  <c r="G201" i="1" s="1"/>
  <c r="G242" i="1" s="1"/>
  <c r="G283" i="1" s="1"/>
  <c r="G325" i="1" s="1"/>
  <c r="G366" i="1" s="1"/>
  <c r="F78" i="1"/>
  <c r="F119" i="1" s="1"/>
  <c r="F160" i="1" s="1"/>
  <c r="F201" i="1" s="1"/>
  <c r="F242" i="1" s="1"/>
  <c r="F283" i="1" s="1"/>
  <c r="F325" i="1" s="1"/>
  <c r="F366" i="1" s="1"/>
  <c r="E78" i="1"/>
  <c r="E119" i="1" s="1"/>
  <c r="E160" i="1" s="1"/>
  <c r="E201" i="1" s="1"/>
  <c r="E242" i="1" s="1"/>
  <c r="E283" i="1" s="1"/>
  <c r="E325" i="1" s="1"/>
  <c r="E366" i="1" s="1"/>
  <c r="D78" i="1"/>
  <c r="D119" i="1" s="1"/>
  <c r="D160" i="1" s="1"/>
  <c r="D201" i="1" s="1"/>
  <c r="D242" i="1" s="1"/>
  <c r="D283" i="1" s="1"/>
  <c r="D325" i="1" s="1"/>
  <c r="D366" i="1" s="1"/>
  <c r="P77" i="1"/>
  <c r="P118" i="1" s="1"/>
  <c r="P159" i="1" s="1"/>
  <c r="P200" i="1" s="1"/>
  <c r="P241" i="1" s="1"/>
  <c r="P282" i="1" s="1"/>
  <c r="P324" i="1" s="1"/>
  <c r="P365" i="1" s="1"/>
  <c r="O77" i="1"/>
  <c r="O118" i="1" s="1"/>
  <c r="O159" i="1" s="1"/>
  <c r="O200" i="1" s="1"/>
  <c r="O241" i="1" s="1"/>
  <c r="O282" i="1" s="1"/>
  <c r="O324" i="1" s="1"/>
  <c r="O365" i="1" s="1"/>
  <c r="N77" i="1"/>
  <c r="N118" i="1" s="1"/>
  <c r="N159" i="1" s="1"/>
  <c r="N200" i="1" s="1"/>
  <c r="N241" i="1" s="1"/>
  <c r="N282" i="1" s="1"/>
  <c r="N324" i="1" s="1"/>
  <c r="N365" i="1" s="1"/>
  <c r="M77" i="1"/>
  <c r="M118" i="1" s="1"/>
  <c r="M159" i="1" s="1"/>
  <c r="M200" i="1" s="1"/>
  <c r="M241" i="1" s="1"/>
  <c r="M282" i="1" s="1"/>
  <c r="M324" i="1" s="1"/>
  <c r="M365" i="1" s="1"/>
  <c r="L77" i="1"/>
  <c r="L118" i="1" s="1"/>
  <c r="L159" i="1" s="1"/>
  <c r="L200" i="1" s="1"/>
  <c r="L241" i="1" s="1"/>
  <c r="L282" i="1" s="1"/>
  <c r="L324" i="1" s="1"/>
  <c r="L365" i="1" s="1"/>
  <c r="K77" i="1"/>
  <c r="K118" i="1" s="1"/>
  <c r="K159" i="1" s="1"/>
  <c r="K200" i="1" s="1"/>
  <c r="K241" i="1" s="1"/>
  <c r="K282" i="1" s="1"/>
  <c r="K324" i="1" s="1"/>
  <c r="K365" i="1" s="1"/>
  <c r="J77" i="1"/>
  <c r="J118" i="1" s="1"/>
  <c r="J159" i="1" s="1"/>
  <c r="J200" i="1" s="1"/>
  <c r="J241" i="1" s="1"/>
  <c r="J282" i="1" s="1"/>
  <c r="J324" i="1" s="1"/>
  <c r="J365" i="1" s="1"/>
  <c r="I77" i="1"/>
  <c r="I118" i="1" s="1"/>
  <c r="I159" i="1" s="1"/>
  <c r="I200" i="1" s="1"/>
  <c r="I241" i="1" s="1"/>
  <c r="I282" i="1" s="1"/>
  <c r="I324" i="1" s="1"/>
  <c r="I365" i="1" s="1"/>
  <c r="H77" i="1"/>
  <c r="H118" i="1" s="1"/>
  <c r="H159" i="1" s="1"/>
  <c r="H200" i="1" s="1"/>
  <c r="H241" i="1" s="1"/>
  <c r="H282" i="1" s="1"/>
  <c r="H324" i="1" s="1"/>
  <c r="H365" i="1" s="1"/>
  <c r="G77" i="1"/>
  <c r="G118" i="1" s="1"/>
  <c r="G159" i="1" s="1"/>
  <c r="G200" i="1" s="1"/>
  <c r="G241" i="1" s="1"/>
  <c r="G282" i="1" s="1"/>
  <c r="G324" i="1" s="1"/>
  <c r="G365" i="1" s="1"/>
  <c r="F77" i="1"/>
  <c r="F118" i="1" s="1"/>
  <c r="F159" i="1" s="1"/>
  <c r="F200" i="1" s="1"/>
  <c r="F241" i="1" s="1"/>
  <c r="F282" i="1" s="1"/>
  <c r="F324" i="1" s="1"/>
  <c r="F365" i="1" s="1"/>
  <c r="E77" i="1"/>
  <c r="E118" i="1" s="1"/>
  <c r="E159" i="1" s="1"/>
  <c r="E200" i="1" s="1"/>
  <c r="E241" i="1" s="1"/>
  <c r="E282" i="1" s="1"/>
  <c r="E324" i="1" s="1"/>
  <c r="E365" i="1" s="1"/>
  <c r="D77" i="1"/>
  <c r="D118" i="1" s="1"/>
  <c r="D159" i="1" s="1"/>
  <c r="D200" i="1" s="1"/>
  <c r="D241" i="1" s="1"/>
  <c r="D282" i="1" s="1"/>
  <c r="D324" i="1" s="1"/>
  <c r="D365" i="1" s="1"/>
  <c r="P76" i="1"/>
  <c r="P117" i="1" s="1"/>
  <c r="P158" i="1" s="1"/>
  <c r="P199" i="1" s="1"/>
  <c r="P240" i="1" s="1"/>
  <c r="P281" i="1" s="1"/>
  <c r="P323" i="1" s="1"/>
  <c r="P364" i="1" s="1"/>
  <c r="O76" i="1"/>
  <c r="O117" i="1" s="1"/>
  <c r="O158" i="1" s="1"/>
  <c r="O199" i="1" s="1"/>
  <c r="O240" i="1" s="1"/>
  <c r="O281" i="1" s="1"/>
  <c r="O323" i="1" s="1"/>
  <c r="O364" i="1" s="1"/>
  <c r="N76" i="1"/>
  <c r="N117" i="1" s="1"/>
  <c r="N158" i="1" s="1"/>
  <c r="N199" i="1" s="1"/>
  <c r="N240" i="1" s="1"/>
  <c r="N281" i="1" s="1"/>
  <c r="N323" i="1" s="1"/>
  <c r="N364" i="1" s="1"/>
  <c r="M76" i="1"/>
  <c r="M117" i="1" s="1"/>
  <c r="M158" i="1" s="1"/>
  <c r="M199" i="1" s="1"/>
  <c r="M240" i="1" s="1"/>
  <c r="M281" i="1" s="1"/>
  <c r="M323" i="1" s="1"/>
  <c r="M364" i="1" s="1"/>
  <c r="L76" i="1"/>
  <c r="L117" i="1" s="1"/>
  <c r="L158" i="1" s="1"/>
  <c r="L199" i="1" s="1"/>
  <c r="L240" i="1" s="1"/>
  <c r="L281" i="1" s="1"/>
  <c r="L323" i="1" s="1"/>
  <c r="L364" i="1" s="1"/>
  <c r="K76" i="1"/>
  <c r="K117" i="1" s="1"/>
  <c r="K158" i="1" s="1"/>
  <c r="K199" i="1" s="1"/>
  <c r="K240" i="1" s="1"/>
  <c r="K281" i="1" s="1"/>
  <c r="K323" i="1" s="1"/>
  <c r="K364" i="1" s="1"/>
  <c r="J76" i="1"/>
  <c r="J117" i="1" s="1"/>
  <c r="J158" i="1" s="1"/>
  <c r="J199" i="1" s="1"/>
  <c r="J240" i="1" s="1"/>
  <c r="J281" i="1" s="1"/>
  <c r="J323" i="1" s="1"/>
  <c r="J364" i="1" s="1"/>
  <c r="I76" i="1"/>
  <c r="I117" i="1" s="1"/>
  <c r="I158" i="1" s="1"/>
  <c r="I199" i="1" s="1"/>
  <c r="I240" i="1" s="1"/>
  <c r="I281" i="1" s="1"/>
  <c r="I323" i="1" s="1"/>
  <c r="I364" i="1" s="1"/>
  <c r="H76" i="1"/>
  <c r="H117" i="1" s="1"/>
  <c r="H158" i="1" s="1"/>
  <c r="H199" i="1" s="1"/>
  <c r="H240" i="1" s="1"/>
  <c r="H281" i="1" s="1"/>
  <c r="H323" i="1" s="1"/>
  <c r="H364" i="1" s="1"/>
  <c r="G76" i="1"/>
  <c r="G117" i="1" s="1"/>
  <c r="G158" i="1" s="1"/>
  <c r="G199" i="1" s="1"/>
  <c r="G240" i="1" s="1"/>
  <c r="G281" i="1" s="1"/>
  <c r="G323" i="1" s="1"/>
  <c r="G364" i="1" s="1"/>
  <c r="F76" i="1"/>
  <c r="F117" i="1" s="1"/>
  <c r="F158" i="1" s="1"/>
  <c r="F199" i="1" s="1"/>
  <c r="F240" i="1" s="1"/>
  <c r="F281" i="1" s="1"/>
  <c r="F323" i="1" s="1"/>
  <c r="F364" i="1" s="1"/>
  <c r="E76" i="1"/>
  <c r="E117" i="1" s="1"/>
  <c r="E158" i="1" s="1"/>
  <c r="E199" i="1" s="1"/>
  <c r="E240" i="1" s="1"/>
  <c r="E281" i="1" s="1"/>
  <c r="E323" i="1" s="1"/>
  <c r="E364" i="1" s="1"/>
  <c r="D76" i="1"/>
  <c r="D117" i="1" s="1"/>
  <c r="D158" i="1" s="1"/>
  <c r="D199" i="1" s="1"/>
  <c r="D240" i="1" s="1"/>
  <c r="D281" i="1" s="1"/>
  <c r="D323" i="1" s="1"/>
  <c r="D364" i="1" s="1"/>
  <c r="P75" i="1"/>
  <c r="P116" i="1" s="1"/>
  <c r="P157" i="1" s="1"/>
  <c r="P198" i="1" s="1"/>
  <c r="P239" i="1" s="1"/>
  <c r="P280" i="1" s="1"/>
  <c r="P322" i="1" s="1"/>
  <c r="P363" i="1" s="1"/>
  <c r="O75" i="1"/>
  <c r="O116" i="1" s="1"/>
  <c r="O157" i="1" s="1"/>
  <c r="O198" i="1" s="1"/>
  <c r="O239" i="1" s="1"/>
  <c r="O280" i="1" s="1"/>
  <c r="O322" i="1" s="1"/>
  <c r="O363" i="1" s="1"/>
  <c r="N75" i="1"/>
  <c r="N116" i="1" s="1"/>
  <c r="N157" i="1" s="1"/>
  <c r="N198" i="1" s="1"/>
  <c r="N239" i="1" s="1"/>
  <c r="N280" i="1" s="1"/>
  <c r="N322" i="1" s="1"/>
  <c r="N363" i="1" s="1"/>
  <c r="M75" i="1"/>
  <c r="M116" i="1" s="1"/>
  <c r="M157" i="1" s="1"/>
  <c r="M198" i="1" s="1"/>
  <c r="M239" i="1" s="1"/>
  <c r="M280" i="1" s="1"/>
  <c r="M322" i="1" s="1"/>
  <c r="M363" i="1" s="1"/>
  <c r="L75" i="1"/>
  <c r="L116" i="1" s="1"/>
  <c r="L157" i="1" s="1"/>
  <c r="L198" i="1" s="1"/>
  <c r="L239" i="1" s="1"/>
  <c r="L280" i="1" s="1"/>
  <c r="L322" i="1" s="1"/>
  <c r="L363" i="1" s="1"/>
  <c r="K75" i="1"/>
  <c r="K116" i="1" s="1"/>
  <c r="K157" i="1" s="1"/>
  <c r="K198" i="1" s="1"/>
  <c r="K239" i="1" s="1"/>
  <c r="K280" i="1" s="1"/>
  <c r="K322" i="1" s="1"/>
  <c r="K363" i="1" s="1"/>
  <c r="J75" i="1"/>
  <c r="J116" i="1" s="1"/>
  <c r="J157" i="1" s="1"/>
  <c r="J198" i="1" s="1"/>
  <c r="J239" i="1" s="1"/>
  <c r="J280" i="1" s="1"/>
  <c r="J322" i="1" s="1"/>
  <c r="J363" i="1" s="1"/>
  <c r="I75" i="1"/>
  <c r="I116" i="1" s="1"/>
  <c r="I157" i="1" s="1"/>
  <c r="I198" i="1" s="1"/>
  <c r="I239" i="1" s="1"/>
  <c r="I280" i="1" s="1"/>
  <c r="I322" i="1" s="1"/>
  <c r="I363" i="1" s="1"/>
  <c r="H75" i="1"/>
  <c r="H116" i="1" s="1"/>
  <c r="H157" i="1" s="1"/>
  <c r="H198" i="1" s="1"/>
  <c r="H239" i="1" s="1"/>
  <c r="H280" i="1" s="1"/>
  <c r="H322" i="1" s="1"/>
  <c r="H363" i="1" s="1"/>
  <c r="G75" i="1"/>
  <c r="G116" i="1" s="1"/>
  <c r="G157" i="1" s="1"/>
  <c r="G198" i="1" s="1"/>
  <c r="G239" i="1" s="1"/>
  <c r="G280" i="1" s="1"/>
  <c r="G322" i="1" s="1"/>
  <c r="G363" i="1" s="1"/>
  <c r="F75" i="1"/>
  <c r="F116" i="1" s="1"/>
  <c r="F157" i="1" s="1"/>
  <c r="F198" i="1" s="1"/>
  <c r="F239" i="1" s="1"/>
  <c r="F280" i="1" s="1"/>
  <c r="F322" i="1" s="1"/>
  <c r="F363" i="1" s="1"/>
  <c r="E75" i="1"/>
  <c r="E116" i="1" s="1"/>
  <c r="E157" i="1" s="1"/>
  <c r="E198" i="1" s="1"/>
  <c r="E239" i="1" s="1"/>
  <c r="E280" i="1" s="1"/>
  <c r="E322" i="1" s="1"/>
  <c r="E363" i="1" s="1"/>
  <c r="D75" i="1"/>
  <c r="D116" i="1" s="1"/>
  <c r="D157" i="1" s="1"/>
  <c r="D198" i="1" s="1"/>
  <c r="D239" i="1" s="1"/>
  <c r="D280" i="1" s="1"/>
  <c r="D322" i="1" s="1"/>
  <c r="D363" i="1" s="1"/>
  <c r="P69" i="1"/>
  <c r="O69" i="1"/>
  <c r="N69" i="1"/>
  <c r="M69" i="1"/>
  <c r="L69" i="1"/>
  <c r="K69" i="1"/>
  <c r="J69" i="1"/>
  <c r="I69" i="1"/>
  <c r="H69" i="1"/>
  <c r="G69" i="1"/>
  <c r="F69" i="1"/>
  <c r="E69" i="1"/>
  <c r="D69" i="1"/>
  <c r="P68" i="1"/>
  <c r="O68" i="1"/>
  <c r="N68" i="1"/>
  <c r="M68" i="1"/>
  <c r="L68" i="1"/>
  <c r="K68" i="1"/>
  <c r="J68" i="1"/>
  <c r="I68" i="1"/>
  <c r="H68" i="1"/>
  <c r="G68" i="1"/>
  <c r="F68" i="1"/>
  <c r="E68" i="1"/>
  <c r="D68" i="1"/>
  <c r="P66" i="1"/>
  <c r="O66" i="1"/>
  <c r="N66" i="1"/>
  <c r="M66" i="1"/>
  <c r="L66" i="1"/>
  <c r="K66" i="1"/>
  <c r="J66" i="1"/>
  <c r="I66" i="1"/>
  <c r="H66" i="1"/>
  <c r="G66" i="1"/>
  <c r="F66" i="1"/>
  <c r="E66" i="1"/>
  <c r="D66" i="1"/>
  <c r="P55" i="1"/>
  <c r="O55" i="1"/>
  <c r="N55" i="1"/>
  <c r="M55" i="1"/>
  <c r="L55" i="1"/>
  <c r="K55" i="1"/>
  <c r="J55" i="1"/>
  <c r="I55" i="1"/>
  <c r="H55" i="1"/>
  <c r="G55" i="1"/>
  <c r="F55" i="1"/>
  <c r="E55" i="1"/>
  <c r="D55" i="1"/>
  <c r="P52" i="1"/>
  <c r="O52" i="1"/>
  <c r="N52" i="1"/>
  <c r="M52" i="1"/>
  <c r="L52" i="1"/>
  <c r="K52" i="1"/>
  <c r="J52" i="1"/>
  <c r="I52" i="1"/>
  <c r="H52" i="1"/>
  <c r="G52" i="1"/>
  <c r="F52" i="1"/>
  <c r="E52" i="1"/>
  <c r="D52" i="1"/>
  <c r="P48" i="1"/>
  <c r="P89" i="1" s="1"/>
  <c r="P130" i="1" s="1"/>
  <c r="P171" i="1" s="1"/>
  <c r="P212" i="1" s="1"/>
  <c r="P253" i="1" s="1"/>
  <c r="P294" i="1" s="1"/>
  <c r="P336" i="1" s="1"/>
  <c r="P378" i="1" s="1"/>
  <c r="O48" i="1"/>
  <c r="O89" i="1" s="1"/>
  <c r="O130" i="1" s="1"/>
  <c r="O171" i="1" s="1"/>
  <c r="O212" i="1" s="1"/>
  <c r="O253" i="1" s="1"/>
  <c r="O294" i="1" s="1"/>
  <c r="O336" i="1" s="1"/>
  <c r="O378" i="1" s="1"/>
  <c r="N48" i="1"/>
  <c r="N89" i="1" s="1"/>
  <c r="N130" i="1" s="1"/>
  <c r="N171" i="1" s="1"/>
  <c r="N212" i="1" s="1"/>
  <c r="N253" i="1" s="1"/>
  <c r="N294" i="1" s="1"/>
  <c r="N336" i="1" s="1"/>
  <c r="N378" i="1" s="1"/>
  <c r="M48" i="1"/>
  <c r="M89" i="1" s="1"/>
  <c r="M130" i="1" s="1"/>
  <c r="M171" i="1" s="1"/>
  <c r="M212" i="1" s="1"/>
  <c r="M253" i="1" s="1"/>
  <c r="M294" i="1" s="1"/>
  <c r="M336" i="1" s="1"/>
  <c r="M378" i="1" s="1"/>
  <c r="L48" i="1"/>
  <c r="L89" i="1" s="1"/>
  <c r="L130" i="1" s="1"/>
  <c r="L171" i="1" s="1"/>
  <c r="L212" i="1" s="1"/>
  <c r="L253" i="1" s="1"/>
  <c r="L294" i="1" s="1"/>
  <c r="L336" i="1" s="1"/>
  <c r="L378" i="1" s="1"/>
  <c r="K48" i="1"/>
  <c r="K89" i="1" s="1"/>
  <c r="K130" i="1" s="1"/>
  <c r="K171" i="1" s="1"/>
  <c r="K212" i="1" s="1"/>
  <c r="K253" i="1" s="1"/>
  <c r="K294" i="1" s="1"/>
  <c r="K336" i="1" s="1"/>
  <c r="K378" i="1" s="1"/>
  <c r="J48" i="1"/>
  <c r="J89" i="1" s="1"/>
  <c r="J130" i="1" s="1"/>
  <c r="J171" i="1" s="1"/>
  <c r="J212" i="1" s="1"/>
  <c r="J253" i="1" s="1"/>
  <c r="J294" i="1" s="1"/>
  <c r="J336" i="1" s="1"/>
  <c r="J378" i="1" s="1"/>
  <c r="I48" i="1"/>
  <c r="I89" i="1" s="1"/>
  <c r="I130" i="1" s="1"/>
  <c r="I171" i="1" s="1"/>
  <c r="I212" i="1" s="1"/>
  <c r="I253" i="1" s="1"/>
  <c r="I294" i="1" s="1"/>
  <c r="I336" i="1" s="1"/>
  <c r="I378" i="1" s="1"/>
  <c r="H48" i="1"/>
  <c r="H89" i="1" s="1"/>
  <c r="H130" i="1" s="1"/>
  <c r="H171" i="1" s="1"/>
  <c r="H212" i="1" s="1"/>
  <c r="H253" i="1" s="1"/>
  <c r="H294" i="1" s="1"/>
  <c r="H336" i="1" s="1"/>
  <c r="H378" i="1" s="1"/>
  <c r="G48" i="1"/>
  <c r="G89" i="1" s="1"/>
  <c r="G130" i="1" s="1"/>
  <c r="G171" i="1" s="1"/>
  <c r="G212" i="1" s="1"/>
  <c r="G253" i="1" s="1"/>
  <c r="G294" i="1" s="1"/>
  <c r="G336" i="1" s="1"/>
  <c r="G378" i="1" s="1"/>
  <c r="F48" i="1"/>
  <c r="F89" i="1" s="1"/>
  <c r="F130" i="1" s="1"/>
  <c r="F171" i="1" s="1"/>
  <c r="F212" i="1" s="1"/>
  <c r="F253" i="1" s="1"/>
  <c r="F294" i="1" s="1"/>
  <c r="F336" i="1" s="1"/>
  <c r="F378" i="1" s="1"/>
  <c r="E48" i="1"/>
  <c r="E89" i="1" s="1"/>
  <c r="E130" i="1" s="1"/>
  <c r="E171" i="1" s="1"/>
  <c r="E212" i="1" s="1"/>
  <c r="E253" i="1" s="1"/>
  <c r="E294" i="1" s="1"/>
  <c r="E336" i="1" s="1"/>
  <c r="E378" i="1" s="1"/>
  <c r="D48" i="1"/>
  <c r="D89" i="1" s="1"/>
  <c r="D130" i="1" s="1"/>
  <c r="D171" i="1" s="1"/>
  <c r="D212" i="1" s="1"/>
  <c r="D253" i="1" s="1"/>
  <c r="D294" i="1" s="1"/>
  <c r="D336" i="1" s="1"/>
  <c r="D378" i="1" s="1"/>
  <c r="A47" i="1"/>
  <c r="P41" i="1"/>
  <c r="O41" i="1"/>
  <c r="N41" i="1"/>
  <c r="M41" i="1"/>
  <c r="L41" i="1"/>
  <c r="K41" i="1"/>
  <c r="J41" i="1"/>
  <c r="I41" i="1"/>
  <c r="H41" i="1"/>
  <c r="G41" i="1"/>
  <c r="F41" i="1"/>
  <c r="E41" i="1"/>
  <c r="D41" i="1"/>
  <c r="P40" i="1"/>
  <c r="O40" i="1"/>
  <c r="N40" i="1"/>
  <c r="M40" i="1"/>
  <c r="L40" i="1"/>
  <c r="K40" i="1"/>
  <c r="J40" i="1"/>
  <c r="I40" i="1"/>
  <c r="H40" i="1"/>
  <c r="G40" i="1"/>
  <c r="F40" i="1"/>
  <c r="E40" i="1"/>
  <c r="D40" i="1"/>
  <c r="P39" i="1"/>
  <c r="O39" i="1"/>
  <c r="N39" i="1"/>
  <c r="M39" i="1"/>
  <c r="L39" i="1"/>
  <c r="K39" i="1"/>
  <c r="J39" i="1"/>
  <c r="I39" i="1"/>
  <c r="H39" i="1"/>
  <c r="G39" i="1"/>
  <c r="F39" i="1"/>
  <c r="E39" i="1"/>
  <c r="D39" i="1"/>
  <c r="P27" i="1"/>
  <c r="O27" i="1"/>
  <c r="N27" i="1"/>
  <c r="M27" i="1"/>
  <c r="L27" i="1"/>
  <c r="K27" i="1"/>
  <c r="J27" i="1"/>
  <c r="I27" i="1"/>
  <c r="H27" i="1"/>
  <c r="G27" i="1"/>
  <c r="F27" i="1"/>
  <c r="E27" i="1"/>
  <c r="D27" i="1"/>
  <c r="P25" i="1"/>
  <c r="O25" i="1"/>
  <c r="N25" i="1"/>
  <c r="M25" i="1"/>
  <c r="L25" i="1"/>
  <c r="K25" i="1"/>
  <c r="J25" i="1"/>
  <c r="I25" i="1"/>
  <c r="H25" i="1"/>
  <c r="G25" i="1"/>
  <c r="F25" i="1"/>
  <c r="E25" i="1"/>
  <c r="D25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P11" i="1"/>
  <c r="O11" i="1"/>
  <c r="N11" i="1"/>
  <c r="M11" i="1"/>
  <c r="L11" i="1"/>
  <c r="K11" i="1"/>
  <c r="J11" i="1"/>
  <c r="I11" i="1"/>
  <c r="H11" i="1"/>
  <c r="G11" i="1"/>
  <c r="F11" i="1"/>
  <c r="E11" i="1"/>
  <c r="D11" i="1"/>
  <c r="O9" i="1"/>
  <c r="N9" i="1"/>
  <c r="M9" i="1"/>
  <c r="L9" i="1"/>
  <c r="K9" i="1"/>
  <c r="J9" i="1"/>
  <c r="I9" i="1"/>
  <c r="G9" i="1"/>
  <c r="F9" i="1"/>
  <c r="E9" i="1"/>
  <c r="D9" i="1"/>
  <c r="A3" i="1"/>
  <c r="O30" i="7" l="1"/>
  <c r="O80" i="7" s="1"/>
  <c r="O130" i="7" s="1"/>
  <c r="O180" i="7" s="1"/>
  <c r="O710" i="7" s="1"/>
  <c r="O760" i="7" s="1"/>
  <c r="O810" i="7" s="1"/>
  <c r="O860" i="7" s="1"/>
  <c r="O910" i="7" s="1"/>
  <c r="O960" i="7" s="1"/>
  <c r="N80" i="7"/>
  <c r="N130" i="7" s="1"/>
  <c r="N180" i="7" s="1"/>
  <c r="N710" i="7" s="1"/>
  <c r="N760" i="7" s="1"/>
  <c r="N810" i="7" s="1"/>
  <c r="N860" i="7" s="1"/>
  <c r="N910" i="7" s="1"/>
  <c r="N960" i="7" s="1"/>
  <c r="M146" i="7"/>
  <c r="N96" i="7"/>
  <c r="L81" i="7"/>
  <c r="L131" i="7" s="1"/>
  <c r="L181" i="7" s="1"/>
  <c r="L711" i="7" s="1"/>
  <c r="L761" i="7" s="1"/>
  <c r="L811" i="7" s="1"/>
  <c r="L861" i="7" s="1"/>
  <c r="L911" i="7" s="1"/>
  <c r="L961" i="7" s="1"/>
  <c r="M31" i="7"/>
  <c r="N146" i="7" l="1"/>
  <c r="O96" i="7"/>
  <c r="O146" i="7" s="1"/>
  <c r="M81" i="7"/>
  <c r="M131" i="7" s="1"/>
  <c r="M181" i="7" s="1"/>
  <c r="M711" i="7" s="1"/>
  <c r="M761" i="7" s="1"/>
  <c r="M811" i="7" s="1"/>
  <c r="M861" i="7" s="1"/>
  <c r="M911" i="7" s="1"/>
  <c r="M961" i="7" s="1"/>
  <c r="N31" i="7"/>
  <c r="O31" i="7" l="1"/>
  <c r="O81" i="7" s="1"/>
  <c r="O131" i="7" s="1"/>
  <c r="O181" i="7" s="1"/>
  <c r="O711" i="7" s="1"/>
  <c r="O761" i="7" s="1"/>
  <c r="O811" i="7" s="1"/>
  <c r="O861" i="7" s="1"/>
  <c r="O911" i="7" s="1"/>
  <c r="O961" i="7" s="1"/>
  <c r="N81" i="7"/>
  <c r="N131" i="7" s="1"/>
  <c r="N181" i="7" s="1"/>
  <c r="N711" i="7" s="1"/>
  <c r="N761" i="7" s="1"/>
  <c r="N811" i="7" s="1"/>
  <c r="N861" i="7" s="1"/>
  <c r="N911" i="7" s="1"/>
  <c r="N961" i="7" s="1"/>
</calcChain>
</file>

<file path=xl/sharedStrings.xml><?xml version="1.0" encoding="utf-8"?>
<sst xmlns="http://schemas.openxmlformats.org/spreadsheetml/2006/main" count="14556" uniqueCount="230">
  <si>
    <t>MERALCO</t>
  </si>
  <si>
    <t xml:space="preserve">Actual Implemented Rates </t>
  </si>
  <si>
    <t>Flat Streetlights</t>
  </si>
  <si>
    <t>Particulars</t>
  </si>
  <si>
    <t>Unit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</si>
  <si>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</si>
  <si>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</si>
  <si>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</si>
  <si>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</si>
  <si>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</si>
  <si>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</si>
  <si>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</si>
  <si>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</si>
  <si>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</si>
  <si>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</si>
  <si>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</si>
  <si>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</si>
  <si>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 xml:space="preserve">Generation Charges </t>
  </si>
  <si>
    <t xml:space="preserve">    Generation Energy Charge</t>
  </si>
  <si>
    <t>PhP/kWh</t>
  </si>
  <si>
    <t>Transmission Charges</t>
  </si>
  <si>
    <t xml:space="preserve">    Transmission Energy Charge</t>
  </si>
  <si>
    <t xml:space="preserve">    Transmission Demand Charge</t>
  </si>
  <si>
    <t>PhP/kW</t>
  </si>
  <si>
    <t>System Loss Charge</t>
  </si>
  <si>
    <t xml:space="preserve">     System Loss Charge</t>
  </si>
  <si>
    <t>Distribution Charges</t>
  </si>
  <si>
    <t xml:space="preserve">    Distribution Energy Charge</t>
  </si>
  <si>
    <t xml:space="preserve">    Distribution Demand Charge</t>
  </si>
  <si>
    <t>Supply Charges</t>
  </si>
  <si>
    <t xml:space="preserve">    Supply Energy Charge</t>
  </si>
  <si>
    <t xml:space="preserve">    Supply Retail Customer Charge</t>
  </si>
  <si>
    <t>PhP/Cust/Mo</t>
  </si>
  <si>
    <t>Metering Charges</t>
  </si>
  <si>
    <t xml:space="preserve">    Metering Energy Charge</t>
  </si>
  <si>
    <t xml:space="preserve">    Metering Retail Customer Charge</t>
  </si>
  <si>
    <t>PhP/Meter/Mo</t>
  </si>
  <si>
    <t>Other Charges</t>
  </si>
  <si>
    <t>Lifeline Subsidy Charge</t>
  </si>
  <si>
    <t>Lifeline Discount Charge</t>
  </si>
  <si>
    <t>Sr. Citizen Subsidy Charge</t>
  </si>
  <si>
    <t>Sr. Citizen Discount Charge</t>
  </si>
  <si>
    <t>Local Franchise Tax</t>
  </si>
  <si>
    <r>
      <t xml:space="preserve">   </t>
    </r>
    <r>
      <rPr>
        <sz val="11"/>
        <rFont val="Calibri"/>
        <family val="2"/>
      </rPr>
      <t>Local Franchise Tax*</t>
    </r>
  </si>
  <si>
    <t>%</t>
  </si>
  <si>
    <t>Energy Tax</t>
  </si>
  <si>
    <r>
      <t xml:space="preserve">   </t>
    </r>
    <r>
      <rPr>
        <sz val="11"/>
        <rFont val="Calibri"/>
        <family val="2"/>
      </rPr>
      <t>Energy Tax</t>
    </r>
  </si>
  <si>
    <t>Universal Charge</t>
  </si>
  <si>
    <t xml:space="preserve">    Missionary Electrification</t>
  </si>
  <si>
    <t xml:space="preserve">    Environmental Charge</t>
  </si>
  <si>
    <t xml:space="preserve">    Stranded Contract Cost</t>
  </si>
  <si>
    <t>FIT-All (Renewable)</t>
  </si>
  <si>
    <t>VAT</t>
  </si>
  <si>
    <t xml:space="preserve">    Generation</t>
  </si>
  <si>
    <t xml:space="preserve">    Transmission </t>
  </si>
  <si>
    <t xml:space="preserve">    System Loss </t>
  </si>
  <si>
    <t xml:space="preserve">    Distribution</t>
  </si>
  <si>
    <t xml:space="preserve">    Others</t>
  </si>
  <si>
    <t>*LGU-specific</t>
  </si>
  <si>
    <t>See Schedule 1</t>
  </si>
  <si>
    <t>See Schedule 2</t>
  </si>
  <si>
    <t>See Schedule 3</t>
  </si>
  <si>
    <t>See Schedule 4</t>
  </si>
  <si>
    <t>See Schedule 5</t>
  </si>
  <si>
    <t>See Schedule 6</t>
  </si>
  <si>
    <t>See Schedule 7</t>
  </si>
  <si>
    <t xml:space="preserve">    Power Act Reduction (PAR)</t>
  </si>
  <si>
    <t>SCHEDULE 1: GENERATION CHARGES</t>
  </si>
  <si>
    <t>Regular</t>
  </si>
  <si>
    <t>Peak/Off-Peak (POP)</t>
  </si>
  <si>
    <t xml:space="preserve">    Peak</t>
  </si>
  <si>
    <t xml:space="preserve">    Off-peak</t>
  </si>
  <si>
    <t>Average POP rates per voltage*</t>
  </si>
  <si>
    <t xml:space="preserve">     Residential</t>
  </si>
  <si>
    <t xml:space="preserve">     General Service A</t>
  </si>
  <si>
    <t xml:space="preserve">     General Service B</t>
  </si>
  <si>
    <t xml:space="preserve">     GP - Secondary</t>
  </si>
  <si>
    <t xml:space="preserve">     GP - 13.8 kV and below</t>
  </si>
  <si>
    <t xml:space="preserve">     GP - 34.5kV</t>
  </si>
  <si>
    <t xml:space="preserve">     GP - 69/115kV</t>
  </si>
  <si>
    <t xml:space="preserve">     GHMSCI</t>
  </si>
  <si>
    <t>* No available data for December 2016 as of December 31, 2016</t>
  </si>
  <si>
    <t>SCHEDULE 2: DIST ENERGY CHARGE OF RGS-A</t>
  </si>
  <si>
    <t>0-200 kWhs</t>
  </si>
  <si>
    <t>201 TO 300 kWhs</t>
  </si>
  <si>
    <t>301 TO 400 kWhs</t>
  </si>
  <si>
    <t>OVER 400 kWhs</t>
  </si>
  <si>
    <t>SCHEDULE 3: SUPPLY ENERGY CHARGES</t>
  </si>
  <si>
    <t xml:space="preserve">    Residential and General Service A</t>
  </si>
  <si>
    <t xml:space="preserve">    GHMSCI, GS - B and General Power</t>
  </si>
  <si>
    <t>SCHEDULE 4: SUPPLY RETAIL CUSTOMER CHARGES</t>
  </si>
  <si>
    <t xml:space="preserve">    GHMSCI</t>
  </si>
  <si>
    <t xml:space="preserve">    General Service B</t>
  </si>
  <si>
    <t xml:space="preserve">    GP - Medium</t>
  </si>
  <si>
    <t xml:space="preserve">    GP - Large</t>
  </si>
  <si>
    <t xml:space="preserve">    GP - Very Large and Extra Large</t>
  </si>
  <si>
    <t>SCHEDULE 5: METERING RETAIL CUSTOMER CHARGES</t>
  </si>
  <si>
    <t>SCHEDULE 6: LIFELINE DISCOUNT RATES</t>
  </si>
  <si>
    <t>0 TO 20 kWhs</t>
  </si>
  <si>
    <t>21 TO 50 kWhs</t>
  </si>
  <si>
    <t>51 TO 70 kWhs</t>
  </si>
  <si>
    <t>71 TO 100 kWhs</t>
  </si>
  <si>
    <t>SCHEDULE 7: ENERGY TAX</t>
  </si>
  <si>
    <t>First 650 kWhs</t>
  </si>
  <si>
    <t>no charge</t>
  </si>
  <si>
    <t>Next 350 kWhs at</t>
  </si>
  <si>
    <t>0.10 per kWh</t>
  </si>
  <si>
    <t>Next 500 kWhs at</t>
  </si>
  <si>
    <t>0.20 per kWh</t>
  </si>
  <si>
    <t>Excess kWhs at</t>
  </si>
  <si>
    <t>0.35 per kWh</t>
  </si>
  <si>
    <t xml:space="preserve">    NPC Stranded Contract Cost</t>
  </si>
  <si>
    <t xml:space="preserve">    NPC Stranded Debts</t>
  </si>
  <si>
    <t xml:space="preserve">    Peak rate</t>
  </si>
  <si>
    <t xml:space="preserve">    Off-peak rate</t>
  </si>
  <si>
    <t xml:space="preserve">    Generation Charge Adjustment</t>
  </si>
  <si>
    <t>* No available data for December 2018  as of December 30, 2018</t>
  </si>
  <si>
    <t>* No available data for December 2017 as of December 30, 2017</t>
  </si>
  <si>
    <t>s</t>
  </si>
  <si>
    <t>Distribution Charges***</t>
  </si>
  <si>
    <t xml:space="preserve">    0-200 kWhs</t>
  </si>
  <si>
    <t xml:space="preserve">    201 TO 300 kWhs</t>
  </si>
  <si>
    <t xml:space="preserve">    301 TO 400 kWhs</t>
  </si>
  <si>
    <t xml:space="preserve">    OVER 400 kWhs</t>
  </si>
  <si>
    <t>Supply Charges***</t>
  </si>
  <si>
    <t xml:space="preserve">    Regular</t>
  </si>
  <si>
    <t xml:space="preserve">    Peak/Off-Peak (POP)**</t>
  </si>
  <si>
    <t>Metering Charges***</t>
  </si>
  <si>
    <t xml:space="preserve">    0 TO 20 kWhs</t>
  </si>
  <si>
    <t xml:space="preserve">    21 TO 50 kWhs</t>
  </si>
  <si>
    <t xml:space="preserve">    51 TO 70 kWhs</t>
  </si>
  <si>
    <t xml:space="preserve">    71 TO 100 kWhs</t>
  </si>
  <si>
    <t>***Zero DSM charges for lifeline customers for the month of October 2020 in accordance with the Decision dated August 20, 2020 in ERC Case No. 2020-001 SC with pending Motion for Partial Reconsideration</t>
  </si>
  <si>
    <t xml:space="preserve">    Peak/Off-Peak (POP)</t>
  </si>
  <si>
    <t xml:space="preserve">         GP - Medium</t>
  </si>
  <si>
    <t xml:space="preserve">         GP - Large</t>
  </si>
  <si>
    <t xml:space="preserve">         GP - Very Large and Extra Large</t>
  </si>
  <si>
    <t>**Includes incremental metering costs and other operating expenses</t>
  </si>
  <si>
    <t>Reset Cost Adjustment</t>
  </si>
  <si>
    <t>* No available data for December 2019 as of December 30, 2019</t>
  </si>
  <si>
    <t>MANILA ELECTRIC COMPANY</t>
  </si>
  <si>
    <t>Actual Implemented Generation Rates</t>
  </si>
  <si>
    <t>CUSTOMER CLASS</t>
  </si>
  <si>
    <t>Regular NON-TOU</t>
  </si>
  <si>
    <t>TOU AVERAGE RATES</t>
  </si>
  <si>
    <t xml:space="preserve">Residential </t>
  </si>
  <si>
    <t>General Power- Secondary</t>
  </si>
  <si>
    <t>General Power-34.5kV</t>
  </si>
  <si>
    <t>General Power-69/115kV</t>
  </si>
  <si>
    <t>CCP AVERAGE RATES</t>
  </si>
  <si>
    <t>Basic Charge</t>
  </si>
  <si>
    <t>FBHC</t>
  </si>
  <si>
    <t>GRAM</t>
  </si>
  <si>
    <t>ICERA</t>
  </si>
  <si>
    <t>FPPCA</t>
  </si>
  <si>
    <t>FXA</t>
  </si>
  <si>
    <t>ECOZONE RATES</t>
  </si>
  <si>
    <t>Actual Implemented Transmission Rates</t>
  </si>
  <si>
    <t>General Service A</t>
  </si>
  <si>
    <t>GHMSCI</t>
  </si>
  <si>
    <t>General Service B</t>
  </si>
  <si>
    <t>General Power-Below 13.2kV</t>
  </si>
  <si>
    <t>General Power-13.8/13.2 kV</t>
  </si>
  <si>
    <t>Cavite Ecozone (CEZ)</t>
  </si>
  <si>
    <t>Actual Implemented System Loss Rates</t>
  </si>
  <si>
    <t>REGULAR NON, TOU, TOU AND CCP RATES</t>
  </si>
  <si>
    <t>REGULAR STA CUSTOMERS</t>
  </si>
  <si>
    <t>Secondary</t>
  </si>
  <si>
    <t>13.8/13.2 kV</t>
  </si>
  <si>
    <t>34.5kV</t>
  </si>
  <si>
    <t>115 kV</t>
  </si>
  <si>
    <t>Sunpower FAB 2</t>
  </si>
  <si>
    <t>Actual Implemented Lifeline Subsidy Rates</t>
  </si>
  <si>
    <t>Lifeline Rates</t>
  </si>
  <si>
    <t>Lifeliners</t>
  </si>
  <si>
    <t>NonLifeliners</t>
  </si>
  <si>
    <t>PREPARED BY:</t>
  </si>
  <si>
    <t>REVIWED AND APPROVED BY:</t>
  </si>
  <si>
    <t>RODELYN E. MORELOS</t>
  </si>
  <si>
    <t>ARLYN I. DELA CRUZ</t>
  </si>
  <si>
    <t>Previous Power Cost Adjustment</t>
  </si>
  <si>
    <t>Cross Subsidy Charge</t>
  </si>
  <si>
    <r>
      <t>Other Charges</t>
    </r>
    <r>
      <rPr>
        <b/>
        <vertAlign val="superscript"/>
        <sz val="11"/>
        <rFont val="Calibri"/>
        <family val="2"/>
      </rPr>
      <t>1</t>
    </r>
  </si>
  <si>
    <t>Business Tax</t>
  </si>
  <si>
    <r>
      <t xml:space="preserve">   </t>
    </r>
    <r>
      <rPr>
        <sz val="11"/>
        <rFont val="Calibri"/>
        <family val="2"/>
      </rPr>
      <t>BusinessTax</t>
    </r>
  </si>
  <si>
    <t>Real Property Tax</t>
  </si>
  <si>
    <r>
      <t xml:space="preserve">   </t>
    </r>
    <r>
      <rPr>
        <sz val="11"/>
        <rFont val="Calibri"/>
        <family val="2"/>
      </rPr>
      <t>Real Property Tax</t>
    </r>
  </si>
  <si>
    <t xml:space="preserve">    Power Act Reduction</t>
  </si>
  <si>
    <t xml:space="preserve">    Previous Power Cost Adjustment</t>
  </si>
  <si>
    <t>See Schedule 8</t>
  </si>
  <si>
    <t>Account No.</t>
  </si>
  <si>
    <r>
      <t xml:space="preserve">   </t>
    </r>
    <r>
      <rPr>
        <sz val="11"/>
        <rFont val="Calibri"/>
        <family val="2"/>
      </rPr>
      <t>Local Franchise Tax</t>
    </r>
  </si>
  <si>
    <t>TOU</t>
  </si>
  <si>
    <t>CCP</t>
  </si>
  <si>
    <t>Ecozone</t>
  </si>
  <si>
    <t>Cavite Ecozone</t>
  </si>
  <si>
    <t>Average TOU rates per voltage*</t>
  </si>
  <si>
    <t xml:space="preserve">      Residential</t>
  </si>
  <si>
    <t xml:space="preserve">     GP-Secondary</t>
  </si>
  <si>
    <t xml:space="preserve">     GP-13.8/13.2 kV</t>
  </si>
  <si>
    <t xml:space="preserve">     GP-34.5kV</t>
  </si>
  <si>
    <t xml:space="preserve">     GP-69/115kV</t>
  </si>
  <si>
    <t>SCHEDULE 3: SUPPLY ENERGY CHARGES FOR RGS-A AND TOU</t>
  </si>
  <si>
    <t xml:space="preserve">    General Service B and General Power</t>
  </si>
  <si>
    <t xml:space="preserve">    RGS-A</t>
  </si>
  <si>
    <t xml:space="preserve">    Small</t>
  </si>
  <si>
    <t xml:space="preserve">    Medium</t>
  </si>
  <si>
    <t xml:space="preserve">    Large</t>
  </si>
  <si>
    <t xml:space="preserve">    Very Large and Extra Large</t>
  </si>
  <si>
    <t xml:space="preserve"> TOU</t>
  </si>
  <si>
    <t xml:space="preserve"> CCP</t>
  </si>
  <si>
    <t>Excess kWhs</t>
  </si>
  <si>
    <t>SCHEDULE 8: GENERATION VAT RATES</t>
  </si>
  <si>
    <t>Regular and TOU</t>
  </si>
  <si>
    <t>Ecozone VAT Rate</t>
  </si>
  <si>
    <t>Other System Loss Charges</t>
  </si>
  <si>
    <t xml:space="preserve">     Ecozone Secondary and below</t>
  </si>
  <si>
    <t xml:space="preserve">     Ecozone 34.5 kV and below</t>
  </si>
  <si>
    <t xml:space="preserve">    Ecozone 69/115kV</t>
  </si>
  <si>
    <t xml:space="preserve">    Sunpower FAB 2</t>
  </si>
  <si>
    <t xml:space="preserve">    STA General Service B</t>
  </si>
  <si>
    <t xml:space="preserve">    STA GP Secondary</t>
  </si>
  <si>
    <t xml:space="preserve">   STA 13.2/13.8kV</t>
  </si>
  <si>
    <t xml:space="preserve">   STA 69/115kV</t>
  </si>
  <si>
    <t>* No available data yet for December 2012</t>
  </si>
  <si>
    <t>GENERAL NOTE:</t>
  </si>
  <si>
    <t>All data used in the actual implemented rates were based on available information as of the time rates were computed.</t>
  </si>
  <si>
    <t>* No available data for December 2013 as of December 30, 2013</t>
  </si>
  <si>
    <t>* No available data for December 2014 as of December 30, 2014</t>
  </si>
  <si>
    <t>* No available data for Dec 2015 as of Dec 30, 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</si>
</sst>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1"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#,##0.0000_);\(#,##0.0000\)"/>
    <numFmt numFmtId="167" formatCode="0.0000"/>
    <numFmt numFmtId="168" formatCode="_(* #,##0.0000_);_(* \(#,##0.0000\);_(* &quot;-&quot;??_);_(@_)"/>
    <numFmt numFmtId="169" formatCode="0.0000_);\(0.0000\)"/>
    <numFmt numFmtId="170" formatCode="mmmm\ dd\,\ \ yyyy"/>
    <numFmt numFmtId="171" formatCode="0.00_)"/>
    <numFmt numFmtId="172" formatCode="_-&quot;$&quot;* #,##0_-;\-&quot;$&quot;* #,##0_-;_-&quot;$&quot;* &quot;-&quot;_-;_-@_-"/>
    <numFmt numFmtId="173" formatCode="_-&quot;$&quot;* #,##0.00_-;\-&quot;$&quot;* #,##0.00_-;_-&quot;$&quot;* &quot;-&quot;??_-;_-@_-"/>
  </numFmts>
  <fonts count="4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6"/>
      <color indexed="12"/>
      <name val="Calibri"/>
      <family val="2"/>
    </font>
    <font>
      <sz val="10"/>
      <name val="Calibri"/>
      <family val="2"/>
    </font>
    <font>
      <b/>
      <sz val="16"/>
      <name val="Calibri"/>
      <family val="2"/>
    </font>
    <font>
      <b/>
      <sz val="16"/>
      <color indexed="60"/>
      <name val="Calibri"/>
      <family val="2"/>
    </font>
    <font>
      <b/>
      <sz val="14"/>
      <color indexed="12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b/>
      <sz val="11"/>
      <color indexed="12"/>
      <name val="Calibri"/>
      <family val="2"/>
    </font>
    <font>
      <sz val="11"/>
      <name val="Calibri"/>
      <family val="2"/>
    </font>
    <font>
      <sz val="11"/>
      <color indexed="12"/>
      <name val="Calibri"/>
      <family val="2"/>
    </font>
    <font>
      <sz val="11"/>
      <color indexed="8"/>
      <name val="Calibri"/>
      <family val="2"/>
    </font>
    <font>
      <sz val="10"/>
      <color indexed="12"/>
      <name val="Calibri"/>
      <family val="2"/>
    </font>
    <font>
      <sz val="10"/>
      <color indexed="10"/>
      <name val="Calibri"/>
      <family val="2"/>
    </font>
    <font>
      <i/>
      <sz val="10"/>
      <name val="Calibri"/>
      <family val="2"/>
    </font>
    <font>
      <i/>
      <sz val="11"/>
      <name val="Calibri"/>
      <family val="2"/>
    </font>
    <font>
      <sz val="10"/>
      <name val="Bookman Old Style"/>
      <family val="1"/>
    </font>
    <font>
      <sz val="11"/>
      <color theme="1"/>
      <name val="Calibri"/>
      <family val="2"/>
      <scheme val="minor"/>
    </font>
    <font>
      <sz val="10"/>
      <name val="Arial"/>
    </font>
    <font>
      <b/>
      <sz val="10"/>
      <name val="Arial"/>
      <family val="2"/>
    </font>
    <font>
      <b/>
      <sz val="10"/>
      <color indexed="12"/>
      <name val="Calibri"/>
      <family val="2"/>
    </font>
    <font>
      <b/>
      <sz val="12"/>
      <name val="Calibri"/>
      <family val="2"/>
    </font>
    <font>
      <sz val="12"/>
      <name val="Calibri"/>
      <family val="2"/>
    </font>
    <font>
      <i/>
      <sz val="12"/>
      <name val="Calibri"/>
      <family val="2"/>
    </font>
    <font>
      <b/>
      <i/>
      <sz val="12"/>
      <name val="Calibri"/>
      <family val="2"/>
    </font>
    <font>
      <b/>
      <sz val="12"/>
      <color indexed="12"/>
      <name val="Calibri"/>
      <family val="2"/>
    </font>
    <font>
      <sz val="8"/>
      <name val="Arial"/>
      <family val="2"/>
    </font>
    <font>
      <sz val="10"/>
      <name val="Times New Roman"/>
      <family val="1"/>
    </font>
    <font>
      <sz val="12"/>
      <name val="Tms Rmn"/>
    </font>
    <font>
      <sz val="12"/>
      <name val="Helv"/>
    </font>
    <font>
      <sz val="7"/>
      <name val="Small Fonts"/>
      <family val="2"/>
    </font>
    <font>
      <b/>
      <sz val="12"/>
      <color indexed="8"/>
      <name val="Arial"/>
      <family val="2"/>
    </font>
    <font>
      <sz val="12"/>
      <color indexed="8"/>
      <name val="Arial"/>
      <family val="2"/>
    </font>
    <font>
      <sz val="10"/>
      <color indexed="8"/>
      <name val="Arial"/>
      <family val="2"/>
    </font>
    <font>
      <sz val="19"/>
      <color indexed="48"/>
      <name val="Arial"/>
      <family val="2"/>
    </font>
    <font>
      <b/>
      <vertAlign val="superscript"/>
      <sz val="11"/>
      <name val="Calibri"/>
      <family val="2"/>
    </font>
    <font>
      <sz val="11"/>
      <color indexed="10"/>
      <name val="Calibri"/>
      <family val="2"/>
    </font>
    <font>
      <sz val="11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54"/>
        <bgColor indexed="64"/>
      </patternFill>
    </fill>
    <fill>
      <patternFill patternType="lightUp">
        <fgColor indexed="48"/>
        <bgColor indexed="44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</fills>
  <borders count="9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31"/>
      </left>
      <right style="thin">
        <color indexed="31"/>
      </right>
      <top style="thin">
        <color indexed="31"/>
      </top>
      <bottom style="thin">
        <color indexed="31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/>
      <right/>
      <top style="thin">
        <color indexed="48"/>
      </top>
      <bottom style="thin">
        <color indexed="48"/>
      </bottom>
      <diagonal/>
    </border>
  </borders>
  <cellStyleXfs count="59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0" fillId="0" borderId="0"/>
    <xf numFmtId="0" fontId="21" fillId="0" borderId="0"/>
    <xf numFmtId="9" fontId="28" fillId="0" borderId="0"/>
    <xf numFmtId="37" fontId="28" fillId="0" borderId="0"/>
    <xf numFmtId="37" fontId="28" fillId="0" borderId="0"/>
    <xf numFmtId="37" fontId="28" fillId="0" borderId="0"/>
    <xf numFmtId="37" fontId="28" fillId="0" borderId="0"/>
    <xf numFmtId="37" fontId="28" fillId="0" borderId="0"/>
    <xf numFmtId="37" fontId="28" fillId="0" borderId="0"/>
    <xf numFmtId="37" fontId="28" fillId="0" borderId="0"/>
    <xf numFmtId="37" fontId="28" fillId="0" borderId="0"/>
    <xf numFmtId="43" fontId="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9" fillId="0" borderId="0" applyFont="0" applyFill="0" applyBorder="0" applyAlignment="0" applyProtection="0"/>
    <xf numFmtId="170" fontId="1" fillId="0" borderId="0" applyFill="0" applyBorder="0" applyProtection="0">
      <alignment horizontal="centerContinuous"/>
    </xf>
    <xf numFmtId="0" fontId="21" fillId="0" borderId="0" applyNumberFormat="0" applyFill="0" applyBorder="0" applyAlignment="0" applyProtection="0"/>
    <xf numFmtId="38" fontId="1" fillId="4" borderId="0" applyNumberFormat="0" applyBorder="0" applyAlignment="0" applyProtection="0"/>
    <xf numFmtId="10" fontId="1" fillId="5" borderId="5" applyNumberFormat="0" applyBorder="0" applyAlignment="0" applyProtection="0"/>
    <xf numFmtId="37" fontId="30" fillId="0" borderId="0"/>
    <xf numFmtId="171" fontId="31" fillId="0" borderId="0"/>
    <xf numFmtId="0" fontId="28" fillId="0" borderId="0"/>
    <xf numFmtId="10" fontId="1" fillId="0" borderId="0" applyFont="0" applyFill="0" applyBorder="0" applyAlignment="0" applyProtection="0"/>
    <xf numFmtId="10" fontId="21" fillId="0" borderId="0" applyFont="0" applyFill="0" applyBorder="0" applyAlignment="0" applyProtection="0"/>
    <xf numFmtId="10" fontId="21" fillId="0" borderId="0" applyFill="0" applyBorder="0" applyAlignment="0" applyProtection="0"/>
    <xf numFmtId="9" fontId="21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29" fillId="0" borderId="0" applyFont="0" applyFill="0" applyBorder="0" applyAlignment="0" applyProtection="0"/>
    <xf numFmtId="4" fontId="32" fillId="2" borderId="6" applyNumberFormat="0" applyProtection="0">
      <alignment vertical="center"/>
    </xf>
    <xf numFmtId="4" fontId="33" fillId="2" borderId="6" applyNumberFormat="0" applyProtection="0">
      <alignment horizontal="left" vertical="center" indent="1"/>
    </xf>
    <xf numFmtId="4" fontId="33" fillId="6" borderId="0" applyNumberFormat="0" applyProtection="0">
      <alignment horizontal="left" vertical="center" indent="1"/>
    </xf>
    <xf numFmtId="4" fontId="32" fillId="7" borderId="7" applyNumberFormat="0" applyProtection="0">
      <alignment horizontal="left" vertical="center" indent="1"/>
    </xf>
    <xf numFmtId="4" fontId="32" fillId="8" borderId="0" applyNumberFormat="0" applyProtection="0">
      <alignment horizontal="left" vertical="center" indent="1"/>
    </xf>
    <xf numFmtId="4" fontId="34" fillId="8" borderId="0" applyNumberFormat="0" applyProtection="0">
      <alignment horizontal="left" vertical="center" indent="1"/>
    </xf>
    <xf numFmtId="4" fontId="34" fillId="6" borderId="0" applyNumberFormat="0" applyProtection="0">
      <alignment horizontal="left" vertical="center" indent="1"/>
    </xf>
    <xf numFmtId="4" fontId="33" fillId="9" borderId="6" applyNumberFormat="0" applyProtection="0">
      <alignment horizontal="right" vertical="center"/>
    </xf>
    <xf numFmtId="4" fontId="32" fillId="8" borderId="6" applyNumberFormat="0" applyProtection="0">
      <alignment horizontal="left" vertical="center" indent="1"/>
    </xf>
    <xf numFmtId="4" fontId="35" fillId="3" borderId="8" applyNumberFormat="0" applyProtection="0">
      <alignment horizontal="left" vertical="center" indent="1"/>
    </xf>
    <xf numFmtId="40" fontId="36" fillId="0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1" fillId="0" borderId="0"/>
    <xf numFmtId="0" fontId="19" fillId="0" borderId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" fillId="0" borderId="0"/>
    <xf numFmtId="43" fontId="39" fillId="0" borderId="0" applyFont="0" applyFill="0" applyBorder="0" applyAlignment="0" applyProtection="0"/>
    <xf numFmtId="0" fontId="39" fillId="0" borderId="0"/>
  </cellStyleXfs>
  <cellXfs count="189">
    <xf numFmtId="0" fontId="0" fillId="0" borderId="0" xfId="0"/>
    <xf numFmtId="0" fontId="2" fillId="0" borderId="0" xfId="3" applyFont="1" applyFill="1" applyBorder="1" applyProtection="1"/>
    <xf numFmtId="0" fontId="3" fillId="0" borderId="0" xfId="3" applyFont="1" applyFill="1" applyBorder="1" applyProtection="1"/>
    <xf numFmtId="0" fontId="3" fillId="0" borderId="0" xfId="3" applyFont="1" applyBorder="1"/>
    <xf numFmtId="0" fontId="4" fillId="0" borderId="0" xfId="3" applyFont="1" applyFill="1" applyBorder="1"/>
    <xf numFmtId="0" fontId="3" fillId="0" borderId="0" xfId="3" applyFont="1" applyFill="1" applyBorder="1"/>
    <xf numFmtId="0" fontId="2" fillId="0" borderId="0" xfId="3" applyFont="1" applyFill="1" applyBorder="1" applyProtection="1">
      <protection locked="0"/>
    </xf>
    <xf numFmtId="0" fontId="3" fillId="0" borderId="0" xfId="3" applyFont="1" applyFill="1" applyBorder="1" applyProtection="1">
      <protection locked="0"/>
    </xf>
    <xf numFmtId="0" fontId="5" fillId="0" borderId="0" xfId="3" applyFont="1" applyFill="1" applyBorder="1"/>
    <xf numFmtId="49" fontId="6" fillId="0" borderId="0" xfId="3" applyNumberFormat="1" applyFont="1" applyFill="1" applyBorder="1"/>
    <xf numFmtId="0" fontId="7" fillId="0" borderId="0" xfId="3" applyFont="1" applyFill="1" applyBorder="1"/>
    <xf numFmtId="0" fontId="8" fillId="0" borderId="1" xfId="3" applyFont="1" applyFill="1" applyBorder="1" applyAlignment="1">
      <alignment horizontal="center" vertical="center"/>
    </xf>
    <xf numFmtId="0" fontId="8" fillId="0" borderId="1" xfId="3" applyFont="1" applyBorder="1" applyAlignment="1">
      <alignment horizontal="center" vertical="center"/>
    </xf>
    <xf numFmtId="0" fontId="9" fillId="0" borderId="0" xfId="3" applyFont="1" applyBorder="1"/>
    <xf numFmtId="0" fontId="8" fillId="0" borderId="1" xfId="3" applyFont="1" applyFill="1" applyBorder="1" applyAlignment="1">
      <alignment horizontal="left"/>
    </xf>
    <xf numFmtId="0" fontId="10" fillId="0" borderId="1" xfId="3" applyFont="1" applyFill="1" applyBorder="1" applyAlignment="1">
      <alignment horizontal="left"/>
    </xf>
    <xf numFmtId="0" fontId="11" fillId="0" borderId="1" xfId="3" applyFont="1" applyFill="1" applyBorder="1" applyAlignment="1">
      <alignment horizontal="center"/>
    </xf>
    <xf numFmtId="166" fontId="11" fillId="0" borderId="1" xfId="3" applyNumberFormat="1" applyFont="1" applyFill="1" applyBorder="1" applyAlignment="1">
      <alignment horizontal="right"/>
    </xf>
    <xf numFmtId="0" fontId="11" fillId="0" borderId="1" xfId="3" applyFont="1" applyFill="1" applyBorder="1" applyAlignment="1">
      <alignment horizontal="left"/>
    </xf>
    <xf numFmtId="0" fontId="12" fillId="0" borderId="1" xfId="3" applyFont="1" applyFill="1" applyBorder="1" applyAlignment="1">
      <alignment horizontal="left"/>
    </xf>
    <xf numFmtId="166" fontId="11" fillId="2" borderId="1" xfId="3" applyNumberFormat="1" applyFont="1" applyFill="1" applyBorder="1" applyAlignment="1" applyProtection="1">
      <alignment horizontal="right"/>
      <protection locked="0"/>
    </xf>
    <xf numFmtId="0" fontId="11" fillId="0" borderId="1" xfId="3" applyFont="1" applyBorder="1" applyAlignment="1" applyProtection="1">
      <alignment horizontal="right"/>
      <protection locked="0"/>
    </xf>
    <xf numFmtId="0" fontId="11" fillId="0" borderId="1" xfId="3" applyFont="1" applyBorder="1" applyProtection="1">
      <protection locked="0"/>
    </xf>
    <xf numFmtId="39" fontId="11" fillId="2" borderId="1" xfId="3" applyNumberFormat="1" applyFont="1" applyFill="1" applyBorder="1" applyAlignment="1" applyProtection="1">
      <alignment horizontal="right"/>
      <protection locked="0"/>
    </xf>
    <xf numFmtId="166" fontId="11" fillId="0" borderId="1" xfId="3" applyNumberFormat="1" applyFont="1" applyFill="1" applyBorder="1" applyAlignment="1" applyProtection="1">
      <alignment horizontal="right"/>
      <protection locked="0"/>
    </xf>
    <xf numFmtId="0" fontId="11" fillId="0" borderId="1" xfId="3" applyFont="1" applyFill="1" applyBorder="1" applyAlignment="1">
      <alignment horizontal="left" indent="1"/>
    </xf>
    <xf numFmtId="0" fontId="13" fillId="0" borderId="1" xfId="3" applyFont="1" applyFill="1" applyBorder="1" applyAlignment="1">
      <alignment horizontal="left" indent="1"/>
    </xf>
    <xf numFmtId="10" fontId="11" fillId="2" borderId="1" xfId="2" applyNumberFormat="1" applyFont="1" applyFill="1" applyBorder="1" applyAlignment="1" applyProtection="1">
      <alignment horizontal="right"/>
      <protection locked="0"/>
    </xf>
    <xf numFmtId="10" fontId="11" fillId="0" borderId="1" xfId="2" applyNumberFormat="1" applyFont="1" applyFill="1" applyBorder="1" applyAlignment="1" applyProtection="1">
      <alignment horizontal="right"/>
      <protection locked="0"/>
    </xf>
    <xf numFmtId="0" fontId="14" fillId="0" borderId="1" xfId="3" applyFont="1" applyFill="1" applyBorder="1" applyAlignment="1">
      <alignment horizontal="center"/>
    </xf>
    <xf numFmtId="10" fontId="11" fillId="2" borderId="1" xfId="3" applyNumberFormat="1" applyFont="1" applyFill="1" applyBorder="1" applyAlignment="1" applyProtection="1">
      <alignment horizontal="right"/>
      <protection locked="0"/>
    </xf>
    <xf numFmtId="0" fontId="15" fillId="0" borderId="0" xfId="3" applyFont="1" applyFill="1" applyBorder="1" applyAlignment="1"/>
    <xf numFmtId="0" fontId="3" fillId="0" borderId="0" xfId="3" applyFont="1" applyBorder="1" applyAlignment="1">
      <alignment horizontal="center"/>
    </xf>
    <xf numFmtId="0" fontId="16" fillId="0" borderId="0" xfId="3" applyFont="1" applyBorder="1"/>
    <xf numFmtId="0" fontId="8" fillId="0" borderId="2" xfId="3" applyFont="1" applyFill="1" applyBorder="1" applyAlignment="1">
      <alignment horizontal="left"/>
    </xf>
    <xf numFmtId="0" fontId="10" fillId="0" borderId="2" xfId="3" applyFont="1" applyFill="1" applyBorder="1" applyAlignment="1">
      <alignment horizontal="left"/>
    </xf>
    <xf numFmtId="0" fontId="11" fillId="0" borderId="2" xfId="3" applyFont="1" applyFill="1" applyBorder="1" applyAlignment="1">
      <alignment horizontal="center"/>
    </xf>
    <xf numFmtId="166" fontId="11" fillId="0" borderId="2" xfId="3" applyNumberFormat="1" applyFont="1" applyFill="1" applyBorder="1" applyAlignment="1">
      <alignment horizontal="right"/>
    </xf>
    <xf numFmtId="0" fontId="11" fillId="0" borderId="2" xfId="3" applyFont="1" applyFill="1" applyBorder="1" applyAlignment="1">
      <alignment horizontal="left"/>
    </xf>
    <xf numFmtId="0" fontId="12" fillId="0" borderId="2" xfId="3" applyFont="1" applyFill="1" applyBorder="1" applyAlignment="1">
      <alignment horizontal="left"/>
    </xf>
    <xf numFmtId="167" fontId="17" fillId="2" borderId="2" xfId="3" applyNumberFormat="1" applyFont="1" applyFill="1" applyBorder="1" applyAlignment="1" applyProtection="1">
      <alignment horizontal="center"/>
      <protection locked="0"/>
    </xf>
    <xf numFmtId="0" fontId="11" fillId="0" borderId="2" xfId="3" applyFont="1" applyBorder="1" applyAlignment="1" applyProtection="1">
      <alignment horizontal="right"/>
      <protection locked="0"/>
    </xf>
    <xf numFmtId="166" fontId="11" fillId="2" borderId="2" xfId="3" applyNumberFormat="1" applyFont="1" applyFill="1" applyBorder="1" applyAlignment="1" applyProtection="1">
      <alignment horizontal="right"/>
      <protection locked="0"/>
    </xf>
    <xf numFmtId="39" fontId="11" fillId="2" borderId="2" xfId="3" applyNumberFormat="1" applyFont="1" applyFill="1" applyBorder="1" applyAlignment="1" applyProtection="1">
      <alignment horizontal="right"/>
      <protection locked="0"/>
    </xf>
    <xf numFmtId="0" fontId="11" fillId="0" borderId="2" xfId="3" applyFont="1" applyBorder="1" applyProtection="1">
      <protection locked="0"/>
    </xf>
    <xf numFmtId="166" fontId="11" fillId="0" borderId="2" xfId="3" applyNumberFormat="1" applyFont="1" applyFill="1" applyBorder="1" applyAlignment="1" applyProtection="1">
      <alignment horizontal="right"/>
      <protection locked="0"/>
    </xf>
    <xf numFmtId="0" fontId="11" fillId="0" borderId="2" xfId="3" applyFont="1" applyFill="1" applyBorder="1" applyAlignment="1">
      <alignment horizontal="left" indent="1"/>
    </xf>
    <xf numFmtId="0" fontId="13" fillId="0" borderId="2" xfId="3" applyFont="1" applyFill="1" applyBorder="1" applyAlignment="1">
      <alignment horizontal="left" indent="1"/>
    </xf>
    <xf numFmtId="10" fontId="11" fillId="2" borderId="2" xfId="2" applyNumberFormat="1" applyFont="1" applyFill="1" applyBorder="1" applyAlignment="1" applyProtection="1">
      <alignment horizontal="right"/>
      <protection locked="0"/>
    </xf>
    <xf numFmtId="10" fontId="11" fillId="0" borderId="2" xfId="2" applyNumberFormat="1" applyFont="1" applyFill="1" applyBorder="1" applyAlignment="1" applyProtection="1">
      <alignment horizontal="right"/>
      <protection locked="0"/>
    </xf>
    <xf numFmtId="0" fontId="14" fillId="0" borderId="2" xfId="3" applyFont="1" applyFill="1" applyBorder="1" applyAlignment="1">
      <alignment horizontal="center"/>
    </xf>
    <xf numFmtId="10" fontId="11" fillId="2" borderId="2" xfId="3" applyNumberFormat="1" applyFont="1" applyFill="1" applyBorder="1" applyAlignment="1" applyProtection="1">
      <alignment horizontal="right"/>
      <protection locked="0"/>
    </xf>
    <xf numFmtId="167" fontId="17" fillId="2" borderId="1" xfId="3" applyNumberFormat="1" applyFont="1" applyFill="1" applyBorder="1" applyAlignment="1" applyProtection="1">
      <alignment horizontal="center"/>
      <protection locked="0"/>
    </xf>
    <xf numFmtId="0" fontId="11" fillId="0" borderId="1" xfId="3" applyFont="1" applyBorder="1" applyAlignment="1">
      <alignment horizontal="right"/>
    </xf>
    <xf numFmtId="0" fontId="11" fillId="0" borderId="1" xfId="3" applyFont="1" applyBorder="1"/>
    <xf numFmtId="0" fontId="11" fillId="0" borderId="0" xfId="3" applyFont="1" applyFill="1" applyBorder="1" applyAlignment="1">
      <alignment horizontal="left"/>
    </xf>
    <xf numFmtId="0" fontId="11" fillId="0" borderId="0" xfId="3" applyFont="1" applyFill="1" applyBorder="1" applyAlignment="1">
      <alignment horizontal="center"/>
    </xf>
    <xf numFmtId="10" fontId="11" fillId="0" borderId="0" xfId="3" applyNumberFormat="1" applyFont="1" applyFill="1" applyBorder="1" applyAlignment="1" applyProtection="1">
      <alignment horizontal="right"/>
      <protection locked="0"/>
    </xf>
    <xf numFmtId="0" fontId="11" fillId="0" borderId="0" xfId="3" applyFont="1" applyBorder="1"/>
    <xf numFmtId="49" fontId="6" fillId="0" borderId="0" xfId="3" applyNumberFormat="1" applyFont="1" applyBorder="1"/>
    <xf numFmtId="0" fontId="6" fillId="0" borderId="0" xfId="3" applyNumberFormat="1" applyFont="1" applyBorder="1"/>
    <xf numFmtId="0" fontId="8" fillId="0" borderId="1" xfId="3" applyFont="1" applyBorder="1"/>
    <xf numFmtId="0" fontId="18" fillId="0" borderId="1" xfId="3" applyFont="1" applyBorder="1"/>
    <xf numFmtId="0" fontId="18" fillId="0" borderId="1" xfId="3" applyFont="1" applyBorder="1" applyAlignment="1">
      <alignment horizontal="center"/>
    </xf>
    <xf numFmtId="0" fontId="17" fillId="0" borderId="1" xfId="3" applyFont="1" applyFill="1" applyBorder="1" applyAlignment="1">
      <alignment horizontal="left" indent="1"/>
    </xf>
    <xf numFmtId="0" fontId="17" fillId="0" borderId="1" xfId="3" applyFont="1" applyFill="1" applyBorder="1" applyAlignment="1">
      <alignment horizontal="center"/>
    </xf>
    <xf numFmtId="166" fontId="17" fillId="0" borderId="1" xfId="3" applyNumberFormat="1" applyFont="1" applyFill="1" applyBorder="1" applyAlignment="1" applyProtection="1">
      <alignment horizontal="right"/>
      <protection locked="0"/>
    </xf>
    <xf numFmtId="166" fontId="17" fillId="2" borderId="1" xfId="3" applyNumberFormat="1" applyFont="1" applyFill="1" applyBorder="1" applyAlignment="1" applyProtection="1">
      <alignment horizontal="right"/>
      <protection locked="0"/>
    </xf>
    <xf numFmtId="166" fontId="3" fillId="0" borderId="0" xfId="3" applyNumberFormat="1" applyFont="1" applyBorder="1"/>
    <xf numFmtId="43" fontId="11" fillId="2" borderId="1" xfId="1" applyFont="1" applyFill="1" applyBorder="1" applyAlignment="1" applyProtection="1">
      <alignment horizontal="right"/>
      <protection locked="0"/>
    </xf>
    <xf numFmtId="10" fontId="11" fillId="2" borderId="1" xfId="4" applyNumberFormat="1" applyFont="1" applyFill="1" applyBorder="1" applyAlignment="1" applyProtection="1">
      <alignment horizontal="right"/>
      <protection locked="0"/>
    </xf>
    <xf numFmtId="0" fontId="18" fillId="0" borderId="0" xfId="3" applyFont="1" applyBorder="1"/>
    <xf numFmtId="0" fontId="18" fillId="0" borderId="0" xfId="3" applyFont="1" applyBorder="1" applyAlignment="1">
      <alignment horizontal="center"/>
    </xf>
    <xf numFmtId="17" fontId="8" fillId="0" borderId="1" xfId="3" applyNumberFormat="1" applyFont="1" applyBorder="1" applyAlignment="1">
      <alignment horizontal="center" vertical="center"/>
    </xf>
    <xf numFmtId="0" fontId="16" fillId="0" borderId="1" xfId="3" applyFont="1" applyBorder="1"/>
    <xf numFmtId="0" fontId="16" fillId="0" borderId="1" xfId="3" applyFont="1" applyBorder="1" applyAlignment="1">
      <alignment horizontal="center"/>
    </xf>
    <xf numFmtId="0" fontId="2" fillId="0" borderId="0" xfId="3" applyFont="1"/>
    <xf numFmtId="0" fontId="3" fillId="0" borderId="0" xfId="3" applyFont="1"/>
    <xf numFmtId="0" fontId="4" fillId="0" borderId="0" xfId="3" applyFont="1"/>
    <xf numFmtId="0" fontId="2" fillId="0" borderId="0" xfId="3" applyFont="1" applyProtection="1">
      <protection locked="0"/>
    </xf>
    <xf numFmtId="0" fontId="3" fillId="0" borderId="0" xfId="3" applyFont="1" applyProtection="1">
      <protection locked="0"/>
    </xf>
    <xf numFmtId="0" fontId="5" fillId="0" borderId="0" xfId="3" applyFont="1"/>
    <xf numFmtId="49" fontId="6" fillId="0" borderId="0" xfId="3" applyNumberFormat="1" applyFont="1"/>
    <xf numFmtId="0" fontId="7" fillId="0" borderId="0" xfId="3" applyFont="1"/>
    <xf numFmtId="0" fontId="9" fillId="0" borderId="0" xfId="3" applyFont="1"/>
    <xf numFmtId="0" fontId="8" fillId="0" borderId="1" xfId="3" applyFont="1" applyBorder="1" applyAlignment="1">
      <alignment horizontal="left"/>
    </xf>
    <xf numFmtId="0" fontId="10" fillId="0" borderId="1" xfId="3" applyFont="1" applyBorder="1" applyAlignment="1">
      <alignment horizontal="left"/>
    </xf>
    <xf numFmtId="0" fontId="11" fillId="0" borderId="1" xfId="3" applyFont="1" applyBorder="1" applyAlignment="1">
      <alignment horizontal="center"/>
    </xf>
    <xf numFmtId="166" fontId="11" fillId="0" borderId="1" xfId="3" applyNumberFormat="1" applyFont="1" applyBorder="1" applyAlignment="1">
      <alignment horizontal="right"/>
    </xf>
    <xf numFmtId="0" fontId="11" fillId="0" borderId="1" xfId="3" applyFont="1" applyBorder="1" applyAlignment="1">
      <alignment horizontal="left"/>
    </xf>
    <xf numFmtId="0" fontId="12" fillId="0" borderId="1" xfId="3" applyFont="1" applyBorder="1" applyAlignment="1">
      <alignment horizontal="left"/>
    </xf>
    <xf numFmtId="168" fontId="11" fillId="2" borderId="1" xfId="1" applyNumberFormat="1" applyFont="1" applyFill="1" applyBorder="1" applyAlignment="1" applyProtection="1">
      <alignment horizontal="right"/>
      <protection locked="0"/>
    </xf>
    <xf numFmtId="168" fontId="11" fillId="0" borderId="1" xfId="1" applyNumberFormat="1" applyFont="1" applyBorder="1" applyAlignment="1" applyProtection="1">
      <alignment horizontal="right"/>
      <protection locked="0"/>
    </xf>
    <xf numFmtId="168" fontId="11" fillId="0" borderId="1" xfId="1" applyNumberFormat="1" applyFont="1" applyBorder="1" applyProtection="1">
      <protection locked="0"/>
    </xf>
    <xf numFmtId="168" fontId="11" fillId="0" borderId="1" xfId="1" applyNumberFormat="1" applyFont="1" applyFill="1" applyBorder="1" applyAlignment="1" applyProtection="1">
      <alignment horizontal="right"/>
      <protection locked="0"/>
    </xf>
    <xf numFmtId="0" fontId="11" fillId="0" borderId="1" xfId="3" applyFont="1" applyBorder="1" applyAlignment="1">
      <alignment horizontal="left" indent="1"/>
    </xf>
    <xf numFmtId="0" fontId="13" fillId="0" borderId="1" xfId="3" applyFont="1" applyBorder="1" applyAlignment="1">
      <alignment horizontal="left" indent="1"/>
    </xf>
    <xf numFmtId="0" fontId="14" fillId="0" borderId="1" xfId="3" applyFont="1" applyBorder="1" applyAlignment="1">
      <alignment horizontal="center"/>
    </xf>
    <xf numFmtId="0" fontId="15" fillId="0" borderId="0" xfId="3" applyFont="1"/>
    <xf numFmtId="0" fontId="3" fillId="0" borderId="0" xfId="3" applyFont="1" applyAlignment="1">
      <alignment horizontal="center"/>
    </xf>
    <xf numFmtId="0" fontId="16" fillId="0" borderId="0" xfId="3" applyFont="1"/>
    <xf numFmtId="49" fontId="6" fillId="0" borderId="0" xfId="3" applyNumberFormat="1" applyFont="1" applyAlignment="1">
      <alignment horizontal="left"/>
    </xf>
    <xf numFmtId="0" fontId="8" fillId="0" borderId="2" xfId="3" applyFont="1" applyBorder="1" applyAlignment="1">
      <alignment horizontal="left"/>
    </xf>
    <xf numFmtId="0" fontId="10" fillId="0" borderId="2" xfId="3" applyFont="1" applyBorder="1" applyAlignment="1">
      <alignment horizontal="left"/>
    </xf>
    <xf numFmtId="0" fontId="11" fillId="0" borderId="2" xfId="3" applyFont="1" applyBorder="1" applyAlignment="1">
      <alignment horizontal="center"/>
    </xf>
    <xf numFmtId="166" fontId="11" fillId="0" borderId="2" xfId="3" applyNumberFormat="1" applyFont="1" applyBorder="1" applyAlignment="1">
      <alignment horizontal="right"/>
    </xf>
    <xf numFmtId="166" fontId="11" fillId="0" borderId="1" xfId="3" applyNumberFormat="1" applyFont="1" applyBorder="1" applyAlignment="1" applyProtection="1">
      <alignment horizontal="right"/>
      <protection locked="0"/>
    </xf>
    <xf numFmtId="0" fontId="11" fillId="0" borderId="2" xfId="3" applyFont="1" applyBorder="1" applyAlignment="1">
      <alignment horizontal="left"/>
    </xf>
    <xf numFmtId="0" fontId="12" fillId="0" borderId="2" xfId="3" applyFont="1" applyBorder="1" applyAlignment="1">
      <alignment horizontal="left"/>
    </xf>
    <xf numFmtId="168" fontId="11" fillId="2" borderId="2" xfId="1" applyNumberFormat="1" applyFont="1" applyFill="1" applyBorder="1" applyAlignment="1" applyProtection="1">
      <alignment horizontal="right"/>
      <protection locked="0"/>
    </xf>
    <xf numFmtId="43" fontId="11" fillId="2" borderId="2" xfId="1" applyFont="1" applyFill="1" applyBorder="1" applyAlignment="1" applyProtection="1">
      <alignment horizontal="right"/>
      <protection locked="0"/>
    </xf>
    <xf numFmtId="166" fontId="11" fillId="0" borderId="2" xfId="3" applyNumberFormat="1" applyFont="1" applyBorder="1" applyAlignment="1" applyProtection="1">
      <alignment horizontal="right"/>
      <protection locked="0"/>
    </xf>
    <xf numFmtId="43" fontId="11" fillId="2" borderId="1" xfId="5" applyFont="1" applyFill="1" applyBorder="1" applyAlignment="1" applyProtection="1">
      <alignment horizontal="right"/>
      <protection locked="0"/>
    </xf>
    <xf numFmtId="0" fontId="11" fillId="0" borderId="2" xfId="3" applyFont="1" applyBorder="1" applyAlignment="1">
      <alignment horizontal="left" indent="1"/>
    </xf>
    <xf numFmtId="0" fontId="13" fillId="0" borderId="2" xfId="3" applyFont="1" applyBorder="1" applyAlignment="1">
      <alignment horizontal="left" indent="1"/>
    </xf>
    <xf numFmtId="0" fontId="14" fillId="0" borderId="2" xfId="3" applyFont="1" applyBorder="1" applyAlignment="1">
      <alignment horizontal="center"/>
    </xf>
    <xf numFmtId="0" fontId="11" fillId="0" borderId="0" xfId="3" applyFont="1" applyAlignment="1">
      <alignment horizontal="left"/>
    </xf>
    <xf numFmtId="0" fontId="11" fillId="0" borderId="0" xfId="3" applyFont="1" applyAlignment="1">
      <alignment horizontal="center"/>
    </xf>
    <xf numFmtId="10" fontId="11" fillId="0" borderId="0" xfId="3" applyNumberFormat="1" applyFont="1" applyAlignment="1" applyProtection="1">
      <alignment horizontal="right"/>
      <protection locked="0"/>
    </xf>
    <xf numFmtId="0" fontId="11" fillId="0" borderId="0" xfId="3" applyFont="1"/>
    <xf numFmtId="0" fontId="6" fillId="0" borderId="0" xfId="3" applyFont="1"/>
    <xf numFmtId="0" fontId="18" fillId="0" borderId="0" xfId="3" applyFont="1"/>
    <xf numFmtId="0" fontId="18" fillId="0" borderId="0" xfId="3" applyFont="1" applyAlignment="1">
      <alignment horizontal="center"/>
    </xf>
    <xf numFmtId="49" fontId="6" fillId="0" borderId="0" xfId="3" applyNumberFormat="1" applyFont="1" applyFill="1" applyBorder="1" applyAlignment="1">
      <alignment horizontal="left"/>
    </xf>
    <xf numFmtId="0" fontId="2" fillId="0" borderId="0" xfId="6" applyFont="1" applyFill="1" applyBorder="1"/>
    <xf numFmtId="0" fontId="22" fillId="0" borderId="1" xfId="6" applyFont="1" applyBorder="1"/>
    <xf numFmtId="0" fontId="22" fillId="0" borderId="0" xfId="6" applyFont="1"/>
    <xf numFmtId="0" fontId="23" fillId="4" borderId="1" xfId="6" applyFont="1" applyFill="1" applyBorder="1" applyAlignment="1">
      <alignment horizontal="center"/>
    </xf>
    <xf numFmtId="0" fontId="23" fillId="0" borderId="0" xfId="6" applyFont="1" applyFill="1" applyBorder="1"/>
    <xf numFmtId="0" fontId="23" fillId="0" borderId="1" xfId="6" applyFont="1" applyFill="1" applyBorder="1" applyAlignment="1">
      <alignment horizontal="left" vertical="center"/>
    </xf>
    <xf numFmtId="0" fontId="24" fillId="0" borderId="1" xfId="7" applyFont="1" applyFill="1" applyBorder="1" applyAlignment="1">
      <alignment horizontal="center" vertical="center"/>
    </xf>
    <xf numFmtId="0" fontId="23" fillId="0" borderId="1" xfId="6" applyFont="1" applyFill="1" applyBorder="1" applyAlignment="1">
      <alignment horizontal="center"/>
    </xf>
    <xf numFmtId="49" fontId="24" fillId="0" borderId="1" xfId="6" applyNumberFormat="1" applyFont="1" applyBorder="1"/>
    <xf numFmtId="168" fontId="24" fillId="0" borderId="1" xfId="1" applyNumberFormat="1" applyFont="1" applyBorder="1"/>
    <xf numFmtId="168" fontId="23" fillId="0" borderId="1" xfId="1" applyNumberFormat="1" applyFont="1" applyFill="1" applyBorder="1" applyAlignment="1">
      <alignment horizontal="center"/>
    </xf>
    <xf numFmtId="0" fontId="24" fillId="0" borderId="1" xfId="7" applyFont="1" applyFill="1" applyBorder="1" applyAlignment="1">
      <alignment horizontal="left" vertical="center"/>
    </xf>
    <xf numFmtId="49" fontId="25" fillId="0" borderId="1" xfId="6" applyNumberFormat="1" applyFont="1" applyBorder="1"/>
    <xf numFmtId="0" fontId="25" fillId="0" borderId="1" xfId="7" applyFont="1" applyFill="1" applyBorder="1" applyAlignment="1">
      <alignment horizontal="left" vertical="center"/>
    </xf>
    <xf numFmtId="169" fontId="25" fillId="0" borderId="1" xfId="6" applyNumberFormat="1" applyFont="1" applyBorder="1"/>
    <xf numFmtId="0" fontId="26" fillId="0" borderId="0" xfId="6" applyFont="1" applyFill="1" applyBorder="1"/>
    <xf numFmtId="169" fontId="24" fillId="0" borderId="1" xfId="6" applyNumberFormat="1" applyFont="1" applyBorder="1"/>
    <xf numFmtId="0" fontId="27" fillId="0" borderId="1" xfId="6" applyFont="1" applyBorder="1"/>
    <xf numFmtId="0" fontId="27" fillId="0" borderId="0" xfId="6" applyFont="1"/>
    <xf numFmtId="43" fontId="24" fillId="0" borderId="1" xfId="1" applyFont="1" applyBorder="1"/>
    <xf numFmtId="43" fontId="27" fillId="0" borderId="1" xfId="6" applyNumberFormat="1" applyFont="1" applyBorder="1"/>
    <xf numFmtId="0" fontId="23" fillId="0" borderId="1" xfId="6" applyFont="1" applyBorder="1"/>
    <xf numFmtId="49" fontId="23" fillId="0" borderId="1" xfId="6" applyNumberFormat="1" applyFont="1" applyBorder="1"/>
    <xf numFmtId="0" fontId="23" fillId="0" borderId="0" xfId="6" applyFont="1" applyAlignment="1">
      <alignment horizontal="left"/>
    </xf>
    <xf numFmtId="0" fontId="24" fillId="0" borderId="0" xfId="6" applyFont="1"/>
    <xf numFmtId="0" fontId="23" fillId="0" borderId="3" xfId="6" applyFont="1" applyBorder="1" applyAlignment="1">
      <alignment horizontal="center"/>
    </xf>
    <xf numFmtId="0" fontId="24" fillId="0" borderId="3" xfId="6" applyFont="1" applyBorder="1"/>
    <xf numFmtId="0" fontId="23" fillId="0" borderId="3" xfId="6" applyFont="1" applyFill="1" applyBorder="1"/>
    <xf numFmtId="0" fontId="27" fillId="0" borderId="3" xfId="6" applyFont="1" applyBorder="1"/>
    <xf numFmtId="0" fontId="9" fillId="0" borderId="0" xfId="3" applyFont="1" applyFill="1" applyBorder="1"/>
    <xf numFmtId="0" fontId="11" fillId="2" borderId="1" xfId="3" applyFont="1" applyFill="1" applyBorder="1" applyAlignment="1">
      <alignment horizontal="left" indent="1"/>
    </xf>
    <xf numFmtId="0" fontId="11" fillId="2" borderId="1" xfId="3" applyFont="1" applyFill="1" applyBorder="1" applyAlignment="1">
      <alignment horizontal="left"/>
    </xf>
    <xf numFmtId="0" fontId="38" fillId="2" borderId="1" xfId="3" applyFont="1" applyFill="1" applyBorder="1" applyAlignment="1">
      <alignment horizontal="left"/>
    </xf>
    <xf numFmtId="0" fontId="11" fillId="2" borderId="2" xfId="3" applyFont="1" applyFill="1" applyBorder="1" applyAlignment="1">
      <alignment horizontal="left" indent="1"/>
    </xf>
    <xf numFmtId="0" fontId="11" fillId="2" borderId="2" xfId="3" applyFont="1" applyFill="1" applyBorder="1" applyAlignment="1">
      <alignment horizontal="left"/>
    </xf>
    <xf numFmtId="0" fontId="38" fillId="2" borderId="2" xfId="3" applyFont="1" applyFill="1" applyBorder="1" applyAlignment="1">
      <alignment horizontal="left"/>
    </xf>
    <xf numFmtId="0" fontId="7" fillId="2" borderId="0" xfId="3" applyFont="1" applyFill="1" applyBorder="1"/>
    <xf numFmtId="0" fontId="8" fillId="0" borderId="0" xfId="3" applyFont="1" applyFill="1" applyBorder="1" applyAlignment="1">
      <alignment horizontal="center" vertical="center"/>
    </xf>
    <xf numFmtId="0" fontId="8" fillId="0" borderId="0" xfId="3" applyFont="1" applyFill="1" applyBorder="1" applyAlignment="1">
      <alignment horizontal="left"/>
    </xf>
    <xf numFmtId="0" fontId="10" fillId="0" borderId="0" xfId="3" applyFont="1" applyFill="1" applyBorder="1" applyAlignment="1">
      <alignment horizontal="left"/>
    </xf>
    <xf numFmtId="166" fontId="11" fillId="0" borderId="0" xfId="3" applyNumberFormat="1" applyFont="1" applyFill="1" applyBorder="1" applyAlignment="1">
      <alignment horizontal="right"/>
    </xf>
    <xf numFmtId="0" fontId="12" fillId="0" borderId="0" xfId="3" applyFont="1" applyFill="1" applyBorder="1" applyAlignment="1">
      <alignment horizontal="left"/>
    </xf>
    <xf numFmtId="167" fontId="11" fillId="2" borderId="0" xfId="3" applyNumberFormat="1" applyFont="1" applyFill="1" applyBorder="1" applyAlignment="1" applyProtection="1">
      <alignment horizontal="right"/>
      <protection locked="0"/>
    </xf>
    <xf numFmtId="166" fontId="11" fillId="2" borderId="0" xfId="3" applyNumberFormat="1" applyFont="1" applyFill="1" applyBorder="1" applyAlignment="1" applyProtection="1">
      <alignment horizontal="right"/>
      <protection locked="0"/>
    </xf>
    <xf numFmtId="0" fontId="11" fillId="0" borderId="0" xfId="3" applyFont="1" applyBorder="1" applyAlignment="1" applyProtection="1">
      <alignment horizontal="right"/>
      <protection locked="0"/>
    </xf>
    <xf numFmtId="39" fontId="11" fillId="2" borderId="0" xfId="3" applyNumberFormat="1" applyFont="1" applyFill="1" applyBorder="1" applyAlignment="1" applyProtection="1">
      <alignment horizontal="right"/>
      <protection locked="0"/>
    </xf>
    <xf numFmtId="0" fontId="11" fillId="0" borderId="0" xfId="3" applyFont="1" applyBorder="1" applyProtection="1">
      <protection locked="0"/>
    </xf>
    <xf numFmtId="166" fontId="11" fillId="0" borderId="0" xfId="3" applyNumberFormat="1" applyFont="1" applyFill="1" applyBorder="1" applyAlignment="1" applyProtection="1">
      <alignment horizontal="right"/>
      <protection locked="0"/>
    </xf>
    <xf numFmtId="0" fontId="11" fillId="0" borderId="0" xfId="3" applyFont="1" applyFill="1" applyBorder="1" applyAlignment="1">
      <alignment horizontal="left" indent="1"/>
    </xf>
    <xf numFmtId="0" fontId="13" fillId="0" borderId="0" xfId="3" applyFont="1" applyFill="1" applyBorder="1" applyAlignment="1">
      <alignment horizontal="left" indent="1"/>
    </xf>
    <xf numFmtId="0" fontId="11" fillId="2" borderId="0" xfId="3" applyFont="1" applyFill="1" applyBorder="1" applyAlignment="1">
      <alignment horizontal="left" indent="1"/>
    </xf>
    <xf numFmtId="0" fontId="11" fillId="2" borderId="0" xfId="3" applyFont="1" applyFill="1" applyBorder="1" applyAlignment="1">
      <alignment horizontal="left"/>
    </xf>
    <xf numFmtId="0" fontId="38" fillId="2" borderId="0" xfId="3" applyFont="1" applyFill="1" applyBorder="1" applyAlignment="1">
      <alignment horizontal="left"/>
    </xf>
    <xf numFmtId="10" fontId="11" fillId="2" borderId="0" xfId="2" applyNumberFormat="1" applyFont="1" applyFill="1" applyBorder="1" applyAlignment="1" applyProtection="1">
      <alignment horizontal="right"/>
      <protection locked="0"/>
    </xf>
    <xf numFmtId="10" fontId="11" fillId="0" borderId="0" xfId="2" applyNumberFormat="1" applyFont="1" applyFill="1" applyBorder="1" applyAlignment="1" applyProtection="1">
      <alignment horizontal="right"/>
      <protection locked="0"/>
    </xf>
    <xf numFmtId="0" fontId="14" fillId="0" borderId="0" xfId="3" applyFont="1" applyFill="1" applyBorder="1" applyAlignment="1">
      <alignment horizontal="center"/>
    </xf>
    <xf numFmtId="10" fontId="11" fillId="2" borderId="0" xfId="3" applyNumberFormat="1" applyFont="1" applyFill="1" applyBorder="1" applyAlignment="1" applyProtection="1">
      <alignment horizontal="right"/>
      <protection locked="0"/>
    </xf>
    <xf numFmtId="0" fontId="3" fillId="0" borderId="1" xfId="3" applyFont="1" applyBorder="1"/>
    <xf numFmtId="167" fontId="11" fillId="2" borderId="1" xfId="3" applyNumberFormat="1" applyFont="1" applyFill="1" applyBorder="1" applyAlignment="1" applyProtection="1">
      <alignment horizontal="center"/>
      <protection locked="0"/>
    </xf>
    <xf numFmtId="0" fontId="23" fillId="4" borderId="1" xfId="6" applyFont="1" applyFill="1" applyBorder="1" applyAlignment="1">
      <alignment horizontal="left" vertical="center"/>
    </xf>
    <xf numFmtId="0" fontId="24" fillId="0" borderId="1" xfId="7" applyFont="1" applyFill="1" applyBorder="1" applyAlignment="1">
      <alignment horizontal="center" vertical="center"/>
    </xf>
    <xf numFmtId="0" fontId="4" fillId="3" borderId="0" xfId="6" applyFont="1" applyFill="1" applyBorder="1" applyAlignment="1" applyProtection="1">
      <alignment horizontal="center"/>
      <protection locked="0"/>
    </xf>
    <xf numFmtId="0" fontId="4" fillId="3" borderId="0" xfId="6" applyFont="1" applyFill="1" applyBorder="1" applyAlignment="1">
      <alignment horizontal="center"/>
    </xf>
    <xf numFmtId="0" fontId="4" fillId="3" borderId="0" xfId="7" applyFont="1" applyFill="1" applyBorder="1" applyAlignment="1" applyProtection="1">
      <alignment horizontal="center"/>
      <protection locked="0"/>
    </xf>
    <xf numFmtId="0" fontId="23" fillId="0" borderId="4" xfId="6" applyFont="1" applyBorder="1" applyAlignment="1">
      <alignment horizontal="center"/>
    </xf>
  </cellXfs>
  <cellStyles count="59">
    <cellStyle name="60" xfId="8"/>
    <cellStyle name="Comma" xfId="1" builtinId="3"/>
    <cellStyle name="Comma  - Style1" xfId="9"/>
    <cellStyle name="Comma  - Style2" xfId="10"/>
    <cellStyle name="Comma  - Style3" xfId="11"/>
    <cellStyle name="Comma  - Style4" xfId="12"/>
    <cellStyle name="Comma  - Style5" xfId="13"/>
    <cellStyle name="Comma  - Style6" xfId="14"/>
    <cellStyle name="Comma  - Style7" xfId="15"/>
    <cellStyle name="Comma  - Style8" xfId="16"/>
    <cellStyle name="Comma 10" xfId="17"/>
    <cellStyle name="Comma 11 3" xfId="5"/>
    <cellStyle name="Comma 2" xfId="18"/>
    <cellStyle name="Comma 2 2" xfId="19"/>
    <cellStyle name="Comma 3" xfId="20"/>
    <cellStyle name="Comma 4" xfId="49"/>
    <cellStyle name="Comma 5" xfId="50"/>
    <cellStyle name="Comma 6" xfId="53"/>
    <cellStyle name="Comma 7" xfId="54"/>
    <cellStyle name="Comma 8" xfId="57"/>
    <cellStyle name="DATE" xfId="21"/>
    <cellStyle name="E&amp;Y House" xfId="22"/>
    <cellStyle name="Grey" xfId="23"/>
    <cellStyle name="Input [yellow]" xfId="24"/>
    <cellStyle name="no dec" xfId="25"/>
    <cellStyle name="Normal" xfId="0" builtinId="0"/>
    <cellStyle name="Normal - Style1" xfId="26"/>
    <cellStyle name="Normal 2" xfId="3"/>
    <cellStyle name="Normal 2 2" xfId="7"/>
    <cellStyle name="Normal 2 3" xfId="55"/>
    <cellStyle name="Normal 3" xfId="6"/>
    <cellStyle name="Normal 3 2" xfId="27"/>
    <cellStyle name="Normal 4" xfId="51"/>
    <cellStyle name="Normal 5" xfId="52"/>
    <cellStyle name="Normal 6" xfId="56"/>
    <cellStyle name="Normal 7" xfId="58"/>
    <cellStyle name="Percent" xfId="2" builtinId="5"/>
    <cellStyle name="Percent [2]" xfId="28"/>
    <cellStyle name="Percent [2] 2" xfId="29"/>
    <cellStyle name="Percent [2]_AGRA 10-11" xfId="30"/>
    <cellStyle name="Percent 2" xfId="4"/>
    <cellStyle name="Percent 2 2" xfId="31"/>
    <cellStyle name="Percent 3" xfId="32"/>
    <cellStyle name="Percent 4" xfId="33"/>
    <cellStyle name="SAPBEXaggData" xfId="34"/>
    <cellStyle name="SAPBEXaggItem" xfId="35"/>
    <cellStyle name="SAPBEXchaText" xfId="36"/>
    <cellStyle name="SAPBEXfilterDrill" xfId="37"/>
    <cellStyle name="SAPBEXfilterItem" xfId="38"/>
    <cellStyle name="SAPBEXheaderItem" xfId="39"/>
    <cellStyle name="SAPBEXheaderText" xfId="40"/>
    <cellStyle name="SAPBEXstdData" xfId="41"/>
    <cellStyle name="SAPBEXstdItem" xfId="42"/>
    <cellStyle name="SAPBEXtitle" xfId="43"/>
    <cellStyle name="Times New Roman" xfId="44"/>
    <cellStyle name="Tusental (0)_pldt" xfId="45"/>
    <cellStyle name="Tusental_pldt" xfId="46"/>
    <cellStyle name="Valuta (0)_pldt" xfId="47"/>
    <cellStyle name="Valuta_pldt" xfId="4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3.xml"/><Relationship Id="rId18" Type="http://schemas.openxmlformats.org/officeDocument/2006/relationships/externalLink" Target="externalLinks/externalLink8.xml"/><Relationship Id="rId26" Type="http://schemas.openxmlformats.org/officeDocument/2006/relationships/externalLink" Target="externalLinks/externalLink16.xml"/><Relationship Id="rId39" Type="http://schemas.openxmlformats.org/officeDocument/2006/relationships/externalLink" Target="externalLinks/externalLink29.xml"/><Relationship Id="rId21" Type="http://schemas.openxmlformats.org/officeDocument/2006/relationships/externalLink" Target="externalLinks/externalLink11.xml"/><Relationship Id="rId34" Type="http://schemas.openxmlformats.org/officeDocument/2006/relationships/externalLink" Target="externalLinks/externalLink24.xml"/><Relationship Id="rId42" Type="http://schemas.openxmlformats.org/officeDocument/2006/relationships/externalLink" Target="externalLinks/externalLink32.xml"/><Relationship Id="rId47" Type="http://schemas.openxmlformats.org/officeDocument/2006/relationships/externalLink" Target="externalLinks/externalLink37.xml"/><Relationship Id="rId50" Type="http://schemas.openxmlformats.org/officeDocument/2006/relationships/externalLink" Target="externalLinks/externalLink40.xml"/><Relationship Id="rId55" Type="http://schemas.openxmlformats.org/officeDocument/2006/relationships/externalLink" Target="externalLinks/externalLink45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6.xml"/><Relationship Id="rId29" Type="http://schemas.openxmlformats.org/officeDocument/2006/relationships/externalLink" Target="externalLinks/externalLink19.xml"/><Relationship Id="rId11" Type="http://schemas.openxmlformats.org/officeDocument/2006/relationships/externalLink" Target="externalLinks/externalLink1.xml"/><Relationship Id="rId24" Type="http://schemas.openxmlformats.org/officeDocument/2006/relationships/externalLink" Target="externalLinks/externalLink14.xml"/><Relationship Id="rId32" Type="http://schemas.openxmlformats.org/officeDocument/2006/relationships/externalLink" Target="externalLinks/externalLink22.xml"/><Relationship Id="rId37" Type="http://schemas.openxmlformats.org/officeDocument/2006/relationships/externalLink" Target="externalLinks/externalLink27.xml"/><Relationship Id="rId40" Type="http://schemas.openxmlformats.org/officeDocument/2006/relationships/externalLink" Target="externalLinks/externalLink30.xml"/><Relationship Id="rId45" Type="http://schemas.openxmlformats.org/officeDocument/2006/relationships/externalLink" Target="externalLinks/externalLink35.xml"/><Relationship Id="rId53" Type="http://schemas.openxmlformats.org/officeDocument/2006/relationships/externalLink" Target="externalLinks/externalLink43.xml"/><Relationship Id="rId58" Type="http://schemas.openxmlformats.org/officeDocument/2006/relationships/externalLink" Target="externalLinks/externalLink48.xml"/><Relationship Id="rId5" Type="http://schemas.openxmlformats.org/officeDocument/2006/relationships/worksheet" Target="worksheets/sheet5.xml"/><Relationship Id="rId61" Type="http://schemas.openxmlformats.org/officeDocument/2006/relationships/sharedStrings" Target="sharedStrings.xml"/><Relationship Id="rId19" Type="http://schemas.openxmlformats.org/officeDocument/2006/relationships/externalLink" Target="externalLinks/externalLink9.xml"/><Relationship Id="rId14" Type="http://schemas.openxmlformats.org/officeDocument/2006/relationships/externalLink" Target="externalLinks/externalLink4.xml"/><Relationship Id="rId22" Type="http://schemas.openxmlformats.org/officeDocument/2006/relationships/externalLink" Target="externalLinks/externalLink12.xml"/><Relationship Id="rId27" Type="http://schemas.openxmlformats.org/officeDocument/2006/relationships/externalLink" Target="externalLinks/externalLink17.xml"/><Relationship Id="rId30" Type="http://schemas.openxmlformats.org/officeDocument/2006/relationships/externalLink" Target="externalLinks/externalLink20.xml"/><Relationship Id="rId35" Type="http://schemas.openxmlformats.org/officeDocument/2006/relationships/externalLink" Target="externalLinks/externalLink25.xml"/><Relationship Id="rId43" Type="http://schemas.openxmlformats.org/officeDocument/2006/relationships/externalLink" Target="externalLinks/externalLink33.xml"/><Relationship Id="rId48" Type="http://schemas.openxmlformats.org/officeDocument/2006/relationships/externalLink" Target="externalLinks/externalLink38.xml"/><Relationship Id="rId56" Type="http://schemas.openxmlformats.org/officeDocument/2006/relationships/externalLink" Target="externalLinks/externalLink46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41.xml"/><Relationship Id="rId3" Type="http://schemas.openxmlformats.org/officeDocument/2006/relationships/worksheet" Target="worksheets/sheet3.xml"/><Relationship Id="rId12" Type="http://schemas.openxmlformats.org/officeDocument/2006/relationships/externalLink" Target="externalLinks/externalLink2.xml"/><Relationship Id="rId17" Type="http://schemas.openxmlformats.org/officeDocument/2006/relationships/externalLink" Target="externalLinks/externalLink7.xml"/><Relationship Id="rId25" Type="http://schemas.openxmlformats.org/officeDocument/2006/relationships/externalLink" Target="externalLinks/externalLink15.xml"/><Relationship Id="rId33" Type="http://schemas.openxmlformats.org/officeDocument/2006/relationships/externalLink" Target="externalLinks/externalLink23.xml"/><Relationship Id="rId38" Type="http://schemas.openxmlformats.org/officeDocument/2006/relationships/externalLink" Target="externalLinks/externalLink28.xml"/><Relationship Id="rId46" Type="http://schemas.openxmlformats.org/officeDocument/2006/relationships/externalLink" Target="externalLinks/externalLink36.xml"/><Relationship Id="rId59" Type="http://schemas.openxmlformats.org/officeDocument/2006/relationships/theme" Target="theme/theme1.xml"/><Relationship Id="rId20" Type="http://schemas.openxmlformats.org/officeDocument/2006/relationships/externalLink" Target="externalLinks/externalLink10.xml"/><Relationship Id="rId41" Type="http://schemas.openxmlformats.org/officeDocument/2006/relationships/externalLink" Target="externalLinks/externalLink31.xml"/><Relationship Id="rId54" Type="http://schemas.openxmlformats.org/officeDocument/2006/relationships/externalLink" Target="externalLinks/externalLink44.xml"/><Relationship Id="rId62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externalLink" Target="externalLinks/externalLink5.xml"/><Relationship Id="rId23" Type="http://schemas.openxmlformats.org/officeDocument/2006/relationships/externalLink" Target="externalLinks/externalLink13.xml"/><Relationship Id="rId28" Type="http://schemas.openxmlformats.org/officeDocument/2006/relationships/externalLink" Target="externalLinks/externalLink18.xml"/><Relationship Id="rId36" Type="http://schemas.openxmlformats.org/officeDocument/2006/relationships/externalLink" Target="externalLinks/externalLink26.xml"/><Relationship Id="rId49" Type="http://schemas.openxmlformats.org/officeDocument/2006/relationships/externalLink" Target="externalLinks/externalLink39.xml"/><Relationship Id="rId57" Type="http://schemas.openxmlformats.org/officeDocument/2006/relationships/externalLink" Target="externalLinks/externalLink47.xml"/><Relationship Id="rId10" Type="http://schemas.openxmlformats.org/officeDocument/2006/relationships/worksheet" Target="worksheets/sheet10.xml"/><Relationship Id="rId31" Type="http://schemas.openxmlformats.org/officeDocument/2006/relationships/externalLink" Target="externalLinks/externalLink21.xml"/><Relationship Id="rId44" Type="http://schemas.openxmlformats.org/officeDocument/2006/relationships/externalLink" Target="externalLinks/externalLink34.xml"/><Relationship Id="rId52" Type="http://schemas.openxmlformats.org/officeDocument/2006/relationships/externalLink" Target="externalLinks/externalLink42.xml"/><Relationship Id="rId6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~1/me156988/LOCALS~1/Temp/notes32C5CD/Documents%20and%20Settings/mark.v.villasoto/My%20Documents/Clients/Petron%20Corporation/TCG%20Income%20Tax%20Accrual%20and%20DIT%20Review/dit12.31.05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~1/me156988/LOCALS~1/Temp/notes32C5CD/EnergyQuality/SystemLossReports/OverAll/SysLoss%25/2006%20NSI%20&amp;%20Sales%20-%20Summary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~1/me156988/LOCALS~1/Temp/notes32C5CD/quality_assurance_team/qat_computation/300.qat.techloss.computation.MONTHLY/TL2005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DOCUME~1\me156988\LOCALS~1\Temp\notes32C5CD\Documents%20and%20Settings\mark.v.villasoto\My%20Documents\Clients\Petron%20Corporation\TCG%20Income%20Tax%20Accrual%20and%20DIT%20Review\dit12.31.05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mark.v.villasoto/My%20Documents/Clients/Petron%20Corporation/TCG%20Income%20Tax%20Accrual%20and%20DIT%20Review/dit12.31.05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Documents%20and%20Settings\mark.v.villasoto\My%20Documents\Clients\Petron%20Corporation\TCG%20Income%20Tax%20Accrual%20and%20DIT%20Review\dit12.31.05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DOCUME~1\me156988\LOCALS~1\Temp\notes32C5CD\EnergyQuality\SystemLossReports\OverAll\SysLoss%25\2006%20NSI%20&amp;%20Sales%20-%20Summary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DOCUME~1\me156988\LOCALS~1\Temp\notes32C5CD\quality_assurance_team\qat_computation\300.qat.techloss.computation.MONTHLY\TL2005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EnergyQuality/SystemLossReports/OverAll/SysLoss%2525252525/2006%20NSI%20&amp;%20Sales%20-%20Summary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EnergyQuality\SystemLossReports\OverAll\SysLoss%2525252525\2006%20NSI%20&amp;%20Sales%20-%20Summary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gcanlas/AppData/Local/Temp/Users/JACFRA~1/AppData/Local/Temp/Documents%20and%20Settings/ngcanlas/Desktop/Users/JACFRA~1/AppData/Local/Temp/active%20files/2003/ERC%202000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quality_assurance_team/qat_computation/300.qat.techloss.computation.MONTHLY/TL2005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quality_assurance_team\qat_computation\300.qat.techloss.computation.MONTHLY\TL2005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~1/me156988/LOCALS~1/Temp/notes32C5CD/BackupFiles-Marlyn%20on%20185-54167/MARLYN%20FILES/Purchase%20Power/2008HL/Mar08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DOCUME~1\me156988\LOCALS~1\Temp\notes32C5CD\BackupFiles-Marlyn%20on%20185-54167\MARLYN%20FILES\Purchase%20Power\2008HL\Mar08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C016-12483\aws\PETRON%202003\3RD%20QUARTER\CONSOLIDATION\BALANCE%20SHEET\2003\Sept\FS%20Sched\BS%20Sept%202003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16-12483\aws\PETRON%202003\3RD%20QUARTER\CONSOLIDATION\BALANCE%20SHEET\2003\Sept\FS%20Sched\BS%20Sept%202003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URR\Office\simon%20says\2008\0408b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16-12483\aws\PETRON%202003\3RD%20QUARTER\CONSOLIDATION\Conso%20Sept%202003-1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C016-12483\aws\PETRON%202003\3RD%20QUARTER\CONSOLIDATION\Conso%20Sept%202003-1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16-12483\aws\PETRON%202003\3RD%20QUARTER\CONSOLIDATION\Cashflow%20Sept2003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C016-12483\aws\PETRON%202003\3RD%20QUARTER\CONSOLIDATION\Cashflow%20Sept2003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~1/me156988/LOCALS~1/Temp/notes32C5CD/@Financial%20Control-Work%20files/@New%20Work%2001.24.08/o%20and%20m/O%20&amp;%20M%202008/06-2008/06-2008-07.14.08_FINAL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DOCUME~1\me156988\LOCALS~1\Temp\notes32C5CD\@Financial%20Control-Work%20files\@New%20Work%2001.24.08\o%20and%20m\O%20&amp;%20M%202008\06-2008\06-2008-07.14.08_FINAL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~1/me156988/LOCALS~1/Temp/notes32C5CD/Users/ngcanlas/AppData/Local/Temp/Users/JACFRA~1/AppData/Local/Temp/Documents%20and%20Settings/ngcanlas/Desktop/Users/JACFRA~1/AppData/Local/Temp/active%20files/2003/ERC%202000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DOCUME~1\me156988\LOCALS~1\Temp\notes32C5CD\Users\ngcanlas\AppData\Local\Temp\Users\JACFRA~1\AppData\Local\Temp\Documents%20and%20Settings\ngcanlas\Desktop\Users\JACFRA~1\AppData\Local\Temp\active%20files\2003\ERC%202000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5A6D1BA1\ERC%202000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8D0CD86\ERC%202000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~1/me156988/LOCALS~1/Temp/notes32C5CD/CLIENTS/Petron/TCG%20Integration%202006/DIT/dit12.31.05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DOCUME~1\me156988\LOCALS~1\Temp\notes32C5CD\CLIENTS\Petron\TCG%20Integration%202006\DIT\dit12.31.05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PAYFILES\LABOR\SEPTEMBER02\LaborCostDistribution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16-12483\aws\fs\FSWORKING%20PAPERS\2002\FS%20working%20papers%201202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C016-12483\aws\fs\FSWORKING%20PAPERS\2002\FS%20working%20papers%201202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gcanlas/AppData/Local/Temp/Users/JACFRA~1/AppData/Local/Temp/Documents%20and%20Settings/ngcanlas/Desktop/Users/JACFRA~1/AppData/Local/Temp/Royce/CANORECO%20@%20PhP%200.2415%20FOREX%20&amp;%202000%20LOAN%20as%20of%20February%205,%202003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~1/me156988/LOCALS~1/Temp/notes32C5CD/Arlene/Clientele/Meralco/Substantive/December%2031,%202006/Income%20tax%20computation/Income%20tax%20Comp%20Dec%202006%20(audited)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DOCUME~1\me156988\LOCALS~1\Temp\notes32C5CD\Arlene\Clientele\Meralco\Substantive\December%2031,%202006\Income%20tax%20computation\Income%20tax%20Comp%20Dec%202006%20(audited)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~1/me156988/LOCALS~1/Temp/notes32C5CD/quality_assurance_team/qat_computation/otl.2005.may/OTL052005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DOCUME~1\me156988\LOCALS~1\Temp\notes32C5CD\quality_assurance_team\qat_computation\otl.2005.may\OTL052005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/MERALCO%20(ACTIVE%20FILE)/MERALCO%20URR/meralco%202011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/MERALCO%20(ACTIVE%20FILE)/MERALCO%20URR/MERALCO%202012%20URR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/MERALCO%20(ACTIVE%20FILE)/MERALCO%20URR/MERALCO%20Dec%202013%20URR.xlsx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/MERALCO%20(ACTIVE%20FILE)/MERALCO%20URR/Meralco%20Dec%202014%20URR.xlsx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2017%20Data%20Base\URR%20(ACTIVE)\URR%202015\2015%20SUBMISSION\MERALCO\DECEMBER\MERALCO%20URR%20DEC_2015.xlsx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MERALCO%202016.xlsx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MERALCO%202017%20(1).xlsx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MERALCO%202018.xlsx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BASE%202019/URR%202019/MERALCO/12.%20DEC/ANNEX%20A.xlsx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MERALCO%20URR%20DECEMBER%202020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-10_INCOME TAX COMPUTATION"/>
      <sheetName val="O-20_MCIT COMPUTATION"/>
      <sheetName val="O-21_COS RECON"/>
      <sheetName val="O-30_DIT ROLL"/>
      <sheetName val="O-11_PC_PSL_pbc"/>
      <sheetName val="O-12_PC_duty_pbc"/>
      <sheetName val="O-13_PBR_duty_pbc"/>
      <sheetName val="O-14_PC_capint_pbc"/>
      <sheetName val="O-15_PBR_capint_pbc"/>
      <sheetName val="O-16_IBRD_cap_int _sgv"/>
      <sheetName val="O-17_Inventory_pbc"/>
      <sheetName val="O-30_DIT ROLL @ 32.5%"/>
      <sheetName val="O-40_tax adjustments(embedded)"/>
      <sheetName val="O-41_tax.transitional(embedded)"/>
      <sheetName val="O-42_DIT nonderivative"/>
      <sheetName val="O-43_addtl ias 39 adj"/>
      <sheetName val="O-50_mktg&amp;pbr_pbc"/>
      <sheetName val="O-50_mktg&amp;pbr_pbc (revised)"/>
      <sheetName val="O-51_DIT 2005 (Depn)_pbc"/>
      <sheetName val="MCIT_pbc"/>
      <sheetName val="ING_real_fxloss"/>
      <sheetName val="PBR_PSL"/>
      <sheetName val="O-16_IBRD_cap_int _pbc"/>
      <sheetName val="IBRD_unr_fxloss"/>
      <sheetName val="IBRD _real_fxloss"/>
      <sheetName val="LSRA"/>
      <sheetName val="Sheet2"/>
      <sheetName val="WTax"/>
      <sheetName val="input_pbc"/>
      <sheetName val="payment_balance_pbc"/>
      <sheetName val="1702 format_pbc"/>
      <sheetName val="compare_final_pbc"/>
      <sheetName val="taxdue_final_pbc"/>
      <sheetName val="DIT 2005"/>
      <sheetName val="DIT 2004"/>
      <sheetName val="DIT 2003"/>
    </sheetNames>
    <sheetDataSet>
      <sheetData sheetId="0" refreshError="1"/>
      <sheetData sheetId="1" refreshError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 refreshError="1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06"/>
      <sheetName val="Dec06"/>
      <sheetName val="Nov06"/>
      <sheetName val="Oct06"/>
      <sheetName val="Sep06"/>
      <sheetName val="Aug06"/>
      <sheetName val="Jul06"/>
      <sheetName val="Jun06"/>
      <sheetName val="May06"/>
      <sheetName val="Apr06"/>
      <sheetName val="Mar06"/>
      <sheetName val="Feb06"/>
      <sheetName val="Jan06"/>
    </sheetNames>
    <sheetDataSet>
      <sheetData sheetId="0" refreshError="1"/>
      <sheetData sheetId="1" refreshError="1">
        <row r="22">
          <cell r="M22">
            <v>6724699</v>
          </cell>
        </row>
      </sheetData>
      <sheetData sheetId="2" refreshError="1">
        <row r="22">
          <cell r="M22">
            <v>6352855</v>
          </cell>
        </row>
      </sheetData>
      <sheetData sheetId="3" refreshError="1">
        <row r="22">
          <cell r="M22">
            <v>6062382</v>
          </cell>
        </row>
      </sheetData>
      <sheetData sheetId="4" refreshError="1">
        <row r="22">
          <cell r="M22">
            <v>6075364</v>
          </cell>
        </row>
      </sheetData>
      <sheetData sheetId="5" refreshError="1">
        <row r="22">
          <cell r="M22">
            <v>5705765</v>
          </cell>
        </row>
      </sheetData>
      <sheetData sheetId="6" refreshError="1">
        <row r="22">
          <cell r="M22">
            <v>7525618</v>
          </cell>
        </row>
      </sheetData>
      <sheetData sheetId="7" refreshError="1">
        <row r="22">
          <cell r="M22">
            <v>7782144</v>
          </cell>
        </row>
      </sheetData>
      <sheetData sheetId="8" refreshError="1">
        <row r="22">
          <cell r="M22">
            <v>6724349</v>
          </cell>
        </row>
      </sheetData>
      <sheetData sheetId="9" refreshError="1">
        <row r="22">
          <cell r="M22">
            <v>7465300</v>
          </cell>
        </row>
      </sheetData>
      <sheetData sheetId="10" refreshError="1">
        <row r="22">
          <cell r="M22">
            <v>4705870</v>
          </cell>
        </row>
      </sheetData>
      <sheetData sheetId="11" refreshError="1">
        <row r="22">
          <cell r="M22">
            <v>686283</v>
          </cell>
        </row>
      </sheetData>
      <sheetData sheetId="12" refreshError="1">
        <row r="22">
          <cell r="M22">
            <v>15875977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adme"/>
      <sheetName val="techSum"/>
      <sheetName val="SLR_PF"/>
      <sheetName val="comp_dec"/>
      <sheetName val="proj_val"/>
      <sheetName val="SLR_KWDEM"/>
      <sheetName val="KWH_DEL"/>
      <sheetName val="INPUT"/>
      <sheetName val="TLJD2005"/>
      <sheetName val="cover"/>
      <sheetName val="table1"/>
      <sheetName val="table2"/>
      <sheetName val="table3&amp;4"/>
      <sheetName val="PXFa"/>
      <sheetName val="PXFb"/>
      <sheetName val="caploss"/>
      <sheetName val="dtlossa"/>
      <sheetName val="dtlossb"/>
      <sheetName val="sleof"/>
      <sheetName val="slenf"/>
      <sheetName val="lineof"/>
      <sheetName val="linenf"/>
      <sheetName val="PT_FA"/>
      <sheetName val="PT_FB"/>
      <sheetName val="SCB_FA"/>
      <sheetName val="SCB_FB"/>
      <sheetName val="DT_FA"/>
      <sheetName val="DT_FB"/>
      <sheetName val="ST_FA"/>
      <sheetName val="ST_FB"/>
      <sheetName val="NT_FA"/>
      <sheetName val="LCB_FA"/>
      <sheetName val="LCB_FB"/>
      <sheetName val="VR_FA"/>
      <sheetName val="VR_FB"/>
      <sheetName val="KWHRM_F"/>
      <sheetName val="TLOSS_1"/>
      <sheetName val="TLOSS_2"/>
      <sheetName val="TLOSS_3"/>
      <sheetName val="DATAFILE"/>
      <sheetName val="REVISION_H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>
        <row r="11">
          <cell r="I11">
            <v>73743.737277579523</v>
          </cell>
        </row>
      </sheetData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>
        <row r="5">
          <cell r="D5">
            <v>1.425</v>
          </cell>
        </row>
        <row r="6">
          <cell r="D6">
            <v>0.24099999999999999</v>
          </cell>
        </row>
        <row r="7">
          <cell r="D7">
            <v>3311876.6916563688</v>
          </cell>
        </row>
        <row r="8">
          <cell r="D8">
            <v>175193.46140358123</v>
          </cell>
        </row>
      </sheetData>
      <sheetData sheetId="36" refreshError="1"/>
      <sheetData sheetId="37" refreshError="1">
        <row r="29">
          <cell r="H29">
            <v>2.0686900958466454</v>
          </cell>
        </row>
      </sheetData>
      <sheetData sheetId="38" refreshError="1">
        <row r="27">
          <cell r="D27">
            <v>2.4743083003952568</v>
          </cell>
        </row>
      </sheetData>
      <sheetData sheetId="39" refreshError="1">
        <row r="23">
          <cell r="G23">
            <v>0.62339913750332476</v>
          </cell>
        </row>
        <row r="24">
          <cell r="G24">
            <v>719.20258000000001</v>
          </cell>
        </row>
        <row r="25">
          <cell r="G25">
            <v>389.20258000000001</v>
          </cell>
        </row>
        <row r="26">
          <cell r="C26">
            <v>1.58102766798419E-2</v>
          </cell>
          <cell r="G26">
            <v>259.20258000000001</v>
          </cell>
        </row>
        <row r="27">
          <cell r="C27">
            <v>2.0686900958466453E-2</v>
          </cell>
          <cell r="G27">
            <v>720</v>
          </cell>
        </row>
        <row r="28">
          <cell r="C28">
            <v>2.4743083003952573E-2</v>
          </cell>
          <cell r="G28">
            <v>1826936.1669999999</v>
          </cell>
        </row>
        <row r="29">
          <cell r="C29">
            <v>4.0575079872204468E-2</v>
          </cell>
        </row>
        <row r="37">
          <cell r="C37">
            <v>30</v>
          </cell>
        </row>
        <row r="38">
          <cell r="C38">
            <v>10</v>
          </cell>
        </row>
        <row r="39">
          <cell r="C39">
            <v>0.98340000000000005</v>
          </cell>
        </row>
        <row r="40">
          <cell r="C40">
            <v>4237</v>
          </cell>
        </row>
        <row r="41">
          <cell r="C41">
            <v>1.2</v>
          </cell>
        </row>
        <row r="42">
          <cell r="C42">
            <v>0.85</v>
          </cell>
        </row>
        <row r="43">
          <cell r="C43">
            <v>2338718</v>
          </cell>
        </row>
        <row r="44">
          <cell r="C44">
            <v>2301744</v>
          </cell>
        </row>
        <row r="45">
          <cell r="C45">
            <v>307308.60399999999</v>
          </cell>
        </row>
        <row r="46">
          <cell r="C46">
            <v>20801</v>
          </cell>
        </row>
        <row r="47">
          <cell r="C47">
            <v>38626</v>
          </cell>
        </row>
        <row r="48">
          <cell r="C48">
            <v>3231529</v>
          </cell>
        </row>
        <row r="49">
          <cell r="C49">
            <v>1062791</v>
          </cell>
        </row>
        <row r="50">
          <cell r="C50">
            <v>0.79742000000000002</v>
          </cell>
        </row>
        <row r="52">
          <cell r="C52">
            <v>4294320</v>
          </cell>
        </row>
      </sheetData>
      <sheetData sheetId="4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-10_INCOME TAX COMPUTATION"/>
      <sheetName val="O-20_MCIT COMPUTATION"/>
      <sheetName val="O-21_COS RECON"/>
      <sheetName val="O-30_DIT ROLL"/>
      <sheetName val="O-11_PC_PSL_pbc"/>
      <sheetName val="O-12_PC_duty_pbc"/>
      <sheetName val="O-13_PBR_duty_pbc"/>
      <sheetName val="O-14_PC_capint_pbc"/>
      <sheetName val="O-15_PBR_capint_pbc"/>
      <sheetName val="O-16_IBRD_cap_int _sgv"/>
      <sheetName val="O-17_Inventory_pbc"/>
      <sheetName val="O-30_DIT ROLL @ 32.5%"/>
      <sheetName val="O-40_tax adjustments(embedded)"/>
      <sheetName val="O-41_tax.transitional(embedded)"/>
      <sheetName val="O-42_DIT nonderivative"/>
      <sheetName val="O-43_addtl ias 39 adj"/>
      <sheetName val="O-50_mktg&amp;pbr_pbc"/>
      <sheetName val="O-50_mktg&amp;pbr_pbc (revised)"/>
      <sheetName val="O-51_DIT 2005 (Depn)_pbc"/>
      <sheetName val="MCIT_pbc"/>
      <sheetName val="ING_real_fxloss"/>
      <sheetName val="PBR_PSL"/>
      <sheetName val="O-16_IBRD_cap_int _pbc"/>
      <sheetName val="IBRD_unr_fxloss"/>
      <sheetName val="IBRD _real_fxloss"/>
      <sheetName val="LSRA"/>
      <sheetName val="Sheet2"/>
      <sheetName val="WTax"/>
      <sheetName val="input_pbc"/>
      <sheetName val="payment_balance_pbc"/>
      <sheetName val="1702 format_pbc"/>
      <sheetName val="compare_final_pbc"/>
      <sheetName val="taxdue_final_pbc"/>
      <sheetName val="DIT 2005"/>
      <sheetName val="DIT 2004"/>
      <sheetName val="DIT 2003"/>
    </sheetNames>
    <sheetDataSet>
      <sheetData sheetId="0" refreshError="1"/>
      <sheetData sheetId="1" refreshError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 refreshError="1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-10_INCOME TAX COMPUTATION"/>
      <sheetName val="O-20_MCIT COMPUTATION"/>
      <sheetName val="O-21_COS RECON"/>
      <sheetName val="O-30_DIT ROLL"/>
      <sheetName val="O-11_PC_PSL_pbc"/>
      <sheetName val="O-12_PC_duty_pbc"/>
      <sheetName val="O-13_PBR_duty_pbc"/>
      <sheetName val="O-14_PC_capint_pbc"/>
      <sheetName val="O-15_PBR_capint_pbc"/>
      <sheetName val="O-16_IBRD_cap_int _sgv"/>
      <sheetName val="O-17_Inventory_pbc"/>
      <sheetName val="O-30_DIT ROLL @ 32.5%"/>
      <sheetName val="O-40_tax adjustments(embedded)"/>
      <sheetName val="O-41_tax.transitional(embedded)"/>
      <sheetName val="O-42_DIT nonderivative"/>
      <sheetName val="O-43_addtl ias 39 adj"/>
      <sheetName val="O-50_mktg&amp;pbr_pbc"/>
      <sheetName val="O-50_mktg&amp;pbr_pbc (revised)"/>
      <sheetName val="O-51_DIT 2005 (Depn)_pbc"/>
      <sheetName val="MCIT_pbc"/>
      <sheetName val="ING_real_fxloss"/>
      <sheetName val="PBR_PSL"/>
      <sheetName val="O-16_IBRD_cap_int _pbc"/>
      <sheetName val="IBRD_unr_fxloss"/>
      <sheetName val="IBRD _real_fxloss"/>
      <sheetName val="LSRA"/>
      <sheetName val="Sheet2"/>
      <sheetName val="WTax"/>
      <sheetName val="input_pbc"/>
      <sheetName val="payment_balance_pbc"/>
      <sheetName val="1702 format_pbc"/>
      <sheetName val="compare_final_pbc"/>
      <sheetName val="taxdue_final_pbc"/>
      <sheetName val="DIT 2005"/>
      <sheetName val="DIT 2004"/>
      <sheetName val="DIT 2003"/>
    </sheetNames>
    <sheetDataSet>
      <sheetData sheetId="0" refreshError="1"/>
      <sheetData sheetId="1" refreshError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 refreshError="1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-10_INCOME TAX COMPUTATION"/>
      <sheetName val="O-20_MCIT COMPUTATION"/>
      <sheetName val="O-21_COS RECON"/>
      <sheetName val="O-30_DIT ROLL"/>
      <sheetName val="O-11_PC_PSL_pbc"/>
      <sheetName val="O-12_PC_duty_pbc"/>
      <sheetName val="O-13_PBR_duty_pbc"/>
      <sheetName val="O-14_PC_capint_pbc"/>
      <sheetName val="O-15_PBR_capint_pbc"/>
      <sheetName val="O-16_IBRD_cap_int _sgv"/>
      <sheetName val="O-17_Inventory_pbc"/>
      <sheetName val="O-30_DIT ROLL @ 32.5%"/>
      <sheetName val="O-40_tax adjustments(embedded)"/>
      <sheetName val="O-41_tax.transitional(embedded)"/>
      <sheetName val="O-42_DIT nonderivative"/>
      <sheetName val="O-43_addtl ias 39 adj"/>
      <sheetName val="O-50_mktg&amp;pbr_pbc"/>
      <sheetName val="O-50_mktg&amp;pbr_pbc (revised)"/>
      <sheetName val="O-51_DIT 2005 (Depn)_pbc"/>
      <sheetName val="MCIT_pbc"/>
      <sheetName val="ING_real_fxloss"/>
      <sheetName val="PBR_PSL"/>
      <sheetName val="O-16_IBRD_cap_int _pbc"/>
      <sheetName val="IBRD_unr_fxloss"/>
      <sheetName val="IBRD _real_fxloss"/>
      <sheetName val="LSRA"/>
      <sheetName val="Sheet2"/>
      <sheetName val="WTax"/>
      <sheetName val="input_pbc"/>
      <sheetName val="payment_balance_pbc"/>
      <sheetName val="1702 format_pbc"/>
      <sheetName val="compare_final_pbc"/>
      <sheetName val="taxdue_final_pbc"/>
      <sheetName val="DIT 2005"/>
      <sheetName val="DIT 2004"/>
      <sheetName val="DIT 2003"/>
    </sheetNames>
    <sheetDataSet>
      <sheetData sheetId="0" refreshError="1"/>
      <sheetData sheetId="1" refreshError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 refreshError="1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06"/>
      <sheetName val="Dec06"/>
      <sheetName val="Nov06"/>
      <sheetName val="Oct06"/>
      <sheetName val="Sep06"/>
      <sheetName val="Aug06"/>
      <sheetName val="Jul06"/>
      <sheetName val="Jun06"/>
      <sheetName val="May06"/>
      <sheetName val="Apr06"/>
      <sheetName val="Mar06"/>
      <sheetName val="Feb06"/>
      <sheetName val="Jan06"/>
    </sheetNames>
    <sheetDataSet>
      <sheetData sheetId="0" refreshError="1"/>
      <sheetData sheetId="1" refreshError="1">
        <row r="22">
          <cell r="M22">
            <v>6724699</v>
          </cell>
        </row>
      </sheetData>
      <sheetData sheetId="2" refreshError="1">
        <row r="22">
          <cell r="M22">
            <v>6352855</v>
          </cell>
        </row>
      </sheetData>
      <sheetData sheetId="3" refreshError="1">
        <row r="22">
          <cell r="M22">
            <v>6062382</v>
          </cell>
        </row>
      </sheetData>
      <sheetData sheetId="4" refreshError="1">
        <row r="22">
          <cell r="M22">
            <v>6075364</v>
          </cell>
        </row>
      </sheetData>
      <sheetData sheetId="5" refreshError="1">
        <row r="22">
          <cell r="M22">
            <v>5705765</v>
          </cell>
        </row>
      </sheetData>
      <sheetData sheetId="6" refreshError="1">
        <row r="22">
          <cell r="M22">
            <v>7525618</v>
          </cell>
        </row>
      </sheetData>
      <sheetData sheetId="7" refreshError="1">
        <row r="22">
          <cell r="M22">
            <v>7782144</v>
          </cell>
        </row>
      </sheetData>
      <sheetData sheetId="8" refreshError="1">
        <row r="22">
          <cell r="M22">
            <v>6724349</v>
          </cell>
        </row>
      </sheetData>
      <sheetData sheetId="9" refreshError="1">
        <row r="22">
          <cell r="M22">
            <v>7465300</v>
          </cell>
        </row>
      </sheetData>
      <sheetData sheetId="10" refreshError="1">
        <row r="22">
          <cell r="M22">
            <v>4705870</v>
          </cell>
        </row>
      </sheetData>
      <sheetData sheetId="11" refreshError="1">
        <row r="22">
          <cell r="M22">
            <v>686283</v>
          </cell>
        </row>
      </sheetData>
      <sheetData sheetId="12" refreshError="1">
        <row r="22">
          <cell r="M22">
            <v>15875977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adme"/>
      <sheetName val="techSum"/>
      <sheetName val="SLR_PF"/>
      <sheetName val="comp_dec"/>
      <sheetName val="proj_val"/>
      <sheetName val="SLR_KWDEM"/>
      <sheetName val="KWH_DEL"/>
      <sheetName val="INPUT"/>
      <sheetName val="TLJD2005"/>
      <sheetName val="cover"/>
      <sheetName val="table1"/>
      <sheetName val="table2"/>
      <sheetName val="table3&amp;4"/>
      <sheetName val="PXFa"/>
      <sheetName val="PXFb"/>
      <sheetName val="caploss"/>
      <sheetName val="dtlossa"/>
      <sheetName val="dtlossb"/>
      <sheetName val="sleof"/>
      <sheetName val="slenf"/>
      <sheetName val="lineof"/>
      <sheetName val="linenf"/>
      <sheetName val="PT_FA"/>
      <sheetName val="PT_FB"/>
      <sheetName val="SCB_FA"/>
      <sheetName val="SCB_FB"/>
      <sheetName val="DT_FA"/>
      <sheetName val="DT_FB"/>
      <sheetName val="ST_FA"/>
      <sheetName val="ST_FB"/>
      <sheetName val="NT_FA"/>
      <sheetName val="LCB_FA"/>
      <sheetName val="LCB_FB"/>
      <sheetName val="VR_FA"/>
      <sheetName val="VR_FB"/>
      <sheetName val="KWHRM_F"/>
      <sheetName val="TLOSS_1"/>
      <sheetName val="TLOSS_2"/>
      <sheetName val="TLOSS_3"/>
      <sheetName val="DATAFILE"/>
      <sheetName val="REVISION_H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>
        <row r="11">
          <cell r="I11">
            <v>73743.737277579523</v>
          </cell>
        </row>
      </sheetData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>
        <row r="5">
          <cell r="D5">
            <v>1.425</v>
          </cell>
        </row>
        <row r="6">
          <cell r="D6">
            <v>0.24099999999999999</v>
          </cell>
        </row>
        <row r="7">
          <cell r="D7">
            <v>3311876.6916563688</v>
          </cell>
        </row>
        <row r="8">
          <cell r="D8">
            <v>175193.46140358123</v>
          </cell>
        </row>
      </sheetData>
      <sheetData sheetId="36" refreshError="1"/>
      <sheetData sheetId="37" refreshError="1">
        <row r="29">
          <cell r="H29">
            <v>2.0686900958466454</v>
          </cell>
        </row>
      </sheetData>
      <sheetData sheetId="38" refreshError="1">
        <row r="27">
          <cell r="D27">
            <v>2.4743083003952568</v>
          </cell>
        </row>
      </sheetData>
      <sheetData sheetId="39" refreshError="1">
        <row r="23">
          <cell r="G23">
            <v>0.62339913750332476</v>
          </cell>
        </row>
        <row r="24">
          <cell r="G24">
            <v>719.20258000000001</v>
          </cell>
        </row>
        <row r="25">
          <cell r="G25">
            <v>389.20258000000001</v>
          </cell>
        </row>
        <row r="26">
          <cell r="C26">
            <v>1.58102766798419E-2</v>
          </cell>
          <cell r="G26">
            <v>259.20258000000001</v>
          </cell>
        </row>
        <row r="27">
          <cell r="C27">
            <v>2.0686900958466453E-2</v>
          </cell>
          <cell r="G27">
            <v>720</v>
          </cell>
        </row>
        <row r="28">
          <cell r="C28">
            <v>2.4743083003952573E-2</v>
          </cell>
          <cell r="G28">
            <v>1826936.1669999999</v>
          </cell>
        </row>
        <row r="29">
          <cell r="C29">
            <v>4.0575079872204468E-2</v>
          </cell>
        </row>
        <row r="37">
          <cell r="C37">
            <v>30</v>
          </cell>
        </row>
        <row r="38">
          <cell r="C38">
            <v>10</v>
          </cell>
        </row>
        <row r="39">
          <cell r="C39">
            <v>0.98340000000000005</v>
          </cell>
        </row>
        <row r="40">
          <cell r="C40">
            <v>4237</v>
          </cell>
        </row>
        <row r="41">
          <cell r="C41">
            <v>1.2</v>
          </cell>
        </row>
        <row r="42">
          <cell r="C42">
            <v>0.85</v>
          </cell>
        </row>
        <row r="43">
          <cell r="C43">
            <v>2338718</v>
          </cell>
        </row>
        <row r="44">
          <cell r="C44">
            <v>2301744</v>
          </cell>
        </row>
        <row r="45">
          <cell r="C45">
            <v>307308.60399999999</v>
          </cell>
        </row>
        <row r="46">
          <cell r="C46">
            <v>20801</v>
          </cell>
        </row>
        <row r="47">
          <cell r="C47">
            <v>38626</v>
          </cell>
        </row>
        <row r="48">
          <cell r="C48">
            <v>3231529</v>
          </cell>
        </row>
        <row r="49">
          <cell r="C49">
            <v>1062791</v>
          </cell>
        </row>
        <row r="50">
          <cell r="C50">
            <v>0.79742000000000002</v>
          </cell>
        </row>
        <row r="52">
          <cell r="C52">
            <v>4294320</v>
          </cell>
        </row>
      </sheetData>
      <sheetData sheetId="4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c06"/>
      <sheetName val="Nov06"/>
      <sheetName val="Oct06"/>
      <sheetName val="Sep06"/>
      <sheetName val="Aug06"/>
      <sheetName val="Jul06"/>
      <sheetName val="Jun06"/>
      <sheetName val="May06"/>
      <sheetName val="Apr06"/>
      <sheetName val="Mar06"/>
      <sheetName val="Feb06"/>
      <sheetName val="Jan0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c06"/>
      <sheetName val="Nov06"/>
      <sheetName val="Oct06"/>
      <sheetName val="Sep06"/>
      <sheetName val="Aug06"/>
      <sheetName val="Jul06"/>
      <sheetName val="Jun06"/>
      <sheetName val="May06"/>
      <sheetName val="Apr06"/>
      <sheetName val="Mar06"/>
      <sheetName val="Feb06"/>
      <sheetName val="Jan0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E98"/>
      <sheetName val="2000"/>
      <sheetName val="2001"/>
      <sheetName val="2002"/>
      <sheetName val="BASIC &amp; 13MO"/>
      <sheetName val="BASIC &amp; 13MO functionalized"/>
      <sheetName val="SSSPHILPAGIBIG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adme"/>
      <sheetName val="techSum"/>
      <sheetName val="SLR_PF"/>
      <sheetName val="comp_dec"/>
      <sheetName val="proj_val"/>
      <sheetName val="SLR_KWDEM"/>
      <sheetName val="KWH_DEL"/>
      <sheetName val="INPUT"/>
      <sheetName val="TLJD2005"/>
      <sheetName val="cover"/>
      <sheetName val="table1"/>
      <sheetName val="table2"/>
      <sheetName val="table3&amp;4"/>
      <sheetName val="PXFa"/>
      <sheetName val="PXFb"/>
      <sheetName val="caploss"/>
      <sheetName val="dtlossa"/>
      <sheetName val="dtlossb"/>
      <sheetName val="sleof"/>
      <sheetName val="slenf"/>
      <sheetName val="lineof"/>
      <sheetName val="linenf"/>
      <sheetName val="PT_FA"/>
      <sheetName val="PT_FB"/>
      <sheetName val="SCB_FA"/>
      <sheetName val="SCB_FB"/>
      <sheetName val="DT_FA"/>
      <sheetName val="DT_FB"/>
      <sheetName val="ST_FA"/>
      <sheetName val="ST_FB"/>
      <sheetName val="NT_FA"/>
      <sheetName val="LCB_FA"/>
      <sheetName val="LCB_FB"/>
      <sheetName val="VR_FA"/>
      <sheetName val="VR_FB"/>
      <sheetName val="KWHRM_F"/>
      <sheetName val="TLOSS_1"/>
      <sheetName val="TLOSS_2"/>
      <sheetName val="TLOSS_3"/>
      <sheetName val="DATAFILE"/>
      <sheetName val="REVISION_H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>
        <row r="29">
          <cell r="H29">
            <v>2.0686900958466454</v>
          </cell>
        </row>
      </sheetData>
      <sheetData sheetId="38" refreshError="1">
        <row r="27">
          <cell r="D27">
            <v>2.4743083003952568</v>
          </cell>
        </row>
      </sheetData>
      <sheetData sheetId="39" refreshError="1"/>
      <sheetData sheetId="4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adme"/>
      <sheetName val="techSum"/>
      <sheetName val="SLR_PF"/>
      <sheetName val="comp_dec"/>
      <sheetName val="proj_val"/>
      <sheetName val="SLR_KWDEM"/>
      <sheetName val="KWH_DEL"/>
      <sheetName val="INPUT"/>
      <sheetName val="TLJD2005"/>
      <sheetName val="cover"/>
      <sheetName val="table1"/>
      <sheetName val="table2"/>
      <sheetName val="table3&amp;4"/>
      <sheetName val="PXFa"/>
      <sheetName val="PXFb"/>
      <sheetName val="caploss"/>
      <sheetName val="dtlossa"/>
      <sheetName val="dtlossb"/>
      <sheetName val="sleof"/>
      <sheetName val="slenf"/>
      <sheetName val="lineof"/>
      <sheetName val="linenf"/>
      <sheetName val="PT_FA"/>
      <sheetName val="PT_FB"/>
      <sheetName val="SCB_FA"/>
      <sheetName val="SCB_FB"/>
      <sheetName val="DT_FA"/>
      <sheetName val="DT_FB"/>
      <sheetName val="ST_FA"/>
      <sheetName val="ST_FB"/>
      <sheetName val="NT_FA"/>
      <sheetName val="LCB_FA"/>
      <sheetName val="LCB_FB"/>
      <sheetName val="VR_FA"/>
      <sheetName val="VR_FB"/>
      <sheetName val="KWHRM_F"/>
      <sheetName val="TLOSS_1"/>
      <sheetName val="TLOSS_2"/>
      <sheetName val="TLOSS_3"/>
      <sheetName val="DATAFILE"/>
      <sheetName val="REVISION_H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>
        <row r="29">
          <cell r="H29">
            <v>2.0686900958466454</v>
          </cell>
        </row>
      </sheetData>
      <sheetData sheetId="38" refreshError="1">
        <row r="27">
          <cell r="D27">
            <v>2.4743083003952568</v>
          </cell>
        </row>
      </sheetData>
      <sheetData sheetId="39" refreshError="1"/>
      <sheetData sheetId="4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vered_Sheet1"/>
      <sheetName val="Annex A"/>
      <sheetName val="Annex D"/>
      <sheetName val="ActualPpwr"/>
      <sheetName val="accrual_JE"/>
      <sheetName val="Accrual comp"/>
      <sheetName val="PPA-GRAM"/>
      <sheetName val="syslossperERE"/>
      <sheetName val="2007syslossperERE_wo VOC"/>
      <sheetName val="worksheetSysloss"/>
      <sheetName val="ESS-PPC"/>
      <sheetName val="odps_ccp_ecozone"/>
      <sheetName val="sunpower"/>
      <sheetName val="under-rcvry_adj"/>
      <sheetName val="under-rcvry"/>
      <sheetName val="adj_revenue"/>
      <sheetName val="Summary-undercvry"/>
      <sheetName val="Def PPA-Rcvry"/>
      <sheetName val="SummaryDefPPArate"/>
      <sheetName val="SBgramMar'05"/>
      <sheetName val="analysis-undrcvry"/>
      <sheetName val="analysisERE"/>
      <sheetName val="title"/>
      <sheetName val="page 1"/>
      <sheetName val="3C2"/>
      <sheetName val="3D1"/>
      <sheetName val="Table3C2"/>
      <sheetName val="3C1_revised_ytd"/>
      <sheetName val="3C1_revised"/>
      <sheetName val="3C1"/>
      <sheetName val="Table3c1_revised"/>
      <sheetName val="todate3C1"/>
      <sheetName val="Table3c1"/>
      <sheetName val="adj to table3c1"/>
      <sheetName val="ForPg3A1"/>
      <sheetName val="P13 revised"/>
      <sheetName val="P16alligned"/>
      <sheetName val="page 17,18"/>
      <sheetName val="page 20"/>
      <sheetName val="page 21"/>
      <sheetName val="2008syslossunder"/>
      <sheetName val="Rate per kwh"/>
      <sheetName val="tablesyslossunder(over)per book"/>
      <sheetName val="tablesyslossadjusted"/>
      <sheetName val="syslossadj"/>
      <sheetName val="syslossadj_289"/>
      <sheetName val="sysloss284m"/>
      <sheetName val="Defsysloss284m"/>
      <sheetName val="cchrge"/>
      <sheetName val="cchrgetable"/>
      <sheetName val="accrual"/>
      <sheetName val="over-accrual"/>
      <sheetName val="syslossperERE_wo VOC"/>
      <sheetName val="3c2 for FPlanni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vered_Sheet1"/>
      <sheetName val="Annex A"/>
      <sheetName val="Annex D"/>
      <sheetName val="ActualPpwr"/>
      <sheetName val="accrual_JE"/>
      <sheetName val="Accrual comp"/>
      <sheetName val="PPA-GRAM"/>
      <sheetName val="syslossperERE"/>
      <sheetName val="2007syslossperERE_wo VOC"/>
      <sheetName val="worksheetSysloss"/>
      <sheetName val="ESS-PPC"/>
      <sheetName val="odps_ccp_ecozone"/>
      <sheetName val="sunpower"/>
      <sheetName val="under-rcvry_adj"/>
      <sheetName val="under-rcvry"/>
      <sheetName val="adj_revenue"/>
      <sheetName val="Summary-undercvry"/>
      <sheetName val="Def PPA-Rcvry"/>
      <sheetName val="SummaryDefPPArate"/>
      <sheetName val="SBgramMar'05"/>
      <sheetName val="analysis-undrcvry"/>
      <sheetName val="analysisERE"/>
      <sheetName val="title"/>
      <sheetName val="page 1"/>
      <sheetName val="3C2"/>
      <sheetName val="3D1"/>
      <sheetName val="Table3C2"/>
      <sheetName val="3C1_revised_ytd"/>
      <sheetName val="3C1_revised"/>
      <sheetName val="3C1"/>
      <sheetName val="Table3c1_revised"/>
      <sheetName val="todate3C1"/>
      <sheetName val="Table3c1"/>
      <sheetName val="adj to table3c1"/>
      <sheetName val="ForPg3A1"/>
      <sheetName val="P13 revised"/>
      <sheetName val="P16alligned"/>
      <sheetName val="page 17,18"/>
      <sheetName val="page 20"/>
      <sheetName val="page 21"/>
      <sheetName val="2008syslossunder"/>
      <sheetName val="Rate per kwh"/>
      <sheetName val="tablesyslossunder(over)per book"/>
      <sheetName val="tablesyslossadjusted"/>
      <sheetName val="syslossadj"/>
      <sheetName val="syslossadj_289"/>
      <sheetName val="sysloss284m"/>
      <sheetName val="Defsysloss284m"/>
      <sheetName val="cchrge"/>
      <sheetName val="cchrgetable"/>
      <sheetName val="accrual"/>
      <sheetName val="over-accrual"/>
      <sheetName val="syslossperERE_wo VOC"/>
      <sheetName val="3c2 for FPlanni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sh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cro"/>
      <sheetName val="vs00_per_class"/>
      <sheetName val="cash"/>
      <sheetName val="BS ACCT MAP"/>
    </sheetNames>
    <sheetDataSet>
      <sheetData sheetId="0" refreshError="1"/>
      <sheetData sheetId="1" refreshError="1"/>
      <sheetData sheetId="2" refreshError="1">
        <row r="1">
          <cell r="A1" t="str">
            <v>Petron Corporation</v>
          </cell>
        </row>
        <row r="2">
          <cell r="A2" t="str">
            <v>Breakdown of Cash &amp; Cash Equivalent</v>
          </cell>
        </row>
        <row r="3">
          <cell r="A3" t="str">
            <v>As of July 31, 2003</v>
          </cell>
        </row>
        <row r="7">
          <cell r="B7" t="str">
            <v>Cash on Hand</v>
          </cell>
          <cell r="C7">
            <v>877719023.51999998</v>
          </cell>
        </row>
        <row r="9">
          <cell r="B9" t="str">
            <v>Cash in Bank - PNB</v>
          </cell>
          <cell r="C9">
            <v>206902409.50000003</v>
          </cell>
          <cell r="E9" t="str">
            <v>pnb</v>
          </cell>
          <cell r="F9">
            <v>0</v>
          </cell>
        </row>
        <row r="10">
          <cell r="E10" t="str">
            <v>pnb</v>
          </cell>
          <cell r="F10">
            <v>0</v>
          </cell>
        </row>
        <row r="11">
          <cell r="B11" t="str">
            <v>Cash in Bank - Citibank</v>
          </cell>
          <cell r="C11">
            <v>399220831.57999992</v>
          </cell>
          <cell r="E11" t="str">
            <v>pnb</v>
          </cell>
          <cell r="F11">
            <v>0</v>
          </cell>
        </row>
        <row r="12">
          <cell r="E12" t="str">
            <v>pnb</v>
          </cell>
          <cell r="F12">
            <v>0</v>
          </cell>
        </row>
        <row r="13">
          <cell r="B13" t="str">
            <v>Cash in Bank - Landbank/BPI/UCPB/DBP</v>
          </cell>
          <cell r="C13">
            <v>84382172.269999996</v>
          </cell>
          <cell r="E13" t="str">
            <v>pnb</v>
          </cell>
          <cell r="F13">
            <v>207652305.97000003</v>
          </cell>
        </row>
        <row r="14">
          <cell r="E14" t="str">
            <v>pnb</v>
          </cell>
          <cell r="F14">
            <v>-723753.34</v>
          </cell>
        </row>
        <row r="15">
          <cell r="B15" t="str">
            <v>Cash Equivalent</v>
          </cell>
          <cell r="C15">
            <v>820586838.25</v>
          </cell>
          <cell r="E15" t="str">
            <v>pnb</v>
          </cell>
          <cell r="F15">
            <v>11055616.619999999</v>
          </cell>
        </row>
        <row r="16">
          <cell r="E16" t="str">
            <v>pnb</v>
          </cell>
          <cell r="F16">
            <v>-11081759.75</v>
          </cell>
        </row>
        <row r="17">
          <cell r="B17" t="str">
            <v>Petty Cash and Working Funds</v>
          </cell>
          <cell r="C17">
            <v>3126759.8099999996</v>
          </cell>
          <cell r="E17" t="str">
            <v>ctibank</v>
          </cell>
          <cell r="F17">
            <v>0</v>
          </cell>
        </row>
        <row r="18">
          <cell r="E18" t="str">
            <v>ctibank</v>
          </cell>
          <cell r="F18">
            <v>0</v>
          </cell>
        </row>
        <row r="19">
          <cell r="B19" t="str">
            <v>Cash &amp; Checks (Accommodated)</v>
          </cell>
          <cell r="C19">
            <v>0</v>
          </cell>
          <cell r="E19" t="str">
            <v>ctibank</v>
          </cell>
          <cell r="F19">
            <v>0</v>
          </cell>
        </row>
        <row r="20">
          <cell r="E20" t="str">
            <v>ctibank</v>
          </cell>
          <cell r="F20">
            <v>0</v>
          </cell>
        </row>
        <row r="21">
          <cell r="A21" t="str">
            <v>Cash and Cash Equivalent</v>
          </cell>
          <cell r="C21">
            <v>2391938034.9299998</v>
          </cell>
          <cell r="E21" t="str">
            <v>citibank</v>
          </cell>
          <cell r="F21">
            <v>184742052.80999997</v>
          </cell>
        </row>
        <row r="22">
          <cell r="C22">
            <v>0</v>
          </cell>
          <cell r="E22" t="str">
            <v>citibank</v>
          </cell>
          <cell r="F22">
            <v>214478778.76999998</v>
          </cell>
        </row>
        <row r="23">
          <cell r="E23" t="str">
            <v>others</v>
          </cell>
          <cell r="F23">
            <v>79831947.349999994</v>
          </cell>
        </row>
        <row r="24">
          <cell r="E24" t="str">
            <v>others</v>
          </cell>
          <cell r="F24">
            <v>10301.530000000001</v>
          </cell>
        </row>
        <row r="25">
          <cell r="E25" t="str">
            <v>others</v>
          </cell>
          <cell r="F25">
            <v>0</v>
          </cell>
        </row>
        <row r="26">
          <cell r="E26" t="str">
            <v>others</v>
          </cell>
          <cell r="F26">
            <v>0</v>
          </cell>
        </row>
        <row r="27">
          <cell r="E27" t="str">
            <v>others</v>
          </cell>
          <cell r="F27">
            <v>0</v>
          </cell>
        </row>
        <row r="28">
          <cell r="E28" t="str">
            <v>others</v>
          </cell>
          <cell r="F28">
            <v>1512079.43</v>
          </cell>
        </row>
        <row r="29">
          <cell r="E29" t="str">
            <v>others</v>
          </cell>
          <cell r="F29">
            <v>3027843.96</v>
          </cell>
        </row>
      </sheetData>
      <sheetData sheetId="3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D-OI"/>
      <sheetName val="CERAII"/>
      <sheetName val="entries"/>
      <sheetName val="JE"/>
      <sheetName val="EFFECTIVE"/>
      <sheetName val="various"/>
      <sheetName val="EQUITY"/>
      <sheetName val="tax"/>
      <sheetName val="OPERREV"/>
      <sheetName val="8"/>
      <sheetName val="4"/>
      <sheetName val="JEREGS"/>
      <sheetName val="Analysis "/>
      <sheetName val="P2&amp;3"/>
      <sheetName val="HLP3-3B"/>
      <sheetName val="HLP4-4A"/>
      <sheetName val="HLP5"/>
      <sheetName val="HLP8"/>
      <sheetName val="HLP8A"/>
      <sheetName val="miscinc"/>
      <sheetName val="HLP3C-3D"/>
      <sheetName val="HLP 31C-31D"/>
      <sheetName val="quarterly"/>
      <sheetName val="PFRS whl amt"/>
      <sheetName val="PFRS"/>
      <sheetName val="Cus Refund"/>
      <sheetName val="w out PL"/>
      <sheetName val="FP 3C-3D"/>
      <sheetName val="FP QTR"/>
      <sheetName val="FP 3A-3A1"/>
      <sheetName val="FP PFRS"/>
      <sheetName val="Summar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F per SGV (2)"/>
      <sheetName val="IS SEC"/>
      <sheetName val="BS variance"/>
      <sheetName val="comparative bs"/>
      <sheetName val="BS"/>
      <sheetName val="IS"/>
      <sheetName val="cash flows per sgv"/>
      <sheetName val="working papers"/>
      <sheetName val="EQUITY_ENTRIES"/>
      <sheetName val="conso inc"/>
      <sheetName val="Entries"/>
      <sheetName val="12000010"/>
      <sheetName val="investment"/>
      <sheetName val="translation"/>
      <sheetName val="fxrate"/>
      <sheetName val="interco_petron_petrogen"/>
      <sheetName val="cash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orking paper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00"/>
      <sheetName val="CF per SGV"/>
      <sheetName val="working papers"/>
      <sheetName val="non-TAR"/>
      <sheetName val="defcred"/>
      <sheetName val="investment"/>
      <sheetName val="Black Scholes European"/>
    </sheetNames>
    <sheetDataSet>
      <sheetData sheetId="0"/>
      <sheetData sheetId="1"/>
      <sheetData sheetId="2"/>
      <sheetData sheetId="3"/>
      <sheetData sheetId="4"/>
      <sheetData sheetId="5"/>
      <sheetData sheetId="6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orking papers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kup"/>
      <sheetName val="Extract"/>
      <sheetName val="Final1"/>
      <sheetName val="Misc Charges &amp; Adj-PAGE7"/>
      <sheetName val="Others of Others"/>
      <sheetName val="validation"/>
      <sheetName val="For Reclass"/>
      <sheetName val="Materials"/>
      <sheetName val="Labor"/>
      <sheetName val="Cont Srvcs"/>
      <sheetName val="Part"/>
      <sheetName val="Misc"/>
      <sheetName val="2007-SUM-HL"/>
      <sheetName val="2008-SUM-HL"/>
      <sheetName val="YEAR-TO-DATE"/>
      <sheetName val="Materials-YTD"/>
      <sheetName val="Labor-YTD"/>
      <sheetName val="Cont Srvcs-YTD"/>
      <sheetName val="part-ytd"/>
      <sheetName val="misc-ytd"/>
      <sheetName val="2007-SUM-HL-YTD"/>
      <sheetName val="2008 SUM HL-YTD"/>
      <sheetName val="page6-sgv"/>
      <sheetName val="page7-sgv"/>
      <sheetName val="2008P6-sgv-YTD"/>
      <sheetName val="2008P7-sgv-YTD"/>
      <sheetName val="2007P6-sgv-YTD"/>
      <sheetName val="2007P7-sgv-YTD"/>
      <sheetName val="O&amp;M in peso"/>
      <sheetName val="Labor Cost"/>
      <sheetName val="Contracted Services"/>
      <sheetName val="Material &amp; Supplies"/>
      <sheetName val="Details Misc Charges &amp; Adjustme"/>
      <sheetName val="IS-ratio"/>
      <sheetName val="Analysis (2)"/>
      <sheetName val="Analysis"/>
      <sheetName val="Maintenance"/>
      <sheetName val="Sheet2"/>
      <sheetName val="major var"/>
      <sheetName val="Sheet1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/>
      <sheetData sheetId="16"/>
      <sheetData sheetId="17"/>
      <sheetData sheetId="18"/>
      <sheetData sheetId="19"/>
      <sheetData sheetId="20" refreshError="1"/>
      <sheetData sheetId="21"/>
      <sheetData sheetId="22"/>
      <sheetData sheetId="23"/>
      <sheetData sheetId="24" refreshError="1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kup"/>
      <sheetName val="Extract"/>
      <sheetName val="Final1"/>
      <sheetName val="Misc Charges &amp; Adj-PAGE7"/>
      <sheetName val="Others of Others"/>
      <sheetName val="validation"/>
      <sheetName val="For Reclass"/>
      <sheetName val="Materials"/>
      <sheetName val="Labor"/>
      <sheetName val="Cont Srvcs"/>
      <sheetName val="Part"/>
      <sheetName val="Misc"/>
      <sheetName val="2007-SUM-HL"/>
      <sheetName val="2008-SUM-HL"/>
      <sheetName val="YEAR-TO-DATE"/>
      <sheetName val="Materials-YTD"/>
      <sheetName val="Labor-YTD"/>
      <sheetName val="Cont Srvcs-YTD"/>
      <sheetName val="part-ytd"/>
      <sheetName val="misc-ytd"/>
      <sheetName val="2007-SUM-HL-YTD"/>
      <sheetName val="2008 SUM HL-YTD"/>
      <sheetName val="page6-sgv"/>
      <sheetName val="page7-sgv"/>
      <sheetName val="2008P6-sgv-YTD"/>
      <sheetName val="2008P7-sgv-YTD"/>
      <sheetName val="2007P6-sgv-YTD"/>
      <sheetName val="2007P7-sgv-YTD"/>
      <sheetName val="O&amp;M in peso"/>
      <sheetName val="Labor Cost"/>
      <sheetName val="Contracted Services"/>
      <sheetName val="Material &amp; Supplies"/>
      <sheetName val="Details Misc Charges &amp; Adjustme"/>
      <sheetName val="IS-ratio"/>
      <sheetName val="Analysis (2)"/>
      <sheetName val="Analysis"/>
      <sheetName val="Maintenance"/>
      <sheetName val="Sheet2"/>
      <sheetName val="major var"/>
      <sheetName val="Sheet1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/>
      <sheetData sheetId="16"/>
      <sheetData sheetId="17"/>
      <sheetData sheetId="18"/>
      <sheetData sheetId="19"/>
      <sheetData sheetId="20" refreshError="1"/>
      <sheetData sheetId="21"/>
      <sheetData sheetId="22"/>
      <sheetData sheetId="23"/>
      <sheetData sheetId="24" refreshError="1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E98"/>
      <sheetName val="2000"/>
      <sheetName val="2001"/>
      <sheetName val="2002"/>
      <sheetName val="BASIC &amp; 13MO"/>
      <sheetName val="BASIC &amp; 13MO functionalized"/>
      <sheetName val="SSSPHILPAGIBIG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E98"/>
      <sheetName val="2000"/>
      <sheetName val="2001"/>
      <sheetName val="2002"/>
      <sheetName val="BASIC &amp; 13MO"/>
      <sheetName val="BASIC &amp; 13MO functionalized"/>
      <sheetName val="SSSPHILPAGIBIG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E98"/>
      <sheetName val="2000"/>
      <sheetName val="2001"/>
      <sheetName val="2002"/>
      <sheetName val="BASIC &amp; 13MO"/>
      <sheetName val="BASIC &amp; 13MO functionalized"/>
      <sheetName val="SSSPHILPAGIBIG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E98"/>
      <sheetName val="2000"/>
      <sheetName val="2001"/>
      <sheetName val="2002"/>
      <sheetName val="BASIC &amp; 13MO"/>
      <sheetName val="BASIC &amp; 13MO functionalized"/>
      <sheetName val="SSSPHILPAGIBIG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-10_INCOME TAX COMPUTATION"/>
      <sheetName val="O-20_MCIT COMPUTATION"/>
      <sheetName val="O-21_COS RECON"/>
      <sheetName val="O-30_DIT ROLL"/>
      <sheetName val="O-11_PC_PSL_pbc"/>
      <sheetName val="O-12_PC_duty_pbc"/>
      <sheetName val="O-13_PBR_duty_pbc"/>
      <sheetName val="O-14_PC_capint_pbc"/>
      <sheetName val="O-15_PBR_capint_pbc"/>
      <sheetName val="O-16_IBRD_cap_int _sgv"/>
      <sheetName val="O-17_Inventory_pbc"/>
      <sheetName val="O-30_DIT ROLL @ 32.5%"/>
      <sheetName val="O-40_tax adjustments(embedded)"/>
      <sheetName val="O-41_tax.transitional(embedded)"/>
      <sheetName val="O-42_DIT nonderivative"/>
      <sheetName val="O-43_addtl ias 39 adj"/>
      <sheetName val="O-50_mktg&amp;pbr_pbc"/>
      <sheetName val="O-50_mktg&amp;pbr_pbc (revised)"/>
      <sheetName val="O-51_DIT 2005 (Depn)_pbc"/>
      <sheetName val="MCIT_pbc"/>
      <sheetName val="ING_real_fxloss"/>
      <sheetName val="PBR_PSL"/>
      <sheetName val="O-16_IBRD_cap_int _pbc"/>
      <sheetName val="IBRD_unr_fxloss"/>
      <sheetName val="IBRD _real_fxloss"/>
      <sheetName val="LSRA"/>
      <sheetName val="Sheet2"/>
      <sheetName val="WTax"/>
      <sheetName val="input_pbc"/>
      <sheetName val="payment_balance_pbc"/>
      <sheetName val="1702 format_pbc"/>
      <sheetName val="compare_final_pbc"/>
      <sheetName val="taxdue_final_pbc"/>
      <sheetName val="DIT 2005"/>
      <sheetName val="DIT 2004"/>
      <sheetName val="DIT 200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-10_INCOME TAX COMPUTATION"/>
      <sheetName val="O-20_MCIT COMPUTATION"/>
      <sheetName val="O-21_COS RECON"/>
      <sheetName val="O-30_DIT ROLL"/>
      <sheetName val="O-11_PC_PSL_pbc"/>
      <sheetName val="O-12_PC_duty_pbc"/>
      <sheetName val="O-13_PBR_duty_pbc"/>
      <sheetName val="O-14_PC_capint_pbc"/>
      <sheetName val="O-15_PBR_capint_pbc"/>
      <sheetName val="O-16_IBRD_cap_int _sgv"/>
      <sheetName val="O-17_Inventory_pbc"/>
      <sheetName val="O-30_DIT ROLL @ 32.5%"/>
      <sheetName val="O-40_tax adjustments(embedded)"/>
      <sheetName val="O-41_tax.transitional(embedded)"/>
      <sheetName val="O-42_DIT nonderivative"/>
      <sheetName val="O-43_addtl ias 39 adj"/>
      <sheetName val="O-50_mktg&amp;pbr_pbc"/>
      <sheetName val="O-50_mktg&amp;pbr_pbc (revised)"/>
      <sheetName val="O-51_DIT 2005 (Depn)_pbc"/>
      <sheetName val="MCIT_pbc"/>
      <sheetName val="ING_real_fxloss"/>
      <sheetName val="PBR_PSL"/>
      <sheetName val="O-16_IBRD_cap_int _pbc"/>
      <sheetName val="IBRD_unr_fxloss"/>
      <sheetName val="IBRD _real_fxloss"/>
      <sheetName val="LSRA"/>
      <sheetName val="Sheet2"/>
      <sheetName val="WTax"/>
      <sheetName val="input_pbc"/>
      <sheetName val="payment_balance_pbc"/>
      <sheetName val="1702 format_pbc"/>
      <sheetName val="compare_final_pbc"/>
      <sheetName val="taxdue_final_pbc"/>
      <sheetName val="DIT 2005"/>
      <sheetName val="DIT 2004"/>
      <sheetName val="DIT 200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nusedSL"/>
      <sheetName val="24024260"/>
      <sheetName val="13TH&amp;14TH"/>
      <sheetName val="25025400"/>
      <sheetName val="Sheet1"/>
      <sheetName val="PHILHEALTH"/>
      <sheetName val="SSSPREM"/>
      <sheetName val="DAILY"/>
      <sheetName val="RATE98"/>
    </sheetNames>
    <sheetDataSet>
      <sheetData sheetId="0">
        <row r="7">
          <cell r="A7">
            <v>0</v>
          </cell>
        </row>
      </sheetData>
      <sheetData sheetId="1"/>
      <sheetData sheetId="2"/>
      <sheetData sheetId="3"/>
      <sheetData sheetId="4">
        <row r="7">
          <cell r="A7">
            <v>0</v>
          </cell>
        </row>
      </sheetData>
      <sheetData sheetId="5" refreshError="1">
        <row r="7">
          <cell r="A7">
            <v>0</v>
          </cell>
          <cell r="B7">
            <v>3499.99</v>
          </cell>
          <cell r="C7">
            <v>3000</v>
          </cell>
          <cell r="D7">
            <v>75</v>
          </cell>
          <cell r="E7">
            <v>37.5</v>
          </cell>
          <cell r="F7">
            <v>37.5</v>
          </cell>
        </row>
        <row r="8">
          <cell r="A8">
            <v>3500</v>
          </cell>
          <cell r="B8">
            <v>3999.99</v>
          </cell>
          <cell r="C8">
            <v>3500</v>
          </cell>
          <cell r="D8">
            <v>87.5</v>
          </cell>
          <cell r="E8">
            <v>43.75</v>
          </cell>
          <cell r="F8">
            <v>43.75</v>
          </cell>
        </row>
        <row r="9">
          <cell r="A9">
            <v>4000</v>
          </cell>
          <cell r="B9">
            <v>4499.99</v>
          </cell>
          <cell r="C9">
            <v>4000</v>
          </cell>
          <cell r="D9">
            <v>100</v>
          </cell>
          <cell r="E9">
            <v>50</v>
          </cell>
          <cell r="F9">
            <v>50</v>
          </cell>
        </row>
        <row r="10">
          <cell r="A10">
            <v>4500</v>
          </cell>
          <cell r="B10">
            <v>4999.99</v>
          </cell>
          <cell r="C10">
            <v>4500</v>
          </cell>
          <cell r="D10">
            <v>112.5</v>
          </cell>
          <cell r="E10">
            <v>56.25</v>
          </cell>
          <cell r="F10">
            <v>56.25</v>
          </cell>
        </row>
        <row r="11">
          <cell r="A11">
            <v>5000</v>
          </cell>
          <cell r="B11">
            <v>5499.99</v>
          </cell>
          <cell r="C11">
            <v>5000</v>
          </cell>
          <cell r="D11">
            <v>125</v>
          </cell>
          <cell r="E11">
            <v>62.5</v>
          </cell>
          <cell r="F11">
            <v>62.5</v>
          </cell>
        </row>
        <row r="12">
          <cell r="A12">
            <v>5500</v>
          </cell>
          <cell r="B12">
            <v>5999.99</v>
          </cell>
          <cell r="C12">
            <v>5500</v>
          </cell>
          <cell r="D12">
            <v>137.5</v>
          </cell>
          <cell r="E12">
            <v>68.75</v>
          </cell>
          <cell r="F12">
            <v>68.75</v>
          </cell>
        </row>
        <row r="13">
          <cell r="A13">
            <v>6000</v>
          </cell>
          <cell r="B13">
            <v>6499.99</v>
          </cell>
          <cell r="C13">
            <v>6000</v>
          </cell>
          <cell r="D13">
            <v>150</v>
          </cell>
          <cell r="E13">
            <v>75</v>
          </cell>
          <cell r="F13">
            <v>75</v>
          </cell>
        </row>
        <row r="14">
          <cell r="A14">
            <v>6500</v>
          </cell>
          <cell r="B14">
            <v>6999.99</v>
          </cell>
          <cell r="C14">
            <v>6500</v>
          </cell>
          <cell r="D14">
            <v>162.5</v>
          </cell>
          <cell r="E14">
            <v>81.25</v>
          </cell>
          <cell r="F14">
            <v>81.25</v>
          </cell>
        </row>
        <row r="15">
          <cell r="A15">
            <v>7000</v>
          </cell>
          <cell r="B15">
            <v>7499.99</v>
          </cell>
          <cell r="C15">
            <v>7000</v>
          </cell>
          <cell r="D15">
            <v>175</v>
          </cell>
          <cell r="E15">
            <v>87.5</v>
          </cell>
          <cell r="F15">
            <v>87.5</v>
          </cell>
        </row>
        <row r="16">
          <cell r="A16">
            <v>7500</v>
          </cell>
          <cell r="B16">
            <v>7999.99</v>
          </cell>
          <cell r="C16">
            <v>7500</v>
          </cell>
          <cell r="D16">
            <v>187.5</v>
          </cell>
          <cell r="E16">
            <v>93.75</v>
          </cell>
          <cell r="F16">
            <v>93.75</v>
          </cell>
        </row>
        <row r="17">
          <cell r="A17">
            <v>8000</v>
          </cell>
          <cell r="B17">
            <v>8499.99</v>
          </cell>
          <cell r="C17">
            <v>8000</v>
          </cell>
          <cell r="D17">
            <v>200</v>
          </cell>
          <cell r="E17">
            <v>100</v>
          </cell>
          <cell r="F17">
            <v>100</v>
          </cell>
        </row>
        <row r="18">
          <cell r="A18">
            <v>8500</v>
          </cell>
          <cell r="B18">
            <v>8999.99</v>
          </cell>
          <cell r="C18">
            <v>8500</v>
          </cell>
          <cell r="D18">
            <v>212.5</v>
          </cell>
          <cell r="E18">
            <v>106.25</v>
          </cell>
          <cell r="F18">
            <v>106.25</v>
          </cell>
        </row>
        <row r="19">
          <cell r="A19">
            <v>9000</v>
          </cell>
          <cell r="B19">
            <v>9499.99</v>
          </cell>
          <cell r="C19">
            <v>9000</v>
          </cell>
          <cell r="D19">
            <v>225</v>
          </cell>
          <cell r="E19">
            <v>112.5</v>
          </cell>
          <cell r="F19">
            <v>112.5</v>
          </cell>
        </row>
        <row r="20">
          <cell r="A20">
            <v>9500</v>
          </cell>
          <cell r="B20">
            <v>9999.99</v>
          </cell>
          <cell r="C20">
            <v>9500</v>
          </cell>
          <cell r="D20">
            <v>237.5</v>
          </cell>
          <cell r="E20">
            <v>118.75</v>
          </cell>
          <cell r="F20">
            <v>118.75</v>
          </cell>
        </row>
        <row r="21">
          <cell r="A21">
            <v>10000</v>
          </cell>
          <cell r="B21" t="str">
            <v>UP</v>
          </cell>
          <cell r="C21">
            <v>10000</v>
          </cell>
          <cell r="D21">
            <v>250</v>
          </cell>
          <cell r="E21">
            <v>125</v>
          </cell>
          <cell r="F21">
            <v>125</v>
          </cell>
        </row>
      </sheetData>
      <sheetData sheetId="6"/>
      <sheetData sheetId="7"/>
      <sheetData sheetId="8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1"/>
      <sheetName val="E1"/>
      <sheetName val="Cover (2)"/>
      <sheetName val="Financials (2)"/>
      <sheetName val="Analytics (2)"/>
      <sheetName val="ConCom"/>
      <sheetName val="Cover"/>
      <sheetName val="Financials"/>
      <sheetName val="Analytics"/>
      <sheetName val="Aje"/>
      <sheetName val="Trial Balance"/>
      <sheetName val="master"/>
      <sheetName val="Page1"/>
      <sheetName val="Page2"/>
      <sheetName val="Page3"/>
      <sheetName val="CFS"/>
      <sheetName val="IncTax"/>
      <sheetName val="A1"/>
      <sheetName val="A2"/>
      <sheetName val="A3"/>
      <sheetName val="A4"/>
      <sheetName val="A5"/>
      <sheetName val="A6"/>
      <sheetName val="L1"/>
      <sheetName val="L2"/>
      <sheetName val="L4"/>
      <sheetName val="S1"/>
      <sheetName val="R1"/>
      <sheetName val="Final1"/>
      <sheetName val="working paper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1"/>
      <sheetName val="E1"/>
    </sheetNames>
    <sheetDataSet>
      <sheetData sheetId="0" refreshError="1"/>
      <sheetData sheetId="1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VALUATION2000"/>
      <sheetName val="Table 2"/>
      <sheetName val="Table 3"/>
      <sheetName val="dissallowances"/>
      <sheetName val="Payroll 2002-PagibigSSSPhil"/>
      <sheetName val="Analysis of Payroll ,Benefits "/>
      <sheetName val="Table of Contents"/>
      <sheetName val="Table of Adjustments"/>
      <sheetName val="updated payroll less CBA"/>
      <sheetName val="final evaluation"/>
      <sheetName val="Cost by Function"/>
      <sheetName val="Factors"/>
      <sheetName val="REV. RQMT.STMT."/>
      <sheetName val="comparison of rates"/>
      <sheetName val="Summary by Class"/>
      <sheetName val="Gen by Class"/>
      <sheetName val="Trans by Class"/>
      <sheetName val="Class RatiosD"/>
      <sheetName val="Dist by Class"/>
      <sheetName val="Class RatiosS"/>
      <sheetName val="Supply by Class"/>
      <sheetName val="Metering by Class"/>
      <sheetName val="PowerExpense"/>
      <sheetName val="Debt Service2000"/>
      <sheetName val="Debt Service2002"/>
      <sheetName val="MFSR"/>
      <sheetName val="Comsched-Revised"/>
      <sheetName val="MFSR2002"/>
      <sheetName val="Annualization"/>
      <sheetName val="ALLOC. FACTORS"/>
      <sheetName val="demand allocations"/>
      <sheetName val="energy &amp; customer allocations"/>
      <sheetName val="notes"/>
      <sheetName val="normalization"/>
      <sheetName val="schedule 4"/>
      <sheetName val="REVENUE COMPARISON"/>
      <sheetName val="POWER COSTS-SL&amp;CU COMPUTATION"/>
      <sheetName val="comparison-R"/>
      <sheetName val="comparison-I"/>
      <sheetName val="comparison-C"/>
      <sheetName val="comparison-PB"/>
      <sheetName val="REV VS ERC SUMMARY"/>
      <sheetName val="REVENUE ACTUAL VS ERC PROPOSED"/>
      <sheetName val="UFR VS Actual Dec 2002"/>
      <sheetName val="Decision Rate Schedule"/>
      <sheetName val="rate design final"/>
      <sheetName val="comparison-SL"/>
      <sheetName val="comparison-LL"/>
      <sheetName val="comparison-SPL"/>
      <sheetName val="Prop. Rate"/>
      <sheetName val="Cost of Capital"/>
      <sheetName val="Cost of CWC"/>
      <sheetName val="Class FactorsG"/>
      <sheetName val="Rev. St.- Prop. Rate"/>
      <sheetName val="Rev. St. - Exist. Rate"/>
      <sheetName val="Cross Sub."/>
      <sheetName val="Lifeline"/>
      <sheetName val="Class RatiosG"/>
      <sheetName val="Class FactorsT"/>
      <sheetName val="Class RatiosT"/>
      <sheetName val="Class FactorsD"/>
      <sheetName val="Class FactorsS"/>
      <sheetName val="Class FactorsM"/>
      <sheetName val="Class RatiosM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 refreshError="1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x"/>
      <sheetName val="forex 12-06"/>
      <sheetName val="ICC 12-06"/>
      <sheetName val="12-2006"/>
      <sheetName val="iapd"/>
      <sheetName val="Sheet2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x"/>
      <sheetName val="forex 12-06"/>
      <sheetName val="ICC 12-06"/>
      <sheetName val="12-2006"/>
      <sheetName val="iapd"/>
      <sheetName val="Sheet2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"/>
      <sheetName val="table1"/>
      <sheetName val="table2"/>
      <sheetName val="table3&amp;4"/>
      <sheetName val="PXFa"/>
      <sheetName val="PXFb"/>
      <sheetName val="caploss"/>
      <sheetName val="dtlossa"/>
      <sheetName val="dtlossb"/>
      <sheetName val="sleof"/>
      <sheetName val="slenf"/>
      <sheetName val="lineof"/>
      <sheetName val="linenf"/>
    </sheetNames>
    <sheetDataSet>
      <sheetData sheetId="0" refreshError="1">
        <row r="2">
          <cell r="A2" t="str">
            <v>TECHNICAL  LOSSES</v>
          </cell>
        </row>
        <row r="4">
          <cell r="A4">
            <v>38473</v>
          </cell>
        </row>
        <row r="9">
          <cell r="A9" t="str">
            <v>LOSS COMPONENT</v>
          </cell>
          <cell r="D9" t="str">
            <v>MW-HR LOSS</v>
          </cell>
          <cell r="F9" t="str">
            <v>PERCENT</v>
          </cell>
        </row>
        <row r="12">
          <cell r="A12" t="str">
            <v xml:space="preserve">   1.</v>
          </cell>
          <cell r="B12" t="str">
            <v>SUBTRANSMISSION LINES</v>
          </cell>
          <cell r="D12">
            <v>83063.247584986893</v>
          </cell>
          <cell r="F12">
            <v>7.3379041274836253E-3</v>
          </cell>
        </row>
        <row r="13">
          <cell r="A13" t="str">
            <v xml:space="preserve">   2.</v>
          </cell>
          <cell r="B13" t="str">
            <v>POWER TRANSFORMERS</v>
          </cell>
        </row>
        <row r="14">
          <cell r="B14" t="str">
            <v xml:space="preserve">  A) 230 KV - S/T  PT</v>
          </cell>
          <cell r="D14">
            <v>5009.3967010888091</v>
          </cell>
          <cell r="F14">
            <v>4.4253594457058367E-4</v>
          </cell>
        </row>
        <row r="15">
          <cell r="B15" t="str">
            <v xml:space="preserve">  B) 115 KV - S/T  PT</v>
          </cell>
          <cell r="D15">
            <v>31589.694955628722</v>
          </cell>
          <cell r="F15">
            <v>2.7906704799097368E-3</v>
          </cell>
        </row>
        <row r="16">
          <cell r="B16" t="str">
            <v xml:space="preserve">  C) 115 KV -DIST. PT</v>
          </cell>
          <cell r="D16">
            <v>2649.0135272092293</v>
          </cell>
          <cell r="F16">
            <v>2.3401694323569745E-4</v>
          </cell>
        </row>
        <row r="17">
          <cell r="B17" t="str">
            <v xml:space="preserve">  D) 69 KV &amp; BELOW</v>
          </cell>
          <cell r="D17">
            <v>9318.1551064977484</v>
          </cell>
          <cell r="F17">
            <v>8.2317668529084675E-4</v>
          </cell>
        </row>
        <row r="18">
          <cell r="A18" t="str">
            <v xml:space="preserve">   3.</v>
          </cell>
          <cell r="B18" t="str">
            <v>SUBSTATION CAPACITOR BANKS</v>
          </cell>
          <cell r="D18">
            <v>2275.8428165599998</v>
          </cell>
          <cell r="F18">
            <v>2.0105060761142182E-4</v>
          </cell>
        </row>
        <row r="19">
          <cell r="A19" t="str">
            <v xml:space="preserve">   4.</v>
          </cell>
          <cell r="B19" t="str">
            <v>PRIMARY LINES</v>
          </cell>
          <cell r="D19">
            <v>199605.57704040586</v>
          </cell>
          <cell r="F19">
            <v>1.7633389377593716E-2</v>
          </cell>
        </row>
        <row r="20">
          <cell r="A20" t="str">
            <v xml:space="preserve">   5.</v>
          </cell>
          <cell r="B20" t="str">
            <v>DISTRIBUTION TRANSFORMERS</v>
          </cell>
        </row>
        <row r="21">
          <cell r="B21" t="str">
            <v xml:space="preserve">  A) 20 KV</v>
          </cell>
          <cell r="D21">
            <v>155454.59631794502</v>
          </cell>
          <cell r="F21">
            <v>1.3733040268990459E-2</v>
          </cell>
        </row>
        <row r="22">
          <cell r="B22" t="str">
            <v xml:space="preserve">  B) 13.8 KV &amp; BELOW</v>
          </cell>
          <cell r="D22">
            <v>34130.9926806445</v>
          </cell>
          <cell r="F22">
            <v>3.0151716836036855E-3</v>
          </cell>
        </row>
        <row r="23">
          <cell r="A23" t="str">
            <v xml:space="preserve">   6.</v>
          </cell>
          <cell r="B23" t="str">
            <v>SPECIAL TRANSFORMERS</v>
          </cell>
          <cell r="D23">
            <v>2739.5490724081224</v>
          </cell>
          <cell r="F23">
            <v>2.4201495884566032E-4</v>
          </cell>
        </row>
        <row r="24">
          <cell r="A24" t="str">
            <v xml:space="preserve">   7.</v>
          </cell>
          <cell r="B24" t="str">
            <v>NETWORK TRANSFORMERS</v>
          </cell>
          <cell r="D24">
            <v>9319.8014089902008</v>
          </cell>
          <cell r="F24">
            <v>8.2332212157230325E-4</v>
          </cell>
        </row>
        <row r="25">
          <cell r="A25" t="str">
            <v xml:space="preserve">   8.</v>
          </cell>
          <cell r="B25" t="str">
            <v>LINE CAPACITOR BANKS</v>
          </cell>
          <cell r="D25">
            <v>1528.6100404234603</v>
          </cell>
          <cell r="F25">
            <v>1.3503919303732567E-4</v>
          </cell>
        </row>
        <row r="26">
          <cell r="A26" t="str">
            <v xml:space="preserve">   9.</v>
          </cell>
          <cell r="B26" t="str">
            <v>VOLTAGE REGULATORS</v>
          </cell>
          <cell r="D26">
            <v>52093.86648850028</v>
          </cell>
          <cell r="F26">
            <v>4.6020328970575661E-3</v>
          </cell>
        </row>
        <row r="27">
          <cell r="A27" t="str">
            <v xml:space="preserve"> 10.</v>
          </cell>
          <cell r="B27" t="str">
            <v>SECONDARY LINES AND SERVICE</v>
          </cell>
          <cell r="D27">
            <v>243727.79048850026</v>
          </cell>
          <cell r="F27">
            <v>2.1531197151642315E-2</v>
          </cell>
        </row>
        <row r="28">
          <cell r="B28" t="str">
            <v>WIRES</v>
          </cell>
        </row>
        <row r="29">
          <cell r="A29" t="str">
            <v xml:space="preserve"> 11.</v>
          </cell>
          <cell r="B29" t="str">
            <v>KILOWATT-HOUR METERS</v>
          </cell>
          <cell r="D29">
            <v>22857.405248053434</v>
          </cell>
          <cell r="F29">
            <v>2.0192498269664618E-3</v>
          </cell>
        </row>
        <row r="30">
          <cell r="B30" t="str">
            <v>TOTAL  . . . . . . . . . .</v>
          </cell>
          <cell r="D30">
            <v>844530.79620819876</v>
          </cell>
          <cell r="F30">
            <v>7.4606835098068744E-2</v>
          </cell>
        </row>
        <row r="33">
          <cell r="B33" t="str">
            <v>INPUT(MW-HR) . . . . . . .</v>
          </cell>
          <cell r="D33">
            <v>11319751</v>
          </cell>
        </row>
        <row r="37">
          <cell r="D37" t="str">
            <v>QUALITY ASSURANCE TEAM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"/>
      <sheetName val="table1"/>
      <sheetName val="table2"/>
      <sheetName val="table3&amp;4"/>
      <sheetName val="PXFa"/>
      <sheetName val="PXFb"/>
      <sheetName val="caploss"/>
      <sheetName val="dtlossa"/>
      <sheetName val="dtlossb"/>
      <sheetName val="sleof"/>
      <sheetName val="slenf"/>
      <sheetName val="lineof"/>
      <sheetName val="linenf"/>
    </sheetNames>
    <sheetDataSet>
      <sheetData sheetId="0" refreshError="1">
        <row r="2">
          <cell r="A2" t="str">
            <v>TECHNICAL  LOSSES</v>
          </cell>
        </row>
        <row r="4">
          <cell r="A4">
            <v>38473</v>
          </cell>
        </row>
        <row r="9">
          <cell r="A9" t="str">
            <v>LOSS COMPONENT</v>
          </cell>
          <cell r="D9" t="str">
            <v>MW-HR LOSS</v>
          </cell>
          <cell r="F9" t="str">
            <v>PERCENT</v>
          </cell>
        </row>
        <row r="12">
          <cell r="A12" t="str">
            <v xml:space="preserve">   1.</v>
          </cell>
          <cell r="B12" t="str">
            <v>SUBTRANSMISSION LINES</v>
          </cell>
          <cell r="D12">
            <v>83063.247584986893</v>
          </cell>
          <cell r="F12">
            <v>7.3379041274836253E-3</v>
          </cell>
        </row>
        <row r="13">
          <cell r="A13" t="str">
            <v xml:space="preserve">   2.</v>
          </cell>
          <cell r="B13" t="str">
            <v>POWER TRANSFORMERS</v>
          </cell>
        </row>
        <row r="14">
          <cell r="B14" t="str">
            <v xml:space="preserve">  A) 230 KV - S/T  PT</v>
          </cell>
          <cell r="D14">
            <v>5009.3967010888091</v>
          </cell>
          <cell r="F14">
            <v>4.4253594457058367E-4</v>
          </cell>
        </row>
        <row r="15">
          <cell r="B15" t="str">
            <v xml:space="preserve">  B) 115 KV - S/T  PT</v>
          </cell>
          <cell r="D15">
            <v>31589.694955628722</v>
          </cell>
          <cell r="F15">
            <v>2.7906704799097368E-3</v>
          </cell>
        </row>
        <row r="16">
          <cell r="B16" t="str">
            <v xml:space="preserve">  C) 115 KV -DIST. PT</v>
          </cell>
          <cell r="D16">
            <v>2649.0135272092293</v>
          </cell>
          <cell r="F16">
            <v>2.3401694323569745E-4</v>
          </cell>
        </row>
        <row r="17">
          <cell r="B17" t="str">
            <v xml:space="preserve">  D) 69 KV &amp; BELOW</v>
          </cell>
          <cell r="D17">
            <v>9318.1551064977484</v>
          </cell>
          <cell r="F17">
            <v>8.2317668529084675E-4</v>
          </cell>
        </row>
        <row r="18">
          <cell r="A18" t="str">
            <v xml:space="preserve">   3.</v>
          </cell>
          <cell r="B18" t="str">
            <v>SUBSTATION CAPACITOR BANKS</v>
          </cell>
          <cell r="D18">
            <v>2275.8428165599998</v>
          </cell>
          <cell r="F18">
            <v>2.0105060761142182E-4</v>
          </cell>
        </row>
        <row r="19">
          <cell r="A19" t="str">
            <v xml:space="preserve">   4.</v>
          </cell>
          <cell r="B19" t="str">
            <v>PRIMARY LINES</v>
          </cell>
          <cell r="D19">
            <v>199605.57704040586</v>
          </cell>
          <cell r="F19">
            <v>1.7633389377593716E-2</v>
          </cell>
        </row>
        <row r="20">
          <cell r="A20" t="str">
            <v xml:space="preserve">   5.</v>
          </cell>
          <cell r="B20" t="str">
            <v>DISTRIBUTION TRANSFORMERS</v>
          </cell>
        </row>
        <row r="21">
          <cell r="B21" t="str">
            <v xml:space="preserve">  A) 20 KV</v>
          </cell>
          <cell r="D21">
            <v>155454.59631794502</v>
          </cell>
          <cell r="F21">
            <v>1.3733040268990459E-2</v>
          </cell>
        </row>
        <row r="22">
          <cell r="B22" t="str">
            <v xml:space="preserve">  B) 13.8 KV &amp; BELOW</v>
          </cell>
          <cell r="D22">
            <v>34130.9926806445</v>
          </cell>
          <cell r="F22">
            <v>3.0151716836036855E-3</v>
          </cell>
        </row>
        <row r="23">
          <cell r="A23" t="str">
            <v xml:space="preserve">   6.</v>
          </cell>
          <cell r="B23" t="str">
            <v>SPECIAL TRANSFORMERS</v>
          </cell>
          <cell r="D23">
            <v>2739.5490724081224</v>
          </cell>
          <cell r="F23">
            <v>2.4201495884566032E-4</v>
          </cell>
        </row>
        <row r="24">
          <cell r="A24" t="str">
            <v xml:space="preserve">   7.</v>
          </cell>
          <cell r="B24" t="str">
            <v>NETWORK TRANSFORMERS</v>
          </cell>
          <cell r="D24">
            <v>9319.8014089902008</v>
          </cell>
          <cell r="F24">
            <v>8.2332212157230325E-4</v>
          </cell>
        </row>
        <row r="25">
          <cell r="A25" t="str">
            <v xml:space="preserve">   8.</v>
          </cell>
          <cell r="B25" t="str">
            <v>LINE CAPACITOR BANKS</v>
          </cell>
          <cell r="D25">
            <v>1528.6100404234603</v>
          </cell>
          <cell r="F25">
            <v>1.3503919303732567E-4</v>
          </cell>
        </row>
        <row r="26">
          <cell r="A26" t="str">
            <v xml:space="preserve">   9.</v>
          </cell>
          <cell r="B26" t="str">
            <v>VOLTAGE REGULATORS</v>
          </cell>
          <cell r="D26">
            <v>52093.86648850028</v>
          </cell>
          <cell r="F26">
            <v>4.6020328970575661E-3</v>
          </cell>
        </row>
        <row r="27">
          <cell r="A27" t="str">
            <v xml:space="preserve"> 10.</v>
          </cell>
          <cell r="B27" t="str">
            <v>SECONDARY LINES AND SERVICE</v>
          </cell>
          <cell r="D27">
            <v>243727.79048850026</v>
          </cell>
          <cell r="F27">
            <v>2.1531197151642315E-2</v>
          </cell>
        </row>
        <row r="28">
          <cell r="B28" t="str">
            <v>WIRES</v>
          </cell>
        </row>
        <row r="29">
          <cell r="A29" t="str">
            <v xml:space="preserve"> 11.</v>
          </cell>
          <cell r="B29" t="str">
            <v>KILOWATT-HOUR METERS</v>
          </cell>
          <cell r="D29">
            <v>22857.405248053434</v>
          </cell>
          <cell r="F29">
            <v>2.0192498269664618E-3</v>
          </cell>
        </row>
        <row r="30">
          <cell r="B30" t="str">
            <v>TOTAL  . . . . . . . . . .</v>
          </cell>
          <cell r="D30">
            <v>844530.79620819876</v>
          </cell>
          <cell r="F30">
            <v>7.4606835098068744E-2</v>
          </cell>
        </row>
        <row r="33">
          <cell r="B33" t="str">
            <v>INPUT(MW-HR) . . . . . . .</v>
          </cell>
          <cell r="D33">
            <v>11319751</v>
          </cell>
        </row>
        <row r="37">
          <cell r="D37" t="str">
            <v>QUALITY ASSURANCE TEAM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SUMMARY REG"/>
      <sheetName val="GOUR"/>
      <sheetName val="TOUR"/>
      <sheetName val="SLOUR"/>
      <sheetName val="GOUR CC"/>
      <sheetName val="TOUR CC"/>
      <sheetName val="SLOUR CC"/>
      <sheetName val="LOUR CC"/>
      <sheetName val="Sales Forecast"/>
      <sheetName val="Interest Rates"/>
      <sheetName val="Supplier &amp; Trans Data 2011"/>
      <sheetName val="Statistical data"/>
      <sheetName val="Actual Implemented Rates"/>
      <sheetName val="Generation Cost Data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3">
          <cell r="A3" t="str">
            <v>Year 2011</v>
          </cell>
        </row>
      </sheetData>
      <sheetData sheetId="12" refreshError="1"/>
      <sheetData sheetId="13" refreshError="1"/>
      <sheetData sheetId="14">
        <row r="344">
          <cell r="C344">
            <v>111657953</v>
          </cell>
          <cell r="D344">
            <v>115996148</v>
          </cell>
          <cell r="E344">
            <v>104319249</v>
          </cell>
          <cell r="F344">
            <v>103624649</v>
          </cell>
          <cell r="G344">
            <v>124440568</v>
          </cell>
          <cell r="H344">
            <v>120558124</v>
          </cell>
          <cell r="I344">
            <v>119206523</v>
          </cell>
          <cell r="J344">
            <v>139747453</v>
          </cell>
          <cell r="K344">
            <v>134586368</v>
          </cell>
          <cell r="L344">
            <v>115541744</v>
          </cell>
          <cell r="M344">
            <v>121401025.99999999</v>
          </cell>
        </row>
        <row r="349">
          <cell r="C349">
            <v>475764539.96470016</v>
          </cell>
          <cell r="D349">
            <v>519679204.50529987</v>
          </cell>
          <cell r="E349">
            <v>468136606.81570041</v>
          </cell>
          <cell r="F349">
            <v>472157833.88009965</v>
          </cell>
          <cell r="G349">
            <v>600565423.29800034</v>
          </cell>
          <cell r="H349">
            <v>581328516.83439898</v>
          </cell>
          <cell r="I349">
            <v>538810643.29270029</v>
          </cell>
          <cell r="J349">
            <v>637298456.30289984</v>
          </cell>
          <cell r="K349">
            <v>598123151.51270008</v>
          </cell>
          <cell r="L349">
            <v>523786175.63570011</v>
          </cell>
          <cell r="M349">
            <v>541454452.66139984</v>
          </cell>
        </row>
      </sheetData>
      <sheetData sheetId="15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 Page"/>
      <sheetName val="Supplier &amp; Trans Data 2012"/>
      <sheetName val="Statistical data"/>
      <sheetName val="Actual Implemented Rates"/>
      <sheetName val="Actual Implemented Lifeline"/>
      <sheetName val="GR"/>
      <sheetName val="TR"/>
      <sheetName val="SLR"/>
      <sheetName val="LD"/>
      <sheetName val="SR CIT. SUBSIDY"/>
      <sheetName val="BT &amp; FT "/>
      <sheetName val="DU VAT"/>
      <sheetName val="Monitoring Approved Adj"/>
      <sheetName val="Revenues"/>
      <sheetName val="Techl Data"/>
      <sheetName val="MRR"/>
      <sheetName val="Generation Cost Data"/>
      <sheetName val="System Loss Data"/>
      <sheetName val="Energy Sales Summary"/>
      <sheetName val="Revenues Data"/>
    </sheetNames>
    <sheetDataSet>
      <sheetData sheetId="0" refreshError="1"/>
      <sheetData sheetId="1">
        <row r="3">
          <cell r="A3" t="str">
            <v>For the Billing Months of January to December 2012</v>
          </cell>
        </row>
      </sheetData>
      <sheetData sheetId="2">
        <row r="183">
          <cell r="A183" t="str">
            <v xml:space="preserve">Residential </v>
          </cell>
        </row>
        <row r="186">
          <cell r="A186" t="str">
            <v>General Service A</v>
          </cell>
        </row>
        <row r="187">
          <cell r="A187" t="str">
            <v>GHMSCI</v>
          </cell>
        </row>
        <row r="188">
          <cell r="A188" t="str">
            <v>Customer Class3</v>
          </cell>
        </row>
        <row r="189">
          <cell r="A189" t="str">
            <v>Customer Class4</v>
          </cell>
        </row>
        <row r="190">
          <cell r="A190" t="str">
            <v>Customer Class5</v>
          </cell>
        </row>
        <row r="191">
          <cell r="A191" t="str">
            <v>Customer Class with mix rate1</v>
          </cell>
        </row>
        <row r="192">
          <cell r="A192" t="str">
            <v>Customer Class with mix rate2</v>
          </cell>
        </row>
        <row r="193">
          <cell r="A193" t="str">
            <v>Customer Class with mix rate3</v>
          </cell>
        </row>
        <row r="194">
          <cell r="A194" t="str">
            <v>Customer Class with mix rate4</v>
          </cell>
        </row>
        <row r="195">
          <cell r="A195" t="str">
            <v>Customer Class with mix rate5</v>
          </cell>
        </row>
        <row r="196">
          <cell r="A196" t="str">
            <v>Customer Class with mix rate6</v>
          </cell>
        </row>
        <row r="197">
          <cell r="A197" t="str">
            <v>Customer Class with mix rate7</v>
          </cell>
        </row>
        <row r="198">
          <cell r="A198" t="str">
            <v>General Service B</v>
          </cell>
        </row>
        <row r="199">
          <cell r="A199" t="str">
            <v>General Power- Secondary</v>
          </cell>
        </row>
        <row r="200">
          <cell r="A200" t="str">
            <v>General Power-Below 13.2kV</v>
          </cell>
        </row>
        <row r="201">
          <cell r="A201" t="str">
            <v>General Power-13.8/13.2 kV</v>
          </cell>
        </row>
        <row r="202">
          <cell r="A202" t="str">
            <v>General Power-34.5kV</v>
          </cell>
        </row>
        <row r="203">
          <cell r="A203" t="str">
            <v>General Power-69/115kV</v>
          </cell>
        </row>
      </sheetData>
      <sheetData sheetId="3"/>
      <sheetData sheetId="4" refreshError="1"/>
      <sheetData sheetId="5">
        <row r="24">
          <cell r="D24">
            <v>5.4642999999999997</v>
          </cell>
          <cell r="E24">
            <v>5.5773999999999999</v>
          </cell>
          <cell r="F24">
            <v>5.3348000000000004</v>
          </cell>
          <cell r="G24">
            <v>5.6620999999999997</v>
          </cell>
          <cell r="H24">
            <v>5.5983000000000001</v>
          </cell>
          <cell r="I24">
            <v>6.1375000000000002</v>
          </cell>
          <cell r="J24">
            <v>6.4549000000000003</v>
          </cell>
          <cell r="K24">
            <v>6.7397</v>
          </cell>
          <cell r="L24">
            <v>5.3964999999999996</v>
          </cell>
          <cell r="M24">
            <v>5.4978999999999996</v>
          </cell>
          <cell r="N24">
            <v>5.6330999999999998</v>
          </cell>
          <cell r="O24">
            <v>5.4817</v>
          </cell>
        </row>
        <row r="25">
          <cell r="D25">
            <v>4.5278</v>
          </cell>
          <cell r="E25">
            <v>4.8243999999999998</v>
          </cell>
          <cell r="F25">
            <v>4.8421000000000003</v>
          </cell>
          <cell r="G25">
            <v>4.8091999999999997</v>
          </cell>
          <cell r="H25">
            <v>5.4103000000000003</v>
          </cell>
          <cell r="I25">
            <v>5.4568000000000003</v>
          </cell>
          <cell r="J25">
            <v>5.4161999999999999</v>
          </cell>
          <cell r="K25">
            <v>4.9604999999999997</v>
          </cell>
          <cell r="L25">
            <v>4.8285</v>
          </cell>
          <cell r="M25">
            <v>4.8263999999999996</v>
          </cell>
          <cell r="N25">
            <v>4.9103000000000003</v>
          </cell>
          <cell r="O25">
            <v>4.7264999999999997</v>
          </cell>
        </row>
        <row r="26">
          <cell r="D26">
            <v>4.5959000000000003</v>
          </cell>
          <cell r="E26">
            <v>4.5949</v>
          </cell>
          <cell r="F26">
            <v>4.5941000000000001</v>
          </cell>
          <cell r="G26">
            <v>4.5994999999999999</v>
          </cell>
          <cell r="H26">
            <v>5.2858000000000001</v>
          </cell>
          <cell r="I26">
            <v>5.2820999999999998</v>
          </cell>
          <cell r="J26">
            <v>5.2594000000000003</v>
          </cell>
          <cell r="K26">
            <v>4.9025999999999996</v>
          </cell>
          <cell r="L26">
            <v>5.1021999999999998</v>
          </cell>
          <cell r="M26">
            <v>4.9546999999999999</v>
          </cell>
          <cell r="N26">
            <v>4.9507000000000003</v>
          </cell>
          <cell r="O26">
            <v>4.9555999999999996</v>
          </cell>
        </row>
        <row r="27">
          <cell r="D27">
            <v>4.6959</v>
          </cell>
          <cell r="E27">
            <v>4.6948999999999996</v>
          </cell>
          <cell r="F27">
            <v>4.6940999999999997</v>
          </cell>
          <cell r="G27">
            <v>4.6994999999999996</v>
          </cell>
          <cell r="H27">
            <v>5.3857999999999997</v>
          </cell>
          <cell r="I27">
            <v>5.3821000000000003</v>
          </cell>
          <cell r="J27">
            <v>5.3593999999999999</v>
          </cell>
          <cell r="K27">
            <v>6.2157</v>
          </cell>
          <cell r="L27">
            <v>4.6151999999999997</v>
          </cell>
          <cell r="M27">
            <v>4.6821999999999999</v>
          </cell>
          <cell r="N27">
            <v>4.6771000000000003</v>
          </cell>
          <cell r="O27">
            <v>4.6848999999999998</v>
          </cell>
        </row>
      </sheetData>
      <sheetData sheetId="6">
        <row r="79">
          <cell r="D79">
            <v>1.1901999999999999</v>
          </cell>
          <cell r="E79">
            <v>1.0365</v>
          </cell>
          <cell r="F79">
            <v>0.9849</v>
          </cell>
          <cell r="G79">
            <v>0.99509999999999998</v>
          </cell>
          <cell r="H79">
            <v>0.99199999999999999</v>
          </cell>
          <cell r="I79">
            <v>1.0683</v>
          </cell>
          <cell r="J79">
            <v>1.0085999999999999</v>
          </cell>
          <cell r="K79">
            <v>0.98870000000000002</v>
          </cell>
          <cell r="L79">
            <v>0.84160000000000001</v>
          </cell>
          <cell r="M79">
            <v>0.88790000000000002</v>
          </cell>
          <cell r="N79">
            <v>0.9748</v>
          </cell>
          <cell r="O79">
            <v>0.86739999999999995</v>
          </cell>
        </row>
        <row r="80">
          <cell r="D80">
            <v>1.1839999999999999</v>
          </cell>
          <cell r="E80">
            <v>1.0303</v>
          </cell>
          <cell r="F80">
            <v>0.97140000000000004</v>
          </cell>
          <cell r="G80">
            <v>0.98980000000000001</v>
          </cell>
          <cell r="H80">
            <v>0.98099999999999998</v>
          </cell>
          <cell r="I80">
            <v>1.0566</v>
          </cell>
          <cell r="J80">
            <v>0.99550000000000005</v>
          </cell>
          <cell r="K80">
            <v>0.98089999999999999</v>
          </cell>
          <cell r="L80">
            <v>0.83640000000000003</v>
          </cell>
          <cell r="M80">
            <v>0.87960000000000005</v>
          </cell>
          <cell r="N80">
            <v>0.9677</v>
          </cell>
          <cell r="O80">
            <v>0.85899999999999999</v>
          </cell>
        </row>
        <row r="82">
          <cell r="D82">
            <v>1.3726</v>
          </cell>
          <cell r="E82">
            <v>1.1686000000000001</v>
          </cell>
          <cell r="F82">
            <v>1.0686</v>
          </cell>
          <cell r="G82">
            <v>1.159</v>
          </cell>
          <cell r="H82">
            <v>1.1286</v>
          </cell>
          <cell r="I82">
            <v>1.1859999999999999</v>
          </cell>
          <cell r="J82">
            <v>1.0936999999999999</v>
          </cell>
          <cell r="K82">
            <v>1.1249</v>
          </cell>
          <cell r="L82">
            <v>0.9798</v>
          </cell>
          <cell r="M82">
            <v>0.98070000000000002</v>
          </cell>
          <cell r="N82">
            <v>1.1138999999999999</v>
          </cell>
          <cell r="O82">
            <v>0.97030000000000005</v>
          </cell>
        </row>
        <row r="93">
          <cell r="D93">
            <v>350.51</v>
          </cell>
          <cell r="E93">
            <v>301.23</v>
          </cell>
          <cell r="F93">
            <v>283.57</v>
          </cell>
          <cell r="G93">
            <v>296.27</v>
          </cell>
          <cell r="H93">
            <v>290.89999999999998</v>
          </cell>
          <cell r="I93">
            <v>314.77</v>
          </cell>
          <cell r="J93">
            <v>291.23</v>
          </cell>
          <cell r="K93">
            <v>294.52</v>
          </cell>
          <cell r="L93">
            <v>253.94</v>
          </cell>
          <cell r="M93">
            <v>252.71</v>
          </cell>
          <cell r="N93">
            <v>294.58999999999997</v>
          </cell>
          <cell r="O93">
            <v>250.57</v>
          </cell>
        </row>
        <row r="94">
          <cell r="D94">
            <v>395.94</v>
          </cell>
          <cell r="E94">
            <v>338.63</v>
          </cell>
          <cell r="F94">
            <v>325.02</v>
          </cell>
          <cell r="G94">
            <v>333.15</v>
          </cell>
          <cell r="H94">
            <v>325.57</v>
          </cell>
          <cell r="I94">
            <v>361.23</v>
          </cell>
          <cell r="J94">
            <v>338.14</v>
          </cell>
          <cell r="K94">
            <v>334.53</v>
          </cell>
          <cell r="L94">
            <v>283.63</v>
          </cell>
          <cell r="M94">
            <v>292.07</v>
          </cell>
          <cell r="N94">
            <v>333.76</v>
          </cell>
          <cell r="O94">
            <v>285.69</v>
          </cell>
        </row>
        <row r="95">
          <cell r="D95">
            <v>414.64</v>
          </cell>
          <cell r="E95">
            <v>355.04</v>
          </cell>
          <cell r="F95">
            <v>332.01</v>
          </cell>
          <cell r="G95">
            <v>337.92</v>
          </cell>
          <cell r="H95">
            <v>328.25</v>
          </cell>
          <cell r="I95">
            <v>365.75</v>
          </cell>
          <cell r="J95">
            <v>349.13</v>
          </cell>
          <cell r="K95">
            <v>343.05</v>
          </cell>
          <cell r="L95">
            <v>292.07</v>
          </cell>
          <cell r="M95">
            <v>303.7</v>
          </cell>
          <cell r="N95">
            <v>344.43</v>
          </cell>
          <cell r="O95">
            <v>302.04000000000002</v>
          </cell>
        </row>
        <row r="97">
          <cell r="D97">
            <v>467.78</v>
          </cell>
          <cell r="E97">
            <v>392.07</v>
          </cell>
          <cell r="F97">
            <v>379.15</v>
          </cell>
          <cell r="G97">
            <v>383.19</v>
          </cell>
          <cell r="H97">
            <v>373.8</v>
          </cell>
          <cell r="I97">
            <v>423.62</v>
          </cell>
          <cell r="J97">
            <v>409.39</v>
          </cell>
          <cell r="K97">
            <v>412.59</v>
          </cell>
          <cell r="L97">
            <v>343.75</v>
          </cell>
          <cell r="M97">
            <v>344.81</v>
          </cell>
          <cell r="N97">
            <v>386.27</v>
          </cell>
          <cell r="O97">
            <v>340.43</v>
          </cell>
        </row>
        <row r="98">
          <cell r="D98">
            <v>384.92</v>
          </cell>
          <cell r="E98">
            <v>309.20999999999998</v>
          </cell>
          <cell r="F98">
            <v>296.29000000000002</v>
          </cell>
          <cell r="G98">
            <v>300.33</v>
          </cell>
          <cell r="H98">
            <v>290.94</v>
          </cell>
          <cell r="I98">
            <v>340.76</v>
          </cell>
          <cell r="J98">
            <v>326.52999999999997</v>
          </cell>
          <cell r="K98">
            <v>329.73</v>
          </cell>
          <cell r="L98">
            <v>260.89</v>
          </cell>
          <cell r="M98">
            <v>261.95</v>
          </cell>
          <cell r="N98">
            <v>303.41000000000003</v>
          </cell>
          <cell r="O98">
            <v>257.57</v>
          </cell>
        </row>
      </sheetData>
      <sheetData sheetId="7">
        <row r="122">
          <cell r="D122">
            <v>0.65939999999999999</v>
          </cell>
          <cell r="E122">
            <v>0.65849999999999997</v>
          </cell>
          <cell r="F122">
            <v>0.624</v>
          </cell>
          <cell r="G122">
            <v>0.66700000000000004</v>
          </cell>
          <cell r="H122">
            <v>0.69189999999999996</v>
          </cell>
          <cell r="I122">
            <v>0.73960000000000004</v>
          </cell>
          <cell r="J122">
            <v>0.76259999999999994</v>
          </cell>
          <cell r="K122">
            <v>0.77769999999999995</v>
          </cell>
          <cell r="L122">
            <v>0.61739999999999995</v>
          </cell>
          <cell r="M122">
            <v>0.63919999999999999</v>
          </cell>
          <cell r="N122">
            <v>0.66279999999999994</v>
          </cell>
          <cell r="O122">
            <v>0.62280000000000002</v>
          </cell>
        </row>
        <row r="138">
          <cell r="D138">
            <v>0.32350000000000001</v>
          </cell>
          <cell r="E138">
            <v>0.31990000000000002</v>
          </cell>
          <cell r="F138">
            <v>0.29249999999999998</v>
          </cell>
          <cell r="G138">
            <v>0.30659999999999998</v>
          </cell>
          <cell r="H138">
            <v>0.311</v>
          </cell>
          <cell r="I138">
            <v>0.30170000000000002</v>
          </cell>
          <cell r="J138">
            <v>0.31630000000000003</v>
          </cell>
          <cell r="K138">
            <v>0.31380000000000002</v>
          </cell>
          <cell r="L138">
            <v>0.252</v>
          </cell>
          <cell r="M138">
            <v>0.26369999999999999</v>
          </cell>
          <cell r="N138">
            <v>0.26269999999999999</v>
          </cell>
          <cell r="O138">
            <v>0.2445</v>
          </cell>
        </row>
        <row r="141">
          <cell r="D141">
            <v>7.7100000000000002E-2</v>
          </cell>
          <cell r="E141">
            <v>7.7600000000000002E-2</v>
          </cell>
          <cell r="F141">
            <v>7.2900000000000006E-2</v>
          </cell>
          <cell r="G141">
            <v>7.8E-2</v>
          </cell>
          <cell r="H141">
            <v>7.9899999999999999E-2</v>
          </cell>
          <cell r="I141">
            <v>8.09E-2</v>
          </cell>
          <cell r="J141">
            <v>8.5599999999999996E-2</v>
          </cell>
          <cell r="K141">
            <v>8.6300000000000002E-2</v>
          </cell>
          <cell r="L141">
            <v>6.9099999999999995E-2</v>
          </cell>
          <cell r="M141">
            <v>7.22E-2</v>
          </cell>
          <cell r="N141">
            <v>7.2700000000000001E-2</v>
          </cell>
          <cell r="O141">
            <v>6.7500000000000004E-2</v>
          </cell>
        </row>
        <row r="143">
          <cell r="D143">
            <v>0.62029999999999996</v>
          </cell>
          <cell r="E143">
            <v>0.61709999999999998</v>
          </cell>
          <cell r="F143">
            <v>0.58540000000000003</v>
          </cell>
          <cell r="G143">
            <v>0.62060000000000004</v>
          </cell>
          <cell r="H143">
            <v>0.61240000000000006</v>
          </cell>
          <cell r="I143">
            <v>0.66930000000000001</v>
          </cell>
          <cell r="J143">
            <v>0.69289999999999996</v>
          </cell>
          <cell r="K143">
            <v>0.71860000000000002</v>
          </cell>
          <cell r="L143">
            <v>0.58040000000000003</v>
          </cell>
          <cell r="M143">
            <v>0.59199999999999997</v>
          </cell>
          <cell r="N143">
            <v>0.61439999999999995</v>
          </cell>
          <cell r="O143">
            <v>0.58899999999999997</v>
          </cell>
        </row>
        <row r="144">
          <cell r="D144">
            <v>0.2132</v>
          </cell>
          <cell r="E144">
            <v>0.21210000000000001</v>
          </cell>
          <cell r="F144">
            <v>0.20130000000000001</v>
          </cell>
          <cell r="G144">
            <v>0.21340000000000001</v>
          </cell>
          <cell r="H144">
            <v>0.21049999999999999</v>
          </cell>
          <cell r="I144">
            <v>0.2301</v>
          </cell>
          <cell r="J144">
            <v>0.2382</v>
          </cell>
          <cell r="K144">
            <v>0.247</v>
          </cell>
          <cell r="L144">
            <v>0.19950000000000001</v>
          </cell>
          <cell r="M144">
            <v>0.20349999999999999</v>
          </cell>
          <cell r="N144">
            <v>0.2112</v>
          </cell>
          <cell r="O144">
            <v>0.20250000000000001</v>
          </cell>
        </row>
        <row r="146">
          <cell r="G146">
            <v>0.60319999999999996</v>
          </cell>
          <cell r="H146">
            <v>0.59519999999999995</v>
          </cell>
          <cell r="I146">
            <v>0.65049999999999997</v>
          </cell>
          <cell r="J146">
            <v>0.67349999999999999</v>
          </cell>
          <cell r="K146">
            <v>0.69840000000000002</v>
          </cell>
          <cell r="L146">
            <v>0.56399999999999995</v>
          </cell>
          <cell r="M146">
            <v>0.57540000000000002</v>
          </cell>
          <cell r="N146">
            <v>0.59709999999999996</v>
          </cell>
          <cell r="O146">
            <v>0.57250000000000001</v>
          </cell>
        </row>
        <row r="147">
          <cell r="G147">
            <v>6.3799999999999996E-2</v>
          </cell>
          <cell r="H147">
            <v>6.2899999999999998E-2</v>
          </cell>
          <cell r="I147">
            <v>6.8699999999999997E-2</v>
          </cell>
          <cell r="J147">
            <v>7.1199999999999999E-2</v>
          </cell>
          <cell r="K147">
            <v>7.3800000000000004E-2</v>
          </cell>
          <cell r="L147">
            <v>5.96E-2</v>
          </cell>
          <cell r="M147">
            <v>6.08E-2</v>
          </cell>
          <cell r="N147">
            <v>6.3100000000000003E-2</v>
          </cell>
          <cell r="O147">
            <v>6.0499999999999998E-2</v>
          </cell>
        </row>
        <row r="148">
          <cell r="G148">
            <v>7.3200000000000001E-2</v>
          </cell>
          <cell r="H148">
            <v>7.2300000000000003E-2</v>
          </cell>
          <cell r="I148">
            <v>7.9000000000000001E-2</v>
          </cell>
          <cell r="J148">
            <v>8.1799999999999998E-2</v>
          </cell>
          <cell r="K148">
            <v>8.6300000000000002E-2</v>
          </cell>
          <cell r="L148">
            <v>6.9099999999999995E-2</v>
          </cell>
          <cell r="M148">
            <v>7.22E-2</v>
          </cell>
          <cell r="N148">
            <v>7.2700000000000001E-2</v>
          </cell>
          <cell r="O148">
            <v>6.7500000000000004E-2</v>
          </cell>
        </row>
      </sheetData>
      <sheetData sheetId="8">
        <row r="38">
          <cell r="E38">
            <v>0.1404</v>
          </cell>
          <cell r="F38">
            <v>0.14729999999999999</v>
          </cell>
          <cell r="G38">
            <v>0.13950000000000001</v>
          </cell>
          <cell r="H38">
            <v>0.14099999999999999</v>
          </cell>
          <cell r="I38">
            <v>0.1283</v>
          </cell>
          <cell r="J38">
            <v>0.1103</v>
          </cell>
          <cell r="K38">
            <v>0.11559999999999999</v>
          </cell>
          <cell r="L38">
            <v>0.1419</v>
          </cell>
          <cell r="M38">
            <v>0.15759999999999999</v>
          </cell>
          <cell r="N38">
            <v>0.1288</v>
          </cell>
          <cell r="O38">
            <v>0.1321</v>
          </cell>
          <cell r="P38">
            <v>0.1331</v>
          </cell>
        </row>
      </sheetData>
      <sheetData sheetId="9">
        <row r="91">
          <cell r="E91">
            <v>1E-4</v>
          </cell>
          <cell r="F91">
            <v>1E-4</v>
          </cell>
          <cell r="G91">
            <v>1E-4</v>
          </cell>
          <cell r="H91">
            <v>1E-4</v>
          </cell>
          <cell r="I91">
            <v>1E-4</v>
          </cell>
          <cell r="J91">
            <v>1E-4</v>
          </cell>
          <cell r="K91">
            <v>1E-4</v>
          </cell>
          <cell r="L91">
            <v>1E-4</v>
          </cell>
          <cell r="M91">
            <v>1E-4</v>
          </cell>
          <cell r="N91">
            <v>1E-4</v>
          </cell>
          <cell r="O91">
            <v>1E-4</v>
          </cell>
          <cell r="P91">
            <v>1E-4</v>
          </cell>
        </row>
      </sheetData>
      <sheetData sheetId="10" refreshError="1"/>
      <sheetData sheetId="11">
        <row r="15">
          <cell r="D15">
            <v>0.1095</v>
          </cell>
          <cell r="E15">
            <v>0.1114</v>
          </cell>
          <cell r="F15">
            <v>0.1114</v>
          </cell>
          <cell r="G15">
            <v>0.1135</v>
          </cell>
          <cell r="H15">
            <v>0.1147</v>
          </cell>
          <cell r="I15">
            <v>0.11409999999999999</v>
          </cell>
          <cell r="J15">
            <v>0.11020000000000001</v>
          </cell>
          <cell r="K15">
            <v>0.10290000000000001</v>
          </cell>
          <cell r="L15">
            <v>0.114</v>
          </cell>
          <cell r="M15">
            <v>0.10929999999999999</v>
          </cell>
          <cell r="N15">
            <v>0.10970000000000001</v>
          </cell>
          <cell r="O15">
            <v>0.1105</v>
          </cell>
        </row>
        <row r="16">
          <cell r="D16">
            <v>0.11940000000000001</v>
          </cell>
          <cell r="E16">
            <v>0.11940000000000001</v>
          </cell>
          <cell r="F16">
            <v>0.11940000000000001</v>
          </cell>
          <cell r="G16">
            <v>0.11940000000000001</v>
          </cell>
          <cell r="H16">
            <v>0.1195</v>
          </cell>
          <cell r="I16">
            <v>0.1195</v>
          </cell>
          <cell r="J16">
            <v>0.1148</v>
          </cell>
          <cell r="K16">
            <v>0.11550000000000001</v>
          </cell>
          <cell r="L16">
            <v>0.1166</v>
          </cell>
          <cell r="M16">
            <v>0.1168</v>
          </cell>
          <cell r="N16">
            <v>0.1166</v>
          </cell>
          <cell r="O16">
            <v>0.1037</v>
          </cell>
        </row>
        <row r="21"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</row>
        <row r="26">
          <cell r="D26">
            <v>8.9899999999999994E-2</v>
          </cell>
          <cell r="E26">
            <v>9.3700000000000006E-2</v>
          </cell>
          <cell r="F26">
            <v>9.4399999999999998E-2</v>
          </cell>
          <cell r="G26">
            <v>9.6299999999999997E-2</v>
          </cell>
          <cell r="H26">
            <v>9.7600000000000006E-2</v>
          </cell>
          <cell r="I26">
            <v>9.7299999999999998E-2</v>
          </cell>
          <cell r="J26">
            <v>9.5600000000000004E-2</v>
          </cell>
          <cell r="K26">
            <v>8.9700000000000002E-2</v>
          </cell>
          <cell r="L26">
            <v>9.8400000000000001E-2</v>
          </cell>
          <cell r="M26">
            <v>9.4299999999999995E-2</v>
          </cell>
          <cell r="N26">
            <v>9.3399999999999997E-2</v>
          </cell>
          <cell r="O26">
            <v>9.5500000000000002E-2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 Page"/>
      <sheetName val="Supplier &amp; Trans Data 2013"/>
      <sheetName val="Statistical data"/>
      <sheetName val="Actual Implemented Rates"/>
      <sheetName val="Actual Implemented Lifeline"/>
      <sheetName val="GR"/>
      <sheetName val="TR"/>
      <sheetName val="SLR"/>
      <sheetName val="LD"/>
      <sheetName val="SR CIT. SUBSIDY"/>
      <sheetName val="BT &amp; FT "/>
      <sheetName val="DU VAT"/>
      <sheetName val="Monitoring Approved Adj"/>
      <sheetName val="Revenues"/>
      <sheetName val="Techl Data"/>
      <sheetName val="Generation Cost Data"/>
      <sheetName val="System Loss Data"/>
      <sheetName val="Energy Sales Summary"/>
      <sheetName val="Revenues Data"/>
    </sheetNames>
    <sheetDataSet>
      <sheetData sheetId="0" refreshError="1"/>
      <sheetData sheetId="1">
        <row r="3">
          <cell r="A3" t="str">
            <v>For January - December 2013 Billing</v>
          </cell>
        </row>
      </sheetData>
      <sheetData sheetId="2">
        <row r="206">
          <cell r="A206" t="str">
            <v xml:space="preserve">Residential </v>
          </cell>
        </row>
        <row r="209">
          <cell r="A209" t="str">
            <v>General Service A</v>
          </cell>
        </row>
        <row r="210">
          <cell r="A210" t="str">
            <v>GHMSCI</v>
          </cell>
        </row>
        <row r="211">
          <cell r="A211" t="str">
            <v>Customer Class3</v>
          </cell>
        </row>
        <row r="212">
          <cell r="A212" t="str">
            <v>Customer Class4</v>
          </cell>
        </row>
        <row r="213">
          <cell r="A213" t="str">
            <v>Customer Class5</v>
          </cell>
        </row>
        <row r="214">
          <cell r="A214" t="str">
            <v>Customer Class with mix rate1</v>
          </cell>
        </row>
        <row r="215">
          <cell r="A215" t="str">
            <v>Customer Class with mix rate2</v>
          </cell>
        </row>
        <row r="216">
          <cell r="A216" t="str">
            <v>Customer Class with mix rate3</v>
          </cell>
        </row>
        <row r="217">
          <cell r="A217" t="str">
            <v>Customer Class with mix rate4</v>
          </cell>
        </row>
        <row r="218">
          <cell r="A218" t="str">
            <v>Customer Class with mix rate5</v>
          </cell>
        </row>
        <row r="219">
          <cell r="A219" t="str">
            <v>Customer Class with mix rate6</v>
          </cell>
        </row>
        <row r="220">
          <cell r="A220" t="str">
            <v>Customer Class with mix rate7</v>
          </cell>
        </row>
        <row r="221">
          <cell r="A221" t="str">
            <v>General Service B</v>
          </cell>
        </row>
        <row r="222">
          <cell r="A222" t="str">
            <v>General Power- Secondary</v>
          </cell>
        </row>
        <row r="223">
          <cell r="A223" t="str">
            <v>General Power-Below 13.2kV</v>
          </cell>
        </row>
        <row r="224">
          <cell r="A224" t="str">
            <v>General Power-13.8/13.2 kV</v>
          </cell>
        </row>
        <row r="225">
          <cell r="A225" t="str">
            <v>General Power-34.5kV</v>
          </cell>
        </row>
        <row r="226">
          <cell r="A226" t="str">
            <v>General Power-69/115kV</v>
          </cell>
        </row>
      </sheetData>
      <sheetData sheetId="3"/>
      <sheetData sheetId="4" refreshError="1"/>
      <sheetData sheetId="5">
        <row r="21">
          <cell r="D21">
            <v>5.7910000000000004</v>
          </cell>
          <cell r="E21">
            <v>5.2413999999999996</v>
          </cell>
          <cell r="F21">
            <v>5.1864999999999997</v>
          </cell>
          <cell r="G21">
            <v>5.3872999999999998</v>
          </cell>
          <cell r="H21">
            <v>5.4703999999999997</v>
          </cell>
          <cell r="I21">
            <v>5.6580000000000004</v>
          </cell>
          <cell r="J21">
            <v>5.3269000000000002</v>
          </cell>
          <cell r="K21">
            <v>5.0479000000000003</v>
          </cell>
          <cell r="L21">
            <v>5.1746999999999996</v>
          </cell>
          <cell r="M21">
            <v>4.6832000000000003</v>
          </cell>
          <cell r="N21">
            <v>5.6673</v>
          </cell>
          <cell r="O21">
            <v>5.6673</v>
          </cell>
          <cell r="P21" t="e">
            <v>#DIV/0!</v>
          </cell>
        </row>
        <row r="22">
          <cell r="D22">
            <v>4.9383999999999997</v>
          </cell>
        </row>
        <row r="23">
          <cell r="D23">
            <v>5.1111000000000004</v>
          </cell>
        </row>
      </sheetData>
      <sheetData sheetId="6">
        <row r="64">
          <cell r="D64">
            <v>0.85109999999999997</v>
          </cell>
          <cell r="E64">
            <v>0.91400000000000003</v>
          </cell>
          <cell r="F64">
            <v>0.89900000000000002</v>
          </cell>
          <cell r="G64">
            <v>0.89729999999999999</v>
          </cell>
          <cell r="H64">
            <v>0.78010000000000002</v>
          </cell>
          <cell r="I64">
            <v>0.80469999999999997</v>
          </cell>
          <cell r="J64">
            <v>0.80520000000000003</v>
          </cell>
          <cell r="K64">
            <v>0.79720000000000002</v>
          </cell>
          <cell r="L64">
            <v>0.876</v>
          </cell>
          <cell r="M64">
            <v>0.874</v>
          </cell>
          <cell r="N64">
            <v>0.93920000000000003</v>
          </cell>
          <cell r="O64">
            <v>0.93920000000000003</v>
          </cell>
          <cell r="P64">
            <v>0</v>
          </cell>
        </row>
        <row r="65">
          <cell r="D65">
            <v>0.84489999999999998</v>
          </cell>
          <cell r="E65">
            <v>0.90910000000000002</v>
          </cell>
          <cell r="F65">
            <v>0.89049999999999996</v>
          </cell>
          <cell r="G65">
            <v>0.89639999999999997</v>
          </cell>
          <cell r="H65">
            <v>0.77249999999999996</v>
          </cell>
          <cell r="I65">
            <v>0.79420000000000002</v>
          </cell>
          <cell r="J65">
            <v>0.79420000000000002</v>
          </cell>
          <cell r="K65">
            <v>0.78969999999999996</v>
          </cell>
          <cell r="L65">
            <v>0.86709999999999998</v>
          </cell>
          <cell r="M65">
            <v>0.86519999999999997</v>
          </cell>
          <cell r="N65">
            <v>0.93330000000000002</v>
          </cell>
          <cell r="O65">
            <v>0.93330000000000002</v>
          </cell>
          <cell r="P65">
            <v>0</v>
          </cell>
        </row>
        <row r="67">
          <cell r="D67">
            <v>0.98399999999999999</v>
          </cell>
          <cell r="E67">
            <v>1.0732999999999999</v>
          </cell>
          <cell r="F67">
            <v>0.94140000000000001</v>
          </cell>
          <cell r="G67">
            <v>1.0905</v>
          </cell>
          <cell r="H67">
            <v>0.84560000000000002</v>
          </cell>
          <cell r="I67">
            <v>0.90029999999999999</v>
          </cell>
          <cell r="J67">
            <v>0.87649999999999995</v>
          </cell>
          <cell r="K67">
            <v>0.90080000000000005</v>
          </cell>
          <cell r="L67">
            <v>0.99680000000000002</v>
          </cell>
          <cell r="M67">
            <v>0.98</v>
          </cell>
          <cell r="N67">
            <v>1.0762</v>
          </cell>
          <cell r="O67">
            <v>1.0762</v>
          </cell>
          <cell r="P67">
            <v>0</v>
          </cell>
        </row>
        <row r="78">
          <cell r="D78">
            <v>255.83</v>
          </cell>
          <cell r="E78">
            <v>277.51</v>
          </cell>
          <cell r="F78">
            <v>233.63</v>
          </cell>
          <cell r="G78">
            <v>270.82</v>
          </cell>
          <cell r="H78">
            <v>214.48</v>
          </cell>
          <cell r="I78">
            <v>246.38</v>
          </cell>
          <cell r="J78">
            <v>233.9</v>
          </cell>
          <cell r="K78">
            <v>239.24</v>
          </cell>
          <cell r="L78">
            <v>267.22000000000003</v>
          </cell>
          <cell r="M78">
            <v>253.41</v>
          </cell>
          <cell r="N78">
            <v>279.60000000000002</v>
          </cell>
          <cell r="O78">
            <v>279.60000000000002</v>
          </cell>
          <cell r="P78">
            <v>0</v>
          </cell>
        </row>
        <row r="79">
          <cell r="D79">
            <v>286.61</v>
          </cell>
          <cell r="E79">
            <v>305.04000000000002</v>
          </cell>
          <cell r="F79">
            <v>284.13</v>
          </cell>
          <cell r="G79">
            <v>300.72000000000003</v>
          </cell>
          <cell r="H79">
            <v>251.27</v>
          </cell>
          <cell r="I79">
            <v>278.35000000000002</v>
          </cell>
          <cell r="J79">
            <v>270.72000000000003</v>
          </cell>
          <cell r="K79">
            <v>272.32</v>
          </cell>
          <cell r="L79">
            <v>300.45999999999998</v>
          </cell>
          <cell r="M79">
            <v>289.92</v>
          </cell>
          <cell r="N79">
            <v>318.52</v>
          </cell>
          <cell r="O79">
            <v>318.52</v>
          </cell>
          <cell r="P79">
            <v>0</v>
          </cell>
        </row>
        <row r="80">
          <cell r="D80">
            <v>300.41000000000003</v>
          </cell>
          <cell r="E80">
            <v>322.67</v>
          </cell>
          <cell r="F80">
            <v>299.64</v>
          </cell>
          <cell r="G80">
            <v>301.92</v>
          </cell>
          <cell r="H80">
            <v>255.12</v>
          </cell>
          <cell r="I80">
            <v>279.33999999999997</v>
          </cell>
          <cell r="J80">
            <v>277.19</v>
          </cell>
          <cell r="K80">
            <v>286.49</v>
          </cell>
          <cell r="L80">
            <v>337.73</v>
          </cell>
          <cell r="M80">
            <v>314.89</v>
          </cell>
          <cell r="N80">
            <v>337.22</v>
          </cell>
          <cell r="O80">
            <v>337.22</v>
          </cell>
          <cell r="P80">
            <v>0</v>
          </cell>
        </row>
        <row r="82">
          <cell r="D82">
            <v>336.62</v>
          </cell>
          <cell r="E82">
            <v>351.24</v>
          </cell>
          <cell r="F82">
            <v>356.84</v>
          </cell>
          <cell r="G82">
            <v>334.66</v>
          </cell>
          <cell r="H82">
            <v>304.2</v>
          </cell>
          <cell r="I82">
            <v>319.66000000000003</v>
          </cell>
          <cell r="J82">
            <v>327.77</v>
          </cell>
          <cell r="K82">
            <v>320.05</v>
          </cell>
          <cell r="L82">
            <v>353.01</v>
          </cell>
          <cell r="M82">
            <v>346.84</v>
          </cell>
          <cell r="N82">
            <v>371.06</v>
          </cell>
          <cell r="O82">
            <v>371.06</v>
          </cell>
          <cell r="P82">
            <v>0</v>
          </cell>
        </row>
        <row r="83">
          <cell r="D83">
            <v>253.76</v>
          </cell>
          <cell r="E83">
            <v>268.38</v>
          </cell>
          <cell r="F83">
            <v>273.98</v>
          </cell>
          <cell r="G83">
            <v>251.8</v>
          </cell>
          <cell r="H83">
            <v>221.34</v>
          </cell>
          <cell r="I83">
            <v>236.8</v>
          </cell>
          <cell r="J83">
            <v>244.91</v>
          </cell>
          <cell r="K83">
            <v>237.19</v>
          </cell>
          <cell r="L83">
            <v>270.14999999999998</v>
          </cell>
          <cell r="M83">
            <v>263.98</v>
          </cell>
          <cell r="N83">
            <v>288.2</v>
          </cell>
          <cell r="O83">
            <v>288.2</v>
          </cell>
          <cell r="P83">
            <v>0</v>
          </cell>
        </row>
      </sheetData>
      <sheetData sheetId="7">
        <row r="117">
          <cell r="D117">
            <v>0.65580000000000005</v>
          </cell>
          <cell r="E117">
            <v>0.59</v>
          </cell>
          <cell r="F117">
            <v>0.58030000000000004</v>
          </cell>
          <cell r="G117">
            <v>0.62050000000000005</v>
          </cell>
          <cell r="H117">
            <v>0.61280000000000001</v>
          </cell>
          <cell r="I117">
            <v>0.61309999999999998</v>
          </cell>
          <cell r="J117">
            <v>0.57599999999999996</v>
          </cell>
          <cell r="K117">
            <v>0.53080000000000005</v>
          </cell>
          <cell r="L117">
            <v>0.54369999999999996</v>
          </cell>
          <cell r="M117">
            <v>0.505</v>
          </cell>
          <cell r="N117">
            <v>0.60619999999999996</v>
          </cell>
          <cell r="O117">
            <v>0.60619999999999996</v>
          </cell>
          <cell r="P117">
            <v>0</v>
          </cell>
        </row>
        <row r="133">
          <cell r="D133">
            <v>0.26500000000000001</v>
          </cell>
          <cell r="E133">
            <v>0.2288</v>
          </cell>
          <cell r="F133">
            <v>0.2319</v>
          </cell>
          <cell r="G133">
            <v>0.2447</v>
          </cell>
          <cell r="H133">
            <v>0.23769999999999999</v>
          </cell>
          <cell r="I133">
            <v>0.23910000000000001</v>
          </cell>
          <cell r="J133">
            <v>0.2339</v>
          </cell>
          <cell r="K133">
            <v>0.2167</v>
          </cell>
          <cell r="L133">
            <v>0.2198</v>
          </cell>
          <cell r="M133">
            <v>0.20649999999999999</v>
          </cell>
          <cell r="N133">
            <v>0.25230000000000002</v>
          </cell>
          <cell r="O133">
            <v>0.25230000000000002</v>
          </cell>
          <cell r="P133">
            <v>0</v>
          </cell>
        </row>
        <row r="136">
          <cell r="D136">
            <v>7.2400000000000006E-2</v>
          </cell>
          <cell r="E136">
            <v>6.8599999999999994E-2</v>
          </cell>
          <cell r="F136">
            <v>6.9000000000000006E-2</v>
          </cell>
          <cell r="G136">
            <v>7.17E-2</v>
          </cell>
          <cell r="H136">
            <v>6.9599999999999995E-2</v>
          </cell>
          <cell r="I136">
            <v>6.9699999999999998E-2</v>
          </cell>
          <cell r="J136">
            <v>6.8099999999999994E-2</v>
          </cell>
          <cell r="K136">
            <v>6.3E-2</v>
          </cell>
          <cell r="L136">
            <v>6.4000000000000001E-2</v>
          </cell>
          <cell r="M136">
            <v>6.0400000000000002E-2</v>
          </cell>
          <cell r="N136">
            <v>7.3999999999999996E-2</v>
          </cell>
          <cell r="O136">
            <v>7.3999999999999996E-2</v>
          </cell>
          <cell r="P136">
            <v>0</v>
          </cell>
        </row>
        <row r="141">
          <cell r="D141">
            <v>0.60129999999999995</v>
          </cell>
          <cell r="E141">
            <v>0.55579999999999996</v>
          </cell>
          <cell r="F141">
            <v>0.53920000000000001</v>
          </cell>
          <cell r="G141">
            <v>0.5675</v>
          </cell>
          <cell r="H141">
            <v>0.56020000000000003</v>
          </cell>
          <cell r="I141">
            <v>0.5796</v>
          </cell>
          <cell r="J141">
            <v>0.54959999999999998</v>
          </cell>
          <cell r="K141">
            <v>0.504</v>
          </cell>
          <cell r="L141">
            <v>0.52270000000000005</v>
          </cell>
          <cell r="M141">
            <v>0.49519999999999997</v>
          </cell>
          <cell r="N141">
            <v>0.58179999999999998</v>
          </cell>
          <cell r="O141">
            <v>0.58179999999999998</v>
          </cell>
          <cell r="P141">
            <v>0</v>
          </cell>
        </row>
        <row r="142">
          <cell r="D142">
            <v>6.3500000000000001E-2</v>
          </cell>
          <cell r="E142">
            <v>5.8700000000000002E-2</v>
          </cell>
          <cell r="F142">
            <v>5.7000000000000002E-2</v>
          </cell>
          <cell r="G142">
            <v>0.06</v>
          </cell>
          <cell r="H142">
            <v>5.9200000000000003E-2</v>
          </cell>
          <cell r="I142">
            <v>6.13E-2</v>
          </cell>
          <cell r="J142">
            <v>5.8099999999999999E-2</v>
          </cell>
          <cell r="K142">
            <v>5.33E-2</v>
          </cell>
          <cell r="L142">
            <v>5.5199999999999999E-2</v>
          </cell>
          <cell r="M142">
            <v>5.2299999999999999E-2</v>
          </cell>
          <cell r="N142">
            <v>6.1499999999999999E-2</v>
          </cell>
          <cell r="O142">
            <v>6.1499999999999999E-2</v>
          </cell>
          <cell r="P142">
            <v>0</v>
          </cell>
        </row>
      </sheetData>
      <sheetData sheetId="8">
        <row r="36">
          <cell r="E36">
            <v>0.1333</v>
          </cell>
          <cell r="F36">
            <v>0.1497</v>
          </cell>
          <cell r="G36">
            <v>0.14410000000000001</v>
          </cell>
          <cell r="H36">
            <v>0.15459999999999999</v>
          </cell>
          <cell r="I36">
            <v>0.10920000000000001</v>
          </cell>
          <cell r="J36">
            <v>0.104</v>
          </cell>
          <cell r="K36">
            <v>0.1045</v>
          </cell>
          <cell r="L36">
            <v>0.11609999999999999</v>
          </cell>
          <cell r="M36">
            <v>0.1091</v>
          </cell>
          <cell r="N36">
            <v>0.1138</v>
          </cell>
          <cell r="O36">
            <v>0.1173</v>
          </cell>
          <cell r="P36">
            <v>0.1173</v>
          </cell>
          <cell r="Q36">
            <v>0</v>
          </cell>
        </row>
      </sheetData>
      <sheetData sheetId="9">
        <row r="100">
          <cell r="E100">
            <v>1E-4</v>
          </cell>
          <cell r="F100">
            <v>1E-4</v>
          </cell>
          <cell r="G100">
            <v>1E-4</v>
          </cell>
          <cell r="H100">
            <v>1E-4</v>
          </cell>
          <cell r="I100">
            <v>1E-4</v>
          </cell>
          <cell r="J100">
            <v>1E-4</v>
          </cell>
          <cell r="K100">
            <v>1E-4</v>
          </cell>
          <cell r="L100">
            <v>1E-4</v>
          </cell>
          <cell r="M100">
            <v>1E-4</v>
          </cell>
          <cell r="N100">
            <v>1E-4</v>
          </cell>
          <cell r="O100">
            <v>1E-4</v>
          </cell>
          <cell r="P100">
            <v>1E-4</v>
          </cell>
          <cell r="Q100">
            <v>0</v>
          </cell>
        </row>
      </sheetData>
      <sheetData sheetId="10" refreshError="1"/>
      <sheetData sheetId="11">
        <row r="17">
          <cell r="D17">
            <v>0.10920000000000001</v>
          </cell>
          <cell r="E17">
            <v>0.1142</v>
          </cell>
          <cell r="F17">
            <v>0.1147</v>
          </cell>
          <cell r="G17">
            <v>0.1137</v>
          </cell>
          <cell r="H17">
            <v>0.1094</v>
          </cell>
          <cell r="I17">
            <v>0.1084</v>
          </cell>
          <cell r="J17">
            <v>0.1182</v>
          </cell>
          <cell r="K17">
            <v>0.1183</v>
          </cell>
          <cell r="L17">
            <v>0.10920000000000001</v>
          </cell>
          <cell r="M17">
            <v>0.11840000000000001</v>
          </cell>
          <cell r="N17">
            <v>0.10970000000000001</v>
          </cell>
          <cell r="O17">
            <v>0.10970000000000001</v>
          </cell>
          <cell r="P17" t="e">
            <v>#DIV/0!</v>
          </cell>
        </row>
        <row r="18">
          <cell r="D18">
            <v>9.35E-2</v>
          </cell>
        </row>
        <row r="23"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2E-3</v>
          </cell>
          <cell r="N23">
            <v>5.9999999999999995E-4</v>
          </cell>
          <cell r="O23">
            <v>5.9999999999999984E-4</v>
          </cell>
          <cell r="P23" t="e">
            <v>#DIV/0!</v>
          </cell>
        </row>
        <row r="29">
          <cell r="D29">
            <v>9.4899999999999998E-2</v>
          </cell>
          <cell r="E29">
            <v>9.69E-2</v>
          </cell>
          <cell r="F29">
            <v>9.8100000000000007E-2</v>
          </cell>
          <cell r="G29">
            <v>9.7000000000000003E-2</v>
          </cell>
          <cell r="H29">
            <v>9.5899999999999999E-2</v>
          </cell>
          <cell r="I29">
            <v>9.4799999999999995E-2</v>
          </cell>
          <cell r="J29">
            <v>0.1028</v>
          </cell>
          <cell r="K29">
            <v>0.1027</v>
          </cell>
          <cell r="L29">
            <v>9.35E-2</v>
          </cell>
          <cell r="M29">
            <v>0.1004</v>
          </cell>
          <cell r="N29">
            <v>9.4299999999999995E-2</v>
          </cell>
          <cell r="O29">
            <v>9.4299999999999995E-2</v>
          </cell>
          <cell r="P29" t="e">
            <v>#DIV/0!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 Page"/>
      <sheetName val="Supplier &amp; Trans Data 2014"/>
      <sheetName val="Statistical data"/>
      <sheetName val="Actual Implemented Rates"/>
      <sheetName val="Actual Implemented Lifeline"/>
      <sheetName val="GR"/>
      <sheetName val="TR"/>
      <sheetName val="SLR"/>
      <sheetName val="LD"/>
      <sheetName val="SR CIT. SUBSIDY"/>
      <sheetName val="BT &amp; FT "/>
      <sheetName val="DU VAT"/>
      <sheetName val="Monitoring Approved Adj"/>
      <sheetName val="Revenues"/>
      <sheetName val="Techl Data"/>
      <sheetName val="Generation Cost Data"/>
      <sheetName val="ILP"/>
      <sheetName val="System Loss Data"/>
      <sheetName val="Energy Sales Summary"/>
      <sheetName val="kWh Purchases Summary"/>
      <sheetName val="Revenues Data"/>
    </sheetNames>
    <sheetDataSet>
      <sheetData sheetId="0" refreshError="1"/>
      <sheetData sheetId="1">
        <row r="3">
          <cell r="A3" t="str">
            <v>For January  - December 2014 Billing</v>
          </cell>
        </row>
      </sheetData>
      <sheetData sheetId="2">
        <row r="221">
          <cell r="A221" t="str">
            <v xml:space="preserve">Residential </v>
          </cell>
        </row>
        <row r="224">
          <cell r="A224" t="str">
            <v>General Service A</v>
          </cell>
        </row>
        <row r="225">
          <cell r="A225" t="str">
            <v>GHMSCI</v>
          </cell>
        </row>
        <row r="226">
          <cell r="A226" t="str">
            <v>Customer Class3</v>
          </cell>
        </row>
        <row r="227">
          <cell r="A227" t="str">
            <v>Customer Class4</v>
          </cell>
        </row>
        <row r="228">
          <cell r="A228" t="str">
            <v>Customer Class5</v>
          </cell>
        </row>
        <row r="229">
          <cell r="A229" t="str">
            <v>Customer Class with mix rate1</v>
          </cell>
        </row>
        <row r="230">
          <cell r="A230" t="str">
            <v>Customer Class with mix rate2</v>
          </cell>
        </row>
        <row r="231">
          <cell r="A231" t="str">
            <v>Customer Class with mix rate3</v>
          </cell>
        </row>
        <row r="232">
          <cell r="A232" t="str">
            <v>Customer Class with mix rate4</v>
          </cell>
        </row>
        <row r="233">
          <cell r="A233" t="str">
            <v>Customer Class with mix rate5</v>
          </cell>
        </row>
        <row r="234">
          <cell r="A234" t="str">
            <v>Customer Class with mix rate6</v>
          </cell>
        </row>
        <row r="235">
          <cell r="A235" t="str">
            <v>Customer Class with mix rate7</v>
          </cell>
        </row>
        <row r="236">
          <cell r="A236" t="str">
            <v>General Service B</v>
          </cell>
        </row>
        <row r="237">
          <cell r="A237" t="str">
            <v>General Power- Secondary</v>
          </cell>
        </row>
        <row r="238">
          <cell r="A238" t="str">
            <v>General Power-Below 13.2kV</v>
          </cell>
        </row>
        <row r="239">
          <cell r="A239" t="str">
            <v>General Power-13.8/13.2 kV</v>
          </cell>
        </row>
        <row r="240">
          <cell r="A240" t="str">
            <v>General Power-34.5kV</v>
          </cell>
        </row>
        <row r="241">
          <cell r="A241" t="str">
            <v>General Power-69/115kV</v>
          </cell>
        </row>
      </sheetData>
      <sheetData sheetId="3"/>
      <sheetData sheetId="4" refreshError="1"/>
      <sheetData sheetId="5">
        <row r="23">
          <cell r="D23">
            <v>5.6673</v>
          </cell>
          <cell r="F23">
            <v>5.5358999999999998</v>
          </cell>
          <cell r="G23">
            <v>5.2064000000000004</v>
          </cell>
          <cell r="H23">
            <v>5.8994999999999997</v>
          </cell>
          <cell r="I23">
            <v>5.9702999999999999</v>
          </cell>
          <cell r="J23">
            <v>5.3105000000000002</v>
          </cell>
          <cell r="K23">
            <v>5.4071999999999996</v>
          </cell>
          <cell r="L23">
            <v>5.6352000000000002</v>
          </cell>
          <cell r="M23">
            <v>5.1936999999999998</v>
          </cell>
          <cell r="N23">
            <v>5.3522999999999996</v>
          </cell>
          <cell r="O23">
            <v>5.1071999999999997</v>
          </cell>
          <cell r="P23">
            <v>4.9371999999999998</v>
          </cell>
          <cell r="Q23" t="e">
            <v>#DIV/0!</v>
          </cell>
        </row>
      </sheetData>
      <sheetData sheetId="6">
        <row r="64">
          <cell r="D64">
            <v>0.93920000000000003</v>
          </cell>
          <cell r="E64">
            <v>0.94969999999999999</v>
          </cell>
          <cell r="F64">
            <v>1.0012000000000001</v>
          </cell>
          <cell r="G64">
            <v>1.0187999999999999</v>
          </cell>
          <cell r="H64">
            <v>0.94610000000000005</v>
          </cell>
          <cell r="I64">
            <v>0.90359999999999996</v>
          </cell>
          <cell r="J64">
            <v>1.0034000000000001</v>
          </cell>
          <cell r="K64">
            <v>0.97570000000000001</v>
          </cell>
          <cell r="L64">
            <v>0.92920000000000003</v>
          </cell>
          <cell r="M64">
            <v>0.87870000000000004</v>
          </cell>
          <cell r="N64">
            <v>0.79159999999999997</v>
          </cell>
          <cell r="O64">
            <v>0.81179999999999997</v>
          </cell>
          <cell r="P64">
            <v>0</v>
          </cell>
        </row>
        <row r="65">
          <cell r="D65">
            <v>0.93330000000000002</v>
          </cell>
          <cell r="E65">
            <v>0.94679999999999997</v>
          </cell>
          <cell r="F65">
            <v>0.99039999999999995</v>
          </cell>
          <cell r="G65">
            <v>1.0165</v>
          </cell>
          <cell r="H65">
            <v>0.93389999999999995</v>
          </cell>
          <cell r="I65">
            <v>0.89280000000000004</v>
          </cell>
          <cell r="J65">
            <v>0.97740000000000005</v>
          </cell>
          <cell r="K65">
            <v>0.96640000000000004</v>
          </cell>
          <cell r="L65">
            <v>0.92249999999999999</v>
          </cell>
          <cell r="M65">
            <v>0.86870000000000003</v>
          </cell>
          <cell r="N65">
            <v>0.78549999999999998</v>
          </cell>
          <cell r="O65">
            <v>0.80289999999999995</v>
          </cell>
          <cell r="P65">
            <v>0</v>
          </cell>
        </row>
        <row r="67">
          <cell r="D67">
            <v>1.0762</v>
          </cell>
          <cell r="E67">
            <v>1.1135999999999999</v>
          </cell>
          <cell r="F67">
            <v>1.0819000000000001</v>
          </cell>
          <cell r="G67">
            <v>1.2229000000000001</v>
          </cell>
          <cell r="H67">
            <v>1.0478000000000001</v>
          </cell>
          <cell r="I67">
            <v>1.0439000000000001</v>
          </cell>
          <cell r="J67">
            <v>1.0872999999999999</v>
          </cell>
          <cell r="K67">
            <v>1.1405000000000001</v>
          </cell>
          <cell r="L67">
            <v>1.0632999999999999</v>
          </cell>
          <cell r="M67">
            <v>0.96109999999999995</v>
          </cell>
          <cell r="N67">
            <v>0.90100000000000002</v>
          </cell>
          <cell r="O67">
            <v>0.88460000000000005</v>
          </cell>
          <cell r="P67">
            <v>0</v>
          </cell>
        </row>
        <row r="78">
          <cell r="D78">
            <v>279.60000000000002</v>
          </cell>
          <cell r="E78">
            <v>275.08999999999997</v>
          </cell>
          <cell r="F78">
            <v>269.01</v>
          </cell>
          <cell r="G78">
            <v>310.58</v>
          </cell>
          <cell r="H78">
            <v>276.98</v>
          </cell>
          <cell r="I78">
            <v>268.94</v>
          </cell>
          <cell r="J78">
            <v>316.95999999999998</v>
          </cell>
          <cell r="K78">
            <v>299.68</v>
          </cell>
          <cell r="L78">
            <v>277.35000000000002</v>
          </cell>
          <cell r="M78">
            <v>252.67</v>
          </cell>
          <cell r="N78">
            <v>234.59</v>
          </cell>
          <cell r="O78">
            <v>233.09</v>
          </cell>
          <cell r="P78">
            <v>0</v>
          </cell>
        </row>
        <row r="79">
          <cell r="D79">
            <v>318.52</v>
          </cell>
          <cell r="E79">
            <v>305.39999999999998</v>
          </cell>
          <cell r="F79">
            <v>315.10000000000002</v>
          </cell>
          <cell r="G79">
            <v>345.02</v>
          </cell>
          <cell r="H79">
            <v>315.24</v>
          </cell>
          <cell r="I79">
            <v>300.11</v>
          </cell>
          <cell r="J79">
            <v>340.24</v>
          </cell>
          <cell r="K79">
            <v>331.77</v>
          </cell>
          <cell r="L79">
            <v>315.44</v>
          </cell>
          <cell r="M79">
            <v>292.92</v>
          </cell>
          <cell r="N79">
            <v>267.58999999999997</v>
          </cell>
          <cell r="O79">
            <v>271.31</v>
          </cell>
          <cell r="P79">
            <v>0</v>
          </cell>
        </row>
        <row r="80">
          <cell r="D80">
            <v>337.22</v>
          </cell>
          <cell r="E80">
            <v>334.43</v>
          </cell>
          <cell r="F80">
            <v>334.25</v>
          </cell>
          <cell r="G80">
            <v>352.69</v>
          </cell>
          <cell r="H80">
            <v>331.29</v>
          </cell>
          <cell r="I80">
            <v>313.36</v>
          </cell>
          <cell r="J80">
            <v>359.26</v>
          </cell>
          <cell r="K80">
            <v>341.03</v>
          </cell>
          <cell r="L80">
            <v>330.53</v>
          </cell>
          <cell r="M80">
            <v>317.88</v>
          </cell>
          <cell r="N80">
            <v>281.54000000000002</v>
          </cell>
          <cell r="O80">
            <v>293.14</v>
          </cell>
          <cell r="P80">
            <v>0</v>
          </cell>
        </row>
        <row r="82">
          <cell r="D82">
            <v>371.06</v>
          </cell>
          <cell r="E82">
            <v>373.68</v>
          </cell>
          <cell r="F82">
            <v>393.44</v>
          </cell>
          <cell r="G82">
            <v>386.66</v>
          </cell>
          <cell r="H82">
            <v>365.51</v>
          </cell>
          <cell r="I82">
            <v>355.77</v>
          </cell>
          <cell r="J82">
            <v>408.14</v>
          </cell>
          <cell r="K82">
            <v>381.84</v>
          </cell>
          <cell r="L82">
            <v>368.46</v>
          </cell>
          <cell r="M82">
            <v>357.76</v>
          </cell>
          <cell r="N82">
            <v>316.69</v>
          </cell>
          <cell r="O82">
            <v>332.27</v>
          </cell>
          <cell r="P82">
            <v>0</v>
          </cell>
        </row>
        <row r="83">
          <cell r="D83">
            <v>288.2</v>
          </cell>
          <cell r="E83">
            <v>290.81</v>
          </cell>
          <cell r="F83">
            <v>310.58</v>
          </cell>
          <cell r="G83">
            <v>303.8</v>
          </cell>
          <cell r="H83">
            <v>282.64999999999998</v>
          </cell>
          <cell r="I83">
            <v>272.91000000000003</v>
          </cell>
          <cell r="J83">
            <v>325.27999999999997</v>
          </cell>
          <cell r="K83">
            <v>298.98</v>
          </cell>
          <cell r="L83">
            <v>285.60000000000002</v>
          </cell>
          <cell r="M83">
            <v>274.89999999999998</v>
          </cell>
          <cell r="N83">
            <v>233.83</v>
          </cell>
          <cell r="O83">
            <v>249.41</v>
          </cell>
          <cell r="P83">
            <v>0</v>
          </cell>
        </row>
      </sheetData>
      <sheetData sheetId="7">
        <row r="102">
          <cell r="D102">
            <v>0.60619999999999996</v>
          </cell>
          <cell r="E102">
            <v>0.59540000000000004</v>
          </cell>
          <cell r="F102">
            <v>0.55020000000000002</v>
          </cell>
          <cell r="G102">
            <v>0.61329999999999996</v>
          </cell>
          <cell r="H102">
            <v>0.59940000000000004</v>
          </cell>
          <cell r="I102">
            <v>0.55889999999999995</v>
          </cell>
          <cell r="J102">
            <v>0.5776</v>
          </cell>
          <cell r="K102">
            <v>0.57809999999999995</v>
          </cell>
          <cell r="L102">
            <v>0.55659999999999998</v>
          </cell>
          <cell r="M102">
            <v>0.56210000000000004</v>
          </cell>
          <cell r="N102">
            <v>0.5272</v>
          </cell>
          <cell r="O102">
            <v>0.51049999999999995</v>
          </cell>
          <cell r="P102">
            <v>0</v>
          </cell>
        </row>
        <row r="118">
          <cell r="D118">
            <v>0.25230000000000002</v>
          </cell>
          <cell r="E118">
            <v>0.23749999999999999</v>
          </cell>
          <cell r="F118">
            <v>0.22670000000000001</v>
          </cell>
          <cell r="G118">
            <v>0.2545</v>
          </cell>
          <cell r="H118">
            <v>0.24990000000000001</v>
          </cell>
          <cell r="I118">
            <v>0.23930000000000001</v>
          </cell>
          <cell r="J118">
            <v>0.2341</v>
          </cell>
          <cell r="K118">
            <v>0.23499999999999999</v>
          </cell>
          <cell r="L118">
            <v>0.23369999999999999</v>
          </cell>
          <cell r="M118">
            <v>0.22239999999999999</v>
          </cell>
          <cell r="N118">
            <v>0.21240000000000001</v>
          </cell>
          <cell r="O118">
            <v>0.20680000000000001</v>
          </cell>
          <cell r="P118">
            <v>0</v>
          </cell>
        </row>
        <row r="121">
          <cell r="D121">
            <v>7.3999999999999996E-2</v>
          </cell>
          <cell r="E121">
            <v>7.0000000000000007E-2</v>
          </cell>
          <cell r="F121">
            <v>6.6900000000000001E-2</v>
          </cell>
          <cell r="G121">
            <v>7.5399999999999995E-2</v>
          </cell>
          <cell r="H121">
            <v>7.4200000000000002E-2</v>
          </cell>
          <cell r="I121">
            <v>7.0800000000000002E-2</v>
          </cell>
          <cell r="J121">
            <v>6.9099999999999995E-2</v>
          </cell>
          <cell r="K121">
            <v>6.9199999999999998E-2</v>
          </cell>
          <cell r="L121">
            <v>6.8699999999999997E-2</v>
          </cell>
          <cell r="M121">
            <v>6.5699999999999995E-2</v>
          </cell>
          <cell r="N121">
            <v>6.2700000000000006E-2</v>
          </cell>
          <cell r="O121">
            <v>6.1199999999999997E-2</v>
          </cell>
          <cell r="P121">
            <v>0</v>
          </cell>
        </row>
      </sheetData>
      <sheetData sheetId="8">
        <row r="36">
          <cell r="E36">
            <v>0.1173</v>
          </cell>
          <cell r="F36">
            <v>0.1527</v>
          </cell>
          <cell r="G36">
            <v>0.15920000000000001</v>
          </cell>
          <cell r="H36">
            <v>0.16189999999999999</v>
          </cell>
          <cell r="I36">
            <v>0.11899999999999999</v>
          </cell>
          <cell r="J36">
            <v>0.1066</v>
          </cell>
          <cell r="K36">
            <v>8.9300000000000004E-2</v>
          </cell>
          <cell r="L36">
            <v>0.1177</v>
          </cell>
          <cell r="M36">
            <v>0.1222</v>
          </cell>
          <cell r="N36">
            <v>0.1089</v>
          </cell>
          <cell r="O36">
            <v>0.1176</v>
          </cell>
          <cell r="P36">
            <v>0.1109</v>
          </cell>
          <cell r="Q36">
            <v>0</v>
          </cell>
        </row>
      </sheetData>
      <sheetData sheetId="9">
        <row r="96">
          <cell r="E96">
            <v>1E-4</v>
          </cell>
          <cell r="F96">
            <v>1E-4</v>
          </cell>
          <cell r="G96">
            <v>1E-4</v>
          </cell>
          <cell r="H96">
            <v>1E-4</v>
          </cell>
          <cell r="I96">
            <v>1E-4</v>
          </cell>
          <cell r="J96">
            <v>0</v>
          </cell>
          <cell r="K96">
            <v>1E-4</v>
          </cell>
          <cell r="L96">
            <v>1E-4</v>
          </cell>
          <cell r="M96">
            <v>1E-4</v>
          </cell>
          <cell r="N96">
            <v>2.0000000000000001E-4</v>
          </cell>
          <cell r="O96">
            <v>1E-4</v>
          </cell>
          <cell r="P96">
            <v>1E-4</v>
          </cell>
          <cell r="Q96">
            <v>0</v>
          </cell>
        </row>
      </sheetData>
      <sheetData sheetId="10" refreshError="1"/>
      <sheetData sheetId="11">
        <row r="17">
          <cell r="D17">
            <v>0.10970000000000001</v>
          </cell>
          <cell r="E17">
            <v>0.1176</v>
          </cell>
          <cell r="F17">
            <v>0.1169</v>
          </cell>
          <cell r="G17">
            <v>0.1177</v>
          </cell>
          <cell r="H17">
            <v>0.11890000000000001</v>
          </cell>
          <cell r="I17">
            <v>0.1192</v>
          </cell>
          <cell r="J17">
            <v>0.1179</v>
          </cell>
          <cell r="K17">
            <v>0.11700000000000001</v>
          </cell>
          <cell r="L17">
            <v>0.11650000000000001</v>
          </cell>
          <cell r="M17">
            <v>0.1154</v>
          </cell>
          <cell r="N17">
            <v>0.1129</v>
          </cell>
          <cell r="O17">
            <v>0.115</v>
          </cell>
          <cell r="P17" t="e">
            <v>#DIV/0!</v>
          </cell>
        </row>
        <row r="22">
          <cell r="D22">
            <v>6.0000000000000006E-4</v>
          </cell>
          <cell r="E22">
            <v>3.2000000000000002E-3</v>
          </cell>
          <cell r="F22">
            <v>3.5000000000000001E-3</v>
          </cell>
          <cell r="G22">
            <v>1.3899999999999999E-2</v>
          </cell>
          <cell r="H22">
            <v>2.5600000000000001E-2</v>
          </cell>
          <cell r="I22">
            <v>2.8000000000000001E-2</v>
          </cell>
          <cell r="J22">
            <v>3.73E-2</v>
          </cell>
          <cell r="K22">
            <v>3.4099999999999998E-2</v>
          </cell>
          <cell r="L22">
            <v>1.9699999999999999E-2</v>
          </cell>
          <cell r="M22">
            <v>1.5299999999999999E-2</v>
          </cell>
          <cell r="N22">
            <v>6.0000000000000001E-3</v>
          </cell>
          <cell r="O22">
            <v>2.8999999999999998E-3</v>
          </cell>
          <cell r="P22" t="e">
            <v>#DIV/0!</v>
          </cell>
        </row>
        <row r="28">
          <cell r="D28">
            <v>9.4299999999999995E-2</v>
          </cell>
          <cell r="E28">
            <v>0.1008</v>
          </cell>
          <cell r="F28">
            <v>9.9400000000000002E-2</v>
          </cell>
          <cell r="G28">
            <v>0.10249999999999999</v>
          </cell>
          <cell r="H28">
            <v>0.1066</v>
          </cell>
          <cell r="I28">
            <v>0.10630000000000001</v>
          </cell>
          <cell r="J28">
            <v>0.10589999999999999</v>
          </cell>
          <cell r="K28">
            <v>0.10489999999999999</v>
          </cell>
          <cell r="L28">
            <v>0.1022</v>
          </cell>
          <cell r="M28">
            <v>0.1019</v>
          </cell>
          <cell r="N28">
            <v>9.8799999999999999E-2</v>
          </cell>
          <cell r="O28">
            <v>9.98E-2</v>
          </cell>
          <cell r="P28" t="e">
            <v>#DIV/0!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 Page"/>
      <sheetName val="Supplier &amp; Trans Data"/>
      <sheetName val="Statistical data"/>
      <sheetName val="Actual Implemented Rates"/>
      <sheetName val="Actual Implemented Lifeline"/>
      <sheetName val="GR"/>
      <sheetName val="TR"/>
      <sheetName val="SLR"/>
      <sheetName val="LD"/>
      <sheetName val="SR CIT. SUBSIDY"/>
      <sheetName val="BT &amp; FT "/>
      <sheetName val="DU VAT"/>
      <sheetName val="Monitoring Approved Adj"/>
      <sheetName val="TOUR Recoveries"/>
      <sheetName val="Revenues"/>
      <sheetName val="Techl Data"/>
      <sheetName val="Generation Cost Data"/>
      <sheetName val="ILP"/>
      <sheetName val="System Loss Data"/>
      <sheetName val="Energy Sales Summary"/>
      <sheetName val="kWh Purchases Summary"/>
      <sheetName val="Revenues Data"/>
    </sheetNames>
    <sheetDataSet>
      <sheetData sheetId="0" refreshError="1"/>
      <sheetData sheetId="1">
        <row r="3">
          <cell r="A3" t="str">
            <v>For January - December 2015 Billing</v>
          </cell>
        </row>
      </sheetData>
      <sheetData sheetId="2">
        <row r="218">
          <cell r="A218" t="str">
            <v xml:space="preserve">Residential </v>
          </cell>
        </row>
        <row r="221">
          <cell r="A221" t="str">
            <v>General Service A</v>
          </cell>
        </row>
        <row r="222">
          <cell r="A222" t="str">
            <v>GHMSCI</v>
          </cell>
        </row>
        <row r="223">
          <cell r="A223" t="str">
            <v>Customer Class3</v>
          </cell>
        </row>
        <row r="224">
          <cell r="A224" t="str">
            <v>Customer Class4</v>
          </cell>
        </row>
        <row r="225">
          <cell r="A225" t="str">
            <v>Customer Class5</v>
          </cell>
        </row>
        <row r="226">
          <cell r="A226" t="str">
            <v>Customer Class with mix rate1</v>
          </cell>
        </row>
        <row r="227">
          <cell r="A227" t="str">
            <v>Customer Class with mix rate2</v>
          </cell>
        </row>
        <row r="228">
          <cell r="A228" t="str">
            <v>Customer Class with mix rate3</v>
          </cell>
        </row>
        <row r="229">
          <cell r="A229" t="str">
            <v>Customer Class with mix rate4</v>
          </cell>
        </row>
        <row r="230">
          <cell r="A230" t="str">
            <v>Customer Class with mix rate5</v>
          </cell>
        </row>
        <row r="231">
          <cell r="A231" t="str">
            <v>Customer Class with mix rate6</v>
          </cell>
        </row>
        <row r="232">
          <cell r="A232" t="str">
            <v>Customer Class with mix rate7</v>
          </cell>
        </row>
        <row r="233">
          <cell r="A233" t="str">
            <v>General Service B</v>
          </cell>
        </row>
        <row r="234">
          <cell r="A234" t="str">
            <v>General Power- Secondary</v>
          </cell>
        </row>
        <row r="235">
          <cell r="A235" t="str">
            <v>General Power-Below 13.2kV</v>
          </cell>
        </row>
        <row r="236">
          <cell r="A236" t="str">
            <v>General Power-13.8/13.2 kV</v>
          </cell>
        </row>
        <row r="237">
          <cell r="A237" t="str">
            <v>General Power-34.5kV</v>
          </cell>
        </row>
        <row r="238">
          <cell r="A238" t="str">
            <v>General Power-69/115kV</v>
          </cell>
        </row>
      </sheetData>
      <sheetData sheetId="3"/>
      <sheetData sheetId="4" refreshError="1"/>
      <sheetData sheetId="5">
        <row r="24">
          <cell r="D24">
            <v>4.7182000000000004</v>
          </cell>
          <cell r="E24">
            <v>5.2384000000000004</v>
          </cell>
          <cell r="F24">
            <v>5.2096999999999998</v>
          </cell>
          <cell r="G24">
            <v>5.4120999999999997</v>
          </cell>
          <cell r="H24">
            <v>4.8131000000000004</v>
          </cell>
          <cell r="I24">
            <v>4.4555999999999996</v>
          </cell>
          <cell r="J24">
            <v>4.7397999999999998</v>
          </cell>
          <cell r="K24">
            <v>4.5526999999999997</v>
          </cell>
          <cell r="L24">
            <v>4.1325000000000003</v>
          </cell>
          <cell r="M24">
            <v>3.9954999999999998</v>
          </cell>
          <cell r="N24">
            <v>4.0838999999999999</v>
          </cell>
          <cell r="O24">
            <v>4.1299000000000001</v>
          </cell>
          <cell r="P24" t="e">
            <v>#DIV/0!</v>
          </cell>
        </row>
      </sheetData>
      <sheetData sheetId="6">
        <row r="54">
          <cell r="D54">
            <v>0.87209999999999999</v>
          </cell>
          <cell r="E54">
            <v>0.99280000000000002</v>
          </cell>
          <cell r="F54">
            <v>0.95730000000000004</v>
          </cell>
          <cell r="G54">
            <v>0.94030000000000002</v>
          </cell>
          <cell r="H54">
            <v>1.0031000000000001</v>
          </cell>
          <cell r="I54">
            <v>0.91620000000000001</v>
          </cell>
          <cell r="J54">
            <v>0.86509999999999998</v>
          </cell>
          <cell r="K54">
            <v>0.82050000000000001</v>
          </cell>
          <cell r="L54">
            <v>0.78580000000000005</v>
          </cell>
          <cell r="M54">
            <v>0.79759999999999998</v>
          </cell>
          <cell r="N54">
            <v>0.81559999999999999</v>
          </cell>
          <cell r="O54">
            <v>0.82440000000000002</v>
          </cell>
          <cell r="P54">
            <v>0</v>
          </cell>
        </row>
        <row r="55">
          <cell r="D55">
            <v>0.86499999999999999</v>
          </cell>
          <cell r="E55">
            <v>0.99150000000000005</v>
          </cell>
          <cell r="F55">
            <v>0.94650000000000001</v>
          </cell>
          <cell r="G55">
            <v>0.93859999999999999</v>
          </cell>
          <cell r="H55">
            <v>0.99029999999999996</v>
          </cell>
          <cell r="I55">
            <v>0.90310000000000001</v>
          </cell>
          <cell r="J55">
            <v>0.85160000000000002</v>
          </cell>
          <cell r="K55">
            <v>0.81059999999999999</v>
          </cell>
          <cell r="L55">
            <v>0.77400000000000002</v>
          </cell>
          <cell r="M55">
            <v>0.78649999999999998</v>
          </cell>
          <cell r="N55">
            <v>0.80579999999999996</v>
          </cell>
          <cell r="O55">
            <v>0.81279999999999997</v>
          </cell>
          <cell r="P55">
            <v>0</v>
          </cell>
        </row>
        <row r="57">
          <cell r="D57">
            <v>1.0029999999999999</v>
          </cell>
          <cell r="E57">
            <v>1.2031000000000001</v>
          </cell>
          <cell r="F57">
            <v>1.0041</v>
          </cell>
          <cell r="G57">
            <v>1.1276999999999999</v>
          </cell>
          <cell r="H57">
            <v>1.1304000000000001</v>
          </cell>
          <cell r="I57">
            <v>1.0215000000000001</v>
          </cell>
          <cell r="J57">
            <v>0.92669999999999997</v>
          </cell>
          <cell r="K57">
            <v>0.94299999999999995</v>
          </cell>
          <cell r="L57">
            <v>0.88119999999999998</v>
          </cell>
          <cell r="M57">
            <v>0.8669</v>
          </cell>
          <cell r="N57">
            <v>0.92689999999999995</v>
          </cell>
          <cell r="O57">
            <v>0.8921</v>
          </cell>
          <cell r="P57">
            <v>0</v>
          </cell>
        </row>
        <row r="58">
          <cell r="D58">
            <v>266.55</v>
          </cell>
          <cell r="E58">
            <v>292.95</v>
          </cell>
          <cell r="F58">
            <v>254.52</v>
          </cell>
          <cell r="G58">
            <v>282.89</v>
          </cell>
          <cell r="H58">
            <v>295.47000000000003</v>
          </cell>
          <cell r="I58">
            <v>278.70850000000002</v>
          </cell>
          <cell r="J58">
            <v>252.30850000000001</v>
          </cell>
          <cell r="K58">
            <v>250.39850000000001</v>
          </cell>
          <cell r="L58">
            <v>243.52850000000001</v>
          </cell>
          <cell r="M58">
            <v>232.16849999999999</v>
          </cell>
          <cell r="N58">
            <v>247.76849999999999</v>
          </cell>
          <cell r="O58">
            <v>239.9385</v>
          </cell>
          <cell r="P58">
            <v>0</v>
          </cell>
        </row>
        <row r="59">
          <cell r="D59">
            <v>298.36</v>
          </cell>
          <cell r="E59">
            <v>319.81</v>
          </cell>
          <cell r="F59">
            <v>307.66000000000003</v>
          </cell>
          <cell r="G59">
            <v>315.29000000000002</v>
          </cell>
          <cell r="H59">
            <v>331.3</v>
          </cell>
          <cell r="I59">
            <v>314.15199999999999</v>
          </cell>
          <cell r="J59">
            <v>291.65199999999999</v>
          </cell>
          <cell r="K59">
            <v>278.24200000000002</v>
          </cell>
          <cell r="L59">
            <v>271.892</v>
          </cell>
          <cell r="M59">
            <v>266.35199999999998</v>
          </cell>
          <cell r="N59">
            <v>277.55200000000002</v>
          </cell>
          <cell r="O59">
            <v>276.50200000000001</v>
          </cell>
          <cell r="P59">
            <v>0</v>
          </cell>
        </row>
        <row r="60">
          <cell r="D60">
            <v>316.27</v>
          </cell>
          <cell r="E60">
            <v>348.83</v>
          </cell>
          <cell r="F60">
            <v>334.33</v>
          </cell>
          <cell r="G60">
            <v>322.13</v>
          </cell>
          <cell r="H60">
            <v>341.66</v>
          </cell>
          <cell r="I60">
            <v>319.70569999999998</v>
          </cell>
          <cell r="J60">
            <v>306.32569999999998</v>
          </cell>
          <cell r="K60">
            <v>291.4957</v>
          </cell>
          <cell r="L60">
            <v>283.62569999999999</v>
          </cell>
          <cell r="M60">
            <v>281.85570000000001</v>
          </cell>
          <cell r="N60">
            <v>291.01569999999998</v>
          </cell>
          <cell r="O60">
            <v>299.10570000000001</v>
          </cell>
          <cell r="P60">
            <v>0</v>
          </cell>
        </row>
        <row r="62">
          <cell r="D62">
            <v>350.5</v>
          </cell>
          <cell r="E62">
            <v>383.91</v>
          </cell>
          <cell r="F62">
            <v>386.85</v>
          </cell>
          <cell r="G62">
            <v>360.38</v>
          </cell>
          <cell r="H62">
            <v>382.02</v>
          </cell>
          <cell r="I62">
            <v>361.91800000000001</v>
          </cell>
          <cell r="J62">
            <v>357.55799999999999</v>
          </cell>
          <cell r="K62">
            <v>328.89800000000002</v>
          </cell>
          <cell r="L62">
            <v>319.32799999999997</v>
          </cell>
          <cell r="M62">
            <v>325.91800000000001</v>
          </cell>
          <cell r="N62">
            <v>329.52800000000002</v>
          </cell>
          <cell r="O62">
            <v>339.07799999999997</v>
          </cell>
          <cell r="P62">
            <v>0</v>
          </cell>
        </row>
        <row r="63">
          <cell r="D63">
            <v>267.64</v>
          </cell>
          <cell r="E63">
            <v>301.05</v>
          </cell>
          <cell r="F63">
            <v>303.99</v>
          </cell>
          <cell r="G63">
            <v>277.52</v>
          </cell>
          <cell r="H63">
            <v>299.16000000000003</v>
          </cell>
          <cell r="I63">
            <v>278.86750000000001</v>
          </cell>
          <cell r="J63">
            <v>274.50749999999999</v>
          </cell>
          <cell r="K63">
            <v>245.8475</v>
          </cell>
          <cell r="L63">
            <v>236.2775</v>
          </cell>
          <cell r="M63">
            <v>242.86750000000001</v>
          </cell>
          <cell r="N63">
            <v>246.47749999999999</v>
          </cell>
          <cell r="O63">
            <v>256.02749999999997</v>
          </cell>
          <cell r="P63">
            <v>0</v>
          </cell>
        </row>
      </sheetData>
      <sheetData sheetId="7">
        <row r="68">
          <cell r="D68">
            <v>0.48820000000000002</v>
          </cell>
          <cell r="E68">
            <v>0.55189999999999995</v>
          </cell>
          <cell r="F68">
            <v>0.53859999999999997</v>
          </cell>
          <cell r="G68">
            <v>0.55789999999999995</v>
          </cell>
          <cell r="H68">
            <v>0.51959999999999995</v>
          </cell>
          <cell r="I68">
            <v>0.4672</v>
          </cell>
          <cell r="J68">
            <v>0.50139999999999996</v>
          </cell>
          <cell r="K68">
            <v>0.49130000000000001</v>
          </cell>
          <cell r="L68">
            <v>0.43269999999999997</v>
          </cell>
          <cell r="M68">
            <v>0.42549999999999999</v>
          </cell>
          <cell r="N68">
            <v>0.42930000000000001</v>
          </cell>
          <cell r="O68">
            <v>0.43219999999999997</v>
          </cell>
          <cell r="P68">
            <v>0</v>
          </cell>
        </row>
        <row r="74">
          <cell r="D74">
            <v>0.19750000000000001</v>
          </cell>
          <cell r="E74">
            <v>0.22689999999999999</v>
          </cell>
          <cell r="F74">
            <v>0.218</v>
          </cell>
          <cell r="G74">
            <v>0.22689999999999999</v>
          </cell>
          <cell r="H74">
            <v>0.21260000000000001</v>
          </cell>
          <cell r="I74">
            <v>0.1822</v>
          </cell>
          <cell r="J74">
            <v>0.19689999999999999</v>
          </cell>
          <cell r="K74">
            <v>0.1895</v>
          </cell>
          <cell r="L74">
            <v>0.16350000000000001</v>
          </cell>
          <cell r="M74">
            <v>0.16070000000000001</v>
          </cell>
          <cell r="N74">
            <v>0.1653</v>
          </cell>
          <cell r="O74">
            <v>0.1681</v>
          </cell>
          <cell r="P74">
            <v>0</v>
          </cell>
        </row>
        <row r="77">
          <cell r="D77">
            <v>5.8599999999999999E-2</v>
          </cell>
          <cell r="E77">
            <v>6.7699999999999996E-2</v>
          </cell>
          <cell r="F77">
            <v>6.5299999999999997E-2</v>
          </cell>
          <cell r="G77">
            <v>6.7799999999999999E-2</v>
          </cell>
          <cell r="H77">
            <v>6.3600000000000004E-2</v>
          </cell>
          <cell r="I77">
            <v>5.0200000000000002E-2</v>
          </cell>
          <cell r="J77">
            <v>5.4899999999999997E-2</v>
          </cell>
          <cell r="K77">
            <v>5.28E-2</v>
          </cell>
          <cell r="L77">
            <v>4.4999999999999998E-2</v>
          </cell>
          <cell r="M77">
            <v>4.41E-2</v>
          </cell>
          <cell r="N77">
            <v>4.5699999999999998E-2</v>
          </cell>
          <cell r="O77">
            <v>4.65E-2</v>
          </cell>
          <cell r="P77">
            <v>0</v>
          </cell>
        </row>
      </sheetData>
      <sheetData sheetId="8">
        <row r="36">
          <cell r="E36">
            <v>0.1215</v>
          </cell>
          <cell r="F36">
            <v>0.14280000000000001</v>
          </cell>
          <cell r="G36">
            <v>0.1462</v>
          </cell>
          <cell r="H36">
            <v>0.15629999999999999</v>
          </cell>
          <cell r="I36">
            <v>0.1152</v>
          </cell>
          <cell r="J36">
            <v>9.3799999999999994E-2</v>
          </cell>
          <cell r="K36">
            <v>7.7499999999999999E-2</v>
          </cell>
          <cell r="L36">
            <v>9.3200000000000005E-2</v>
          </cell>
          <cell r="M36">
            <v>8.5099999999999995E-2</v>
          </cell>
          <cell r="N36">
            <v>8.0299999999999996E-2</v>
          </cell>
          <cell r="O36">
            <v>8.3699999999999997E-2</v>
          </cell>
          <cell r="P36">
            <v>8.1699999999999995E-2</v>
          </cell>
          <cell r="Q36">
            <v>0</v>
          </cell>
        </row>
      </sheetData>
      <sheetData sheetId="9">
        <row r="95">
          <cell r="E95">
            <v>1E-4</v>
          </cell>
          <cell r="F95">
            <v>1E-4</v>
          </cell>
          <cell r="G95">
            <v>1E-4</v>
          </cell>
          <cell r="H95">
            <v>1E-4</v>
          </cell>
          <cell r="I95">
            <v>1E-4</v>
          </cell>
          <cell r="J95">
            <v>1E-4</v>
          </cell>
          <cell r="K95">
            <v>1E-4</v>
          </cell>
          <cell r="L95">
            <v>1E-4</v>
          </cell>
          <cell r="M95">
            <v>1E-4</v>
          </cell>
          <cell r="N95">
            <v>1E-4</v>
          </cell>
          <cell r="O95">
            <v>1E-4</v>
          </cell>
          <cell r="P95">
            <v>1E-4</v>
          </cell>
          <cell r="Q95">
            <v>0</v>
          </cell>
        </row>
      </sheetData>
      <sheetData sheetId="10" refreshError="1"/>
      <sheetData sheetId="11">
        <row r="19">
          <cell r="D19">
            <v>0.1154</v>
          </cell>
          <cell r="E19">
            <v>0.1143</v>
          </cell>
          <cell r="F19">
            <v>0.11269999999999999</v>
          </cell>
          <cell r="G19">
            <v>0.11459999999999999</v>
          </cell>
          <cell r="H19">
            <v>0.1134</v>
          </cell>
          <cell r="I19">
            <v>0.11219999999999999</v>
          </cell>
          <cell r="J19">
            <v>0.1079</v>
          </cell>
          <cell r="K19">
            <v>0.10639999999999999</v>
          </cell>
          <cell r="L19">
            <v>0.1089</v>
          </cell>
          <cell r="M19">
            <v>0.1143</v>
          </cell>
          <cell r="N19">
            <v>0.1145</v>
          </cell>
          <cell r="O19">
            <v>0.11310000000000001</v>
          </cell>
          <cell r="P19" t="e">
            <v>#DIV/0!</v>
          </cell>
        </row>
        <row r="27">
          <cell r="D27">
            <v>3.3E-3</v>
          </cell>
          <cell r="E27">
            <v>3.5999999999999999E-3</v>
          </cell>
          <cell r="F27">
            <v>5.5999999999999999E-3</v>
          </cell>
          <cell r="G27">
            <v>1.0699999999999999E-2</v>
          </cell>
          <cell r="H27">
            <v>2.8400000000000002E-2</v>
          </cell>
          <cell r="I27">
            <v>2.7400000000000001E-2</v>
          </cell>
          <cell r="J27">
            <v>2.18E-2</v>
          </cell>
          <cell r="K27">
            <v>8.9999999999999993E-3</v>
          </cell>
          <cell r="L27">
            <v>8.3999999999999995E-3</v>
          </cell>
          <cell r="M27">
            <v>6.1999999999999998E-3</v>
          </cell>
          <cell r="N27">
            <v>4.7000000000000002E-3</v>
          </cell>
          <cell r="O27">
            <v>6.1999999999999998E-3</v>
          </cell>
          <cell r="P27">
            <v>-3.0300000000000001E-2</v>
          </cell>
        </row>
        <row r="35">
          <cell r="D35">
            <v>9.8100000000000007E-2</v>
          </cell>
          <cell r="E35">
            <v>9.64E-2</v>
          </cell>
          <cell r="F35">
            <v>9.69E-2</v>
          </cell>
          <cell r="G35">
            <v>9.9299999999999999E-2</v>
          </cell>
          <cell r="H35">
            <v>9.9099999999999994E-2</v>
          </cell>
          <cell r="I35">
            <v>9.8500000000000004E-2</v>
          </cell>
          <cell r="J35">
            <v>9.5299999999999996E-2</v>
          </cell>
          <cell r="K35">
            <v>9.1800000000000007E-2</v>
          </cell>
          <cell r="L35">
            <v>9.3399999999999997E-2</v>
          </cell>
          <cell r="M35">
            <v>9.7199999999999995E-2</v>
          </cell>
          <cell r="N35">
            <v>9.6799999999999997E-2</v>
          </cell>
          <cell r="O35">
            <v>9.6199999999999994E-2</v>
          </cell>
          <cell r="P35" t="e">
            <v>#DIV/0!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 Page"/>
      <sheetName val="Supplier &amp; Trans Data"/>
      <sheetName val="Statistical data"/>
      <sheetName val="Actual Implemented Rates"/>
      <sheetName val="Actual Implemented Lifeline"/>
      <sheetName val="GR"/>
      <sheetName val="TR"/>
      <sheetName val="SLR"/>
      <sheetName val="LD"/>
      <sheetName val="SR CIT. SUBSIDY"/>
      <sheetName val="DU VAT"/>
      <sheetName val="BT &amp; FT "/>
      <sheetName val="Monitoring Approved Adj"/>
      <sheetName val="Revenues"/>
      <sheetName val="Techl Data"/>
      <sheetName val="Generation Cost Data"/>
      <sheetName val="ILP"/>
      <sheetName val="System Loss Data"/>
      <sheetName val="Revenues Data"/>
    </sheetNames>
    <sheetDataSet>
      <sheetData sheetId="0" refreshError="1"/>
      <sheetData sheetId="1">
        <row r="3">
          <cell r="A3" t="str">
            <v>For January -December 2016 Billing</v>
          </cell>
        </row>
      </sheetData>
      <sheetData sheetId="2">
        <row r="140">
          <cell r="A140" t="str">
            <v xml:space="preserve">Residential </v>
          </cell>
        </row>
        <row r="143">
          <cell r="A143" t="str">
            <v>General Service A</v>
          </cell>
        </row>
        <row r="144">
          <cell r="A144" t="str">
            <v>GHMSCI</v>
          </cell>
        </row>
        <row r="145">
          <cell r="A145" t="str">
            <v>General Service B</v>
          </cell>
        </row>
        <row r="146">
          <cell r="A146" t="str">
            <v>General Power- Secondary</v>
          </cell>
        </row>
        <row r="147">
          <cell r="A147" t="str">
            <v>General Power-13.8 kV and Below</v>
          </cell>
        </row>
        <row r="148">
          <cell r="A148" t="str">
            <v>General Power-34.5kV</v>
          </cell>
        </row>
        <row r="149">
          <cell r="A149" t="str">
            <v>General Power-69/115kV</v>
          </cell>
        </row>
      </sheetData>
      <sheetData sheetId="3"/>
      <sheetData sheetId="4" refreshError="1"/>
      <sheetData sheetId="5">
        <row r="24">
          <cell r="D24">
            <v>3.9238</v>
          </cell>
          <cell r="E24">
            <v>4.1691000000000003</v>
          </cell>
          <cell r="F24">
            <v>4.0004</v>
          </cell>
          <cell r="G24">
            <v>4.0965999999999996</v>
          </cell>
          <cell r="H24">
            <v>3.8816999999999999</v>
          </cell>
          <cell r="I24">
            <v>3.7206999999999999</v>
          </cell>
          <cell r="J24">
            <v>4.0603999999999996</v>
          </cell>
          <cell r="K24">
            <v>3.8559999999999999</v>
          </cell>
          <cell r="L24">
            <v>3.9439000000000002</v>
          </cell>
          <cell r="M24">
            <v>3.8938000000000001</v>
          </cell>
          <cell r="N24">
            <v>3.8435999999999999</v>
          </cell>
          <cell r="O24">
            <v>3.9350999999999998</v>
          </cell>
          <cell r="P24" t="e">
            <v>#DIV/0!</v>
          </cell>
        </row>
      </sheetData>
      <sheetData sheetId="6">
        <row r="51">
          <cell r="D51">
            <v>0.84489999999999998</v>
          </cell>
          <cell r="E51">
            <v>0.92549999999999999</v>
          </cell>
          <cell r="F51">
            <v>0.95640000000000003</v>
          </cell>
          <cell r="G51">
            <v>0.96379999999999999</v>
          </cell>
          <cell r="H51">
            <v>0.86860000000000004</v>
          </cell>
          <cell r="I51">
            <v>0.93640000000000001</v>
          </cell>
          <cell r="J51">
            <v>0.85429999999999995</v>
          </cell>
          <cell r="K51">
            <v>0.9355</v>
          </cell>
          <cell r="L51">
            <v>0.83520000000000005</v>
          </cell>
          <cell r="M51">
            <v>0.77810000000000001</v>
          </cell>
          <cell r="N51">
            <v>0.75829999999999997</v>
          </cell>
          <cell r="O51">
            <v>0.76200000000000001</v>
          </cell>
          <cell r="P51">
            <v>0</v>
          </cell>
        </row>
        <row r="52">
          <cell r="D52">
            <v>0.83609999999999995</v>
          </cell>
          <cell r="E52">
            <v>0.91820000000000002</v>
          </cell>
          <cell r="F52">
            <v>0.94320000000000004</v>
          </cell>
          <cell r="G52">
            <v>0.95489999999999997</v>
          </cell>
          <cell r="H52">
            <v>0.8538</v>
          </cell>
          <cell r="I52">
            <v>0.91969999999999996</v>
          </cell>
          <cell r="J52">
            <v>0.83979999999999999</v>
          </cell>
          <cell r="K52">
            <v>0.92190000000000005</v>
          </cell>
          <cell r="L52">
            <v>0.82189999999999996</v>
          </cell>
          <cell r="M52">
            <v>0.7661</v>
          </cell>
          <cell r="N52">
            <v>0.74839999999999995</v>
          </cell>
          <cell r="O52">
            <v>0.75149999999999995</v>
          </cell>
          <cell r="P52">
            <v>0</v>
          </cell>
        </row>
        <row r="53">
          <cell r="D53">
            <v>0.83609999999999995</v>
          </cell>
          <cell r="E53">
            <v>0.91820000000000002</v>
          </cell>
          <cell r="F53">
            <v>0.94320000000000004</v>
          </cell>
          <cell r="G53">
            <v>0.95489999999999997</v>
          </cell>
          <cell r="H53">
            <v>0.8538</v>
          </cell>
          <cell r="I53">
            <v>0.91969999999999996</v>
          </cell>
          <cell r="J53">
            <v>0.83979999999999999</v>
          </cell>
          <cell r="K53">
            <v>0.92190000000000005</v>
          </cell>
          <cell r="L53">
            <v>0.82189999999999996</v>
          </cell>
          <cell r="M53">
            <v>0.7661</v>
          </cell>
          <cell r="N53">
            <v>0.74839999999999995</v>
          </cell>
          <cell r="O53">
            <v>0.75149999999999995</v>
          </cell>
          <cell r="P53">
            <v>0</v>
          </cell>
        </row>
        <row r="54">
          <cell r="D54">
            <v>0.9758</v>
          </cell>
          <cell r="E54">
            <v>1.0818000000000001</v>
          </cell>
          <cell r="F54">
            <v>1.0105</v>
          </cell>
          <cell r="G54">
            <v>1.1380999999999999</v>
          </cell>
          <cell r="H54">
            <v>0.95130000000000003</v>
          </cell>
          <cell r="I54">
            <v>1.0298</v>
          </cell>
          <cell r="J54">
            <v>0.91010000000000002</v>
          </cell>
          <cell r="K54">
            <v>1.0604</v>
          </cell>
          <cell r="L54">
            <v>0.92500000000000004</v>
          </cell>
          <cell r="M54">
            <v>0.8367</v>
          </cell>
          <cell r="N54">
            <v>0.85</v>
          </cell>
          <cell r="O54">
            <v>0.8286</v>
          </cell>
          <cell r="P54">
            <v>0</v>
          </cell>
        </row>
        <row r="55">
          <cell r="D55">
            <v>258.96850000000001</v>
          </cell>
          <cell r="E55">
            <v>273.69850000000002</v>
          </cell>
          <cell r="F55">
            <v>268.38850000000002</v>
          </cell>
          <cell r="G55">
            <v>295.86849999999998</v>
          </cell>
          <cell r="H55">
            <v>257.0985</v>
          </cell>
          <cell r="I55">
            <v>288.43849999999998</v>
          </cell>
          <cell r="J55">
            <v>250.9485</v>
          </cell>
          <cell r="K55">
            <v>287.2285</v>
          </cell>
          <cell r="L55">
            <v>257.02850000000001</v>
          </cell>
          <cell r="M55">
            <v>227.5085</v>
          </cell>
          <cell r="N55">
            <v>230.58850000000001</v>
          </cell>
          <cell r="O55">
            <v>220.1985</v>
          </cell>
          <cell r="P55">
            <v>0</v>
          </cell>
        </row>
        <row r="56">
          <cell r="D56">
            <v>287.28199999999998</v>
          </cell>
          <cell r="E56">
            <v>299.262</v>
          </cell>
          <cell r="F56">
            <v>315.49200000000002</v>
          </cell>
          <cell r="G56">
            <v>325.74200000000002</v>
          </cell>
          <cell r="H56">
            <v>288.80200000000002</v>
          </cell>
          <cell r="I56">
            <v>323.50200000000001</v>
          </cell>
          <cell r="J56">
            <v>289.262</v>
          </cell>
          <cell r="K56">
            <v>319.67200000000003</v>
          </cell>
          <cell r="L56">
            <v>288.37200000000001</v>
          </cell>
          <cell r="M56">
            <v>260.36200000000002</v>
          </cell>
          <cell r="N56">
            <v>259.11200000000002</v>
          </cell>
          <cell r="O56">
            <v>252.452</v>
          </cell>
          <cell r="P56">
            <v>0</v>
          </cell>
        </row>
        <row r="57">
          <cell r="D57">
            <v>302.96570000000003</v>
          </cell>
          <cell r="E57">
            <v>321.70569999999998</v>
          </cell>
          <cell r="F57">
            <v>343.38569999999999</v>
          </cell>
          <cell r="G57">
            <v>332.06569999999999</v>
          </cell>
          <cell r="H57">
            <v>303.4957</v>
          </cell>
          <cell r="I57">
            <v>332.4957</v>
          </cell>
          <cell r="J57">
            <v>306.3057</v>
          </cell>
          <cell r="K57">
            <v>331.79570000000001</v>
          </cell>
          <cell r="L57">
            <v>300.33569999999997</v>
          </cell>
          <cell r="M57">
            <v>273.72570000000002</v>
          </cell>
          <cell r="N57">
            <v>267.41570000000002</v>
          </cell>
          <cell r="O57">
            <v>267.4357</v>
          </cell>
          <cell r="P57">
            <v>0</v>
          </cell>
        </row>
        <row r="58">
          <cell r="D58">
            <v>338.738</v>
          </cell>
          <cell r="E58">
            <v>353.65800000000002</v>
          </cell>
          <cell r="F58">
            <v>391.51799999999997</v>
          </cell>
          <cell r="G58">
            <v>368.53800000000001</v>
          </cell>
          <cell r="H58">
            <v>341.87799999999999</v>
          </cell>
          <cell r="I58">
            <v>374.38799999999998</v>
          </cell>
          <cell r="J58">
            <v>354.238</v>
          </cell>
          <cell r="K58">
            <v>375.89800000000002</v>
          </cell>
          <cell r="L58">
            <v>343.51799999999997</v>
          </cell>
          <cell r="M58">
            <v>318.44799999999998</v>
          </cell>
          <cell r="N58">
            <v>306.798</v>
          </cell>
          <cell r="O58">
            <v>313.68799999999999</v>
          </cell>
          <cell r="P58">
            <v>0</v>
          </cell>
        </row>
        <row r="59">
          <cell r="D59">
            <v>255.6875</v>
          </cell>
          <cell r="E59">
            <v>270.60750000000002</v>
          </cell>
          <cell r="F59">
            <v>308.46749999999997</v>
          </cell>
          <cell r="G59">
            <v>285.48750000000001</v>
          </cell>
          <cell r="H59">
            <v>258.82749999999999</v>
          </cell>
          <cell r="I59">
            <v>291.33749999999998</v>
          </cell>
          <cell r="J59">
            <v>271.1875</v>
          </cell>
          <cell r="K59">
            <v>292.84750000000003</v>
          </cell>
          <cell r="L59">
            <v>260.46749999999997</v>
          </cell>
          <cell r="M59">
            <v>235.39750000000001</v>
          </cell>
          <cell r="N59">
            <v>223.7475</v>
          </cell>
          <cell r="O59">
            <v>230.63749999999999</v>
          </cell>
          <cell r="P59">
            <v>0</v>
          </cell>
        </row>
      </sheetData>
      <sheetData sheetId="7">
        <row r="65">
          <cell r="D65">
            <v>0.4173</v>
          </cell>
          <cell r="E65">
            <v>0.46089999999999998</v>
          </cell>
          <cell r="F65">
            <v>0.43580000000000002</v>
          </cell>
          <cell r="G65">
            <v>0.44890000000000002</v>
          </cell>
          <cell r="H65">
            <v>0.41930000000000001</v>
          </cell>
          <cell r="I65">
            <v>0.40460000000000002</v>
          </cell>
          <cell r="J65">
            <v>0.42730000000000001</v>
          </cell>
          <cell r="K65">
            <v>0.4204</v>
          </cell>
          <cell r="L65">
            <v>0.41880000000000001</v>
          </cell>
          <cell r="M65">
            <v>0.4032</v>
          </cell>
          <cell r="N65">
            <v>0.40010000000000001</v>
          </cell>
          <cell r="O65">
            <v>0.4027</v>
          </cell>
          <cell r="P65" t="e">
            <v>#DIV/0!</v>
          </cell>
        </row>
        <row r="66">
          <cell r="D66">
            <v>0.4173</v>
          </cell>
          <cell r="E66">
            <v>0.46089999999999998</v>
          </cell>
          <cell r="F66">
            <v>0.43580000000000002</v>
          </cell>
          <cell r="G66">
            <v>0.44890000000000002</v>
          </cell>
          <cell r="H66">
            <v>0.41930000000000001</v>
          </cell>
          <cell r="I66">
            <v>0.40460000000000002</v>
          </cell>
          <cell r="J66">
            <v>0.42730000000000001</v>
          </cell>
          <cell r="K66">
            <v>0.4204</v>
          </cell>
          <cell r="L66">
            <v>0.41880000000000001</v>
          </cell>
          <cell r="M66">
            <v>0.4032</v>
          </cell>
          <cell r="N66">
            <v>0.40010000000000001</v>
          </cell>
          <cell r="O66">
            <v>0.4027</v>
          </cell>
          <cell r="P66" t="e">
            <v>#DIV/0!</v>
          </cell>
        </row>
        <row r="67">
          <cell r="D67">
            <v>0.4173</v>
          </cell>
          <cell r="E67">
            <v>0.46089999999999998</v>
          </cell>
          <cell r="F67">
            <v>0.43580000000000002</v>
          </cell>
          <cell r="G67">
            <v>0.44890000000000002</v>
          </cell>
          <cell r="H67">
            <v>0.41930000000000001</v>
          </cell>
          <cell r="I67">
            <v>0.40460000000000002</v>
          </cell>
          <cell r="J67">
            <v>0.42730000000000001</v>
          </cell>
          <cell r="K67">
            <v>0.4204</v>
          </cell>
          <cell r="L67">
            <v>0.41880000000000001</v>
          </cell>
          <cell r="M67">
            <v>0.4032</v>
          </cell>
          <cell r="N67">
            <v>0.40010000000000001</v>
          </cell>
          <cell r="O67">
            <v>0.4027</v>
          </cell>
          <cell r="P67" t="e">
            <v>#DIV/0!</v>
          </cell>
        </row>
        <row r="68">
          <cell r="D68">
            <v>0.4173</v>
          </cell>
          <cell r="E68">
            <v>0.46089999999999998</v>
          </cell>
          <cell r="F68">
            <v>0.43580000000000002</v>
          </cell>
          <cell r="G68">
            <v>0.44890000000000002</v>
          </cell>
          <cell r="H68">
            <v>0.41930000000000001</v>
          </cell>
          <cell r="I68">
            <v>0.40460000000000002</v>
          </cell>
          <cell r="J68">
            <v>0.42730000000000001</v>
          </cell>
          <cell r="K68">
            <v>0.4204</v>
          </cell>
          <cell r="L68">
            <v>0.41880000000000001</v>
          </cell>
          <cell r="M68">
            <v>0.4032</v>
          </cell>
          <cell r="N68">
            <v>0.40010000000000001</v>
          </cell>
          <cell r="O68">
            <v>0.4027</v>
          </cell>
          <cell r="P68" t="e">
            <v>#DIV/0!</v>
          </cell>
        </row>
        <row r="69">
          <cell r="D69">
            <v>0.4173</v>
          </cell>
          <cell r="E69">
            <v>0.46089999999999998</v>
          </cell>
          <cell r="F69">
            <v>0.43580000000000002</v>
          </cell>
          <cell r="G69">
            <v>0.44890000000000002</v>
          </cell>
          <cell r="H69">
            <v>0.41930000000000001</v>
          </cell>
          <cell r="I69">
            <v>0.40460000000000002</v>
          </cell>
          <cell r="J69">
            <v>0.42730000000000001</v>
          </cell>
          <cell r="K69">
            <v>0.4204</v>
          </cell>
          <cell r="L69">
            <v>0.41880000000000001</v>
          </cell>
          <cell r="M69">
            <v>0.4032</v>
          </cell>
          <cell r="N69">
            <v>0.40010000000000001</v>
          </cell>
          <cell r="O69">
            <v>0.4027</v>
          </cell>
          <cell r="P69" t="e">
            <v>#DIV/0!</v>
          </cell>
        </row>
        <row r="70">
          <cell r="D70">
            <v>0.4173</v>
          </cell>
          <cell r="E70">
            <v>0.46089999999999998</v>
          </cell>
          <cell r="F70">
            <v>0.43580000000000002</v>
          </cell>
          <cell r="G70">
            <v>0.44890000000000002</v>
          </cell>
          <cell r="H70">
            <v>0.41930000000000001</v>
          </cell>
          <cell r="I70">
            <v>0.40460000000000002</v>
          </cell>
          <cell r="J70">
            <v>0.42730000000000001</v>
          </cell>
          <cell r="K70">
            <v>0.4204</v>
          </cell>
          <cell r="L70">
            <v>0.41880000000000001</v>
          </cell>
          <cell r="M70">
            <v>0.4032</v>
          </cell>
          <cell r="N70">
            <v>0.40010000000000001</v>
          </cell>
          <cell r="O70">
            <v>0.4027</v>
          </cell>
          <cell r="P70" t="e">
            <v>#DIV/0!</v>
          </cell>
        </row>
        <row r="71">
          <cell r="D71">
            <v>0.161</v>
          </cell>
          <cell r="E71">
            <v>0.1774</v>
          </cell>
          <cell r="F71">
            <v>0.161</v>
          </cell>
          <cell r="G71">
            <v>0.1699</v>
          </cell>
          <cell r="H71">
            <v>0.15679999999999999</v>
          </cell>
          <cell r="I71">
            <v>0.15029999999999999</v>
          </cell>
          <cell r="J71">
            <v>0.16209999999999999</v>
          </cell>
          <cell r="K71">
            <v>0.15840000000000001</v>
          </cell>
          <cell r="L71">
            <v>0.1583</v>
          </cell>
          <cell r="M71">
            <v>0.15279999999999999</v>
          </cell>
          <cell r="N71">
            <v>0.15310000000000001</v>
          </cell>
          <cell r="O71">
            <v>0.15279999999999999</v>
          </cell>
          <cell r="P71" t="e">
            <v>#DIV/0!</v>
          </cell>
        </row>
        <row r="72">
          <cell r="D72">
            <v>0.161</v>
          </cell>
          <cell r="E72">
            <v>0.1774</v>
          </cell>
          <cell r="F72">
            <v>0.161</v>
          </cell>
          <cell r="G72">
            <v>0.1699</v>
          </cell>
          <cell r="H72">
            <v>0.15679999999999999</v>
          </cell>
          <cell r="I72">
            <v>0.15029999999999999</v>
          </cell>
          <cell r="J72">
            <v>0.16209999999999999</v>
          </cell>
          <cell r="K72">
            <v>0.15840000000000001</v>
          </cell>
          <cell r="L72">
            <v>0.1583</v>
          </cell>
          <cell r="M72">
            <v>0.15279999999999999</v>
          </cell>
          <cell r="N72">
            <v>0.15310000000000001</v>
          </cell>
          <cell r="O72">
            <v>0.15279999999999999</v>
          </cell>
          <cell r="P72" t="e">
            <v>#DIV/0!</v>
          </cell>
        </row>
        <row r="73">
          <cell r="D73">
            <v>4.3799999999999999E-2</v>
          </cell>
          <cell r="E73">
            <v>4.8300000000000003E-2</v>
          </cell>
          <cell r="F73">
            <v>4.2999999999999997E-2</v>
          </cell>
          <cell r="G73">
            <v>4.53E-2</v>
          </cell>
          <cell r="H73">
            <v>4.1099999999999998E-2</v>
          </cell>
          <cell r="I73">
            <v>3.8800000000000001E-2</v>
          </cell>
          <cell r="J73">
            <v>4.19E-2</v>
          </cell>
          <cell r="K73">
            <v>4.0500000000000001E-2</v>
          </cell>
          <cell r="L73">
            <v>0.04</v>
          </cell>
          <cell r="M73">
            <v>3.78E-2</v>
          </cell>
          <cell r="N73">
            <v>3.7199999999999997E-2</v>
          </cell>
          <cell r="O73">
            <v>3.6900000000000002E-2</v>
          </cell>
          <cell r="P73" t="e">
            <v>#DIV/0!</v>
          </cell>
        </row>
      </sheetData>
      <sheetData sheetId="8">
        <row r="30">
          <cell r="E30">
            <v>9.4799999999999995E-2</v>
          </cell>
          <cell r="F30">
            <v>9.9000000000000005E-2</v>
          </cell>
          <cell r="G30">
            <v>9.8100000000000007E-2</v>
          </cell>
          <cell r="H30">
            <v>0.10100000000000001</v>
          </cell>
          <cell r="I30">
            <v>7.46E-2</v>
          </cell>
          <cell r="J30">
            <v>6.5799999999999997E-2</v>
          </cell>
          <cell r="K30">
            <v>6.2E-2</v>
          </cell>
          <cell r="L30">
            <v>7.5999999999999998E-2</v>
          </cell>
          <cell r="M30">
            <v>7.1499999999999994E-2</v>
          </cell>
          <cell r="N30">
            <v>7.2599999999999998E-2</v>
          </cell>
          <cell r="O30">
            <v>7.9799999999999996E-2</v>
          </cell>
          <cell r="P30">
            <v>7.6999999999999999E-2</v>
          </cell>
          <cell r="Q30">
            <v>0</v>
          </cell>
        </row>
      </sheetData>
      <sheetData sheetId="9">
        <row r="95">
          <cell r="E95">
            <v>1E-4</v>
          </cell>
          <cell r="F95">
            <v>1E-4</v>
          </cell>
          <cell r="G95">
            <v>1E-4</v>
          </cell>
          <cell r="H95">
            <v>1E-4</v>
          </cell>
          <cell r="I95">
            <v>1E-4</v>
          </cell>
          <cell r="J95">
            <v>1E-4</v>
          </cell>
          <cell r="K95">
            <v>1E-4</v>
          </cell>
          <cell r="L95">
            <v>1E-4</v>
          </cell>
          <cell r="M95">
            <v>1E-4</v>
          </cell>
          <cell r="N95">
            <v>1E-4</v>
          </cell>
          <cell r="O95">
            <v>1E-4</v>
          </cell>
          <cell r="P95">
            <v>1E-4</v>
          </cell>
          <cell r="Q95">
            <v>0</v>
          </cell>
        </row>
      </sheetData>
      <sheetData sheetId="10">
        <row r="16">
          <cell r="D16">
            <v>0.1139</v>
          </cell>
          <cell r="E16">
            <v>0.115</v>
          </cell>
          <cell r="F16">
            <v>0.1143</v>
          </cell>
          <cell r="G16">
            <v>0.11310000000000001</v>
          </cell>
          <cell r="H16">
            <v>0.11020000000000001</v>
          </cell>
          <cell r="I16">
            <v>0.1116</v>
          </cell>
          <cell r="J16">
            <v>0.10920000000000001</v>
          </cell>
          <cell r="K16">
            <v>0.1138</v>
          </cell>
          <cell r="L16">
            <v>0.1072</v>
          </cell>
          <cell r="M16">
            <v>0.11219999999999999</v>
          </cell>
          <cell r="N16">
            <v>0.1101</v>
          </cell>
          <cell r="O16">
            <v>0.11020000000000001</v>
          </cell>
          <cell r="P16" t="e">
            <v>#DIV/0!</v>
          </cell>
        </row>
        <row r="23">
          <cell r="D23">
            <v>5.5999999999999999E-3</v>
          </cell>
          <cell r="E23">
            <v>1.52E-2</v>
          </cell>
          <cell r="F23">
            <v>2.0400000000000001E-2</v>
          </cell>
          <cell r="G23">
            <v>2.7199999999999998E-2</v>
          </cell>
          <cell r="H23">
            <v>3.44E-2</v>
          </cell>
          <cell r="I23">
            <v>3.9199999999999999E-2</v>
          </cell>
          <cell r="J23">
            <v>2.3900000000000001E-2</v>
          </cell>
          <cell r="K23">
            <v>3.39E-2</v>
          </cell>
          <cell r="L23">
            <v>2.81E-2</v>
          </cell>
          <cell r="M23">
            <v>1.1599999999999999E-2</v>
          </cell>
          <cell r="N23">
            <v>1.17E-2</v>
          </cell>
          <cell r="O23">
            <v>6.3E-3</v>
          </cell>
          <cell r="P23" t="e">
            <v>#DIV/0!</v>
          </cell>
        </row>
        <row r="30">
          <cell r="D30">
            <v>9.5000000000000001E-2</v>
          </cell>
          <cell r="E30">
            <v>9.7000000000000003E-2</v>
          </cell>
          <cell r="F30">
            <v>9.7100000000000006E-2</v>
          </cell>
          <cell r="G30">
            <v>9.7000000000000003E-2</v>
          </cell>
          <cell r="H30">
            <v>9.7100000000000006E-2</v>
          </cell>
          <cell r="I30">
            <v>9.7699999999999995E-2</v>
          </cell>
          <cell r="J30">
            <v>9.5200000000000007E-2</v>
          </cell>
          <cell r="K30">
            <v>9.8100000000000007E-2</v>
          </cell>
          <cell r="L30">
            <v>9.3600000000000003E-2</v>
          </cell>
          <cell r="M30">
            <v>9.5799999999999996E-2</v>
          </cell>
          <cell r="N30">
            <v>9.4E-2</v>
          </cell>
          <cell r="O30">
            <v>9.3600000000000003E-2</v>
          </cell>
          <cell r="P30" t="e">
            <v>#DIV/0!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 Page"/>
      <sheetName val="Supplier &amp; Trans Data"/>
      <sheetName val="Statistical data"/>
      <sheetName val="Actual Implemented Rates"/>
      <sheetName val="Actual Implemented Lifeline"/>
      <sheetName val="GR"/>
      <sheetName val="TR"/>
      <sheetName val="SLR"/>
      <sheetName val="LD"/>
      <sheetName val="SR CIT. SUBSIDY"/>
      <sheetName val="DU VAT"/>
      <sheetName val="BT &amp; FT "/>
      <sheetName val="Monitoring Approved Adj"/>
      <sheetName val="Revenues"/>
      <sheetName val="Techl Data"/>
      <sheetName val="Generation Cost Data"/>
      <sheetName val="System Loss Data 1"/>
      <sheetName val="System Loss Data 2"/>
      <sheetName val="kWh Sales Summary"/>
      <sheetName val="Revenues Data"/>
    </sheetNames>
    <sheetDataSet>
      <sheetData sheetId="0" refreshError="1"/>
      <sheetData sheetId="1">
        <row r="3">
          <cell r="A3" t="str">
            <v>For January - December 2017 Billing</v>
          </cell>
        </row>
      </sheetData>
      <sheetData sheetId="2">
        <row r="160">
          <cell r="A160" t="str">
            <v xml:space="preserve">Residential </v>
          </cell>
        </row>
        <row r="163">
          <cell r="A163" t="str">
            <v>General Service A</v>
          </cell>
        </row>
        <row r="164">
          <cell r="A164" t="str">
            <v>GHMSCI</v>
          </cell>
        </row>
        <row r="165">
          <cell r="A165" t="str">
            <v>General Service B</v>
          </cell>
        </row>
        <row r="166">
          <cell r="A166" t="str">
            <v>General Power- Secondary</v>
          </cell>
        </row>
        <row r="167">
          <cell r="A167" t="str">
            <v>General Power-13.8 kV and Below</v>
          </cell>
        </row>
        <row r="168">
          <cell r="A168" t="str">
            <v>General Power-34.5kV</v>
          </cell>
        </row>
        <row r="169">
          <cell r="A169" t="str">
            <v>General Power-69/115kV</v>
          </cell>
        </row>
      </sheetData>
      <sheetData sheetId="3"/>
      <sheetData sheetId="4" refreshError="1"/>
      <sheetData sheetId="5">
        <row r="25">
          <cell r="D25">
            <v>3.7</v>
          </cell>
          <cell r="E25">
            <v>4.3212000000000002</v>
          </cell>
          <cell r="F25">
            <v>4.9013999999999998</v>
          </cell>
          <cell r="G25">
            <v>5.0964999999999998</v>
          </cell>
          <cell r="H25">
            <v>4.8838999999999997</v>
          </cell>
          <cell r="I25">
            <v>3.8586</v>
          </cell>
          <cell r="J25">
            <v>3.9384999999999999</v>
          </cell>
          <cell r="K25">
            <v>3.9763000000000002</v>
          </cell>
          <cell r="L25">
            <v>4.5377999999999998</v>
          </cell>
          <cell r="M25">
            <v>4.7154999999999996</v>
          </cell>
          <cell r="N25">
            <v>4.9080000000000004</v>
          </cell>
          <cell r="O25">
            <v>4.6044999999999998</v>
          </cell>
          <cell r="P25" t="e">
            <v>#DIV/0!</v>
          </cell>
        </row>
      </sheetData>
      <sheetData sheetId="6">
        <row r="62">
          <cell r="D62">
            <v>0.76490000000000002</v>
          </cell>
          <cell r="E62">
            <v>0.91400000000000003</v>
          </cell>
          <cell r="F62">
            <v>0.90700000000000003</v>
          </cell>
          <cell r="G62">
            <v>0.83550000000000002</v>
          </cell>
          <cell r="H62">
            <v>0.86470000000000002</v>
          </cell>
          <cell r="I62">
            <v>0.751</v>
          </cell>
          <cell r="J62">
            <v>0.75690000000000002</v>
          </cell>
          <cell r="K62">
            <v>0.79269999999999996</v>
          </cell>
          <cell r="L62">
            <v>0.74139999999999995</v>
          </cell>
          <cell r="M62">
            <v>0.68120000000000003</v>
          </cell>
          <cell r="N62">
            <v>0.76629999999999998</v>
          </cell>
          <cell r="O62">
            <v>0.74809999999999999</v>
          </cell>
          <cell r="P62">
            <v>0</v>
          </cell>
        </row>
        <row r="63">
          <cell r="D63">
            <v>0.75570000000000004</v>
          </cell>
          <cell r="E63">
            <v>0.90510000000000002</v>
          </cell>
          <cell r="F63">
            <v>0.89270000000000005</v>
          </cell>
          <cell r="G63">
            <v>0.82979999999999998</v>
          </cell>
          <cell r="H63">
            <v>0.84989999999999999</v>
          </cell>
          <cell r="I63">
            <v>0.7379</v>
          </cell>
          <cell r="J63">
            <v>0.74209999999999998</v>
          </cell>
          <cell r="K63">
            <v>0.78039999999999998</v>
          </cell>
          <cell r="L63">
            <v>0.72940000000000005</v>
          </cell>
          <cell r="M63">
            <v>0.67010000000000003</v>
          </cell>
          <cell r="N63">
            <v>0.75609999999999999</v>
          </cell>
          <cell r="O63">
            <v>0.73750000000000004</v>
          </cell>
          <cell r="P63">
            <v>0</v>
          </cell>
        </row>
        <row r="64">
          <cell r="D64">
            <v>0.75570000000000004</v>
          </cell>
          <cell r="E64">
            <v>0.90510000000000002</v>
          </cell>
          <cell r="F64">
            <v>0.89270000000000005</v>
          </cell>
          <cell r="G64">
            <v>0.82979999999999998</v>
          </cell>
          <cell r="H64">
            <v>0.84989999999999999</v>
          </cell>
          <cell r="I64">
            <v>0.7379</v>
          </cell>
          <cell r="J64">
            <v>0.74209999999999998</v>
          </cell>
          <cell r="K64">
            <v>0.78039999999999998</v>
          </cell>
          <cell r="L64">
            <v>0.72940000000000005</v>
          </cell>
          <cell r="M64">
            <v>0.67010000000000003</v>
          </cell>
          <cell r="N64">
            <v>0.75609999999999999</v>
          </cell>
          <cell r="O64">
            <v>0.73750000000000004</v>
          </cell>
          <cell r="P64">
            <v>0</v>
          </cell>
        </row>
        <row r="65">
          <cell r="D65">
            <v>0.86650000000000005</v>
          </cell>
          <cell r="E65">
            <v>1.0361</v>
          </cell>
          <cell r="F65">
            <v>0.94910000000000005</v>
          </cell>
          <cell r="G65">
            <v>1.0142</v>
          </cell>
          <cell r="H65">
            <v>0.95330000000000004</v>
          </cell>
          <cell r="I65">
            <v>0.82799999999999996</v>
          </cell>
          <cell r="J65">
            <v>0.80400000000000005</v>
          </cell>
          <cell r="K65">
            <v>0.88529999999999998</v>
          </cell>
          <cell r="L65">
            <v>0.81789999999999996</v>
          </cell>
          <cell r="M65">
            <v>0.74329999999999996</v>
          </cell>
          <cell r="N65">
            <v>0.85289999999999999</v>
          </cell>
          <cell r="O65">
            <v>0.82179999999999997</v>
          </cell>
          <cell r="P65">
            <v>0</v>
          </cell>
        </row>
        <row r="66">
          <cell r="D66">
            <v>234.13849999999999</v>
          </cell>
          <cell r="E66">
            <v>267.43849999999998</v>
          </cell>
          <cell r="F66">
            <v>250.61850000000001</v>
          </cell>
          <cell r="G66">
            <v>261.52850000000001</v>
          </cell>
          <cell r="H66">
            <v>257.64850000000001</v>
          </cell>
          <cell r="I66">
            <v>226.2808</v>
          </cell>
          <cell r="J66">
            <v>221.71539999999999</v>
          </cell>
          <cell r="K66">
            <v>238.87979999999999</v>
          </cell>
          <cell r="L66">
            <v>226.99879999999999</v>
          </cell>
          <cell r="M66">
            <v>200.36879999999999</v>
          </cell>
          <cell r="N66">
            <v>230.31880000000001</v>
          </cell>
          <cell r="O66">
            <v>217.15</v>
          </cell>
          <cell r="P66">
            <v>0</v>
          </cell>
        </row>
        <row r="67">
          <cell r="D67">
            <v>260.65199999999999</v>
          </cell>
          <cell r="E67">
            <v>296.06200000000001</v>
          </cell>
          <cell r="F67">
            <v>291.96199999999999</v>
          </cell>
          <cell r="G67">
            <v>284.262</v>
          </cell>
          <cell r="H67">
            <v>287.16199999999998</v>
          </cell>
          <cell r="I67">
            <v>254.41059999999999</v>
          </cell>
          <cell r="J67">
            <v>253.18950000000001</v>
          </cell>
          <cell r="K67">
            <v>267.70569999999998</v>
          </cell>
          <cell r="L67">
            <v>255.41300000000001</v>
          </cell>
          <cell r="M67">
            <v>226.583</v>
          </cell>
          <cell r="N67">
            <v>260.74299999999999</v>
          </cell>
          <cell r="O67">
            <v>246.62</v>
          </cell>
          <cell r="P67">
            <v>0</v>
          </cell>
        </row>
        <row r="68">
          <cell r="D68">
            <v>275.64569999999998</v>
          </cell>
          <cell r="E68">
            <v>319.83569999999997</v>
          </cell>
          <cell r="F68">
            <v>314.96570000000003</v>
          </cell>
          <cell r="G68">
            <v>283.8057</v>
          </cell>
          <cell r="H68">
            <v>293.4357</v>
          </cell>
          <cell r="I68">
            <v>263.77069999999998</v>
          </cell>
          <cell r="J68">
            <v>269.90249999999997</v>
          </cell>
          <cell r="K68">
            <v>284.64049999999997</v>
          </cell>
          <cell r="L68">
            <v>267.9119</v>
          </cell>
          <cell r="M68">
            <v>241.42189999999999</v>
          </cell>
          <cell r="N68">
            <v>278.15190000000001</v>
          </cell>
          <cell r="O68">
            <v>270.85000000000002</v>
          </cell>
          <cell r="P68">
            <v>0</v>
          </cell>
        </row>
        <row r="69">
          <cell r="D69">
            <v>309.40800000000002</v>
          </cell>
          <cell r="E69">
            <v>364.32799999999997</v>
          </cell>
          <cell r="F69">
            <v>365.178</v>
          </cell>
          <cell r="G69">
            <v>316.82799999999997</v>
          </cell>
          <cell r="H69">
            <v>337.46800000000002</v>
          </cell>
          <cell r="I69">
            <v>302.14319999999998</v>
          </cell>
          <cell r="J69">
            <v>311.6386</v>
          </cell>
          <cell r="K69">
            <v>325.46899999999999</v>
          </cell>
          <cell r="L69">
            <v>307.40769999999998</v>
          </cell>
          <cell r="M69">
            <v>281.23770000000002</v>
          </cell>
          <cell r="N69">
            <v>318.16770000000002</v>
          </cell>
          <cell r="O69">
            <v>308.56</v>
          </cell>
          <cell r="P69">
            <v>0</v>
          </cell>
        </row>
        <row r="70">
          <cell r="D70">
            <v>226.35749999999999</v>
          </cell>
          <cell r="E70">
            <v>281.27749999999997</v>
          </cell>
          <cell r="F70">
            <v>282.1275</v>
          </cell>
          <cell r="G70">
            <v>233.7775</v>
          </cell>
          <cell r="H70">
            <v>254.41749999999999</v>
          </cell>
          <cell r="I70">
            <v>225.6001</v>
          </cell>
          <cell r="J70">
            <v>236.70419999999999</v>
          </cell>
          <cell r="K70">
            <v>250.0993</v>
          </cell>
          <cell r="L70">
            <v>224.6395</v>
          </cell>
          <cell r="M70">
            <v>198.46950000000001</v>
          </cell>
          <cell r="N70">
            <v>235.39949999999999</v>
          </cell>
          <cell r="O70">
            <v>225.7</v>
          </cell>
          <cell r="P70">
            <v>0</v>
          </cell>
        </row>
      </sheetData>
      <sheetData sheetId="7">
        <row r="68">
          <cell r="D68">
            <v>0.38219999999999998</v>
          </cell>
          <cell r="E68">
            <v>0.43809999999999999</v>
          </cell>
          <cell r="F68">
            <v>0.48199999999999998</v>
          </cell>
          <cell r="G68">
            <v>0.50070000000000003</v>
          </cell>
          <cell r="H68">
            <v>0.47420000000000001</v>
          </cell>
          <cell r="I68">
            <v>0.2666</v>
          </cell>
          <cell r="J68">
            <v>0.27100000000000002</v>
          </cell>
          <cell r="K68">
            <v>0.27160000000000001</v>
          </cell>
          <cell r="L68">
            <v>0.53139999999999998</v>
          </cell>
          <cell r="M68">
            <v>0.44500000000000001</v>
          </cell>
          <cell r="N68">
            <v>0.46439999999999998</v>
          </cell>
          <cell r="O68">
            <v>0.43690000000000001</v>
          </cell>
          <cell r="P68" t="e">
            <v>#DIV/0!</v>
          </cell>
        </row>
        <row r="69">
          <cell r="D69">
            <v>0.38219999999999998</v>
          </cell>
          <cell r="E69">
            <v>0.43809999999999999</v>
          </cell>
          <cell r="F69">
            <v>0.48199999999999998</v>
          </cell>
          <cell r="G69">
            <v>0.50070000000000003</v>
          </cell>
          <cell r="H69">
            <v>0.47420000000000001</v>
          </cell>
          <cell r="I69">
            <v>0.2666</v>
          </cell>
          <cell r="J69">
            <v>0.27100000000000002</v>
          </cell>
          <cell r="K69">
            <v>0.27160000000000001</v>
          </cell>
          <cell r="L69">
            <v>0.53139999999999998</v>
          </cell>
          <cell r="M69">
            <v>0.44500000000000001</v>
          </cell>
          <cell r="N69">
            <v>0.46439999999999998</v>
          </cell>
          <cell r="O69">
            <v>0.43690000000000001</v>
          </cell>
          <cell r="P69" t="e">
            <v>#DIV/0!</v>
          </cell>
        </row>
        <row r="70">
          <cell r="D70">
            <v>0.38219999999999998</v>
          </cell>
          <cell r="E70">
            <v>0.43809999999999999</v>
          </cell>
          <cell r="F70">
            <v>0.48199999999999998</v>
          </cell>
          <cell r="G70">
            <v>0.50070000000000003</v>
          </cell>
          <cell r="H70">
            <v>0.47420000000000001</v>
          </cell>
          <cell r="I70">
            <v>0.2666</v>
          </cell>
          <cell r="J70">
            <v>0.27100000000000002</v>
          </cell>
          <cell r="K70">
            <v>0.27160000000000001</v>
          </cell>
          <cell r="L70">
            <v>0.53139999999999998</v>
          </cell>
          <cell r="M70">
            <v>0.44500000000000001</v>
          </cell>
          <cell r="N70">
            <v>0.46439999999999998</v>
          </cell>
          <cell r="O70">
            <v>0.43690000000000001</v>
          </cell>
          <cell r="P70" t="e">
            <v>#DIV/0!</v>
          </cell>
        </row>
        <row r="71">
          <cell r="D71">
            <v>0.38219999999999998</v>
          </cell>
          <cell r="E71">
            <v>0.43809999999999999</v>
          </cell>
          <cell r="F71">
            <v>0.48199999999999998</v>
          </cell>
          <cell r="G71">
            <v>0.50070000000000003</v>
          </cell>
          <cell r="H71">
            <v>0.47420000000000001</v>
          </cell>
          <cell r="I71">
            <v>0.2666</v>
          </cell>
          <cell r="J71">
            <v>0.27100000000000002</v>
          </cell>
          <cell r="K71">
            <v>0.27160000000000001</v>
          </cell>
          <cell r="L71">
            <v>0.53139999999999998</v>
          </cell>
          <cell r="M71">
            <v>0.44500000000000001</v>
          </cell>
          <cell r="N71">
            <v>0.46439999999999998</v>
          </cell>
          <cell r="O71">
            <v>0.43690000000000001</v>
          </cell>
          <cell r="P71" t="e">
            <v>#DIV/0!</v>
          </cell>
        </row>
        <row r="72">
          <cell r="D72">
            <v>0.38219999999999998</v>
          </cell>
          <cell r="E72">
            <v>0.43809999999999999</v>
          </cell>
          <cell r="F72">
            <v>0.48199999999999998</v>
          </cell>
          <cell r="G72">
            <v>0.50070000000000003</v>
          </cell>
          <cell r="H72">
            <v>0.47420000000000001</v>
          </cell>
          <cell r="I72">
            <v>0.2666</v>
          </cell>
          <cell r="J72">
            <v>0.27100000000000002</v>
          </cell>
          <cell r="K72">
            <v>0.27160000000000001</v>
          </cell>
          <cell r="L72">
            <v>0.53139999999999998</v>
          </cell>
          <cell r="M72">
            <v>0.44500000000000001</v>
          </cell>
          <cell r="N72">
            <v>0.46439999999999998</v>
          </cell>
          <cell r="O72">
            <v>0.43690000000000001</v>
          </cell>
          <cell r="P72" t="e">
            <v>#DIV/0!</v>
          </cell>
        </row>
        <row r="73">
          <cell r="D73">
            <v>0.38219999999999998</v>
          </cell>
          <cell r="E73">
            <v>0.43809999999999999</v>
          </cell>
          <cell r="F73">
            <v>0.48199999999999998</v>
          </cell>
          <cell r="G73">
            <v>0.50070000000000003</v>
          </cell>
          <cell r="H73">
            <v>0.47420000000000001</v>
          </cell>
          <cell r="I73">
            <v>0.2666</v>
          </cell>
          <cell r="J73">
            <v>0.27100000000000002</v>
          </cell>
          <cell r="K73">
            <v>0.27160000000000001</v>
          </cell>
          <cell r="L73">
            <v>0.53139999999999998</v>
          </cell>
          <cell r="M73">
            <v>0.44500000000000001</v>
          </cell>
          <cell r="N73">
            <v>0.46439999999999998</v>
          </cell>
          <cell r="O73">
            <v>0.43690000000000001</v>
          </cell>
          <cell r="P73" t="e">
            <v>#DIV/0!</v>
          </cell>
        </row>
        <row r="74">
          <cell r="D74">
            <v>0.1479</v>
          </cell>
          <cell r="E74">
            <v>0.17050000000000001</v>
          </cell>
          <cell r="F74">
            <v>0.19500000000000001</v>
          </cell>
          <cell r="G74">
            <v>0.2016</v>
          </cell>
          <cell r="H74">
            <v>0.1895</v>
          </cell>
          <cell r="I74">
            <v>0.1105</v>
          </cell>
          <cell r="J74">
            <v>0.10979999999999999</v>
          </cell>
          <cell r="K74">
            <v>0.1134</v>
          </cell>
          <cell r="L74">
            <v>0.2215</v>
          </cell>
          <cell r="M74">
            <v>0.184</v>
          </cell>
          <cell r="N74">
            <v>0.1938</v>
          </cell>
          <cell r="O74">
            <v>0.18459999999999999</v>
          </cell>
          <cell r="P74" t="e">
            <v>#DIV/0!</v>
          </cell>
        </row>
        <row r="75">
          <cell r="D75">
            <v>0.1479</v>
          </cell>
          <cell r="E75">
            <v>0.17050000000000001</v>
          </cell>
          <cell r="F75">
            <v>0.19500000000000001</v>
          </cell>
          <cell r="G75">
            <v>0.2016</v>
          </cell>
          <cell r="H75">
            <v>0.1895</v>
          </cell>
          <cell r="I75">
            <v>0.1105</v>
          </cell>
          <cell r="J75">
            <v>0.10979999999999999</v>
          </cell>
          <cell r="K75">
            <v>0.1134</v>
          </cell>
          <cell r="L75">
            <v>0.2215</v>
          </cell>
          <cell r="M75">
            <v>0.184</v>
          </cell>
          <cell r="N75">
            <v>0.1938</v>
          </cell>
          <cell r="O75">
            <v>0.18459999999999999</v>
          </cell>
          <cell r="P75" t="e">
            <v>#DIV/0!</v>
          </cell>
        </row>
        <row r="76">
          <cell r="D76">
            <v>3.5499999999999997E-2</v>
          </cell>
          <cell r="E76">
            <v>4.1799999999999997E-2</v>
          </cell>
          <cell r="F76">
            <v>4.87E-2</v>
          </cell>
          <cell r="G76">
            <v>5.04E-2</v>
          </cell>
          <cell r="H76">
            <v>4.7300000000000002E-2</v>
          </cell>
          <cell r="I76">
            <v>2.9700000000000001E-2</v>
          </cell>
          <cell r="J76">
            <v>2.9600000000000001E-2</v>
          </cell>
          <cell r="K76">
            <v>3.1099999999999999E-2</v>
          </cell>
          <cell r="L76">
            <v>6.1699999999999998E-2</v>
          </cell>
          <cell r="M76">
            <v>5.1499999999999997E-2</v>
          </cell>
          <cell r="N76">
            <v>5.4699999999999999E-2</v>
          </cell>
          <cell r="O76">
            <v>5.2200000000000003E-2</v>
          </cell>
          <cell r="P76" t="e">
            <v>#DIV/0!</v>
          </cell>
        </row>
      </sheetData>
      <sheetData sheetId="8">
        <row r="31">
          <cell r="E31">
            <v>8.8499999999999995E-2</v>
          </cell>
          <cell r="F31">
            <v>8.8999999999999996E-2</v>
          </cell>
          <cell r="G31">
            <v>0.10780000000000001</v>
          </cell>
          <cell r="H31">
            <v>0.1246</v>
          </cell>
          <cell r="I31">
            <v>8.7999999999999995E-2</v>
          </cell>
          <cell r="J31">
            <v>5.9900000000000002E-2</v>
          </cell>
          <cell r="K31">
            <v>4.3099999999999999E-2</v>
          </cell>
          <cell r="L31">
            <v>5.4600000000000003E-2</v>
          </cell>
          <cell r="M31">
            <v>7.3800000000000004E-2</v>
          </cell>
          <cell r="N31">
            <v>7.2999999999999995E-2</v>
          </cell>
          <cell r="O31">
            <v>8.1799999999999998E-2</v>
          </cell>
          <cell r="P31">
            <v>8.5900000000000004E-2</v>
          </cell>
          <cell r="Q31">
            <v>0</v>
          </cell>
        </row>
      </sheetData>
      <sheetData sheetId="9">
        <row r="95">
          <cell r="E95">
            <v>1E-4</v>
          </cell>
          <cell r="F95">
            <v>1E-4</v>
          </cell>
          <cell r="G95">
            <v>1E-4</v>
          </cell>
          <cell r="H95">
            <v>1E-4</v>
          </cell>
          <cell r="I95">
            <v>1E-4</v>
          </cell>
          <cell r="J95">
            <v>-2.0000000000000001E-4</v>
          </cell>
          <cell r="K95">
            <v>-2.0000000000000001E-4</v>
          </cell>
          <cell r="L95">
            <v>-2.0000000000000001E-4</v>
          </cell>
          <cell r="M95">
            <v>2.9999999999999997E-4</v>
          </cell>
          <cell r="N95">
            <v>1E-4</v>
          </cell>
          <cell r="O95">
            <v>1E-4</v>
          </cell>
          <cell r="P95">
            <v>1E-4</v>
          </cell>
          <cell r="Q95">
            <v>0</v>
          </cell>
        </row>
      </sheetData>
      <sheetData sheetId="10">
        <row r="18">
          <cell r="D18">
            <v>0.10979999999999999</v>
          </cell>
          <cell r="E18">
            <v>0.1118</v>
          </cell>
          <cell r="F18">
            <v>0.10390000000000001</v>
          </cell>
          <cell r="G18">
            <v>0.1095</v>
          </cell>
          <cell r="H18">
            <v>0.1061</v>
          </cell>
          <cell r="I18">
            <v>0.1137</v>
          </cell>
          <cell r="J18">
            <v>0.1135</v>
          </cell>
          <cell r="K18">
            <v>0.1162</v>
          </cell>
          <cell r="L18">
            <v>0.1128</v>
          </cell>
          <cell r="M18">
            <v>0.112</v>
          </cell>
          <cell r="N18">
            <v>0.11219999999999999</v>
          </cell>
          <cell r="O18">
            <v>0.1149</v>
          </cell>
          <cell r="P18" t="e">
            <v>#DIV/0!</v>
          </cell>
        </row>
        <row r="26">
          <cell r="D26">
            <v>5.5999999999999999E-3</v>
          </cell>
          <cell r="E26">
            <v>6.3E-3</v>
          </cell>
          <cell r="F26">
            <v>4.0000000000000001E-3</v>
          </cell>
          <cell r="G26">
            <v>6.7999999999999996E-3</v>
          </cell>
          <cell r="H26">
            <v>2.2700000000000001E-2</v>
          </cell>
          <cell r="I26">
            <v>2.0400000000000001E-2</v>
          </cell>
          <cell r="J26">
            <v>1.6799999999999999E-2</v>
          </cell>
          <cell r="K26">
            <v>1.8200000000000001E-2</v>
          </cell>
          <cell r="L26">
            <v>8.8999999999999999E-3</v>
          </cell>
          <cell r="M26">
            <v>3.5999999999999999E-3</v>
          </cell>
          <cell r="N26">
            <v>1.5599999999999999E-2</v>
          </cell>
          <cell r="O26">
            <v>5.7999999999999996E-3</v>
          </cell>
          <cell r="P26" t="e">
            <v>#DIV/0!</v>
          </cell>
        </row>
        <row r="34">
          <cell r="D34">
            <v>9.1899999999999996E-2</v>
          </cell>
          <cell r="E34">
            <v>9.3200000000000005E-2</v>
          </cell>
          <cell r="F34">
            <v>8.8800000000000004E-2</v>
          </cell>
          <cell r="G34">
            <v>9.4799999999999995E-2</v>
          </cell>
          <cell r="H34">
            <v>9.3799999999999994E-2</v>
          </cell>
          <cell r="I34">
            <v>9.9400000000000002E-2</v>
          </cell>
          <cell r="J34">
            <v>9.9199999999999997E-2</v>
          </cell>
          <cell r="K34">
            <v>0.1007</v>
          </cell>
          <cell r="L34">
            <v>9.9000000000000005E-2</v>
          </cell>
          <cell r="M34">
            <v>9.8699999999999996E-2</v>
          </cell>
          <cell r="N34">
            <v>9.9299999999999999E-2</v>
          </cell>
          <cell r="O34">
            <v>9.9900000000000003E-2</v>
          </cell>
          <cell r="P34" t="e">
            <v>#DIV/0!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 Page"/>
      <sheetName val="Supplier &amp; Trans Data"/>
      <sheetName val="Statistical data"/>
      <sheetName val="Actual Implemented Rates"/>
      <sheetName val="Actual Implemented Lifeline"/>
      <sheetName val="GR"/>
      <sheetName val="TR"/>
      <sheetName val="SLR"/>
      <sheetName val="LD"/>
      <sheetName val="SR CIT. SUBSIDY"/>
      <sheetName val="DU VAT"/>
      <sheetName val="BT &amp; FT "/>
      <sheetName val="Monitoring Approved Adj"/>
      <sheetName val="Revenues"/>
      <sheetName val="Techl Data"/>
      <sheetName val="Generation Cost Data"/>
      <sheetName val="Other Generation Adjustments"/>
      <sheetName val="System Loss Data 1"/>
      <sheetName val="System Loss Data 2"/>
      <sheetName val="Input from Trans"/>
      <sheetName val="Input from Dist"/>
      <sheetName val="Input from EG"/>
      <sheetName val="Output to Feeder"/>
      <sheetName val="Subtrans Voltage Customers"/>
      <sheetName val="kWh Sales Summary"/>
      <sheetName val="Revenues Data"/>
    </sheetNames>
    <sheetDataSet>
      <sheetData sheetId="0" refreshError="1"/>
      <sheetData sheetId="1">
        <row r="3">
          <cell r="A3" t="str">
            <v>For January  - December 2018 Billing</v>
          </cell>
        </row>
      </sheetData>
      <sheetData sheetId="2">
        <row r="148">
          <cell r="A148" t="str">
            <v xml:space="preserve">   Residential </v>
          </cell>
        </row>
        <row r="151">
          <cell r="A151" t="str">
            <v xml:space="preserve">  General Service A</v>
          </cell>
        </row>
        <row r="152">
          <cell r="A152" t="str">
            <v xml:space="preserve">  GHMSCI</v>
          </cell>
        </row>
        <row r="153">
          <cell r="A153" t="str">
            <v xml:space="preserve">  General Service B</v>
          </cell>
        </row>
        <row r="154">
          <cell r="A154" t="str">
            <v xml:space="preserve">  General Power- Secondary</v>
          </cell>
        </row>
        <row r="155">
          <cell r="A155" t="str">
            <v xml:space="preserve">  General Power-13.8 kV and Below</v>
          </cell>
        </row>
        <row r="156">
          <cell r="A156" t="str">
            <v xml:space="preserve">  General Power-34.5kV</v>
          </cell>
        </row>
        <row r="157">
          <cell r="A157" t="str">
            <v xml:space="preserve">  General Power-69/115kV</v>
          </cell>
        </row>
      </sheetData>
      <sheetData sheetId="3"/>
      <sheetData sheetId="4" refreshError="1"/>
      <sheetData sheetId="5">
        <row r="23">
          <cell r="D23">
            <v>4.0768000000000004</v>
          </cell>
          <cell r="E23">
            <v>4.6547999999999998</v>
          </cell>
          <cell r="F23">
            <v>5.2961999999999998</v>
          </cell>
          <cell r="G23">
            <v>5.4734999999999996</v>
          </cell>
          <cell r="H23">
            <v>5.0522999999999998</v>
          </cell>
          <cell r="I23">
            <v>4.9828000000000001</v>
          </cell>
          <cell r="J23">
            <v>5.2651000000000003</v>
          </cell>
          <cell r="K23">
            <v>5.3491</v>
          </cell>
          <cell r="L23">
            <v>5.2718999999999996</v>
          </cell>
          <cell r="M23">
            <v>5.1908000000000003</v>
          </cell>
          <cell r="N23">
            <v>5.2725</v>
          </cell>
          <cell r="O23">
            <v>5.3303000000000003</v>
          </cell>
          <cell r="P23" t="e">
            <v>#DIV/0!</v>
          </cell>
        </row>
      </sheetData>
      <sheetData sheetId="6">
        <row r="30">
          <cell r="D30">
            <v>0.86529999999999996</v>
          </cell>
          <cell r="E30">
            <v>0.82609999999999995</v>
          </cell>
          <cell r="F30">
            <v>0.8821</v>
          </cell>
          <cell r="G30">
            <v>0.88290000000000002</v>
          </cell>
          <cell r="H30">
            <v>0.87939999999999996</v>
          </cell>
          <cell r="I30">
            <v>0.79749999999999999</v>
          </cell>
          <cell r="J30">
            <v>0.79010000000000002</v>
          </cell>
          <cell r="K30">
            <v>0.70840000000000003</v>
          </cell>
          <cell r="L30">
            <v>0.67859999999999998</v>
          </cell>
          <cell r="M30">
            <v>0.69140000000000001</v>
          </cell>
          <cell r="N30">
            <v>0.69199999999999995</v>
          </cell>
          <cell r="O30">
            <v>0.7097</v>
          </cell>
          <cell r="P30">
            <v>0</v>
          </cell>
        </row>
        <row r="31">
          <cell r="D31">
            <v>0.85429999999999995</v>
          </cell>
          <cell r="E31">
            <v>0.81710000000000005</v>
          </cell>
          <cell r="F31">
            <v>0.86739999999999995</v>
          </cell>
          <cell r="G31">
            <v>0.87390000000000001</v>
          </cell>
          <cell r="H31">
            <v>0.86429999999999996</v>
          </cell>
          <cell r="I31">
            <v>0.7782</v>
          </cell>
          <cell r="J31">
            <v>0.77859999999999996</v>
          </cell>
          <cell r="K31">
            <v>0.69830000000000003</v>
          </cell>
          <cell r="L31">
            <v>0.66910000000000003</v>
          </cell>
          <cell r="M31">
            <v>0.68020000000000003</v>
          </cell>
          <cell r="N31">
            <v>0.68230000000000002</v>
          </cell>
          <cell r="O31">
            <v>0.69920000000000004</v>
          </cell>
          <cell r="P31">
            <v>0</v>
          </cell>
        </row>
        <row r="32">
          <cell r="D32">
            <v>0.85429999999999995</v>
          </cell>
          <cell r="E32">
            <v>0.81710000000000005</v>
          </cell>
          <cell r="F32">
            <v>0.86739999999999995</v>
          </cell>
          <cell r="G32">
            <v>0.87390000000000001</v>
          </cell>
          <cell r="H32">
            <v>0.86429999999999996</v>
          </cell>
          <cell r="I32">
            <v>0.7782</v>
          </cell>
          <cell r="J32">
            <v>0.77859999999999996</v>
          </cell>
          <cell r="K32">
            <v>0.69830000000000003</v>
          </cell>
          <cell r="L32">
            <v>0.66910000000000003</v>
          </cell>
          <cell r="M32">
            <v>0.68020000000000003</v>
          </cell>
          <cell r="N32">
            <v>0.68230000000000002</v>
          </cell>
          <cell r="O32">
            <v>0.69920000000000004</v>
          </cell>
          <cell r="P32">
            <v>0</v>
          </cell>
        </row>
        <row r="33">
          <cell r="D33">
            <v>0.98880000000000001</v>
          </cell>
          <cell r="E33">
            <v>0.9587</v>
          </cell>
          <cell r="F33">
            <v>0.91879999999999995</v>
          </cell>
          <cell r="G33">
            <v>1.0462</v>
          </cell>
          <cell r="H33">
            <v>0.98980000000000001</v>
          </cell>
          <cell r="I33">
            <v>0.87909999999999999</v>
          </cell>
          <cell r="J33">
            <v>0.86380000000000001</v>
          </cell>
          <cell r="K33">
            <v>0.79469999999999996</v>
          </cell>
          <cell r="L33">
            <v>0.74719999999999998</v>
          </cell>
          <cell r="M33">
            <v>0.74739999999999995</v>
          </cell>
          <cell r="N33">
            <v>0.7681</v>
          </cell>
          <cell r="O33">
            <v>0.7681</v>
          </cell>
          <cell r="P33">
            <v>0</v>
          </cell>
        </row>
        <row r="34">
          <cell r="D34">
            <v>266.25</v>
          </cell>
          <cell r="E34">
            <v>247.8</v>
          </cell>
          <cell r="F34">
            <v>244.18</v>
          </cell>
          <cell r="G34">
            <v>273.66000000000003</v>
          </cell>
          <cell r="H34">
            <v>263.04000000000002</v>
          </cell>
          <cell r="I34">
            <v>254.26</v>
          </cell>
          <cell r="J34">
            <v>231.59</v>
          </cell>
          <cell r="K34">
            <v>215.68</v>
          </cell>
          <cell r="L34">
            <v>204.02</v>
          </cell>
          <cell r="M34">
            <v>203.58</v>
          </cell>
          <cell r="N34">
            <v>208.62</v>
          </cell>
          <cell r="O34">
            <v>205.62</v>
          </cell>
          <cell r="P34">
            <v>0</v>
          </cell>
        </row>
        <row r="35">
          <cell r="D35">
            <v>294.81</v>
          </cell>
          <cell r="E35">
            <v>269.14</v>
          </cell>
          <cell r="F35">
            <v>285.77</v>
          </cell>
          <cell r="G35">
            <v>299.91000000000003</v>
          </cell>
          <cell r="H35">
            <v>289.72000000000003</v>
          </cell>
          <cell r="I35">
            <v>275.19</v>
          </cell>
          <cell r="J35">
            <v>266.67</v>
          </cell>
          <cell r="K35">
            <v>241.9</v>
          </cell>
          <cell r="L35">
            <v>231.24</v>
          </cell>
          <cell r="M35">
            <v>231.21</v>
          </cell>
          <cell r="N35">
            <v>235.29</v>
          </cell>
          <cell r="O35">
            <v>235.15</v>
          </cell>
          <cell r="P35">
            <v>0</v>
          </cell>
        </row>
        <row r="36">
          <cell r="D36">
            <v>313.86</v>
          </cell>
          <cell r="E36">
            <v>290.62</v>
          </cell>
          <cell r="F36">
            <v>304.42</v>
          </cell>
          <cell r="G36">
            <v>314.64</v>
          </cell>
          <cell r="H36">
            <v>306.55</v>
          </cell>
          <cell r="I36">
            <v>289.38</v>
          </cell>
          <cell r="J36">
            <v>287.33999999999997</v>
          </cell>
          <cell r="K36">
            <v>263.83</v>
          </cell>
          <cell r="L36">
            <v>251.83</v>
          </cell>
          <cell r="M36">
            <v>251.5</v>
          </cell>
          <cell r="N36">
            <v>254.35</v>
          </cell>
          <cell r="O36">
            <v>258.11</v>
          </cell>
          <cell r="P36">
            <v>0</v>
          </cell>
        </row>
        <row r="37">
          <cell r="D37">
            <v>352.63</v>
          </cell>
          <cell r="E37">
            <v>327.83</v>
          </cell>
          <cell r="F37">
            <v>355.61</v>
          </cell>
          <cell r="G37">
            <v>344.61</v>
          </cell>
          <cell r="H37">
            <v>341.51</v>
          </cell>
          <cell r="I37">
            <v>324.49</v>
          </cell>
          <cell r="J37">
            <v>327.62</v>
          </cell>
          <cell r="K37">
            <v>295.55</v>
          </cell>
          <cell r="L37">
            <v>286.5</v>
          </cell>
          <cell r="M37">
            <v>288.31</v>
          </cell>
          <cell r="N37">
            <v>287.74</v>
          </cell>
          <cell r="O37">
            <v>298.24</v>
          </cell>
          <cell r="P37">
            <v>0</v>
          </cell>
        </row>
        <row r="38">
          <cell r="D38">
            <v>269.77</v>
          </cell>
          <cell r="E38">
            <v>244.97</v>
          </cell>
          <cell r="F38">
            <v>272.75</v>
          </cell>
          <cell r="G38">
            <v>261.75</v>
          </cell>
          <cell r="H38">
            <v>258.64999999999998</v>
          </cell>
          <cell r="I38">
            <v>241.63</v>
          </cell>
          <cell r="J38">
            <v>244.76</v>
          </cell>
          <cell r="K38">
            <v>212.69</v>
          </cell>
          <cell r="L38">
            <v>211.65</v>
          </cell>
          <cell r="M38">
            <v>213.46</v>
          </cell>
          <cell r="N38">
            <v>212.89</v>
          </cell>
          <cell r="O38">
            <v>223.39</v>
          </cell>
          <cell r="P38">
            <v>0</v>
          </cell>
        </row>
      </sheetData>
      <sheetData sheetId="7">
        <row r="63">
          <cell r="D63">
            <v>0.39779999999999999</v>
          </cell>
          <cell r="E63">
            <v>0.44869999999999999</v>
          </cell>
          <cell r="F63">
            <v>0.51160000000000005</v>
          </cell>
          <cell r="G63">
            <v>0.51719999999999999</v>
          </cell>
          <cell r="H63">
            <v>0.4844</v>
          </cell>
          <cell r="I63">
            <v>0.46600000000000003</v>
          </cell>
          <cell r="J63">
            <v>0.46960000000000002</v>
          </cell>
          <cell r="K63">
            <v>0.46300000000000002</v>
          </cell>
          <cell r="L63">
            <v>0.45179999999999998</v>
          </cell>
          <cell r="M63">
            <v>0.44700000000000001</v>
          </cell>
          <cell r="N63">
            <v>0.46250000000000002</v>
          </cell>
          <cell r="O63">
            <v>0.4647</v>
          </cell>
          <cell r="P63">
            <v>0</v>
          </cell>
        </row>
        <row r="64">
          <cell r="D64">
            <v>0.39779999999999999</v>
          </cell>
          <cell r="E64">
            <v>0.44869999999999999</v>
          </cell>
          <cell r="F64">
            <v>0.51160000000000005</v>
          </cell>
          <cell r="G64">
            <v>0.51719999999999999</v>
          </cell>
          <cell r="H64">
            <v>0.4844</v>
          </cell>
          <cell r="I64">
            <v>0.46600000000000003</v>
          </cell>
          <cell r="J64">
            <v>0.46960000000000002</v>
          </cell>
          <cell r="K64">
            <v>0.46300000000000002</v>
          </cell>
          <cell r="L64">
            <v>0.45179999999999998</v>
          </cell>
          <cell r="M64">
            <v>0.44700000000000001</v>
          </cell>
          <cell r="N64">
            <v>0.46250000000000002</v>
          </cell>
          <cell r="O64">
            <v>0.4647</v>
          </cell>
          <cell r="P64">
            <v>0</v>
          </cell>
        </row>
        <row r="65">
          <cell r="D65">
            <v>0.39779999999999999</v>
          </cell>
          <cell r="E65">
            <v>0.44869999999999999</v>
          </cell>
          <cell r="F65">
            <v>0.51160000000000005</v>
          </cell>
          <cell r="G65">
            <v>0.51719999999999999</v>
          </cell>
          <cell r="H65">
            <v>0.4844</v>
          </cell>
          <cell r="I65">
            <v>0.46600000000000003</v>
          </cell>
          <cell r="J65">
            <v>0.46960000000000002</v>
          </cell>
          <cell r="K65">
            <v>0.46300000000000002</v>
          </cell>
          <cell r="L65">
            <v>0.45179999999999998</v>
          </cell>
          <cell r="M65">
            <v>0.44700000000000001</v>
          </cell>
          <cell r="N65">
            <v>0.46250000000000002</v>
          </cell>
          <cell r="O65">
            <v>0.4647</v>
          </cell>
          <cell r="P65">
            <v>0</v>
          </cell>
        </row>
        <row r="66">
          <cell r="D66">
            <v>0.39779999999999999</v>
          </cell>
          <cell r="E66">
            <v>0.44869999999999999</v>
          </cell>
          <cell r="F66">
            <v>0.51160000000000005</v>
          </cell>
          <cell r="G66">
            <v>0.51719999999999999</v>
          </cell>
          <cell r="H66">
            <v>0.4844</v>
          </cell>
          <cell r="I66">
            <v>0.46600000000000003</v>
          </cell>
          <cell r="J66">
            <v>0.46960000000000002</v>
          </cell>
          <cell r="K66">
            <v>0.46300000000000002</v>
          </cell>
          <cell r="L66">
            <v>0.45179999999999998</v>
          </cell>
          <cell r="M66">
            <v>0.44700000000000001</v>
          </cell>
          <cell r="N66">
            <v>0.46250000000000002</v>
          </cell>
          <cell r="O66">
            <v>0.4647</v>
          </cell>
          <cell r="P66">
            <v>0</v>
          </cell>
        </row>
        <row r="67">
          <cell r="D67">
            <v>0.39779999999999999</v>
          </cell>
          <cell r="E67">
            <v>0.44869999999999999</v>
          </cell>
          <cell r="F67">
            <v>0.51160000000000005</v>
          </cell>
          <cell r="G67">
            <v>0.51719999999999999</v>
          </cell>
          <cell r="H67">
            <v>0.4844</v>
          </cell>
          <cell r="I67">
            <v>0.46600000000000003</v>
          </cell>
          <cell r="J67">
            <v>0.46960000000000002</v>
          </cell>
          <cell r="K67">
            <v>0.46300000000000002</v>
          </cell>
          <cell r="L67">
            <v>0.45179999999999998</v>
          </cell>
          <cell r="M67">
            <v>0.44700000000000001</v>
          </cell>
          <cell r="N67">
            <v>0.46250000000000002</v>
          </cell>
          <cell r="O67">
            <v>0.4647</v>
          </cell>
          <cell r="P67">
            <v>0</v>
          </cell>
        </row>
        <row r="68">
          <cell r="D68">
            <v>0.39779999999999999</v>
          </cell>
          <cell r="E68">
            <v>0.44869999999999999</v>
          </cell>
          <cell r="F68">
            <v>0.51160000000000005</v>
          </cell>
          <cell r="G68">
            <v>0.51719999999999999</v>
          </cell>
          <cell r="H68">
            <v>0.4844</v>
          </cell>
          <cell r="I68">
            <v>0.46600000000000003</v>
          </cell>
          <cell r="J68">
            <v>0.46960000000000002</v>
          </cell>
          <cell r="K68">
            <v>0.46300000000000002</v>
          </cell>
          <cell r="L68">
            <v>0.45179999999999998</v>
          </cell>
          <cell r="M68">
            <v>0.44700000000000001</v>
          </cell>
          <cell r="N68">
            <v>0.46250000000000002</v>
          </cell>
          <cell r="O68">
            <v>0.4647</v>
          </cell>
          <cell r="P68">
            <v>0</v>
          </cell>
        </row>
        <row r="69">
          <cell r="D69">
            <v>0.1668</v>
          </cell>
          <cell r="E69">
            <v>0.19159999999999999</v>
          </cell>
          <cell r="F69">
            <v>0.21299999999999999</v>
          </cell>
          <cell r="G69">
            <v>0.21110000000000001</v>
          </cell>
          <cell r="H69">
            <v>0.2034</v>
          </cell>
          <cell r="I69">
            <v>0.19570000000000001</v>
          </cell>
          <cell r="J69">
            <v>0.2016</v>
          </cell>
          <cell r="K69">
            <v>0.20849999999999999</v>
          </cell>
          <cell r="L69">
            <v>0.20680000000000001</v>
          </cell>
          <cell r="M69">
            <v>0.20669999999999999</v>
          </cell>
          <cell r="N69">
            <v>0.2152</v>
          </cell>
          <cell r="O69">
            <v>0.21179999999999999</v>
          </cell>
          <cell r="P69">
            <v>0</v>
          </cell>
        </row>
        <row r="70">
          <cell r="D70">
            <v>0.1668</v>
          </cell>
          <cell r="E70">
            <v>0.19159999999999999</v>
          </cell>
          <cell r="F70">
            <v>0.21299999999999999</v>
          </cell>
          <cell r="G70">
            <v>0.21110000000000001</v>
          </cell>
          <cell r="H70">
            <v>0.2034</v>
          </cell>
          <cell r="I70">
            <v>0.19570000000000001</v>
          </cell>
          <cell r="J70">
            <v>0.2016</v>
          </cell>
          <cell r="K70">
            <v>0.20849999999999999</v>
          </cell>
          <cell r="L70">
            <v>0.20680000000000001</v>
          </cell>
          <cell r="M70">
            <v>0.20669999999999999</v>
          </cell>
          <cell r="N70">
            <v>0.2152</v>
          </cell>
          <cell r="O70">
            <v>0.21179999999999999</v>
          </cell>
          <cell r="P70">
            <v>0</v>
          </cell>
        </row>
        <row r="71">
          <cell r="D71">
            <v>4.7399999999999998E-2</v>
          </cell>
          <cell r="E71">
            <v>5.4800000000000001E-2</v>
          </cell>
          <cell r="F71">
            <v>6.1199999999999997E-2</v>
          </cell>
          <cell r="G71">
            <v>6.1100000000000002E-2</v>
          </cell>
          <cell r="H71">
            <v>5.8900000000000001E-2</v>
          </cell>
          <cell r="I71">
            <v>5.8799999999999998E-2</v>
          </cell>
          <cell r="J71">
            <v>6.2399999999999997E-2</v>
          </cell>
          <cell r="K71">
            <v>6.5799999999999997E-2</v>
          </cell>
          <cell r="L71">
            <v>6.7100000000000007E-2</v>
          </cell>
          <cell r="M71">
            <v>6.8699999999999997E-2</v>
          </cell>
          <cell r="N71">
            <v>7.3899999999999993E-2</v>
          </cell>
          <cell r="O71">
            <v>7.4399999999999994E-2</v>
          </cell>
          <cell r="P71">
            <v>0</v>
          </cell>
        </row>
      </sheetData>
      <sheetData sheetId="8">
        <row r="28">
          <cell r="D28">
            <v>9.1399999999999995E-2</v>
          </cell>
          <cell r="E28">
            <v>9.5899999999999999E-2</v>
          </cell>
          <cell r="F28">
            <v>9.98E-2</v>
          </cell>
          <cell r="G28">
            <v>0.1115</v>
          </cell>
          <cell r="H28">
            <v>9.4399999999999998E-2</v>
          </cell>
          <cell r="I28">
            <v>7.4099999999999999E-2</v>
          </cell>
          <cell r="J28">
            <v>7.0900000000000005E-2</v>
          </cell>
          <cell r="K28">
            <v>8.9300000000000004E-2</v>
          </cell>
          <cell r="L28">
            <v>8.8800000000000004E-2</v>
          </cell>
          <cell r="M28">
            <v>8.5500000000000007E-2</v>
          </cell>
          <cell r="N28">
            <v>8.4099999999999994E-2</v>
          </cell>
          <cell r="O28">
            <v>8.5300000000000001E-2</v>
          </cell>
          <cell r="P28">
            <v>0</v>
          </cell>
        </row>
      </sheetData>
      <sheetData sheetId="9">
        <row r="107">
          <cell r="D107">
            <v>7.2836751367259784E-5</v>
          </cell>
          <cell r="E107">
            <v>6.8004836608513296E-5</v>
          </cell>
          <cell r="F107">
            <v>7.2021362364614477E-5</v>
          </cell>
          <cell r="G107">
            <v>8.1837879774750537E-5</v>
          </cell>
          <cell r="H107">
            <v>7.798204750191218E-5</v>
          </cell>
          <cell r="I107">
            <v>7.6128332588525541E-5</v>
          </cell>
          <cell r="J107">
            <v>6.9450356116585135E-5</v>
          </cell>
          <cell r="K107">
            <v>7.4662532963556342E-5</v>
          </cell>
          <cell r="L107">
            <v>7.2670454347697154E-5</v>
          </cell>
          <cell r="M107">
            <v>7.4480298623008149E-5</v>
          </cell>
          <cell r="N107">
            <v>7.360094464671045E-5</v>
          </cell>
          <cell r="O107">
            <v>7.9518678198181161E-5</v>
          </cell>
          <cell r="P107">
            <v>0</v>
          </cell>
        </row>
      </sheetData>
      <sheetData sheetId="10">
        <row r="16">
          <cell r="D16">
            <v>0.1082</v>
          </cell>
          <cell r="E16">
            <v>0.1134</v>
          </cell>
          <cell r="F16">
            <v>0.111</v>
          </cell>
          <cell r="G16">
            <v>0.11070000000000001</v>
          </cell>
          <cell r="H16">
            <v>0.10920000000000001</v>
          </cell>
          <cell r="I16">
            <v>0.1129</v>
          </cell>
          <cell r="J16">
            <v>0.1123</v>
          </cell>
          <cell r="K16">
            <v>0.1137</v>
          </cell>
          <cell r="L16">
            <v>0.1116</v>
          </cell>
          <cell r="M16">
            <v>0.10979999999999999</v>
          </cell>
          <cell r="N16">
            <v>0.1111</v>
          </cell>
          <cell r="O16">
            <v>0.1119</v>
          </cell>
          <cell r="P16" t="e">
            <v>#DIV/0!</v>
          </cell>
        </row>
        <row r="20">
          <cell r="D20">
            <v>2.24E-2</v>
          </cell>
          <cell r="E20">
            <v>8.6099999999999996E-2</v>
          </cell>
          <cell r="F20">
            <v>0.1036</v>
          </cell>
          <cell r="G20">
            <v>0.10589999999999999</v>
          </cell>
          <cell r="H20">
            <v>0.10730000000000001</v>
          </cell>
          <cell r="I20">
            <v>0.1052</v>
          </cell>
          <cell r="J20">
            <v>0.1056</v>
          </cell>
          <cell r="K20">
            <v>0.106</v>
          </cell>
          <cell r="L20">
            <v>0.10340000000000001</v>
          </cell>
          <cell r="M20">
            <v>0.1046</v>
          </cell>
          <cell r="N20">
            <v>0.1004</v>
          </cell>
          <cell r="O20">
            <v>9.8500000000000004E-2</v>
          </cell>
          <cell r="P20" t="e">
            <v>#DIV/0!</v>
          </cell>
        </row>
        <row r="26">
          <cell r="D26">
            <v>9.3100000000000002E-2</v>
          </cell>
          <cell r="E26">
            <v>0.10929999999999999</v>
          </cell>
          <cell r="F26">
            <v>0.11</v>
          </cell>
          <cell r="G26">
            <v>0.11</v>
          </cell>
          <cell r="H26">
            <v>0.1089</v>
          </cell>
          <cell r="I26">
            <v>0.1119</v>
          </cell>
          <cell r="J26">
            <v>0.1115</v>
          </cell>
          <cell r="K26">
            <v>0.1129</v>
          </cell>
          <cell r="L26">
            <v>0.11070000000000001</v>
          </cell>
          <cell r="M26">
            <v>0.10920000000000001</v>
          </cell>
          <cell r="N26">
            <v>0.1099</v>
          </cell>
          <cell r="O26">
            <v>0.1103</v>
          </cell>
          <cell r="P26" t="e">
            <v>#DIV/0!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 Page"/>
      <sheetName val="Supplier &amp; Trans Data"/>
      <sheetName val="Statistical data"/>
      <sheetName val="Actual Implemented Rates"/>
      <sheetName val="Actual Implemented Lifeline"/>
      <sheetName val="GR"/>
      <sheetName val="TR"/>
      <sheetName val="SLR"/>
      <sheetName val="LD"/>
      <sheetName val="SR CIT. SUBSIDY"/>
      <sheetName val="DU VAT"/>
      <sheetName val="BT &amp; FT "/>
      <sheetName val="Monitoring Approved Adj"/>
      <sheetName val="Revenues"/>
      <sheetName val="Techl Data"/>
      <sheetName val="Generation Cost Data"/>
      <sheetName val="Other Adjustments"/>
      <sheetName val="System Loss Data 1"/>
      <sheetName val="System Loss Data 2"/>
      <sheetName val="Input from Trans"/>
      <sheetName val="Input from Dist"/>
      <sheetName val="Input from EG"/>
      <sheetName val="Output to Feeder"/>
      <sheetName val="Subtrans Voltage Customers"/>
      <sheetName val="kWh Sales Summary"/>
      <sheetName val="Revenues Data"/>
    </sheetNames>
    <sheetDataSet>
      <sheetData sheetId="0" refreshError="1"/>
      <sheetData sheetId="1">
        <row r="3">
          <cell r="A3" t="str">
            <v>For January - December 2019 Billing</v>
          </cell>
        </row>
      </sheetData>
      <sheetData sheetId="2">
        <row r="147">
          <cell r="A147" t="str">
            <v xml:space="preserve">   Residential </v>
          </cell>
        </row>
        <row r="150">
          <cell r="A150" t="str">
            <v xml:space="preserve">  General Service A</v>
          </cell>
        </row>
        <row r="151">
          <cell r="A151" t="str">
            <v xml:space="preserve">  GHMSCI</v>
          </cell>
        </row>
        <row r="152">
          <cell r="A152" t="str">
            <v xml:space="preserve">  General Service B</v>
          </cell>
        </row>
        <row r="153">
          <cell r="A153" t="str">
            <v xml:space="preserve">  General Power- Secondary</v>
          </cell>
        </row>
        <row r="154">
          <cell r="A154" t="str">
            <v xml:space="preserve">  General Power-13.8 kV and Below</v>
          </cell>
        </row>
        <row r="155">
          <cell r="A155" t="str">
            <v xml:space="preserve">  General Power-34.5kV</v>
          </cell>
        </row>
        <row r="156">
          <cell r="A156" t="str">
            <v xml:space="preserve">  General Power-69/115kV</v>
          </cell>
        </row>
      </sheetData>
      <sheetData sheetId="3"/>
      <sheetData sheetId="4" refreshError="1"/>
      <sheetData sheetId="5">
        <row r="22">
          <cell r="D22">
            <v>4.9119000000000002</v>
          </cell>
          <cell r="E22">
            <v>5.8939000000000004</v>
          </cell>
          <cell r="F22">
            <v>5.5972999999999997</v>
          </cell>
          <cell r="G22">
            <v>5.6322000000000001</v>
          </cell>
          <cell r="H22">
            <v>5.5507999999999997</v>
          </cell>
          <cell r="I22">
            <v>5.4157999999999999</v>
          </cell>
          <cell r="J22">
            <v>5.4226999999999999</v>
          </cell>
          <cell r="K22">
            <v>4.9619999999999997</v>
          </cell>
          <cell r="L22">
            <v>4.5190999999999999</v>
          </cell>
          <cell r="M22">
            <v>4.5406000000000004</v>
          </cell>
          <cell r="N22">
            <v>5.0316999999999998</v>
          </cell>
          <cell r="O22">
            <v>5.1966999999999999</v>
          </cell>
          <cell r="P22" t="e">
            <v>#DIV/0!</v>
          </cell>
        </row>
      </sheetData>
      <sheetData sheetId="6">
        <row r="30">
          <cell r="D30">
            <v>0.83220000000000005</v>
          </cell>
          <cell r="E30">
            <v>0.81740000000000002</v>
          </cell>
          <cell r="F30">
            <v>0.85050000000000003</v>
          </cell>
          <cell r="G30">
            <v>0.8649</v>
          </cell>
          <cell r="H30">
            <v>0.79020000000000001</v>
          </cell>
          <cell r="I30">
            <v>0.74619999999999997</v>
          </cell>
          <cell r="J30">
            <v>0.66659999999999997</v>
          </cell>
          <cell r="K30">
            <v>0.69650000000000001</v>
          </cell>
          <cell r="L30">
            <v>0.70550000000000002</v>
          </cell>
          <cell r="M30">
            <v>0.73040000000000005</v>
          </cell>
          <cell r="N30">
            <v>0.65190000000000003</v>
          </cell>
          <cell r="O30">
            <v>0.72929999999999995</v>
          </cell>
          <cell r="P30">
            <v>0</v>
          </cell>
        </row>
        <row r="31">
          <cell r="D31">
            <v>0.82020000000000004</v>
          </cell>
          <cell r="E31">
            <v>0.8095</v>
          </cell>
          <cell r="F31">
            <v>0.83830000000000005</v>
          </cell>
          <cell r="G31">
            <v>0.85709999999999997</v>
          </cell>
          <cell r="H31">
            <v>0.77629999999999999</v>
          </cell>
          <cell r="I31">
            <v>0.73360000000000003</v>
          </cell>
          <cell r="J31">
            <v>0.65480000000000005</v>
          </cell>
          <cell r="K31">
            <v>0.68820000000000003</v>
          </cell>
          <cell r="L31">
            <v>0.69379999999999997</v>
          </cell>
          <cell r="M31">
            <v>0.71870000000000001</v>
          </cell>
          <cell r="N31">
            <v>0.64200000000000002</v>
          </cell>
          <cell r="O31">
            <v>0.71730000000000005</v>
          </cell>
          <cell r="P31">
            <v>0</v>
          </cell>
        </row>
        <row r="32">
          <cell r="D32">
            <v>0.82020000000000004</v>
          </cell>
          <cell r="E32">
            <v>0.8095</v>
          </cell>
          <cell r="F32">
            <v>0.83830000000000005</v>
          </cell>
          <cell r="G32">
            <v>0.85709999999999997</v>
          </cell>
          <cell r="H32">
            <v>0.77629999999999999</v>
          </cell>
          <cell r="I32">
            <v>0.73360000000000003</v>
          </cell>
          <cell r="J32">
            <v>0.65480000000000005</v>
          </cell>
          <cell r="K32">
            <v>0.68820000000000003</v>
          </cell>
          <cell r="L32">
            <v>0.69379999999999997</v>
          </cell>
          <cell r="M32">
            <v>0.71870000000000001</v>
          </cell>
          <cell r="N32">
            <v>0.64200000000000002</v>
          </cell>
          <cell r="O32">
            <v>0.71730000000000005</v>
          </cell>
          <cell r="P32">
            <v>0</v>
          </cell>
        </row>
        <row r="33">
          <cell r="D33">
            <v>0.93020000000000003</v>
          </cell>
          <cell r="E33">
            <v>0.93610000000000004</v>
          </cell>
          <cell r="F33">
            <v>0.88439999999999996</v>
          </cell>
          <cell r="G33">
            <v>1.0222</v>
          </cell>
          <cell r="H33">
            <v>0.85429999999999995</v>
          </cell>
          <cell r="I33">
            <v>0.82940000000000003</v>
          </cell>
          <cell r="J33">
            <v>0.7107</v>
          </cell>
          <cell r="K33">
            <v>0.75119999999999998</v>
          </cell>
          <cell r="L33">
            <v>0.78800000000000003</v>
          </cell>
          <cell r="M33">
            <v>0.79139999999999999</v>
          </cell>
          <cell r="N33">
            <v>0.72099999999999997</v>
          </cell>
          <cell r="O33">
            <v>0.78820000000000001</v>
          </cell>
          <cell r="P33">
            <v>0</v>
          </cell>
        </row>
        <row r="34">
          <cell r="D34">
            <v>256.77999999999997</v>
          </cell>
          <cell r="E34">
            <v>237.56</v>
          </cell>
          <cell r="F34">
            <v>230.3</v>
          </cell>
          <cell r="G34">
            <v>263.89999999999998</v>
          </cell>
          <cell r="H34">
            <v>232.4</v>
          </cell>
          <cell r="I34">
            <v>225.61</v>
          </cell>
          <cell r="J34">
            <v>194.97</v>
          </cell>
          <cell r="K34">
            <v>199.59</v>
          </cell>
          <cell r="L34">
            <v>216.16</v>
          </cell>
          <cell r="M34">
            <v>213.05</v>
          </cell>
          <cell r="N34">
            <v>196.82</v>
          </cell>
          <cell r="O34">
            <v>213.13</v>
          </cell>
          <cell r="P34">
            <v>0</v>
          </cell>
        </row>
        <row r="35">
          <cell r="D35">
            <v>286.13</v>
          </cell>
          <cell r="E35">
            <v>260.95</v>
          </cell>
          <cell r="F35">
            <v>273.02999999999997</v>
          </cell>
          <cell r="G35">
            <v>290.86</v>
          </cell>
          <cell r="H35">
            <v>263.19</v>
          </cell>
          <cell r="I35">
            <v>252.31</v>
          </cell>
          <cell r="J35">
            <v>222.8</v>
          </cell>
          <cell r="K35">
            <v>231.14</v>
          </cell>
          <cell r="L35">
            <v>241.28</v>
          </cell>
          <cell r="M35">
            <v>242.29</v>
          </cell>
          <cell r="N35">
            <v>222</v>
          </cell>
          <cell r="O35">
            <v>241.2</v>
          </cell>
          <cell r="P35">
            <v>0</v>
          </cell>
        </row>
        <row r="36">
          <cell r="D36">
            <v>305.12</v>
          </cell>
          <cell r="E36">
            <v>288.88</v>
          </cell>
          <cell r="F36">
            <v>303.79000000000002</v>
          </cell>
          <cell r="G36">
            <v>303.61</v>
          </cell>
          <cell r="H36">
            <v>279.24</v>
          </cell>
          <cell r="I36">
            <v>270.20999999999998</v>
          </cell>
          <cell r="J36">
            <v>240.17</v>
          </cell>
          <cell r="K36">
            <v>256.07</v>
          </cell>
          <cell r="L36">
            <v>258.95</v>
          </cell>
          <cell r="M36">
            <v>266.89</v>
          </cell>
          <cell r="N36">
            <v>237.79</v>
          </cell>
          <cell r="O36">
            <v>266.44</v>
          </cell>
          <cell r="P36">
            <v>0</v>
          </cell>
        </row>
        <row r="37">
          <cell r="D37">
            <v>343.07</v>
          </cell>
          <cell r="E37">
            <v>331.34</v>
          </cell>
          <cell r="F37">
            <v>357.52</v>
          </cell>
          <cell r="G37">
            <v>338.55</v>
          </cell>
          <cell r="H37">
            <v>318.8</v>
          </cell>
          <cell r="I37">
            <v>305.39</v>
          </cell>
          <cell r="J37">
            <v>282.95999999999998</v>
          </cell>
          <cell r="K37">
            <v>301.58</v>
          </cell>
          <cell r="L37">
            <v>294.79000000000002</v>
          </cell>
          <cell r="M37">
            <v>310.64</v>
          </cell>
          <cell r="N37">
            <v>270.07</v>
          </cell>
          <cell r="O37">
            <v>305.95999999999998</v>
          </cell>
          <cell r="P37">
            <v>0</v>
          </cell>
        </row>
        <row r="38">
          <cell r="D38">
            <v>268.22000000000003</v>
          </cell>
          <cell r="E38">
            <v>256.49</v>
          </cell>
          <cell r="F38">
            <v>282.67</v>
          </cell>
          <cell r="G38">
            <v>263.7</v>
          </cell>
          <cell r="H38">
            <v>243.95</v>
          </cell>
          <cell r="I38">
            <v>230.54</v>
          </cell>
          <cell r="J38">
            <v>208.11</v>
          </cell>
          <cell r="K38">
            <v>226.73</v>
          </cell>
          <cell r="L38">
            <v>219.94</v>
          </cell>
          <cell r="M38">
            <v>235.79</v>
          </cell>
          <cell r="N38">
            <v>195.22</v>
          </cell>
          <cell r="O38">
            <v>231.11</v>
          </cell>
          <cell r="P38">
            <v>0</v>
          </cell>
        </row>
      </sheetData>
      <sheetData sheetId="7">
        <row r="63">
          <cell r="D63">
            <v>0.43730000000000002</v>
          </cell>
          <cell r="E63">
            <v>0.50519999999999998</v>
          </cell>
          <cell r="F63">
            <v>0.47049999999999997</v>
          </cell>
          <cell r="G63">
            <v>0.48530000000000001</v>
          </cell>
          <cell r="H63">
            <v>0.46889999999999998</v>
          </cell>
          <cell r="I63">
            <v>0.45939999999999998</v>
          </cell>
          <cell r="J63">
            <v>0.47739999999999999</v>
          </cell>
          <cell r="K63">
            <v>0.4395</v>
          </cell>
          <cell r="L63">
            <v>0.39689999999999998</v>
          </cell>
          <cell r="M63">
            <v>0.39079999999999998</v>
          </cell>
          <cell r="N63">
            <v>0.42249999999999999</v>
          </cell>
          <cell r="O63">
            <v>0.4395</v>
          </cell>
          <cell r="P63">
            <v>0</v>
          </cell>
        </row>
        <row r="64">
          <cell r="D64">
            <v>0.43730000000000002</v>
          </cell>
          <cell r="E64">
            <v>0.50519999999999998</v>
          </cell>
          <cell r="F64">
            <v>0.47049999999999997</v>
          </cell>
          <cell r="G64">
            <v>0.48530000000000001</v>
          </cell>
          <cell r="H64">
            <v>0.46889999999999998</v>
          </cell>
          <cell r="I64">
            <v>0.45939999999999998</v>
          </cell>
          <cell r="J64">
            <v>0.47739999999999999</v>
          </cell>
          <cell r="K64">
            <v>0.4395</v>
          </cell>
          <cell r="L64">
            <v>0.39689999999999998</v>
          </cell>
          <cell r="M64">
            <v>0.39079999999999998</v>
          </cell>
          <cell r="N64">
            <v>0.42249999999999999</v>
          </cell>
          <cell r="O64">
            <v>0.4395</v>
          </cell>
          <cell r="P64">
            <v>0</v>
          </cell>
        </row>
        <row r="65">
          <cell r="D65">
            <v>0.43730000000000002</v>
          </cell>
          <cell r="E65">
            <v>0.50519999999999998</v>
          </cell>
          <cell r="F65">
            <v>0.47049999999999997</v>
          </cell>
          <cell r="G65">
            <v>0.48530000000000001</v>
          </cell>
          <cell r="H65">
            <v>0.46889999999999998</v>
          </cell>
          <cell r="I65">
            <v>0.45939999999999998</v>
          </cell>
          <cell r="J65">
            <v>0.47739999999999999</v>
          </cell>
          <cell r="K65">
            <v>0.4395</v>
          </cell>
          <cell r="L65">
            <v>0.39689999999999998</v>
          </cell>
          <cell r="M65">
            <v>0.39079999999999998</v>
          </cell>
          <cell r="N65">
            <v>0.42249999999999999</v>
          </cell>
          <cell r="O65">
            <v>0.4395</v>
          </cell>
          <cell r="P65">
            <v>0</v>
          </cell>
        </row>
        <row r="66">
          <cell r="D66">
            <v>0.43730000000000002</v>
          </cell>
          <cell r="E66">
            <v>0.50519999999999998</v>
          </cell>
          <cell r="F66">
            <v>0.47049999999999997</v>
          </cell>
          <cell r="G66">
            <v>0.48530000000000001</v>
          </cell>
          <cell r="H66">
            <v>0.46889999999999998</v>
          </cell>
          <cell r="I66">
            <v>0.45939999999999998</v>
          </cell>
          <cell r="J66">
            <v>0.47739999999999999</v>
          </cell>
          <cell r="K66">
            <v>0.4395</v>
          </cell>
          <cell r="L66">
            <v>0.39689999999999998</v>
          </cell>
          <cell r="M66">
            <v>0.39079999999999998</v>
          </cell>
          <cell r="N66">
            <v>0.42249999999999999</v>
          </cell>
          <cell r="O66">
            <v>0.4395</v>
          </cell>
          <cell r="P66">
            <v>0</v>
          </cell>
        </row>
        <row r="67">
          <cell r="D67">
            <v>0.43730000000000002</v>
          </cell>
          <cell r="E67">
            <v>0.50519999999999998</v>
          </cell>
          <cell r="F67">
            <v>0.47049999999999997</v>
          </cell>
          <cell r="G67">
            <v>0.48530000000000001</v>
          </cell>
          <cell r="H67">
            <v>0.46889999999999998</v>
          </cell>
          <cell r="I67">
            <v>0.45939999999999998</v>
          </cell>
          <cell r="J67">
            <v>0.47739999999999999</v>
          </cell>
          <cell r="K67">
            <v>0.4395</v>
          </cell>
          <cell r="L67">
            <v>0.39689999999999998</v>
          </cell>
          <cell r="M67">
            <v>0.39079999999999998</v>
          </cell>
          <cell r="N67">
            <v>0.42249999999999999</v>
          </cell>
          <cell r="O67">
            <v>0.4395</v>
          </cell>
          <cell r="P67">
            <v>0</v>
          </cell>
        </row>
        <row r="68">
          <cell r="D68">
            <v>0.43730000000000002</v>
          </cell>
          <cell r="E68">
            <v>0.50519999999999998</v>
          </cell>
          <cell r="F68">
            <v>0.47049999999999997</v>
          </cell>
          <cell r="G68">
            <v>0.48530000000000001</v>
          </cell>
          <cell r="H68">
            <v>0.46889999999999998</v>
          </cell>
          <cell r="I68">
            <v>0.45939999999999998</v>
          </cell>
          <cell r="J68">
            <v>0.47739999999999999</v>
          </cell>
          <cell r="K68">
            <v>0.4395</v>
          </cell>
          <cell r="L68">
            <v>0.39689999999999998</v>
          </cell>
          <cell r="M68">
            <v>0.39079999999999998</v>
          </cell>
          <cell r="N68">
            <v>0.42249999999999999</v>
          </cell>
          <cell r="O68">
            <v>0.4395</v>
          </cell>
          <cell r="P68">
            <v>0</v>
          </cell>
        </row>
        <row r="69">
          <cell r="D69">
            <v>0.2034</v>
          </cell>
          <cell r="E69">
            <v>0.23830000000000001</v>
          </cell>
          <cell r="F69">
            <v>0.22770000000000001</v>
          </cell>
          <cell r="G69">
            <v>0.24129999999999999</v>
          </cell>
          <cell r="H69">
            <v>0.22950000000000001</v>
          </cell>
          <cell r="I69">
            <v>0.2258</v>
          </cell>
          <cell r="J69">
            <v>0.23080000000000001</v>
          </cell>
          <cell r="K69">
            <v>0.2006</v>
          </cell>
          <cell r="L69">
            <v>0.18479999999999999</v>
          </cell>
          <cell r="M69">
            <v>0.18429999999999999</v>
          </cell>
          <cell r="N69">
            <v>0.2016</v>
          </cell>
          <cell r="O69">
            <v>0.21</v>
          </cell>
          <cell r="P69">
            <v>0</v>
          </cell>
        </row>
        <row r="70">
          <cell r="D70">
            <v>0.2034</v>
          </cell>
          <cell r="E70">
            <v>0.23830000000000001</v>
          </cell>
          <cell r="F70">
            <v>0.22770000000000001</v>
          </cell>
          <cell r="G70">
            <v>0.24129999999999999</v>
          </cell>
          <cell r="H70">
            <v>0.22950000000000001</v>
          </cell>
          <cell r="I70">
            <v>0.2258</v>
          </cell>
          <cell r="J70">
            <v>0.23080000000000001</v>
          </cell>
          <cell r="K70">
            <v>0.2006</v>
          </cell>
          <cell r="L70">
            <v>0.18479999999999999</v>
          </cell>
          <cell r="M70">
            <v>0.18429999999999999</v>
          </cell>
          <cell r="N70">
            <v>0.2016</v>
          </cell>
          <cell r="O70">
            <v>0.21</v>
          </cell>
          <cell r="P70">
            <v>0</v>
          </cell>
        </row>
        <row r="71">
          <cell r="D71">
            <v>7.2800000000000004E-2</v>
          </cell>
          <cell r="E71">
            <v>8.6699999999999999E-2</v>
          </cell>
          <cell r="F71">
            <v>8.5099999999999995E-2</v>
          </cell>
          <cell r="G71">
            <v>9.0499999999999997E-2</v>
          </cell>
          <cell r="H71">
            <v>8.7599999999999997E-2</v>
          </cell>
          <cell r="I71">
            <v>8.5999999999999993E-2</v>
          </cell>
          <cell r="J71">
            <v>8.7400000000000005E-2</v>
          </cell>
          <cell r="K71">
            <v>7.6300000000000007E-2</v>
          </cell>
          <cell r="L71">
            <v>7.0300000000000001E-2</v>
          </cell>
          <cell r="M71">
            <v>6.9699999999999998E-2</v>
          </cell>
          <cell r="N71">
            <v>7.5399999999999995E-2</v>
          </cell>
          <cell r="O71">
            <v>7.8700000000000006E-2</v>
          </cell>
          <cell r="P71">
            <v>0</v>
          </cell>
        </row>
      </sheetData>
      <sheetData sheetId="8">
        <row r="28">
          <cell r="D28">
            <v>9.7600000000000006E-2</v>
          </cell>
          <cell r="E28">
            <v>0.1077</v>
          </cell>
          <cell r="F28">
            <v>0.1234</v>
          </cell>
          <cell r="G28">
            <v>0.124</v>
          </cell>
          <cell r="H28">
            <v>8.2000000000000003E-2</v>
          </cell>
          <cell r="I28">
            <v>7.5499999999999998E-2</v>
          </cell>
          <cell r="J28">
            <v>6.4899999999999999E-2</v>
          </cell>
          <cell r="K28">
            <v>7.5600000000000001E-2</v>
          </cell>
          <cell r="L28">
            <v>7.85E-2</v>
          </cell>
          <cell r="M28">
            <v>7.5399999999999995E-2</v>
          </cell>
          <cell r="N28">
            <v>7.5700000000000003E-2</v>
          </cell>
          <cell r="O28">
            <v>7.8299999999999995E-2</v>
          </cell>
          <cell r="P28">
            <v>0</v>
          </cell>
        </row>
      </sheetData>
      <sheetData sheetId="9">
        <row r="134">
          <cell r="D134">
            <v>8.1671193651487679E-5</v>
          </cell>
          <cell r="E134">
            <v>7.9496172853225534E-5</v>
          </cell>
          <cell r="F134">
            <v>9.1117198287407098E-5</v>
          </cell>
          <cell r="G134">
            <v>9.2294258932552585E-5</v>
          </cell>
          <cell r="H134">
            <v>8.664510925241928E-5</v>
          </cell>
          <cell r="I134">
            <v>8.4286320439276092E-5</v>
          </cell>
          <cell r="J134">
            <v>7.5057505029560973E-5</v>
          </cell>
          <cell r="K134">
            <v>7.5699329562342512E-5</v>
          </cell>
          <cell r="L134">
            <v>7.3950804174552343E-5</v>
          </cell>
          <cell r="M134">
            <v>6.9724330278463729E-5</v>
          </cell>
          <cell r="N134">
            <v>7.1523365693916283E-5</v>
          </cell>
          <cell r="O134">
            <v>7.2222317373892914E-5</v>
          </cell>
          <cell r="P134">
            <v>0</v>
          </cell>
        </row>
      </sheetData>
      <sheetData sheetId="10">
        <row r="15">
          <cell r="D15">
            <v>0.1129</v>
          </cell>
          <cell r="E15">
            <v>0.1091</v>
          </cell>
          <cell r="F15">
            <v>0.1124</v>
          </cell>
          <cell r="G15">
            <v>0.1123</v>
          </cell>
          <cell r="H15">
            <v>0.10780000000000001</v>
          </cell>
          <cell r="I15">
            <v>0.1113</v>
          </cell>
          <cell r="J15">
            <v>0.111</v>
          </cell>
          <cell r="K15">
            <v>0.11260000000000001</v>
          </cell>
          <cell r="L15">
            <v>0.1143</v>
          </cell>
          <cell r="M15">
            <v>0.1157</v>
          </cell>
          <cell r="N15">
            <v>0.11</v>
          </cell>
          <cell r="O15">
            <v>0.112</v>
          </cell>
          <cell r="P15" t="e">
            <v>#DIV/0!</v>
          </cell>
        </row>
        <row r="19">
          <cell r="D19">
            <v>0.1028</v>
          </cell>
          <cell r="E19">
            <v>0.1026</v>
          </cell>
          <cell r="F19">
            <v>0.1045</v>
          </cell>
          <cell r="G19">
            <v>0.109</v>
          </cell>
          <cell r="H19">
            <v>0.1099</v>
          </cell>
          <cell r="I19">
            <v>0.11070000000000001</v>
          </cell>
          <cell r="J19">
            <v>0.1036</v>
          </cell>
          <cell r="K19">
            <v>0.1027</v>
          </cell>
          <cell r="L19">
            <v>0.10150000000000001</v>
          </cell>
          <cell r="M19">
            <v>9.7199999999999995E-2</v>
          </cell>
          <cell r="N19">
            <v>9.7900000000000001E-2</v>
          </cell>
          <cell r="O19">
            <v>0.10340000000000001</v>
          </cell>
          <cell r="P19" t="e">
            <v>#DIV/0!</v>
          </cell>
        </row>
        <row r="25">
          <cell r="D25">
            <v>0.1114</v>
          </cell>
          <cell r="E25">
            <v>0.10829999999999999</v>
          </cell>
          <cell r="F25">
            <v>0.1114</v>
          </cell>
          <cell r="G25">
            <v>0.112</v>
          </cell>
          <cell r="H25">
            <v>0.1081</v>
          </cell>
          <cell r="I25">
            <v>0.1113</v>
          </cell>
          <cell r="J25">
            <v>0.1103</v>
          </cell>
          <cell r="K25">
            <v>0.1114</v>
          </cell>
          <cell r="L25">
            <v>0.11269999999999999</v>
          </cell>
          <cell r="M25">
            <v>0.1133</v>
          </cell>
          <cell r="N25">
            <v>0.1087</v>
          </cell>
          <cell r="O25">
            <v>0.111</v>
          </cell>
          <cell r="P25" t="e">
            <v>#DIV/0!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 Page"/>
      <sheetName val="Supplier &amp; Trans Data"/>
      <sheetName val="Sheet1"/>
      <sheetName val="Statistical data"/>
      <sheetName val="Actual Implemented Rates"/>
      <sheetName val="Actual Implemented Lifeline"/>
      <sheetName val="GR"/>
      <sheetName val="TR"/>
      <sheetName val="SLR"/>
      <sheetName val="LD"/>
      <sheetName val="SR CIT. SUBSIDY"/>
      <sheetName val="DU VAT"/>
      <sheetName val="BT &amp; FT "/>
      <sheetName val="Monitoring Approved Adj"/>
      <sheetName val="Revenues"/>
      <sheetName val="Techl Data"/>
      <sheetName val="Generation Cost Data"/>
      <sheetName val="Other Generation Adjustments"/>
      <sheetName val="System Loss Data 1"/>
      <sheetName val="System Loss Data 2"/>
      <sheetName val="Input from Trans"/>
      <sheetName val="Input from Dist"/>
      <sheetName val="Input from EG"/>
      <sheetName val="Output to Feeder"/>
      <sheetName val="Subtrans Voltage Customers"/>
      <sheetName val="kWh Sales Summary"/>
      <sheetName val="Revenues Data"/>
    </sheetNames>
    <sheetDataSet>
      <sheetData sheetId="0" refreshError="1"/>
      <sheetData sheetId="1">
        <row r="3">
          <cell r="A3" t="str">
            <v>For January - December 2020 Billing</v>
          </cell>
        </row>
      </sheetData>
      <sheetData sheetId="2" refreshError="1"/>
      <sheetData sheetId="3">
        <row r="181">
          <cell r="A181" t="str">
            <v xml:space="preserve">  Residential </v>
          </cell>
        </row>
        <row r="184">
          <cell r="A184" t="str">
            <v xml:space="preserve">  General Service A</v>
          </cell>
        </row>
        <row r="185">
          <cell r="A185" t="str">
            <v xml:space="preserve">  GHMSCI</v>
          </cell>
        </row>
        <row r="186">
          <cell r="A186" t="str">
            <v xml:space="preserve">  General Service B</v>
          </cell>
        </row>
        <row r="187">
          <cell r="A187" t="str">
            <v xml:space="preserve">  General Power- Secondary</v>
          </cell>
        </row>
        <row r="188">
          <cell r="A188" t="str">
            <v xml:space="preserve">  General Power-13.8 kV and Below</v>
          </cell>
        </row>
        <row r="189">
          <cell r="A189" t="str">
            <v xml:space="preserve">  General Power-34.5kV</v>
          </cell>
        </row>
        <row r="190">
          <cell r="A190" t="str">
            <v xml:space="preserve">  General Power-69/115kV</v>
          </cell>
        </row>
      </sheetData>
      <sheetData sheetId="4"/>
      <sheetData sheetId="5" refreshError="1"/>
      <sheetData sheetId="6">
        <row r="23">
          <cell r="D23">
            <v>4.9039000000000001</v>
          </cell>
          <cell r="E23">
            <v>4.5090000000000003</v>
          </cell>
          <cell r="F23">
            <v>4.6631999999999998</v>
          </cell>
          <cell r="G23">
            <v>4.6384999999999996</v>
          </cell>
          <cell r="H23">
            <v>4.3848000000000003</v>
          </cell>
          <cell r="I23">
            <v>4.3413000000000004</v>
          </cell>
          <cell r="J23">
            <v>4.3343999999999996</v>
          </cell>
          <cell r="K23">
            <v>4.1241000000000003</v>
          </cell>
          <cell r="L23">
            <v>4.0860000000000003</v>
          </cell>
          <cell r="M23">
            <v>4.2233000000000001</v>
          </cell>
          <cell r="N23">
            <v>4.2018000000000004</v>
          </cell>
          <cell r="O23">
            <v>4.1516000000000002</v>
          </cell>
          <cell r="P23" t="e">
            <v>#DIV/0!</v>
          </cell>
        </row>
      </sheetData>
      <sheetData sheetId="7">
        <row r="42">
          <cell r="D42">
            <v>0.67549999999999999</v>
          </cell>
          <cell r="E42">
            <v>0.76390000000000002</v>
          </cell>
          <cell r="F42">
            <v>0.79879999999999995</v>
          </cell>
          <cell r="G42">
            <v>0.79669999999999996</v>
          </cell>
          <cell r="H42">
            <v>0.80820000000000003</v>
          </cell>
          <cell r="I42">
            <v>0.85550000000000004</v>
          </cell>
          <cell r="J42">
            <v>0.82920000000000005</v>
          </cell>
          <cell r="K42">
            <v>0.81479999999999997</v>
          </cell>
          <cell r="L42">
            <v>0.79959999999999998</v>
          </cell>
          <cell r="M42">
            <v>0.78910000000000002</v>
          </cell>
          <cell r="N42">
            <v>0.79569999999999996</v>
          </cell>
          <cell r="O42">
            <v>0.79020000000000001</v>
          </cell>
          <cell r="P42">
            <v>0</v>
          </cell>
        </row>
        <row r="43">
          <cell r="D43">
            <v>0.66559999999999997</v>
          </cell>
          <cell r="E43">
            <v>0.75439999999999996</v>
          </cell>
          <cell r="F43">
            <v>0.78590000000000004</v>
          </cell>
          <cell r="G43">
            <v>0.78610000000000002</v>
          </cell>
          <cell r="H43">
            <v>0.80359999999999998</v>
          </cell>
          <cell r="I43">
            <v>0.84609999999999996</v>
          </cell>
          <cell r="J43">
            <v>0.80349999999999999</v>
          </cell>
          <cell r="K43">
            <v>0.7954</v>
          </cell>
          <cell r="L43">
            <v>0.78420000000000001</v>
          </cell>
          <cell r="M43">
            <v>0.7742</v>
          </cell>
          <cell r="N43">
            <v>0.77949999999999997</v>
          </cell>
          <cell r="O43">
            <v>0.77510000000000001</v>
          </cell>
          <cell r="P43">
            <v>0</v>
          </cell>
        </row>
        <row r="44">
          <cell r="D44">
            <v>0.66559999999999997</v>
          </cell>
          <cell r="E44">
            <v>0.75439999999999996</v>
          </cell>
          <cell r="F44">
            <v>0.78590000000000004</v>
          </cell>
          <cell r="G44">
            <v>0.78610000000000002</v>
          </cell>
          <cell r="H44">
            <v>0.80359999999999998</v>
          </cell>
          <cell r="I44">
            <v>0.84609999999999996</v>
          </cell>
          <cell r="J44">
            <v>0.80349999999999999</v>
          </cell>
          <cell r="K44">
            <v>0.7954</v>
          </cell>
          <cell r="L44">
            <v>0.78420000000000001</v>
          </cell>
          <cell r="M44">
            <v>0.7742</v>
          </cell>
          <cell r="N44">
            <v>0.77949999999999997</v>
          </cell>
          <cell r="O44">
            <v>0.77510000000000001</v>
          </cell>
          <cell r="P44">
            <v>0</v>
          </cell>
        </row>
        <row r="45">
          <cell r="D45">
            <v>0.75260000000000005</v>
          </cell>
          <cell r="E45">
            <v>0.87409999999999999</v>
          </cell>
          <cell r="F45">
            <v>0.84370000000000001</v>
          </cell>
          <cell r="G45">
            <v>0.9768</v>
          </cell>
          <cell r="H45">
            <v>0.93589999999999995</v>
          </cell>
          <cell r="I45">
            <v>1.0368999999999999</v>
          </cell>
          <cell r="J45">
            <v>0.89180000000000004</v>
          </cell>
          <cell r="K45">
            <v>0.86199999999999999</v>
          </cell>
          <cell r="L45">
            <v>0.89100000000000001</v>
          </cell>
          <cell r="M45">
            <v>0.85440000000000005</v>
          </cell>
          <cell r="N45">
            <v>0.89559999999999995</v>
          </cell>
          <cell r="O45">
            <v>0.85540000000000005</v>
          </cell>
          <cell r="P45">
            <v>0</v>
          </cell>
        </row>
        <row r="46">
          <cell r="D46">
            <v>206.62</v>
          </cell>
          <cell r="E46">
            <v>224.68</v>
          </cell>
          <cell r="F46">
            <v>225.56960000000001</v>
          </cell>
          <cell r="G46">
            <v>256.21960000000001</v>
          </cell>
          <cell r="H46">
            <v>206.55959999999999</v>
          </cell>
          <cell r="I46">
            <v>251.1396</v>
          </cell>
          <cell r="J46">
            <v>231.30549999999999</v>
          </cell>
          <cell r="K46">
            <v>249.46</v>
          </cell>
          <cell r="L46">
            <v>240.79</v>
          </cell>
          <cell r="M46">
            <v>225.16</v>
          </cell>
          <cell r="N46">
            <v>242.12</v>
          </cell>
          <cell r="O46">
            <v>229.36</v>
          </cell>
          <cell r="P46">
            <v>0</v>
          </cell>
        </row>
        <row r="47">
          <cell r="D47">
            <v>231.15</v>
          </cell>
          <cell r="E47">
            <v>244.5</v>
          </cell>
          <cell r="F47">
            <v>260.9067</v>
          </cell>
          <cell r="G47">
            <v>272.23669999999998</v>
          </cell>
          <cell r="H47">
            <v>215.6267</v>
          </cell>
          <cell r="I47">
            <v>259.5367</v>
          </cell>
          <cell r="J47">
            <v>272.57900000000001</v>
          </cell>
          <cell r="K47">
            <v>289.72000000000003</v>
          </cell>
          <cell r="L47">
            <v>275.45999999999998</v>
          </cell>
          <cell r="M47">
            <v>259.14</v>
          </cell>
          <cell r="N47">
            <v>261.64</v>
          </cell>
          <cell r="O47">
            <v>249.26</v>
          </cell>
          <cell r="P47">
            <v>0</v>
          </cell>
        </row>
        <row r="48">
          <cell r="D48">
            <v>247.48</v>
          </cell>
          <cell r="E48">
            <v>270.66000000000003</v>
          </cell>
          <cell r="F48">
            <v>280.92439999999999</v>
          </cell>
          <cell r="G48">
            <v>271.18439999999998</v>
          </cell>
          <cell r="H48">
            <v>250.0044</v>
          </cell>
          <cell r="I48">
            <v>282.46440000000001</v>
          </cell>
          <cell r="J48">
            <v>292.6309</v>
          </cell>
          <cell r="K48">
            <v>286.95999999999998</v>
          </cell>
          <cell r="L48">
            <v>293.56</v>
          </cell>
          <cell r="M48">
            <v>282.98</v>
          </cell>
          <cell r="N48">
            <v>290.81</v>
          </cell>
          <cell r="O48">
            <v>278.24</v>
          </cell>
          <cell r="P48">
            <v>0</v>
          </cell>
        </row>
        <row r="49">
          <cell r="D49">
            <v>277.93</v>
          </cell>
          <cell r="E49">
            <v>305.86</v>
          </cell>
          <cell r="F49">
            <v>333.74509999999998</v>
          </cell>
          <cell r="G49">
            <v>292.4151</v>
          </cell>
          <cell r="H49">
            <v>310.0951</v>
          </cell>
          <cell r="I49">
            <v>316.23509999999999</v>
          </cell>
          <cell r="J49">
            <v>341.10700000000003</v>
          </cell>
          <cell r="K49">
            <v>319.02999999999997</v>
          </cell>
          <cell r="L49">
            <v>331.17</v>
          </cell>
          <cell r="M49">
            <v>330.8</v>
          </cell>
          <cell r="N49">
            <v>333.3</v>
          </cell>
          <cell r="O49">
            <v>332.28</v>
          </cell>
          <cell r="P49">
            <v>0</v>
          </cell>
        </row>
        <row r="50">
          <cell r="D50">
            <v>203.08</v>
          </cell>
          <cell r="E50">
            <v>231.01</v>
          </cell>
          <cell r="F50">
            <v>264.66680000000002</v>
          </cell>
          <cell r="G50">
            <v>223.33680000000001</v>
          </cell>
          <cell r="H50">
            <v>241.01679999999999</v>
          </cell>
          <cell r="I50">
            <v>247.1568</v>
          </cell>
          <cell r="J50">
            <v>261.90750000000003</v>
          </cell>
          <cell r="K50">
            <v>244.18</v>
          </cell>
          <cell r="L50">
            <v>256.32</v>
          </cell>
          <cell r="M50">
            <v>255.95</v>
          </cell>
          <cell r="N50">
            <v>258.45</v>
          </cell>
          <cell r="O50">
            <v>257.43</v>
          </cell>
          <cell r="P50">
            <v>0</v>
          </cell>
        </row>
      </sheetData>
      <sheetData sheetId="8">
        <row r="73">
          <cell r="D73">
            <v>0.41470000000000001</v>
          </cell>
          <cell r="E73">
            <v>0.38729999999999998</v>
          </cell>
          <cell r="F73">
            <v>0.3528</v>
          </cell>
          <cell r="G73">
            <v>0.35249999999999998</v>
          </cell>
          <cell r="H73">
            <v>0.34720000000000001</v>
          </cell>
          <cell r="I73">
            <v>0.35120000000000001</v>
          </cell>
          <cell r="J73">
            <v>0.39100000000000001</v>
          </cell>
          <cell r="K73">
            <v>0.41720000000000002</v>
          </cell>
          <cell r="L73">
            <v>0.40579999999999999</v>
          </cell>
          <cell r="M73">
            <v>0.40810000000000002</v>
          </cell>
          <cell r="N73">
            <v>0.39</v>
          </cell>
          <cell r="O73">
            <v>0.38090000000000002</v>
          </cell>
          <cell r="P73">
            <v>0</v>
          </cell>
        </row>
        <row r="74">
          <cell r="D74">
            <v>0.41470000000000001</v>
          </cell>
          <cell r="E74">
            <v>0.38729999999999998</v>
          </cell>
          <cell r="F74">
            <v>0.3528</v>
          </cell>
          <cell r="G74">
            <v>0.35249999999999998</v>
          </cell>
          <cell r="H74">
            <v>0.34720000000000001</v>
          </cell>
          <cell r="I74">
            <v>0.35120000000000001</v>
          </cell>
          <cell r="J74">
            <v>0.39100000000000001</v>
          </cell>
          <cell r="K74">
            <v>0.41720000000000002</v>
          </cell>
          <cell r="L74">
            <v>0.40579999999999999</v>
          </cell>
          <cell r="M74">
            <v>0.40810000000000002</v>
          </cell>
          <cell r="N74">
            <v>0.39</v>
          </cell>
          <cell r="O74">
            <v>0.38090000000000002</v>
          </cell>
          <cell r="P74">
            <v>0</v>
          </cell>
        </row>
        <row r="75">
          <cell r="D75">
            <v>0.41470000000000001</v>
          </cell>
          <cell r="E75">
            <v>0.38729999999999998</v>
          </cell>
          <cell r="F75">
            <v>0.3528</v>
          </cell>
          <cell r="G75">
            <v>0.35249999999999998</v>
          </cell>
          <cell r="H75">
            <v>0.34720000000000001</v>
          </cell>
          <cell r="I75">
            <v>0.35120000000000001</v>
          </cell>
          <cell r="J75">
            <v>0.39100000000000001</v>
          </cell>
          <cell r="K75">
            <v>0.41720000000000002</v>
          </cell>
          <cell r="L75">
            <v>0.40579999999999999</v>
          </cell>
          <cell r="M75">
            <v>0.40810000000000002</v>
          </cell>
          <cell r="N75">
            <v>0.39</v>
          </cell>
          <cell r="O75">
            <v>0.38090000000000002</v>
          </cell>
          <cell r="P75">
            <v>0</v>
          </cell>
        </row>
        <row r="76">
          <cell r="D76">
            <v>0.41470000000000001</v>
          </cell>
          <cell r="E76">
            <v>0.38729999999999998</v>
          </cell>
          <cell r="F76">
            <v>0.3528</v>
          </cell>
          <cell r="G76">
            <v>0.35249999999999998</v>
          </cell>
          <cell r="H76">
            <v>0.34720000000000001</v>
          </cell>
          <cell r="I76">
            <v>0.35120000000000001</v>
          </cell>
          <cell r="J76">
            <v>0.39100000000000001</v>
          </cell>
          <cell r="K76">
            <v>0.41720000000000002</v>
          </cell>
          <cell r="L76">
            <v>0.40579999999999999</v>
          </cell>
          <cell r="M76">
            <v>0.40810000000000002</v>
          </cell>
          <cell r="N76">
            <v>0.39</v>
          </cell>
          <cell r="O76">
            <v>0.38090000000000002</v>
          </cell>
          <cell r="P76">
            <v>0</v>
          </cell>
        </row>
        <row r="77">
          <cell r="D77">
            <v>0.41470000000000001</v>
          </cell>
          <cell r="E77">
            <v>0.38729999999999998</v>
          </cell>
          <cell r="F77">
            <v>0.3528</v>
          </cell>
          <cell r="G77">
            <v>0.35249999999999998</v>
          </cell>
          <cell r="H77">
            <v>0.34720000000000001</v>
          </cell>
          <cell r="I77">
            <v>0.35120000000000001</v>
          </cell>
          <cell r="J77">
            <v>0.39100000000000001</v>
          </cell>
          <cell r="K77">
            <v>0.41720000000000002</v>
          </cell>
          <cell r="L77">
            <v>0.40579999999999999</v>
          </cell>
          <cell r="M77">
            <v>0.40810000000000002</v>
          </cell>
          <cell r="N77">
            <v>0.39</v>
          </cell>
          <cell r="O77">
            <v>0.38090000000000002</v>
          </cell>
          <cell r="P77">
            <v>0</v>
          </cell>
        </row>
        <row r="78">
          <cell r="D78">
            <v>0.41470000000000001</v>
          </cell>
          <cell r="E78">
            <v>0.38729999999999998</v>
          </cell>
          <cell r="F78">
            <v>0.3528</v>
          </cell>
          <cell r="G78">
            <v>0.35249999999999998</v>
          </cell>
          <cell r="H78">
            <v>0.34720000000000001</v>
          </cell>
          <cell r="I78">
            <v>0.35120000000000001</v>
          </cell>
          <cell r="J78">
            <v>0.39100000000000001</v>
          </cell>
          <cell r="K78">
            <v>0.41720000000000002</v>
          </cell>
          <cell r="L78">
            <v>0.40579999999999999</v>
          </cell>
          <cell r="M78">
            <v>0.40810000000000002</v>
          </cell>
          <cell r="N78">
            <v>0.39</v>
          </cell>
          <cell r="O78">
            <v>0.38090000000000002</v>
          </cell>
          <cell r="P78">
            <v>0</v>
          </cell>
        </row>
        <row r="79">
          <cell r="D79">
            <v>0.19570000000000001</v>
          </cell>
          <cell r="E79">
            <v>0.1832</v>
          </cell>
          <cell r="F79">
            <v>0.14789999999999998</v>
          </cell>
          <cell r="G79">
            <v>0.1522</v>
          </cell>
          <cell r="H79">
            <v>0.14860000000000001</v>
          </cell>
          <cell r="I79">
            <v>0.1537</v>
          </cell>
          <cell r="J79">
            <v>0.2016</v>
          </cell>
          <cell r="K79">
            <v>0.21279999999999999</v>
          </cell>
          <cell r="L79">
            <v>0.1789</v>
          </cell>
          <cell r="M79">
            <v>0.19239999999999999</v>
          </cell>
          <cell r="N79">
            <v>0.18759999999999999</v>
          </cell>
          <cell r="O79">
            <v>0.1943</v>
          </cell>
          <cell r="P79">
            <v>0</v>
          </cell>
        </row>
        <row r="80">
          <cell r="D80">
            <v>0.19570000000000001</v>
          </cell>
          <cell r="E80">
            <v>0.1832</v>
          </cell>
          <cell r="F80">
            <v>0.14789999999999998</v>
          </cell>
          <cell r="G80">
            <v>0.1522</v>
          </cell>
          <cell r="H80">
            <v>0.14860000000000001</v>
          </cell>
          <cell r="I80">
            <v>0.1537</v>
          </cell>
          <cell r="J80">
            <v>0.2016</v>
          </cell>
          <cell r="K80">
            <v>0.21279999999999999</v>
          </cell>
          <cell r="L80">
            <v>0.1789</v>
          </cell>
          <cell r="M80">
            <v>0.19239999999999999</v>
          </cell>
          <cell r="N80">
            <v>0.18759999999999999</v>
          </cell>
          <cell r="O80">
            <v>0.1943</v>
          </cell>
          <cell r="P80">
            <v>0</v>
          </cell>
        </row>
        <row r="81">
          <cell r="D81">
            <v>7.2499999999999995E-2</v>
          </cell>
          <cell r="E81">
            <v>6.7500000000000004E-2</v>
          </cell>
          <cell r="F81">
            <v>2.7800000000000005E-2</v>
          </cell>
          <cell r="G81">
            <v>3.0200000000000005E-2</v>
          </cell>
          <cell r="H81">
            <v>2.6999999999999996E-2</v>
          </cell>
          <cell r="I81">
            <v>2.7999999999999997E-2</v>
          </cell>
          <cell r="J81">
            <v>8.2699999999999996E-2</v>
          </cell>
          <cell r="K81">
            <v>7.6799999999999993E-2</v>
          </cell>
          <cell r="L81">
            <v>6.3899999999999998E-2</v>
          </cell>
          <cell r="M81">
            <v>6.9000000000000006E-2</v>
          </cell>
          <cell r="N81">
            <v>6.7900000000000002E-2</v>
          </cell>
          <cell r="O81">
            <v>7.0199999999999999E-2</v>
          </cell>
          <cell r="P81">
            <v>0</v>
          </cell>
        </row>
      </sheetData>
      <sheetData sheetId="9">
        <row r="30">
          <cell r="D30">
            <v>9.3899999999999997E-2</v>
          </cell>
          <cell r="E30">
            <v>9.2399999999999996E-2</v>
          </cell>
          <cell r="F30">
            <v>8.7999999999999995E-2</v>
          </cell>
          <cell r="G30">
            <v>0.1013</v>
          </cell>
          <cell r="H30">
            <v>0.111</v>
          </cell>
          <cell r="I30">
            <v>4.5099999999999994E-2</v>
          </cell>
          <cell r="J30">
            <v>6.0400000000000002E-2</v>
          </cell>
          <cell r="K30">
            <v>6.54E-2</v>
          </cell>
          <cell r="L30">
            <v>6.6500000000000004E-2</v>
          </cell>
          <cell r="M30">
            <v>5.9900000000000002E-2</v>
          </cell>
          <cell r="N30">
            <v>4.7800000000000002E-2</v>
          </cell>
          <cell r="O30">
            <v>7.9100000000000004E-2</v>
          </cell>
          <cell r="P30">
            <v>0</v>
          </cell>
        </row>
      </sheetData>
      <sheetData sheetId="10">
        <row r="108">
          <cell r="C108">
            <v>1E-4</v>
          </cell>
          <cell r="D108">
            <v>1E-4</v>
          </cell>
          <cell r="E108">
            <v>0</v>
          </cell>
          <cell r="F108">
            <v>0</v>
          </cell>
          <cell r="G108">
            <v>1E-4</v>
          </cell>
          <cell r="H108">
            <v>1E-4</v>
          </cell>
          <cell r="I108">
            <v>1E-4</v>
          </cell>
          <cell r="J108">
            <v>1E-4</v>
          </cell>
          <cell r="K108">
            <v>1E-4</v>
          </cell>
          <cell r="L108">
            <v>1E-4</v>
          </cell>
          <cell r="M108">
            <v>1E-4</v>
          </cell>
          <cell r="N108">
            <v>1E-4</v>
          </cell>
          <cell r="O108">
            <v>0</v>
          </cell>
        </row>
      </sheetData>
      <sheetData sheetId="11">
        <row r="15">
          <cell r="C15">
            <v>0.1094</v>
          </cell>
          <cell r="D15">
            <v>0.1108</v>
          </cell>
          <cell r="E15">
            <v>0.11159999999999999</v>
          </cell>
          <cell r="F15">
            <v>0.11550000000000001</v>
          </cell>
          <cell r="G15">
            <v>0.11890000000000001</v>
          </cell>
          <cell r="H15">
            <v>0.11890000000000001</v>
          </cell>
          <cell r="I15">
            <v>0.1142</v>
          </cell>
          <cell r="J15">
            <v>0.1143</v>
          </cell>
          <cell r="K15">
            <v>0.11559999999999999</v>
          </cell>
          <cell r="L15">
            <v>0.11119999999999999</v>
          </cell>
          <cell r="M15">
            <v>0.1148</v>
          </cell>
          <cell r="N15">
            <v>0.1158</v>
          </cell>
          <cell r="O15" t="e">
            <v>#DIV/0!</v>
          </cell>
        </row>
        <row r="22">
          <cell r="C22">
            <v>0.1011</v>
          </cell>
          <cell r="D22">
            <v>0.1071</v>
          </cell>
          <cell r="E22">
            <v>0.1144</v>
          </cell>
          <cell r="F22">
            <v>0.11749999999999999</v>
          </cell>
          <cell r="G22">
            <v>0.1123</v>
          </cell>
          <cell r="H22">
            <v>0.11509999999999999</v>
          </cell>
          <cell r="I22">
            <v>9.9299999999999999E-2</v>
          </cell>
          <cell r="J22">
            <v>0.1032</v>
          </cell>
          <cell r="K22">
            <v>0.1017</v>
          </cell>
          <cell r="L22">
            <v>0.1055</v>
          </cell>
          <cell r="M22">
            <v>0.10100000000000001</v>
          </cell>
          <cell r="N22">
            <v>9.6699999999999994E-2</v>
          </cell>
          <cell r="O22" t="e">
            <v>#DIV/0!</v>
          </cell>
        </row>
        <row r="29">
          <cell r="C29">
            <v>0.1084</v>
          </cell>
          <cell r="D29">
            <v>0.1103</v>
          </cell>
          <cell r="E29">
            <v>0.1105</v>
          </cell>
          <cell r="F29">
            <v>0.1143</v>
          </cell>
          <cell r="G29">
            <v>0.1162</v>
          </cell>
          <cell r="H29">
            <v>0.1166</v>
          </cell>
          <cell r="I29">
            <v>0.1118</v>
          </cell>
          <cell r="J29">
            <v>0.11310000000000001</v>
          </cell>
          <cell r="K29">
            <v>0.1134</v>
          </cell>
          <cell r="L29">
            <v>0.1104</v>
          </cell>
          <cell r="M29">
            <v>0.11260000000000001</v>
          </cell>
          <cell r="N29">
            <v>0.1128</v>
          </cell>
          <cell r="O29" t="e">
            <v>#DIV/0!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fitToPage="1"/>
  </sheetPr>
  <dimension ref="A1:N111"/>
  <sheetViews>
    <sheetView tabSelected="1" zoomScale="70" workbookViewId="0">
      <selection activeCell="H96" sqref="H96"/>
    </sheetView>
  </sheetViews>
  <sheetFormatPr defaultRowHeight="13.8" x14ac:dyDescent="0.3"/>
  <cols>
    <col min="1" max="1" width="3.33203125" style="126" customWidth="1"/>
    <col min="2" max="2" width="29.109375" style="126" customWidth="1"/>
    <col min="3" max="14" width="10.5546875" style="126" customWidth="1"/>
    <col min="15" max="256" width="9.109375" style="126"/>
    <col min="257" max="257" width="3.33203125" style="126" customWidth="1"/>
    <col min="258" max="258" width="29.109375" style="126" customWidth="1"/>
    <col min="259" max="270" width="10.5546875" style="126" customWidth="1"/>
    <col min="271" max="512" width="9.109375" style="126"/>
    <col min="513" max="513" width="3.33203125" style="126" customWidth="1"/>
    <col min="514" max="514" width="29.109375" style="126" customWidth="1"/>
    <col min="515" max="526" width="10.5546875" style="126" customWidth="1"/>
    <col min="527" max="768" width="9.109375" style="126"/>
    <col min="769" max="769" width="3.33203125" style="126" customWidth="1"/>
    <col min="770" max="770" width="29.109375" style="126" customWidth="1"/>
    <col min="771" max="782" width="10.5546875" style="126" customWidth="1"/>
    <col min="783" max="1024" width="9.109375" style="126"/>
    <col min="1025" max="1025" width="3.33203125" style="126" customWidth="1"/>
    <col min="1026" max="1026" width="29.109375" style="126" customWidth="1"/>
    <col min="1027" max="1038" width="10.5546875" style="126" customWidth="1"/>
    <col min="1039" max="1280" width="9.109375" style="126"/>
    <col min="1281" max="1281" width="3.33203125" style="126" customWidth="1"/>
    <col min="1282" max="1282" width="29.109375" style="126" customWidth="1"/>
    <col min="1283" max="1294" width="10.5546875" style="126" customWidth="1"/>
    <col min="1295" max="1536" width="9.109375" style="126"/>
    <col min="1537" max="1537" width="3.33203125" style="126" customWidth="1"/>
    <col min="1538" max="1538" width="29.109375" style="126" customWidth="1"/>
    <col min="1539" max="1550" width="10.5546875" style="126" customWidth="1"/>
    <col min="1551" max="1792" width="9.109375" style="126"/>
    <col min="1793" max="1793" width="3.33203125" style="126" customWidth="1"/>
    <col min="1794" max="1794" width="29.109375" style="126" customWidth="1"/>
    <col min="1795" max="1806" width="10.5546875" style="126" customWidth="1"/>
    <col min="1807" max="2048" width="9.109375" style="126"/>
    <col min="2049" max="2049" width="3.33203125" style="126" customWidth="1"/>
    <col min="2050" max="2050" width="29.109375" style="126" customWidth="1"/>
    <col min="2051" max="2062" width="10.5546875" style="126" customWidth="1"/>
    <col min="2063" max="2304" width="9.109375" style="126"/>
    <col min="2305" max="2305" width="3.33203125" style="126" customWidth="1"/>
    <col min="2306" max="2306" width="29.109375" style="126" customWidth="1"/>
    <col min="2307" max="2318" width="10.5546875" style="126" customWidth="1"/>
    <col min="2319" max="2560" width="9.109375" style="126"/>
    <col min="2561" max="2561" width="3.33203125" style="126" customWidth="1"/>
    <col min="2562" max="2562" width="29.109375" style="126" customWidth="1"/>
    <col min="2563" max="2574" width="10.5546875" style="126" customWidth="1"/>
    <col min="2575" max="2816" width="9.109375" style="126"/>
    <col min="2817" max="2817" width="3.33203125" style="126" customWidth="1"/>
    <col min="2818" max="2818" width="29.109375" style="126" customWidth="1"/>
    <col min="2819" max="2830" width="10.5546875" style="126" customWidth="1"/>
    <col min="2831" max="3072" width="9.109375" style="126"/>
    <col min="3073" max="3073" width="3.33203125" style="126" customWidth="1"/>
    <col min="3074" max="3074" width="29.109375" style="126" customWidth="1"/>
    <col min="3075" max="3086" width="10.5546875" style="126" customWidth="1"/>
    <col min="3087" max="3328" width="9.109375" style="126"/>
    <col min="3329" max="3329" width="3.33203125" style="126" customWidth="1"/>
    <col min="3330" max="3330" width="29.109375" style="126" customWidth="1"/>
    <col min="3331" max="3342" width="10.5546875" style="126" customWidth="1"/>
    <col min="3343" max="3584" width="9.109375" style="126"/>
    <col min="3585" max="3585" width="3.33203125" style="126" customWidth="1"/>
    <col min="3586" max="3586" width="29.109375" style="126" customWidth="1"/>
    <col min="3587" max="3598" width="10.5546875" style="126" customWidth="1"/>
    <col min="3599" max="3840" width="9.109375" style="126"/>
    <col min="3841" max="3841" width="3.33203125" style="126" customWidth="1"/>
    <col min="3842" max="3842" width="29.109375" style="126" customWidth="1"/>
    <col min="3843" max="3854" width="10.5546875" style="126" customWidth="1"/>
    <col min="3855" max="4096" width="9.109375" style="126"/>
    <col min="4097" max="4097" width="3.33203125" style="126" customWidth="1"/>
    <col min="4098" max="4098" width="29.109375" style="126" customWidth="1"/>
    <col min="4099" max="4110" width="10.5546875" style="126" customWidth="1"/>
    <col min="4111" max="4352" width="9.109375" style="126"/>
    <col min="4353" max="4353" width="3.33203125" style="126" customWidth="1"/>
    <col min="4354" max="4354" width="29.109375" style="126" customWidth="1"/>
    <col min="4355" max="4366" width="10.5546875" style="126" customWidth="1"/>
    <col min="4367" max="4608" width="9.109375" style="126"/>
    <col min="4609" max="4609" width="3.33203125" style="126" customWidth="1"/>
    <col min="4610" max="4610" width="29.109375" style="126" customWidth="1"/>
    <col min="4611" max="4622" width="10.5546875" style="126" customWidth="1"/>
    <col min="4623" max="4864" width="9.109375" style="126"/>
    <col min="4865" max="4865" width="3.33203125" style="126" customWidth="1"/>
    <col min="4866" max="4866" width="29.109375" style="126" customWidth="1"/>
    <col min="4867" max="4878" width="10.5546875" style="126" customWidth="1"/>
    <col min="4879" max="5120" width="9.109375" style="126"/>
    <col min="5121" max="5121" width="3.33203125" style="126" customWidth="1"/>
    <col min="5122" max="5122" width="29.109375" style="126" customWidth="1"/>
    <col min="5123" max="5134" width="10.5546875" style="126" customWidth="1"/>
    <col min="5135" max="5376" width="9.109375" style="126"/>
    <col min="5377" max="5377" width="3.33203125" style="126" customWidth="1"/>
    <col min="5378" max="5378" width="29.109375" style="126" customWidth="1"/>
    <col min="5379" max="5390" width="10.5546875" style="126" customWidth="1"/>
    <col min="5391" max="5632" width="9.109375" style="126"/>
    <col min="5633" max="5633" width="3.33203125" style="126" customWidth="1"/>
    <col min="5634" max="5634" width="29.109375" style="126" customWidth="1"/>
    <col min="5635" max="5646" width="10.5546875" style="126" customWidth="1"/>
    <col min="5647" max="5888" width="9.109375" style="126"/>
    <col min="5889" max="5889" width="3.33203125" style="126" customWidth="1"/>
    <col min="5890" max="5890" width="29.109375" style="126" customWidth="1"/>
    <col min="5891" max="5902" width="10.5546875" style="126" customWidth="1"/>
    <col min="5903" max="6144" width="9.109375" style="126"/>
    <col min="6145" max="6145" width="3.33203125" style="126" customWidth="1"/>
    <col min="6146" max="6146" width="29.109375" style="126" customWidth="1"/>
    <col min="6147" max="6158" width="10.5546875" style="126" customWidth="1"/>
    <col min="6159" max="6400" width="9.109375" style="126"/>
    <col min="6401" max="6401" width="3.33203125" style="126" customWidth="1"/>
    <col min="6402" max="6402" width="29.109375" style="126" customWidth="1"/>
    <col min="6403" max="6414" width="10.5546875" style="126" customWidth="1"/>
    <col min="6415" max="6656" width="9.109375" style="126"/>
    <col min="6657" max="6657" width="3.33203125" style="126" customWidth="1"/>
    <col min="6658" max="6658" width="29.109375" style="126" customWidth="1"/>
    <col min="6659" max="6670" width="10.5546875" style="126" customWidth="1"/>
    <col min="6671" max="6912" width="9.109375" style="126"/>
    <col min="6913" max="6913" width="3.33203125" style="126" customWidth="1"/>
    <col min="6914" max="6914" width="29.109375" style="126" customWidth="1"/>
    <col min="6915" max="6926" width="10.5546875" style="126" customWidth="1"/>
    <col min="6927" max="7168" width="9.109375" style="126"/>
    <col min="7169" max="7169" width="3.33203125" style="126" customWidth="1"/>
    <col min="7170" max="7170" width="29.109375" style="126" customWidth="1"/>
    <col min="7171" max="7182" width="10.5546875" style="126" customWidth="1"/>
    <col min="7183" max="7424" width="9.109375" style="126"/>
    <col min="7425" max="7425" width="3.33203125" style="126" customWidth="1"/>
    <col min="7426" max="7426" width="29.109375" style="126" customWidth="1"/>
    <col min="7427" max="7438" width="10.5546875" style="126" customWidth="1"/>
    <col min="7439" max="7680" width="9.109375" style="126"/>
    <col min="7681" max="7681" width="3.33203125" style="126" customWidth="1"/>
    <col min="7682" max="7682" width="29.109375" style="126" customWidth="1"/>
    <col min="7683" max="7694" width="10.5546875" style="126" customWidth="1"/>
    <col min="7695" max="7936" width="9.109375" style="126"/>
    <col min="7937" max="7937" width="3.33203125" style="126" customWidth="1"/>
    <col min="7938" max="7938" width="29.109375" style="126" customWidth="1"/>
    <col min="7939" max="7950" width="10.5546875" style="126" customWidth="1"/>
    <col min="7951" max="8192" width="9.109375" style="126"/>
    <col min="8193" max="8193" width="3.33203125" style="126" customWidth="1"/>
    <col min="8194" max="8194" width="29.109375" style="126" customWidth="1"/>
    <col min="8195" max="8206" width="10.5546875" style="126" customWidth="1"/>
    <col min="8207" max="8448" width="9.109375" style="126"/>
    <col min="8449" max="8449" width="3.33203125" style="126" customWidth="1"/>
    <col min="8450" max="8450" width="29.109375" style="126" customWidth="1"/>
    <col min="8451" max="8462" width="10.5546875" style="126" customWidth="1"/>
    <col min="8463" max="8704" width="9.109375" style="126"/>
    <col min="8705" max="8705" width="3.33203125" style="126" customWidth="1"/>
    <col min="8706" max="8706" width="29.109375" style="126" customWidth="1"/>
    <col min="8707" max="8718" width="10.5546875" style="126" customWidth="1"/>
    <col min="8719" max="8960" width="9.109375" style="126"/>
    <col min="8961" max="8961" width="3.33203125" style="126" customWidth="1"/>
    <col min="8962" max="8962" width="29.109375" style="126" customWidth="1"/>
    <col min="8963" max="8974" width="10.5546875" style="126" customWidth="1"/>
    <col min="8975" max="9216" width="9.109375" style="126"/>
    <col min="9217" max="9217" width="3.33203125" style="126" customWidth="1"/>
    <col min="9218" max="9218" width="29.109375" style="126" customWidth="1"/>
    <col min="9219" max="9230" width="10.5546875" style="126" customWidth="1"/>
    <col min="9231" max="9472" width="9.109375" style="126"/>
    <col min="9473" max="9473" width="3.33203125" style="126" customWidth="1"/>
    <col min="9474" max="9474" width="29.109375" style="126" customWidth="1"/>
    <col min="9475" max="9486" width="10.5546875" style="126" customWidth="1"/>
    <col min="9487" max="9728" width="9.109375" style="126"/>
    <col min="9729" max="9729" width="3.33203125" style="126" customWidth="1"/>
    <col min="9730" max="9730" width="29.109375" style="126" customWidth="1"/>
    <col min="9731" max="9742" width="10.5546875" style="126" customWidth="1"/>
    <col min="9743" max="9984" width="9.109375" style="126"/>
    <col min="9985" max="9985" width="3.33203125" style="126" customWidth="1"/>
    <col min="9986" max="9986" width="29.109375" style="126" customWidth="1"/>
    <col min="9987" max="9998" width="10.5546875" style="126" customWidth="1"/>
    <col min="9999" max="10240" width="9.109375" style="126"/>
    <col min="10241" max="10241" width="3.33203125" style="126" customWidth="1"/>
    <col min="10242" max="10242" width="29.109375" style="126" customWidth="1"/>
    <col min="10243" max="10254" width="10.5546875" style="126" customWidth="1"/>
    <col min="10255" max="10496" width="9.109375" style="126"/>
    <col min="10497" max="10497" width="3.33203125" style="126" customWidth="1"/>
    <col min="10498" max="10498" width="29.109375" style="126" customWidth="1"/>
    <col min="10499" max="10510" width="10.5546875" style="126" customWidth="1"/>
    <col min="10511" max="10752" width="9.109375" style="126"/>
    <col min="10753" max="10753" width="3.33203125" style="126" customWidth="1"/>
    <col min="10754" max="10754" width="29.109375" style="126" customWidth="1"/>
    <col min="10755" max="10766" width="10.5546875" style="126" customWidth="1"/>
    <col min="10767" max="11008" width="9.109375" style="126"/>
    <col min="11009" max="11009" width="3.33203125" style="126" customWidth="1"/>
    <col min="11010" max="11010" width="29.109375" style="126" customWidth="1"/>
    <col min="11011" max="11022" width="10.5546875" style="126" customWidth="1"/>
    <col min="11023" max="11264" width="9.109375" style="126"/>
    <col min="11265" max="11265" width="3.33203125" style="126" customWidth="1"/>
    <col min="11266" max="11266" width="29.109375" style="126" customWidth="1"/>
    <col min="11267" max="11278" width="10.5546875" style="126" customWidth="1"/>
    <col min="11279" max="11520" width="9.109375" style="126"/>
    <col min="11521" max="11521" width="3.33203125" style="126" customWidth="1"/>
    <col min="11522" max="11522" width="29.109375" style="126" customWidth="1"/>
    <col min="11523" max="11534" width="10.5546875" style="126" customWidth="1"/>
    <col min="11535" max="11776" width="9.109375" style="126"/>
    <col min="11777" max="11777" width="3.33203125" style="126" customWidth="1"/>
    <col min="11778" max="11778" width="29.109375" style="126" customWidth="1"/>
    <col min="11779" max="11790" width="10.5546875" style="126" customWidth="1"/>
    <col min="11791" max="12032" width="9.109375" style="126"/>
    <col min="12033" max="12033" width="3.33203125" style="126" customWidth="1"/>
    <col min="12034" max="12034" width="29.109375" style="126" customWidth="1"/>
    <col min="12035" max="12046" width="10.5546875" style="126" customWidth="1"/>
    <col min="12047" max="12288" width="9.109375" style="126"/>
    <col min="12289" max="12289" width="3.33203125" style="126" customWidth="1"/>
    <col min="12290" max="12290" width="29.109375" style="126" customWidth="1"/>
    <col min="12291" max="12302" width="10.5546875" style="126" customWidth="1"/>
    <col min="12303" max="12544" width="9.109375" style="126"/>
    <col min="12545" max="12545" width="3.33203125" style="126" customWidth="1"/>
    <col min="12546" max="12546" width="29.109375" style="126" customWidth="1"/>
    <col min="12547" max="12558" width="10.5546875" style="126" customWidth="1"/>
    <col min="12559" max="12800" width="9.109375" style="126"/>
    <col min="12801" max="12801" width="3.33203125" style="126" customWidth="1"/>
    <col min="12802" max="12802" width="29.109375" style="126" customWidth="1"/>
    <col min="12803" max="12814" width="10.5546875" style="126" customWidth="1"/>
    <col min="12815" max="13056" width="9.109375" style="126"/>
    <col min="13057" max="13057" width="3.33203125" style="126" customWidth="1"/>
    <col min="13058" max="13058" width="29.109375" style="126" customWidth="1"/>
    <col min="13059" max="13070" width="10.5546875" style="126" customWidth="1"/>
    <col min="13071" max="13312" width="9.109375" style="126"/>
    <col min="13313" max="13313" width="3.33203125" style="126" customWidth="1"/>
    <col min="13314" max="13314" width="29.109375" style="126" customWidth="1"/>
    <col min="13315" max="13326" width="10.5546875" style="126" customWidth="1"/>
    <col min="13327" max="13568" width="9.109375" style="126"/>
    <col min="13569" max="13569" width="3.33203125" style="126" customWidth="1"/>
    <col min="13570" max="13570" width="29.109375" style="126" customWidth="1"/>
    <col min="13571" max="13582" width="10.5546875" style="126" customWidth="1"/>
    <col min="13583" max="13824" width="9.109375" style="126"/>
    <col min="13825" max="13825" width="3.33203125" style="126" customWidth="1"/>
    <col min="13826" max="13826" width="29.109375" style="126" customWidth="1"/>
    <col min="13827" max="13838" width="10.5546875" style="126" customWidth="1"/>
    <col min="13839" max="14080" width="9.109375" style="126"/>
    <col min="14081" max="14081" width="3.33203125" style="126" customWidth="1"/>
    <col min="14082" max="14082" width="29.109375" style="126" customWidth="1"/>
    <col min="14083" max="14094" width="10.5546875" style="126" customWidth="1"/>
    <col min="14095" max="14336" width="9.109375" style="126"/>
    <col min="14337" max="14337" width="3.33203125" style="126" customWidth="1"/>
    <col min="14338" max="14338" width="29.109375" style="126" customWidth="1"/>
    <col min="14339" max="14350" width="10.5546875" style="126" customWidth="1"/>
    <col min="14351" max="14592" width="9.109375" style="126"/>
    <col min="14593" max="14593" width="3.33203125" style="126" customWidth="1"/>
    <col min="14594" max="14594" width="29.109375" style="126" customWidth="1"/>
    <col min="14595" max="14606" width="10.5546875" style="126" customWidth="1"/>
    <col min="14607" max="14848" width="9.109375" style="126"/>
    <col min="14849" max="14849" width="3.33203125" style="126" customWidth="1"/>
    <col min="14850" max="14850" width="29.109375" style="126" customWidth="1"/>
    <col min="14851" max="14862" width="10.5546875" style="126" customWidth="1"/>
    <col min="14863" max="15104" width="9.109375" style="126"/>
    <col min="15105" max="15105" width="3.33203125" style="126" customWidth="1"/>
    <col min="15106" max="15106" width="29.109375" style="126" customWidth="1"/>
    <col min="15107" max="15118" width="10.5546875" style="126" customWidth="1"/>
    <col min="15119" max="15360" width="9.109375" style="126"/>
    <col min="15361" max="15361" width="3.33203125" style="126" customWidth="1"/>
    <col min="15362" max="15362" width="29.109375" style="126" customWidth="1"/>
    <col min="15363" max="15374" width="10.5546875" style="126" customWidth="1"/>
    <col min="15375" max="15616" width="9.109375" style="126"/>
    <col min="15617" max="15617" width="3.33203125" style="126" customWidth="1"/>
    <col min="15618" max="15618" width="29.109375" style="126" customWidth="1"/>
    <col min="15619" max="15630" width="10.5546875" style="126" customWidth="1"/>
    <col min="15631" max="15872" width="9.109375" style="126"/>
    <col min="15873" max="15873" width="3.33203125" style="126" customWidth="1"/>
    <col min="15874" max="15874" width="29.109375" style="126" customWidth="1"/>
    <col min="15875" max="15886" width="10.5546875" style="126" customWidth="1"/>
    <col min="15887" max="16128" width="9.109375" style="126"/>
    <col min="16129" max="16129" width="3.33203125" style="126" customWidth="1"/>
    <col min="16130" max="16130" width="29.109375" style="126" customWidth="1"/>
    <col min="16131" max="16142" width="10.5546875" style="126" customWidth="1"/>
    <col min="16143" max="16384" width="9.109375" style="126"/>
  </cols>
  <sheetData>
    <row r="1" spans="1:14" s="124" customFormat="1" ht="21" x14ac:dyDescent="0.4">
      <c r="A1" s="185" t="s">
        <v>140</v>
      </c>
      <c r="B1" s="185"/>
      <c r="C1" s="185"/>
      <c r="D1" s="185"/>
      <c r="E1" s="185"/>
      <c r="F1" s="185"/>
      <c r="G1" s="185"/>
      <c r="H1" s="185"/>
      <c r="I1" s="185"/>
      <c r="J1" s="185"/>
      <c r="K1" s="185"/>
      <c r="L1" s="185"/>
      <c r="M1" s="185"/>
      <c r="N1" s="185"/>
    </row>
    <row r="2" spans="1:14" s="124" customFormat="1" ht="21" x14ac:dyDescent="0.4">
      <c r="A2" s="186" t="s">
        <v>141</v>
      </c>
      <c r="B2" s="186"/>
      <c r="C2" s="186"/>
      <c r="D2" s="186"/>
      <c r="E2" s="186"/>
      <c r="F2" s="186"/>
      <c r="G2" s="186"/>
      <c r="H2" s="186"/>
      <c r="I2" s="186"/>
      <c r="J2" s="186"/>
      <c r="K2" s="186"/>
      <c r="L2" s="186"/>
      <c r="M2" s="186"/>
      <c r="N2" s="186"/>
    </row>
    <row r="3" spans="1:14" s="124" customFormat="1" ht="21" x14ac:dyDescent="0.4">
      <c r="A3" s="187" t="str">
        <f>'[39]Supplier &amp; Trans Data 2011'!A3</f>
        <v>Year 2011</v>
      </c>
      <c r="B3" s="187"/>
      <c r="C3" s="187"/>
      <c r="D3" s="187"/>
      <c r="E3" s="187"/>
      <c r="F3" s="187"/>
      <c r="G3" s="187"/>
      <c r="H3" s="187"/>
      <c r="I3" s="187"/>
      <c r="J3" s="187"/>
      <c r="K3" s="187"/>
      <c r="L3" s="187"/>
      <c r="M3" s="187"/>
      <c r="N3" s="187"/>
    </row>
    <row r="4" spans="1:14" x14ac:dyDescent="0.3">
      <c r="A4" s="125"/>
      <c r="B4" s="125"/>
      <c r="C4" s="125"/>
      <c r="D4" s="125"/>
      <c r="E4" s="125"/>
      <c r="F4" s="125"/>
      <c r="G4" s="125"/>
      <c r="H4" s="125"/>
      <c r="I4" s="125"/>
      <c r="J4" s="125"/>
      <c r="K4" s="125"/>
      <c r="L4" s="125"/>
      <c r="M4" s="125"/>
      <c r="N4" s="125"/>
    </row>
    <row r="5" spans="1:14" x14ac:dyDescent="0.3">
      <c r="A5" s="125"/>
      <c r="B5" s="125"/>
      <c r="C5" s="125"/>
      <c r="D5" s="125"/>
      <c r="E5" s="125"/>
      <c r="F5" s="125"/>
      <c r="G5" s="125"/>
      <c r="H5" s="125"/>
      <c r="I5" s="125"/>
      <c r="J5" s="125"/>
      <c r="K5" s="125"/>
      <c r="L5" s="125"/>
      <c r="M5" s="125"/>
      <c r="N5" s="125"/>
    </row>
    <row r="6" spans="1:14" s="128" customFormat="1" ht="15.6" x14ac:dyDescent="0.3">
      <c r="A6" s="183" t="s">
        <v>142</v>
      </c>
      <c r="B6" s="184"/>
      <c r="C6" s="127" t="s">
        <v>5</v>
      </c>
      <c r="D6" s="127" t="s">
        <v>6</v>
      </c>
      <c r="E6" s="127" t="s">
        <v>7</v>
      </c>
      <c r="F6" s="127" t="s">
        <v>8</v>
      </c>
      <c r="G6" s="127" t="s">
        <v>9</v>
      </c>
      <c r="H6" s="127" t="s">
        <v>10</v>
      </c>
      <c r="I6" s="127" t="s">
        <v>11</v>
      </c>
      <c r="J6" s="127" t="s">
        <v>12</v>
      </c>
      <c r="K6" s="127" t="s">
        <v>13</v>
      </c>
      <c r="L6" s="127" t="s">
        <v>14</v>
      </c>
      <c r="M6" s="127" t="s">
        <v>15</v>
      </c>
      <c r="N6" s="127" t="s">
        <v>16</v>
      </c>
    </row>
    <row r="7" spans="1:14" s="128" customFormat="1" ht="15.6" x14ac:dyDescent="0.3">
      <c r="A7" s="129"/>
      <c r="B7" s="130"/>
      <c r="C7" s="131"/>
      <c r="D7" s="131"/>
      <c r="E7" s="131"/>
      <c r="F7" s="131"/>
      <c r="G7" s="131"/>
      <c r="H7" s="131"/>
      <c r="I7" s="131"/>
      <c r="J7" s="131"/>
      <c r="K7" s="131"/>
      <c r="L7" s="131"/>
      <c r="M7" s="131"/>
      <c r="N7" s="131"/>
    </row>
    <row r="8" spans="1:14" s="128" customFormat="1" ht="15.6" x14ac:dyDescent="0.3">
      <c r="A8" s="132" t="s">
        <v>143</v>
      </c>
      <c r="B8" s="130"/>
      <c r="C8" s="133">
        <v>4.7439</v>
      </c>
      <c r="D8" s="133">
        <v>4.8623000000000003</v>
      </c>
      <c r="E8" s="133">
        <v>4.8460999999999999</v>
      </c>
      <c r="F8" s="133">
        <v>5.0473999999999997</v>
      </c>
      <c r="G8" s="133">
        <v>5.0160999999999998</v>
      </c>
      <c r="H8" s="133">
        <v>5.5265000000000004</v>
      </c>
      <c r="I8" s="133">
        <v>5.2870999999999997</v>
      </c>
      <c r="J8" s="133">
        <v>5.3720999999999997</v>
      </c>
      <c r="K8" s="133">
        <v>5.2050999999999998</v>
      </c>
      <c r="L8" s="133">
        <v>5.3470000000000004</v>
      </c>
      <c r="M8" s="133">
        <v>5.7881</v>
      </c>
      <c r="N8" s="133">
        <v>5.5145</v>
      </c>
    </row>
    <row r="9" spans="1:14" s="128" customFormat="1" ht="15.6" x14ac:dyDescent="0.3">
      <c r="A9" s="129"/>
      <c r="B9" s="130"/>
      <c r="C9" s="134"/>
      <c r="D9" s="134"/>
      <c r="E9" s="134"/>
      <c r="F9" s="134"/>
      <c r="G9" s="134"/>
      <c r="H9" s="134"/>
      <c r="I9" s="134"/>
      <c r="J9" s="134"/>
      <c r="K9" s="134"/>
      <c r="L9" s="134"/>
      <c r="M9" s="134"/>
      <c r="N9" s="134"/>
    </row>
    <row r="10" spans="1:14" s="128" customFormat="1" ht="15.6" x14ac:dyDescent="0.3">
      <c r="A10" s="132" t="s">
        <v>144</v>
      </c>
      <c r="B10" s="130"/>
      <c r="C10" s="133"/>
      <c r="D10" s="133"/>
      <c r="E10" s="133"/>
      <c r="F10" s="133"/>
      <c r="G10" s="133"/>
      <c r="H10" s="133"/>
      <c r="I10" s="133"/>
      <c r="J10" s="133"/>
      <c r="K10" s="133"/>
      <c r="L10" s="133"/>
      <c r="M10" s="133"/>
      <c r="N10" s="133"/>
    </row>
    <row r="11" spans="1:14" s="128" customFormat="1" ht="15.6" x14ac:dyDescent="0.3">
      <c r="A11" s="132"/>
      <c r="B11" s="135" t="s">
        <v>145</v>
      </c>
      <c r="C11" s="133">
        <v>4.4020000000000001</v>
      </c>
      <c r="D11" s="133">
        <v>4.4469000000000003</v>
      </c>
      <c r="E11" s="133">
        <v>4.4322999999999997</v>
      </c>
      <c r="F11" s="133">
        <v>4.6207000000000003</v>
      </c>
      <c r="G11" s="133">
        <v>4.5690999999999997</v>
      </c>
      <c r="H11" s="133">
        <v>5.0571000000000002</v>
      </c>
      <c r="I11" s="133">
        <v>4.8452999999999999</v>
      </c>
      <c r="J11" s="133">
        <v>4.9382000000000001</v>
      </c>
      <c r="K11" s="133">
        <v>4.782</v>
      </c>
      <c r="L11" s="133">
        <v>4.9390000000000001</v>
      </c>
      <c r="M11" s="133">
        <v>2.9725999999999999</v>
      </c>
      <c r="N11" s="133">
        <v>5.1329000000000002</v>
      </c>
    </row>
    <row r="12" spans="1:14" s="128" customFormat="1" ht="15.6" x14ac:dyDescent="0.3">
      <c r="A12" s="132"/>
      <c r="B12" s="135" t="s">
        <v>146</v>
      </c>
      <c r="C12" s="133">
        <v>4.4653</v>
      </c>
      <c r="D12" s="133">
        <v>4.6315999999999997</v>
      </c>
      <c r="E12" s="133">
        <v>4.5744999999999996</v>
      </c>
      <c r="F12" s="133">
        <v>4.7766999999999999</v>
      </c>
      <c r="G12" s="133">
        <v>4.8162000000000003</v>
      </c>
      <c r="H12" s="133">
        <v>5.2821999999999996</v>
      </c>
      <c r="I12" s="133">
        <v>4.9888000000000003</v>
      </c>
      <c r="J12" s="133">
        <v>5.1204000000000001</v>
      </c>
      <c r="K12" s="133">
        <v>4.9821999999999997</v>
      </c>
      <c r="L12" s="133">
        <v>5.1135999999999999</v>
      </c>
      <c r="M12" s="133">
        <v>5.5530999999999997</v>
      </c>
      <c r="N12" s="133">
        <v>5.2869000000000002</v>
      </c>
    </row>
    <row r="13" spans="1:14" s="128" customFormat="1" ht="15.6" x14ac:dyDescent="0.3">
      <c r="A13" s="132"/>
      <c r="B13" s="135" t="s">
        <v>147</v>
      </c>
      <c r="C13" s="133">
        <v>4.4553000000000003</v>
      </c>
      <c r="D13" s="133">
        <v>4.4539999999999997</v>
      </c>
      <c r="E13" s="133">
        <v>4.3357999999999999</v>
      </c>
      <c r="F13" s="133">
        <v>4.6665999999999999</v>
      </c>
      <c r="G13" s="133">
        <v>4.7024999999999997</v>
      </c>
      <c r="H13" s="133">
        <v>5.1978999999999997</v>
      </c>
      <c r="I13" s="133">
        <v>4.9721000000000002</v>
      </c>
      <c r="J13" s="133">
        <v>5.1119000000000003</v>
      </c>
      <c r="K13" s="133">
        <v>5.0155000000000003</v>
      </c>
      <c r="L13" s="133">
        <v>5.0952000000000002</v>
      </c>
      <c r="M13" s="133">
        <v>5.5720999999999998</v>
      </c>
      <c r="N13" s="133">
        <v>5.3303000000000003</v>
      </c>
    </row>
    <row r="14" spans="1:14" s="128" customFormat="1" ht="15.6" x14ac:dyDescent="0.3">
      <c r="A14" s="132"/>
      <c r="B14" s="135" t="s">
        <v>148</v>
      </c>
      <c r="C14" s="133">
        <v>0</v>
      </c>
      <c r="D14" s="133">
        <v>0</v>
      </c>
      <c r="E14" s="133">
        <v>4.6726999999999999</v>
      </c>
      <c r="F14" s="133">
        <v>4.8072999999999997</v>
      </c>
      <c r="G14" s="133">
        <v>4.8884999999999996</v>
      </c>
      <c r="H14" s="133">
        <v>5.3025000000000002</v>
      </c>
      <c r="I14" s="133">
        <v>5.0564999999999998</v>
      </c>
      <c r="J14" s="133">
        <v>5.2732999999999999</v>
      </c>
      <c r="K14" s="133">
        <v>5.2755999999999998</v>
      </c>
      <c r="L14" s="133">
        <v>5.13</v>
      </c>
      <c r="M14" s="133">
        <v>5.9776999999999996</v>
      </c>
      <c r="N14" s="133">
        <v>5.6734999999999998</v>
      </c>
    </row>
    <row r="15" spans="1:14" s="128" customFormat="1" ht="15.6" x14ac:dyDescent="0.3">
      <c r="A15" s="132"/>
      <c r="B15" s="135"/>
      <c r="C15" s="133"/>
      <c r="D15" s="133"/>
      <c r="E15" s="133"/>
      <c r="F15" s="133"/>
      <c r="G15" s="133"/>
      <c r="H15" s="133"/>
      <c r="I15" s="133"/>
      <c r="J15" s="133"/>
      <c r="K15" s="133"/>
      <c r="L15" s="133"/>
      <c r="M15" s="133"/>
      <c r="N15" s="133"/>
    </row>
    <row r="16" spans="1:14" s="128" customFormat="1" ht="15.6" x14ac:dyDescent="0.3">
      <c r="A16" s="132" t="s">
        <v>149</v>
      </c>
      <c r="B16" s="130"/>
      <c r="C16" s="133">
        <v>4.0144170347793269</v>
      </c>
      <c r="D16" s="133">
        <f>'[39]Generation Cost Data'!C349/'[39]Generation Cost Data'!C344</f>
        <v>4.2609104607595674</v>
      </c>
      <c r="E16" s="133">
        <f>'[39]Generation Cost Data'!D349/'[39]Generation Cost Data'!D344</f>
        <v>4.4801419138961398</v>
      </c>
      <c r="F16" s="133">
        <f>'[39]Generation Cost Data'!E349/'[39]Generation Cost Data'!E344</f>
        <v>4.4875381226690045</v>
      </c>
      <c r="G16" s="133">
        <f>'[39]Generation Cost Data'!F349/'[39]Generation Cost Data'!F344</f>
        <v>4.5564239631836987</v>
      </c>
      <c r="H16" s="133">
        <f>'[39]Generation Cost Data'!G349/'[39]Generation Cost Data'!G344</f>
        <v>4.8261224852172031</v>
      </c>
      <c r="I16" s="133">
        <f>'[39]Generation Cost Data'!H349/'[39]Generation Cost Data'!H344</f>
        <v>4.8219771305863963</v>
      </c>
      <c r="J16" s="133">
        <f>'[39]Generation Cost Data'!I349/'[39]Generation Cost Data'!I344</f>
        <v>4.5199761702025336</v>
      </c>
      <c r="K16" s="133">
        <f>'[39]Generation Cost Data'!J349/'[39]Generation Cost Data'!J344</f>
        <v>4.5603582936348745</v>
      </c>
      <c r="L16" s="133">
        <f>'[39]Generation Cost Data'!K349/'[39]Generation Cost Data'!K344</f>
        <v>4.4441585013476264</v>
      </c>
      <c r="M16" s="133">
        <f>'[39]Generation Cost Data'!L349/'[39]Generation Cost Data'!L344</f>
        <v>4.5333068162421029</v>
      </c>
      <c r="N16" s="133">
        <f>'[39]Generation Cost Data'!M349/'[39]Generation Cost Data'!M344</f>
        <v>4.4600484073454201</v>
      </c>
    </row>
    <row r="17" spans="1:14" s="139" customFormat="1" ht="15.6" x14ac:dyDescent="0.3">
      <c r="A17" s="136"/>
      <c r="B17" s="137" t="s">
        <v>150</v>
      </c>
      <c r="C17" s="138">
        <f>C16-SUM(C18:C22)</f>
        <v>3.730817034779327</v>
      </c>
      <c r="D17" s="138">
        <f t="shared" ref="D17:N17" si="0">D16-SUM(D18:D22)</f>
        <v>3.9681104607595672</v>
      </c>
      <c r="E17" s="138">
        <f t="shared" si="0"/>
        <v>4.1847419138961399</v>
      </c>
      <c r="F17" s="138">
        <f t="shared" si="0"/>
        <v>4.1796381226690045</v>
      </c>
      <c r="G17" s="138">
        <f t="shared" si="0"/>
        <v>3.8982239631836988</v>
      </c>
      <c r="H17" s="138">
        <f t="shared" si="0"/>
        <v>4.1730224852172029</v>
      </c>
      <c r="I17" s="138">
        <f t="shared" si="0"/>
        <v>4.1671771305863965</v>
      </c>
      <c r="J17" s="138">
        <f t="shared" si="0"/>
        <v>3.8681761702025335</v>
      </c>
      <c r="K17" s="138">
        <f t="shared" si="0"/>
        <v>3.9195582936348745</v>
      </c>
      <c r="L17" s="138">
        <f t="shared" si="0"/>
        <v>3.7935585013476265</v>
      </c>
      <c r="M17" s="138">
        <f t="shared" si="0"/>
        <v>3.8876068162421031</v>
      </c>
      <c r="N17" s="138">
        <f t="shared" si="0"/>
        <v>3.8063484073454203</v>
      </c>
    </row>
    <row r="18" spans="1:14" s="139" customFormat="1" ht="15.6" x14ac:dyDescent="0.3">
      <c r="A18" s="136"/>
      <c r="B18" s="137" t="s">
        <v>151</v>
      </c>
      <c r="C18" s="138">
        <v>2.4500000000000001E-2</v>
      </c>
      <c r="D18" s="138">
        <v>2.4500000000000001E-2</v>
      </c>
      <c r="E18" s="138">
        <v>2.4500000000000001E-2</v>
      </c>
      <c r="F18" s="138">
        <v>2.4500000000000001E-2</v>
      </c>
      <c r="G18" s="138">
        <v>2.4500000000000001E-2</v>
      </c>
      <c r="H18" s="138">
        <v>2.4500000000000001E-2</v>
      </c>
      <c r="I18" s="138">
        <v>2.4500000000000001E-2</v>
      </c>
      <c r="J18" s="138">
        <v>2.4500000000000001E-2</v>
      </c>
      <c r="K18" s="138">
        <v>2.4500000000000001E-2</v>
      </c>
      <c r="L18" s="138">
        <v>2.4500000000000001E-2</v>
      </c>
      <c r="M18" s="138">
        <v>2.4500000000000001E-2</v>
      </c>
      <c r="N18" s="138">
        <v>2.4500000000000001E-2</v>
      </c>
    </row>
    <row r="19" spans="1:14" s="139" customFormat="1" ht="15.6" x14ac:dyDescent="0.3">
      <c r="A19" s="136"/>
      <c r="B19" s="137" t="s">
        <v>152</v>
      </c>
      <c r="C19" s="138">
        <v>0</v>
      </c>
      <c r="D19" s="138">
        <v>0</v>
      </c>
      <c r="E19" s="138">
        <v>0</v>
      </c>
      <c r="F19" s="138">
        <v>0</v>
      </c>
      <c r="G19" s="138">
        <v>0</v>
      </c>
      <c r="H19" s="138">
        <v>0</v>
      </c>
      <c r="I19" s="138">
        <v>0</v>
      </c>
      <c r="J19" s="138">
        <v>0</v>
      </c>
      <c r="K19" s="138">
        <v>0</v>
      </c>
      <c r="L19" s="138">
        <v>0</v>
      </c>
      <c r="M19" s="138">
        <v>0</v>
      </c>
      <c r="N19" s="138">
        <v>0</v>
      </c>
    </row>
    <row r="20" spans="1:14" s="139" customFormat="1" ht="15.6" x14ac:dyDescent="0.3">
      <c r="A20" s="136"/>
      <c r="B20" s="137" t="s">
        <v>153</v>
      </c>
      <c r="C20" s="138">
        <v>-0.34439999999999998</v>
      </c>
      <c r="D20" s="138">
        <v>-0.34439999999999998</v>
      </c>
      <c r="E20" s="138">
        <v>-0.34439999999999998</v>
      </c>
      <c r="F20" s="138">
        <v>-0.34439999999999998</v>
      </c>
      <c r="G20" s="138">
        <v>0</v>
      </c>
      <c r="H20" s="138">
        <v>0</v>
      </c>
      <c r="I20" s="138">
        <v>0</v>
      </c>
      <c r="J20" s="138">
        <v>0</v>
      </c>
      <c r="K20" s="138">
        <v>0</v>
      </c>
      <c r="L20" s="138">
        <v>0</v>
      </c>
      <c r="M20" s="138">
        <v>0</v>
      </c>
      <c r="N20" s="138">
        <v>0</v>
      </c>
    </row>
    <row r="21" spans="1:14" s="139" customFormat="1" ht="15.6" x14ac:dyDescent="0.3">
      <c r="A21" s="136"/>
      <c r="B21" s="137" t="s">
        <v>154</v>
      </c>
      <c r="C21" s="138">
        <v>0.40179999999999999</v>
      </c>
      <c r="D21" s="138">
        <v>0.41020000000000001</v>
      </c>
      <c r="E21" s="138">
        <v>0.41589999999999999</v>
      </c>
      <c r="F21" s="138">
        <v>0.42749999999999999</v>
      </c>
      <c r="G21" s="138">
        <v>0.43410000000000004</v>
      </c>
      <c r="H21" s="138">
        <v>0.42849999999999999</v>
      </c>
      <c r="I21" s="138">
        <v>0.42909999999999998</v>
      </c>
      <c r="J21" s="138">
        <v>0.4269</v>
      </c>
      <c r="K21" s="138">
        <v>0.42389999999999994</v>
      </c>
      <c r="L21" s="138">
        <v>0.42880000000000001</v>
      </c>
      <c r="M21" s="138">
        <v>0.42459999999999998</v>
      </c>
      <c r="N21" s="138">
        <v>0.43149999999999999</v>
      </c>
    </row>
    <row r="22" spans="1:14" s="139" customFormat="1" ht="15.6" x14ac:dyDescent="0.3">
      <c r="A22" s="136"/>
      <c r="B22" s="137" t="s">
        <v>155</v>
      </c>
      <c r="C22" s="138">
        <v>0.20169999999999999</v>
      </c>
      <c r="D22" s="138">
        <v>0.20250000000000001</v>
      </c>
      <c r="E22" s="138">
        <v>0.19939999999999999</v>
      </c>
      <c r="F22" s="138">
        <v>0.20030000000000001</v>
      </c>
      <c r="G22" s="138">
        <v>0.1996</v>
      </c>
      <c r="H22" s="138">
        <v>0.2001</v>
      </c>
      <c r="I22" s="138">
        <v>0.20119999999999999</v>
      </c>
      <c r="J22" s="138">
        <v>0.20039999999999999</v>
      </c>
      <c r="K22" s="138">
        <v>0.19239999999999996</v>
      </c>
      <c r="L22" s="138">
        <v>0.1973</v>
      </c>
      <c r="M22" s="138">
        <v>0.1966</v>
      </c>
      <c r="N22" s="138">
        <v>0.19769999999999999</v>
      </c>
    </row>
    <row r="23" spans="1:14" s="128" customFormat="1" ht="15.6" x14ac:dyDescent="0.3">
      <c r="A23" s="132"/>
      <c r="B23" s="135"/>
      <c r="C23" s="140"/>
      <c r="D23" s="140"/>
      <c r="E23" s="140"/>
      <c r="F23" s="140"/>
      <c r="G23" s="140"/>
      <c r="H23" s="140"/>
      <c r="I23" s="140"/>
      <c r="J23" s="140"/>
      <c r="K23" s="140"/>
      <c r="L23" s="140"/>
      <c r="M23" s="140"/>
      <c r="N23" s="140"/>
    </row>
    <row r="24" spans="1:14" s="128" customFormat="1" ht="15.6" x14ac:dyDescent="0.3">
      <c r="A24" s="132" t="s">
        <v>156</v>
      </c>
      <c r="B24" s="130"/>
      <c r="C24" s="140">
        <f>SUM(C25:C30)</f>
        <v>4.2264999999999997</v>
      </c>
      <c r="D24" s="140">
        <v>4.2356999999999996</v>
      </c>
      <c r="E24" s="140">
        <v>4.2382999999999997</v>
      </c>
      <c r="F24" s="140">
        <v>4.2508000000000008</v>
      </c>
      <c r="G24" s="140">
        <v>4.6011000000000006</v>
      </c>
      <c r="H24" s="140">
        <v>4.5960000000000001</v>
      </c>
      <c r="I24" s="140">
        <v>4.5976999999999997</v>
      </c>
      <c r="J24" s="140">
        <v>4.5947000000000005</v>
      </c>
      <c r="K24" s="140">
        <v>4.5837000000000012</v>
      </c>
      <c r="L24" s="140">
        <v>4.5934999999999979</v>
      </c>
      <c r="M24" s="140">
        <v>4.5885999999999978</v>
      </c>
      <c r="N24" s="140">
        <v>4.5966000000000014</v>
      </c>
    </row>
    <row r="25" spans="1:14" s="139" customFormat="1" ht="15.6" x14ac:dyDescent="0.3">
      <c r="A25" s="136"/>
      <c r="B25" s="137" t="s">
        <v>150</v>
      </c>
      <c r="C25" s="138">
        <v>3.9428999999999998</v>
      </c>
      <c r="D25" s="138">
        <v>3.9428999999999998</v>
      </c>
      <c r="E25" s="138">
        <v>3.9428999999999998</v>
      </c>
      <c r="F25" s="138">
        <v>3.9428999999999998</v>
      </c>
      <c r="G25" s="138">
        <v>3.9428999999999998</v>
      </c>
      <c r="H25" s="138">
        <v>3.9428999999999998</v>
      </c>
      <c r="I25" s="138">
        <v>3.9428999999999998</v>
      </c>
      <c r="J25" s="138">
        <v>3.9428999999999998</v>
      </c>
      <c r="K25" s="138">
        <v>3.9429000000000007</v>
      </c>
      <c r="L25" s="138">
        <v>3.9428999999999976</v>
      </c>
      <c r="M25" s="138">
        <v>3.9428999999999976</v>
      </c>
      <c r="N25" s="138">
        <v>3.9429000000000007</v>
      </c>
    </row>
    <row r="26" spans="1:14" s="139" customFormat="1" ht="15.6" x14ac:dyDescent="0.3">
      <c r="A26" s="136"/>
      <c r="B26" s="137" t="s">
        <v>151</v>
      </c>
      <c r="C26" s="138">
        <v>2.4500000000000001E-2</v>
      </c>
      <c r="D26" s="138">
        <v>2.4500000000000001E-2</v>
      </c>
      <c r="E26" s="138">
        <v>2.4500000000000001E-2</v>
      </c>
      <c r="F26" s="138">
        <v>2.4500000000000001E-2</v>
      </c>
      <c r="G26" s="138">
        <v>2.4500000000000001E-2</v>
      </c>
      <c r="H26" s="138">
        <v>2.4500000000000001E-2</v>
      </c>
      <c r="I26" s="138">
        <v>2.4500000000000001E-2</v>
      </c>
      <c r="J26" s="138">
        <v>2.4500000000000001E-2</v>
      </c>
      <c r="K26" s="138">
        <v>2.4500000000000001E-2</v>
      </c>
      <c r="L26" s="138">
        <v>2.4500000000000001E-2</v>
      </c>
      <c r="M26" s="138">
        <v>2.4500000000000001E-2</v>
      </c>
      <c r="N26" s="138">
        <v>2.4500000000000001E-2</v>
      </c>
    </row>
    <row r="27" spans="1:14" s="139" customFormat="1" ht="15.6" x14ac:dyDescent="0.3">
      <c r="A27" s="136"/>
      <c r="B27" s="137" t="s">
        <v>152</v>
      </c>
      <c r="C27" s="138">
        <v>0</v>
      </c>
      <c r="D27" s="138">
        <v>0</v>
      </c>
      <c r="E27" s="138">
        <v>0</v>
      </c>
      <c r="F27" s="138">
        <v>0</v>
      </c>
      <c r="G27" s="138">
        <v>0</v>
      </c>
      <c r="H27" s="138">
        <v>0</v>
      </c>
      <c r="I27" s="138">
        <v>0</v>
      </c>
      <c r="J27" s="138">
        <v>0</v>
      </c>
      <c r="K27" s="138">
        <v>0</v>
      </c>
      <c r="L27" s="138">
        <v>0</v>
      </c>
      <c r="M27" s="138">
        <v>0</v>
      </c>
      <c r="N27" s="138">
        <v>0</v>
      </c>
    </row>
    <row r="28" spans="1:14" s="139" customFormat="1" ht="15.6" x14ac:dyDescent="0.3">
      <c r="A28" s="136"/>
      <c r="B28" s="137" t="s">
        <v>153</v>
      </c>
      <c r="C28" s="138">
        <v>-0.34439999999999998</v>
      </c>
      <c r="D28" s="138">
        <v>-0.34439999999999998</v>
      </c>
      <c r="E28" s="138">
        <v>-0.34439999999999998</v>
      </c>
      <c r="F28" s="138">
        <v>-0.34439999999999998</v>
      </c>
      <c r="G28" s="138">
        <v>0</v>
      </c>
      <c r="H28" s="138">
        <v>0</v>
      </c>
      <c r="I28" s="138">
        <v>0</v>
      </c>
      <c r="J28" s="138">
        <v>0</v>
      </c>
      <c r="K28" s="138">
        <v>0</v>
      </c>
      <c r="L28" s="138">
        <v>0</v>
      </c>
      <c r="M28" s="138">
        <v>0</v>
      </c>
      <c r="N28" s="138">
        <v>0</v>
      </c>
    </row>
    <row r="29" spans="1:14" s="139" customFormat="1" ht="15.6" x14ac:dyDescent="0.3">
      <c r="A29" s="136"/>
      <c r="B29" s="137" t="s">
        <v>154</v>
      </c>
      <c r="C29" s="138">
        <v>0.40179999999999999</v>
      </c>
      <c r="D29" s="138">
        <v>0.41020000000000001</v>
      </c>
      <c r="E29" s="138">
        <v>0.41589999999999999</v>
      </c>
      <c r="F29" s="138">
        <v>0.42749999999999999</v>
      </c>
      <c r="G29" s="138">
        <v>0.43410000000000004</v>
      </c>
      <c r="H29" s="138">
        <v>0.42849999999999999</v>
      </c>
      <c r="I29" s="138">
        <v>0.42909999999999998</v>
      </c>
      <c r="J29" s="138">
        <v>0.4269</v>
      </c>
      <c r="K29" s="138">
        <v>0.42389999999999994</v>
      </c>
      <c r="L29" s="138">
        <v>0.42880000000000001</v>
      </c>
      <c r="M29" s="138">
        <v>0.42459999999999998</v>
      </c>
      <c r="N29" s="138">
        <v>0.43149999999999999</v>
      </c>
    </row>
    <row r="30" spans="1:14" s="139" customFormat="1" ht="15.6" x14ac:dyDescent="0.3">
      <c r="A30" s="136"/>
      <c r="B30" s="137" t="s">
        <v>155</v>
      </c>
      <c r="C30" s="138">
        <v>0.20169999999999999</v>
      </c>
      <c r="D30" s="138">
        <v>0.20250000000000001</v>
      </c>
      <c r="E30" s="138">
        <v>0.19939999999999999</v>
      </c>
      <c r="F30" s="138">
        <v>0.20030000000000001</v>
      </c>
      <c r="G30" s="138">
        <v>0.1996</v>
      </c>
      <c r="H30" s="138">
        <v>0.2001</v>
      </c>
      <c r="I30" s="138">
        <v>0.20119999999999999</v>
      </c>
      <c r="J30" s="138">
        <v>0.20039999999999999</v>
      </c>
      <c r="K30" s="138">
        <v>0.19239999999999996</v>
      </c>
      <c r="L30" s="138">
        <v>0.1973</v>
      </c>
      <c r="M30" s="138">
        <v>0.1966</v>
      </c>
      <c r="N30" s="138">
        <v>0.19769999999999999</v>
      </c>
    </row>
    <row r="31" spans="1:14" s="128" customFormat="1" ht="15.6" x14ac:dyDescent="0.3">
      <c r="A31" s="132"/>
      <c r="B31" s="130"/>
      <c r="C31" s="140"/>
      <c r="D31" s="140"/>
      <c r="E31" s="140"/>
      <c r="F31" s="140"/>
      <c r="G31" s="140"/>
      <c r="H31" s="140"/>
      <c r="I31" s="140"/>
      <c r="J31" s="140"/>
      <c r="K31" s="140"/>
      <c r="L31" s="140"/>
      <c r="M31" s="140"/>
      <c r="N31" s="140"/>
    </row>
    <row r="32" spans="1:14" s="142" customFormat="1" ht="15.6" x14ac:dyDescent="0.3">
      <c r="A32" s="141"/>
      <c r="B32" s="141"/>
      <c r="C32" s="141"/>
      <c r="D32" s="141"/>
      <c r="E32" s="141"/>
      <c r="F32" s="141"/>
      <c r="G32" s="141"/>
      <c r="H32" s="141"/>
      <c r="I32" s="141"/>
      <c r="J32" s="141"/>
      <c r="K32" s="141"/>
      <c r="L32" s="141"/>
      <c r="M32" s="141"/>
      <c r="N32" s="141"/>
    </row>
    <row r="33" spans="1:14" s="142" customFormat="1" ht="15.6" x14ac:dyDescent="0.3">
      <c r="A33" s="141"/>
      <c r="B33" s="141"/>
      <c r="C33" s="141"/>
      <c r="D33" s="141"/>
      <c r="E33" s="141"/>
      <c r="F33" s="141"/>
      <c r="G33" s="141"/>
      <c r="H33" s="141"/>
      <c r="I33" s="141"/>
      <c r="J33" s="141"/>
      <c r="K33" s="141"/>
      <c r="L33" s="141"/>
      <c r="M33" s="141"/>
      <c r="N33" s="141"/>
    </row>
    <row r="34" spans="1:14" s="142" customFormat="1" ht="21" x14ac:dyDescent="0.4">
      <c r="A34" s="185" t="s">
        <v>140</v>
      </c>
      <c r="B34" s="185"/>
      <c r="C34" s="185"/>
      <c r="D34" s="185"/>
      <c r="E34" s="185"/>
      <c r="F34" s="185"/>
      <c r="G34" s="185"/>
      <c r="H34" s="185"/>
      <c r="I34" s="185"/>
      <c r="J34" s="185"/>
      <c r="K34" s="185"/>
      <c r="L34" s="185"/>
      <c r="M34" s="185"/>
      <c r="N34" s="185"/>
    </row>
    <row r="35" spans="1:14" s="142" customFormat="1" ht="21" x14ac:dyDescent="0.4">
      <c r="A35" s="186" t="s">
        <v>157</v>
      </c>
      <c r="B35" s="186"/>
      <c r="C35" s="186"/>
      <c r="D35" s="186"/>
      <c r="E35" s="186"/>
      <c r="F35" s="186"/>
      <c r="G35" s="186"/>
      <c r="H35" s="186"/>
      <c r="I35" s="186"/>
      <c r="J35" s="186"/>
      <c r="K35" s="186"/>
      <c r="L35" s="186"/>
      <c r="M35" s="186"/>
      <c r="N35" s="186"/>
    </row>
    <row r="36" spans="1:14" s="142" customFormat="1" ht="21" x14ac:dyDescent="0.4">
      <c r="A36" s="187" t="str">
        <f>A3</f>
        <v>Year 2011</v>
      </c>
      <c r="B36" s="187"/>
      <c r="C36" s="187"/>
      <c r="D36" s="187"/>
      <c r="E36" s="187"/>
      <c r="F36" s="187"/>
      <c r="G36" s="187"/>
      <c r="H36" s="187"/>
      <c r="I36" s="187"/>
      <c r="J36" s="187"/>
      <c r="K36" s="187"/>
      <c r="L36" s="187"/>
      <c r="M36" s="187"/>
      <c r="N36" s="187"/>
    </row>
    <row r="37" spans="1:14" s="142" customFormat="1" ht="15.6" x14ac:dyDescent="0.3">
      <c r="A37" s="125"/>
      <c r="B37" s="125"/>
      <c r="C37" s="125"/>
      <c r="D37" s="125"/>
      <c r="E37" s="125"/>
      <c r="F37" s="125"/>
      <c r="G37" s="125"/>
      <c r="H37" s="125"/>
      <c r="I37" s="125"/>
      <c r="J37" s="125"/>
      <c r="K37" s="125"/>
      <c r="L37" s="125"/>
      <c r="M37" s="125"/>
      <c r="N37" s="125"/>
    </row>
    <row r="38" spans="1:14" s="142" customFormat="1" ht="15.6" x14ac:dyDescent="0.3">
      <c r="A38" s="125"/>
      <c r="B38" s="125"/>
      <c r="C38" s="125"/>
      <c r="D38" s="125"/>
      <c r="E38" s="125"/>
      <c r="F38" s="125"/>
      <c r="G38" s="125"/>
      <c r="H38" s="125"/>
      <c r="I38" s="125"/>
      <c r="J38" s="125"/>
      <c r="K38" s="125"/>
      <c r="L38" s="125"/>
      <c r="M38" s="125"/>
      <c r="N38" s="125"/>
    </row>
    <row r="39" spans="1:14" s="142" customFormat="1" ht="15.6" x14ac:dyDescent="0.3">
      <c r="A39" s="183" t="s">
        <v>142</v>
      </c>
      <c r="B39" s="184"/>
      <c r="C39" s="127" t="s">
        <v>5</v>
      </c>
      <c r="D39" s="127" t="s">
        <v>6</v>
      </c>
      <c r="E39" s="127" t="s">
        <v>7</v>
      </c>
      <c r="F39" s="127" t="s">
        <v>8</v>
      </c>
      <c r="G39" s="127" t="s">
        <v>9</v>
      </c>
      <c r="H39" s="127" t="s">
        <v>10</v>
      </c>
      <c r="I39" s="127" t="s">
        <v>11</v>
      </c>
      <c r="J39" s="127" t="s">
        <v>12</v>
      </c>
      <c r="K39" s="127" t="s">
        <v>13</v>
      </c>
      <c r="L39" s="127" t="s">
        <v>14</v>
      </c>
      <c r="M39" s="127" t="s">
        <v>15</v>
      </c>
      <c r="N39" s="127" t="s">
        <v>16</v>
      </c>
    </row>
    <row r="40" spans="1:14" s="142" customFormat="1" ht="15.6" x14ac:dyDescent="0.3">
      <c r="A40" s="141"/>
      <c r="B40" s="141"/>
      <c r="C40" s="141"/>
      <c r="D40" s="141"/>
      <c r="E40" s="141"/>
      <c r="F40" s="141"/>
      <c r="G40" s="141"/>
      <c r="H40" s="141"/>
      <c r="I40" s="141"/>
      <c r="J40" s="141"/>
      <c r="K40" s="141"/>
      <c r="L40" s="141"/>
      <c r="M40" s="141"/>
      <c r="N40" s="141"/>
    </row>
    <row r="41" spans="1:14" s="128" customFormat="1" ht="15.6" x14ac:dyDescent="0.3">
      <c r="A41" s="132" t="s">
        <v>2</v>
      </c>
      <c r="B41" s="130"/>
      <c r="C41" s="140">
        <v>1.0584</v>
      </c>
      <c r="D41" s="140">
        <v>1.0787</v>
      </c>
      <c r="E41" s="140">
        <v>1.0462</v>
      </c>
      <c r="F41" s="140">
        <v>1.0578000000000001</v>
      </c>
      <c r="G41" s="140">
        <v>0.99819999999999998</v>
      </c>
      <c r="H41" s="140">
        <v>1.0257000000000001</v>
      </c>
      <c r="I41" s="140">
        <v>0.97850000000000004</v>
      </c>
      <c r="J41" s="140">
        <v>1.0247999999999999</v>
      </c>
      <c r="K41" s="140">
        <v>0.99870000000000003</v>
      </c>
      <c r="L41" s="140">
        <v>1.0592999999999999</v>
      </c>
      <c r="M41" s="140">
        <v>1.1938</v>
      </c>
      <c r="N41" s="140">
        <v>1.1680999999999999</v>
      </c>
    </row>
    <row r="42" spans="1:14" s="128" customFormat="1" ht="15.6" x14ac:dyDescent="0.3">
      <c r="A42" s="132" t="s">
        <v>145</v>
      </c>
      <c r="B42" s="130"/>
      <c r="C42" s="140">
        <v>1.0509999999999999</v>
      </c>
      <c r="D42" s="140">
        <v>1.0765</v>
      </c>
      <c r="E42" s="140">
        <v>1.0408999999999999</v>
      </c>
      <c r="F42" s="140">
        <v>1.0468999999999999</v>
      </c>
      <c r="G42" s="140">
        <v>0.99109999999999998</v>
      </c>
      <c r="H42" s="140">
        <v>1.0154000000000001</v>
      </c>
      <c r="I42" s="140">
        <v>0.96630000000000005</v>
      </c>
      <c r="J42" s="140">
        <v>1.0187999999999999</v>
      </c>
      <c r="K42" s="140">
        <v>0.9909</v>
      </c>
      <c r="L42" s="140">
        <v>1.0481</v>
      </c>
      <c r="M42" s="140">
        <v>1.1878</v>
      </c>
      <c r="N42" s="140">
        <v>1.1569</v>
      </c>
    </row>
    <row r="43" spans="1:14" s="128" customFormat="1" ht="15.6" x14ac:dyDescent="0.3">
      <c r="A43" s="132" t="s">
        <v>158</v>
      </c>
      <c r="B43" s="130"/>
      <c r="C43" s="140">
        <v>1.0509999999999999</v>
      </c>
      <c r="D43" s="140">
        <v>1.0765</v>
      </c>
      <c r="E43" s="140">
        <v>1.0408999999999999</v>
      </c>
      <c r="F43" s="140">
        <v>1.0468999999999999</v>
      </c>
      <c r="G43" s="140">
        <v>0.99109999999999998</v>
      </c>
      <c r="H43" s="140">
        <v>1.0154000000000001</v>
      </c>
      <c r="I43" s="140">
        <v>0.96630000000000005</v>
      </c>
      <c r="J43" s="140">
        <v>1.0187999999999999</v>
      </c>
      <c r="K43" s="140">
        <v>0.9909</v>
      </c>
      <c r="L43" s="140">
        <v>1.0481</v>
      </c>
      <c r="M43" s="140">
        <v>1.1878</v>
      </c>
      <c r="N43" s="140">
        <v>1.1569</v>
      </c>
    </row>
    <row r="44" spans="1:14" s="128" customFormat="1" ht="15.6" x14ac:dyDescent="0.3">
      <c r="A44" s="132" t="s">
        <v>159</v>
      </c>
      <c r="B44" s="130"/>
      <c r="C44" s="140">
        <v>1.2028000000000001</v>
      </c>
      <c r="D44" s="140">
        <v>1.2351000000000001</v>
      </c>
      <c r="E44" s="140">
        <v>1.1748000000000001</v>
      </c>
      <c r="F44" s="140">
        <v>1.2029000000000001</v>
      </c>
      <c r="G44" s="140">
        <v>1.137</v>
      </c>
      <c r="H44" s="140">
        <v>1.1396999999999999</v>
      </c>
      <c r="I44" s="140">
        <v>1.0840000000000001</v>
      </c>
      <c r="J44" s="140">
        <v>1.175</v>
      </c>
      <c r="K44" s="140">
        <v>1.1135999999999999</v>
      </c>
      <c r="L44" s="140">
        <v>1.1667000000000001</v>
      </c>
      <c r="M44" s="140">
        <v>1.3638999999999999</v>
      </c>
      <c r="N44" s="140">
        <v>1.3162</v>
      </c>
    </row>
    <row r="45" spans="1:14" s="128" customFormat="1" ht="15.6" x14ac:dyDescent="0.3">
      <c r="A45" s="132" t="s">
        <v>160</v>
      </c>
      <c r="B45" s="130"/>
      <c r="C45" s="143">
        <v>314.91090000000003</v>
      </c>
      <c r="D45" s="143">
        <v>306.7029</v>
      </c>
      <c r="E45" s="143">
        <v>304.08600000000001</v>
      </c>
      <c r="F45" s="143">
        <v>302.54250000000002</v>
      </c>
      <c r="G45" s="143">
        <v>294.5</v>
      </c>
      <c r="H45" s="143">
        <v>292.12</v>
      </c>
      <c r="I45" s="143">
        <v>285.61</v>
      </c>
      <c r="J45" s="143">
        <v>301.73</v>
      </c>
      <c r="K45" s="143">
        <v>299.56</v>
      </c>
      <c r="L45" s="143">
        <v>303.17</v>
      </c>
      <c r="M45" s="143">
        <v>351.02</v>
      </c>
      <c r="N45" s="143">
        <v>332.41</v>
      </c>
    </row>
    <row r="46" spans="1:14" s="128" customFormat="1" ht="15.6" x14ac:dyDescent="0.3">
      <c r="A46" s="132" t="s">
        <v>146</v>
      </c>
      <c r="B46" s="130"/>
      <c r="C46" s="143">
        <v>356.90120000000002</v>
      </c>
      <c r="D46" s="143">
        <v>346.68009999999998</v>
      </c>
      <c r="E46" s="143">
        <v>353.73869999999999</v>
      </c>
      <c r="F46" s="143">
        <v>336.63959999999997</v>
      </c>
      <c r="G46" s="143">
        <v>334.88</v>
      </c>
      <c r="H46" s="143">
        <v>334.16</v>
      </c>
      <c r="I46" s="143">
        <v>326.12</v>
      </c>
      <c r="J46" s="143">
        <v>343.57</v>
      </c>
      <c r="K46" s="143">
        <v>341.39</v>
      </c>
      <c r="L46" s="143">
        <v>346.42</v>
      </c>
      <c r="M46" s="143">
        <v>401.05</v>
      </c>
      <c r="N46" s="143">
        <v>376.57</v>
      </c>
    </row>
    <row r="47" spans="1:14" s="128" customFormat="1" ht="15.6" x14ac:dyDescent="0.3">
      <c r="A47" s="132" t="s">
        <v>161</v>
      </c>
      <c r="B47" s="130"/>
      <c r="C47" s="143">
        <v>387.29840000000002</v>
      </c>
      <c r="D47" s="143">
        <v>375.65910000000002</v>
      </c>
      <c r="E47" s="143">
        <v>377.5496</v>
      </c>
      <c r="F47" s="143">
        <v>342.3492</v>
      </c>
      <c r="G47" s="143">
        <v>350.52</v>
      </c>
      <c r="H47" s="143">
        <v>341.18</v>
      </c>
      <c r="I47" s="143">
        <v>333.21</v>
      </c>
      <c r="J47" s="143">
        <v>353.77</v>
      </c>
      <c r="K47" s="143">
        <v>345.7</v>
      </c>
      <c r="L47" s="143">
        <v>352.74</v>
      </c>
      <c r="M47" s="143">
        <v>410.95</v>
      </c>
      <c r="N47" s="143">
        <v>392.72</v>
      </c>
    </row>
    <row r="48" spans="1:14" s="128" customFormat="1" ht="15.6" x14ac:dyDescent="0.3">
      <c r="A48" s="132" t="s">
        <v>162</v>
      </c>
      <c r="B48" s="130"/>
      <c r="C48" s="143">
        <v>387.29840000000002</v>
      </c>
      <c r="D48" s="143">
        <v>375.65910000000002</v>
      </c>
      <c r="E48" s="143">
        <v>377.5496</v>
      </c>
      <c r="F48" s="143">
        <v>342.3492</v>
      </c>
      <c r="G48" s="143">
        <v>350.52</v>
      </c>
      <c r="H48" s="143">
        <v>341.18</v>
      </c>
      <c r="I48" s="143">
        <v>333.21</v>
      </c>
      <c r="J48" s="143">
        <v>353.77</v>
      </c>
      <c r="K48" s="143">
        <v>345.7</v>
      </c>
      <c r="L48" s="143">
        <v>352.74</v>
      </c>
      <c r="M48" s="143">
        <v>410.95</v>
      </c>
      <c r="N48" s="143">
        <v>392.72</v>
      </c>
    </row>
    <row r="49" spans="1:14" s="128" customFormat="1" ht="15.6" x14ac:dyDescent="0.3">
      <c r="A49" s="132" t="s">
        <v>147</v>
      </c>
      <c r="B49" s="130"/>
      <c r="C49" s="143">
        <v>415.70890000000003</v>
      </c>
      <c r="D49" s="143">
        <v>403.7319</v>
      </c>
      <c r="E49" s="143">
        <v>407.5942</v>
      </c>
      <c r="F49" s="143">
        <v>370.21050000000002</v>
      </c>
      <c r="G49" s="143">
        <v>388.03</v>
      </c>
      <c r="H49" s="143">
        <v>379.63</v>
      </c>
      <c r="I49" s="143">
        <v>379.59</v>
      </c>
      <c r="J49" s="143">
        <v>393.83</v>
      </c>
      <c r="K49" s="143">
        <v>391.66</v>
      </c>
      <c r="L49" s="143">
        <v>410.08</v>
      </c>
      <c r="M49" s="143">
        <v>469.92</v>
      </c>
      <c r="N49" s="143">
        <v>447.81</v>
      </c>
    </row>
    <row r="50" spans="1:14" s="128" customFormat="1" ht="15.6" x14ac:dyDescent="0.3">
      <c r="A50" s="132" t="s">
        <v>148</v>
      </c>
      <c r="B50" s="130"/>
      <c r="C50" s="143">
        <v>332.85129999999998</v>
      </c>
      <c r="D50" s="143">
        <v>320.87430000000001</v>
      </c>
      <c r="E50" s="143">
        <v>324.73660000000001</v>
      </c>
      <c r="F50" s="143">
        <v>287.35289999999998</v>
      </c>
      <c r="G50" s="143">
        <v>305.17</v>
      </c>
      <c r="H50" s="143">
        <v>296.77</v>
      </c>
      <c r="I50" s="143">
        <v>296.73</v>
      </c>
      <c r="J50" s="143">
        <v>310.98</v>
      </c>
      <c r="K50" s="143">
        <v>308.8</v>
      </c>
      <c r="L50" s="143">
        <v>327.22000000000003</v>
      </c>
      <c r="M50" s="143">
        <v>387.06</v>
      </c>
      <c r="N50" s="143">
        <v>364.95</v>
      </c>
    </row>
    <row r="51" spans="1:14" s="128" customFormat="1" ht="15.6" x14ac:dyDescent="0.3">
      <c r="A51" s="132" t="s">
        <v>163</v>
      </c>
      <c r="B51" s="130"/>
      <c r="C51" s="143"/>
      <c r="D51" s="143"/>
      <c r="E51" s="143"/>
      <c r="F51" s="143"/>
      <c r="G51" s="143"/>
      <c r="H51" s="143"/>
      <c r="I51" s="143"/>
      <c r="J51" s="143">
        <f>K50</f>
        <v>308.8</v>
      </c>
      <c r="K51" s="143">
        <f>L50</f>
        <v>327.22000000000003</v>
      </c>
      <c r="L51" s="143">
        <f>M50</f>
        <v>387.06</v>
      </c>
      <c r="M51" s="143">
        <f>N50</f>
        <v>364.95</v>
      </c>
      <c r="N51" s="143">
        <v>384.92</v>
      </c>
    </row>
    <row r="52" spans="1:14" s="128" customFormat="1" ht="15.6" x14ac:dyDescent="0.3">
      <c r="A52" s="132"/>
      <c r="B52" s="130"/>
      <c r="C52" s="140"/>
      <c r="D52" s="140"/>
      <c r="E52" s="140"/>
      <c r="F52" s="140"/>
      <c r="G52" s="140"/>
      <c r="H52" s="140"/>
      <c r="I52" s="140"/>
      <c r="J52" s="140"/>
      <c r="K52" s="140"/>
      <c r="L52" s="140"/>
      <c r="M52" s="140"/>
      <c r="N52" s="140"/>
    </row>
    <row r="53" spans="1:14" s="142" customFormat="1" ht="15.6" x14ac:dyDescent="0.3">
      <c r="A53" s="141"/>
      <c r="B53" s="141"/>
      <c r="C53" s="144"/>
      <c r="D53" s="141"/>
      <c r="E53" s="141"/>
      <c r="F53" s="141"/>
      <c r="G53" s="141"/>
      <c r="H53" s="141"/>
      <c r="I53" s="141"/>
      <c r="J53" s="141"/>
      <c r="K53" s="141"/>
      <c r="L53" s="141"/>
      <c r="M53" s="141"/>
      <c r="N53" s="141"/>
    </row>
    <row r="54" spans="1:14" s="142" customFormat="1" ht="21" x14ac:dyDescent="0.4">
      <c r="A54" s="185" t="s">
        <v>140</v>
      </c>
      <c r="B54" s="185"/>
      <c r="C54" s="185"/>
      <c r="D54" s="185"/>
      <c r="E54" s="185"/>
      <c r="F54" s="185"/>
      <c r="G54" s="185"/>
      <c r="H54" s="185"/>
      <c r="I54" s="185"/>
      <c r="J54" s="185"/>
      <c r="K54" s="185"/>
      <c r="L54" s="185"/>
      <c r="M54" s="185"/>
      <c r="N54" s="185"/>
    </row>
    <row r="55" spans="1:14" s="142" customFormat="1" ht="21" x14ac:dyDescent="0.4">
      <c r="A55" s="186" t="s">
        <v>164</v>
      </c>
      <c r="B55" s="186"/>
      <c r="C55" s="186"/>
      <c r="D55" s="186"/>
      <c r="E55" s="186"/>
      <c r="F55" s="186"/>
      <c r="G55" s="186"/>
      <c r="H55" s="186"/>
      <c r="I55" s="186"/>
      <c r="J55" s="186"/>
      <c r="K55" s="186"/>
      <c r="L55" s="186"/>
      <c r="M55" s="186"/>
      <c r="N55" s="186"/>
    </row>
    <row r="56" spans="1:14" s="142" customFormat="1" ht="21" x14ac:dyDescent="0.4">
      <c r="A56" s="187" t="str">
        <f>A36</f>
        <v>Year 2011</v>
      </c>
      <c r="B56" s="187"/>
      <c r="C56" s="187"/>
      <c r="D56" s="187"/>
      <c r="E56" s="187"/>
      <c r="F56" s="187"/>
      <c r="G56" s="187"/>
      <c r="H56" s="187"/>
      <c r="I56" s="187"/>
      <c r="J56" s="187"/>
      <c r="K56" s="187"/>
      <c r="L56" s="187"/>
      <c r="M56" s="187"/>
      <c r="N56" s="187"/>
    </row>
    <row r="57" spans="1:14" s="142" customFormat="1" ht="15.6" x14ac:dyDescent="0.3">
      <c r="A57" s="125"/>
      <c r="B57" s="125"/>
      <c r="C57" s="125"/>
      <c r="D57" s="125"/>
      <c r="E57" s="125"/>
      <c r="F57" s="125"/>
      <c r="G57" s="125"/>
      <c r="H57" s="125"/>
      <c r="I57" s="125"/>
      <c r="J57" s="125"/>
      <c r="K57" s="125"/>
      <c r="L57" s="125"/>
      <c r="M57" s="125"/>
      <c r="N57" s="125"/>
    </row>
    <row r="58" spans="1:14" s="142" customFormat="1" ht="15.6" x14ac:dyDescent="0.3">
      <c r="A58" s="125"/>
      <c r="B58" s="125"/>
      <c r="C58" s="125"/>
      <c r="D58" s="125"/>
      <c r="E58" s="125"/>
      <c r="F58" s="125"/>
      <c r="G58" s="125"/>
      <c r="H58" s="125"/>
      <c r="I58" s="125"/>
      <c r="J58" s="125"/>
      <c r="K58" s="125"/>
      <c r="L58" s="125"/>
      <c r="M58" s="125"/>
      <c r="N58" s="125"/>
    </row>
    <row r="59" spans="1:14" ht="15.6" x14ac:dyDescent="0.3">
      <c r="A59" s="183" t="s">
        <v>142</v>
      </c>
      <c r="B59" s="184"/>
      <c r="C59" s="127" t="s">
        <v>5</v>
      </c>
      <c r="D59" s="127" t="s">
        <v>6</v>
      </c>
      <c r="E59" s="127" t="s">
        <v>7</v>
      </c>
      <c r="F59" s="127" t="s">
        <v>8</v>
      </c>
      <c r="G59" s="127" t="s">
        <v>9</v>
      </c>
      <c r="H59" s="127" t="s">
        <v>10</v>
      </c>
      <c r="I59" s="127" t="s">
        <v>11</v>
      </c>
      <c r="J59" s="127" t="s">
        <v>12</v>
      </c>
      <c r="K59" s="127" t="s">
        <v>13</v>
      </c>
      <c r="L59" s="127" t="s">
        <v>14</v>
      </c>
      <c r="M59" s="127" t="s">
        <v>15</v>
      </c>
      <c r="N59" s="127" t="s">
        <v>16</v>
      </c>
    </row>
    <row r="60" spans="1:14" ht="15.6" x14ac:dyDescent="0.3">
      <c r="A60" s="141"/>
      <c r="B60" s="141"/>
      <c r="C60" s="141"/>
      <c r="D60" s="141"/>
      <c r="E60" s="141"/>
      <c r="F60" s="141"/>
      <c r="G60" s="141"/>
      <c r="H60" s="141"/>
      <c r="I60" s="141"/>
      <c r="J60" s="141"/>
      <c r="K60" s="141"/>
      <c r="L60" s="141"/>
      <c r="M60" s="141"/>
      <c r="N60" s="141"/>
    </row>
    <row r="61" spans="1:14" ht="15.6" x14ac:dyDescent="0.3">
      <c r="A61" s="145" t="s">
        <v>165</v>
      </c>
      <c r="B61" s="141"/>
      <c r="C61" s="141"/>
      <c r="D61" s="141"/>
      <c r="E61" s="141"/>
      <c r="F61" s="141"/>
      <c r="G61" s="141"/>
      <c r="H61" s="141"/>
      <c r="I61" s="141"/>
      <c r="J61" s="141"/>
      <c r="K61" s="141"/>
      <c r="L61" s="141"/>
      <c r="M61" s="141"/>
      <c r="N61" s="141"/>
    </row>
    <row r="62" spans="1:14" ht="15.6" x14ac:dyDescent="0.3">
      <c r="A62" s="132" t="s">
        <v>2</v>
      </c>
      <c r="B62" s="130"/>
      <c r="C62" s="140">
        <v>0.6179</v>
      </c>
      <c r="D62" s="140">
        <v>0.65639999999999998</v>
      </c>
      <c r="E62" s="140">
        <v>0.64149999999999996</v>
      </c>
      <c r="F62" s="140">
        <v>0.6401</v>
      </c>
      <c r="G62" s="140">
        <v>0.62870000000000004</v>
      </c>
      <c r="H62" s="140">
        <v>0.66080000000000005</v>
      </c>
      <c r="I62" s="140">
        <v>0.65090000000000003</v>
      </c>
      <c r="J62" s="140">
        <v>0.63900000000000001</v>
      </c>
      <c r="K62" s="140">
        <v>0.64429999999999998</v>
      </c>
      <c r="L62" s="140">
        <v>0.65010000000000001</v>
      </c>
      <c r="M62" s="140">
        <v>0.69799999999999995</v>
      </c>
      <c r="N62" s="140">
        <v>0.67049999999999998</v>
      </c>
    </row>
    <row r="63" spans="1:14" ht="15.6" x14ac:dyDescent="0.3">
      <c r="A63" s="132" t="s">
        <v>145</v>
      </c>
      <c r="B63" s="130"/>
      <c r="C63" s="140">
        <v>0.6179</v>
      </c>
      <c r="D63" s="140">
        <v>0.65639999999999998</v>
      </c>
      <c r="E63" s="140">
        <v>0.64149999999999996</v>
      </c>
      <c r="F63" s="140">
        <v>0.6401</v>
      </c>
      <c r="G63" s="140">
        <v>0.62870000000000004</v>
      </c>
      <c r="H63" s="140">
        <v>0.66080000000000005</v>
      </c>
      <c r="I63" s="140">
        <v>0.65090000000000003</v>
      </c>
      <c r="J63" s="140">
        <v>0.63900000000000001</v>
      </c>
      <c r="K63" s="140">
        <v>0.64429999999999998</v>
      </c>
      <c r="L63" s="140">
        <v>0.65010000000000001</v>
      </c>
      <c r="M63" s="140">
        <v>0.69799999999999995</v>
      </c>
      <c r="N63" s="140">
        <v>0.67049999999999998</v>
      </c>
    </row>
    <row r="64" spans="1:14" ht="15.6" x14ac:dyDescent="0.3">
      <c r="A64" s="132" t="s">
        <v>158</v>
      </c>
      <c r="B64" s="130"/>
      <c r="C64" s="140">
        <v>0.6179</v>
      </c>
      <c r="D64" s="140">
        <v>0.65639999999999998</v>
      </c>
      <c r="E64" s="140">
        <v>0.64149999999999996</v>
      </c>
      <c r="F64" s="140">
        <v>0.6401</v>
      </c>
      <c r="G64" s="140">
        <v>0.62870000000000004</v>
      </c>
      <c r="H64" s="140">
        <v>0.66080000000000005</v>
      </c>
      <c r="I64" s="140">
        <v>0.65090000000000003</v>
      </c>
      <c r="J64" s="140">
        <v>0.63900000000000001</v>
      </c>
      <c r="K64" s="140">
        <v>0.64429999999999998</v>
      </c>
      <c r="L64" s="140">
        <v>0.65010000000000001</v>
      </c>
      <c r="M64" s="140">
        <v>0.69799999999999995</v>
      </c>
      <c r="N64" s="140">
        <v>0.67049999999999998</v>
      </c>
    </row>
    <row r="65" spans="1:14" ht="15.6" x14ac:dyDescent="0.3">
      <c r="A65" s="132" t="s">
        <v>159</v>
      </c>
      <c r="B65" s="130"/>
      <c r="C65" s="140">
        <v>0.6179</v>
      </c>
      <c r="D65" s="140">
        <v>0.65639999999999998</v>
      </c>
      <c r="E65" s="140">
        <v>0.64149999999999996</v>
      </c>
      <c r="F65" s="140">
        <v>0.6401</v>
      </c>
      <c r="G65" s="140">
        <v>0.62870000000000004</v>
      </c>
      <c r="H65" s="140">
        <v>0.66080000000000005</v>
      </c>
      <c r="I65" s="140">
        <v>0.65090000000000003</v>
      </c>
      <c r="J65" s="140">
        <v>0.63900000000000001</v>
      </c>
      <c r="K65" s="140">
        <v>0.64429999999999998</v>
      </c>
      <c r="L65" s="140">
        <v>0.65010000000000001</v>
      </c>
      <c r="M65" s="140">
        <v>0.69799999999999995</v>
      </c>
      <c r="N65" s="140">
        <v>0.67049999999999998</v>
      </c>
    </row>
    <row r="66" spans="1:14" ht="15.6" x14ac:dyDescent="0.3">
      <c r="A66" s="132" t="s">
        <v>160</v>
      </c>
      <c r="B66" s="130"/>
      <c r="C66" s="140">
        <v>0.6179</v>
      </c>
      <c r="D66" s="140">
        <v>0.65639999999999998</v>
      </c>
      <c r="E66" s="140">
        <v>0.64149999999999996</v>
      </c>
      <c r="F66" s="140">
        <v>0.6401</v>
      </c>
      <c r="G66" s="140">
        <v>0.62870000000000004</v>
      </c>
      <c r="H66" s="140">
        <v>0.66080000000000005</v>
      </c>
      <c r="I66" s="140">
        <v>0.65090000000000003</v>
      </c>
      <c r="J66" s="140">
        <v>0.63900000000000001</v>
      </c>
      <c r="K66" s="140">
        <v>0.64429999999999998</v>
      </c>
      <c r="L66" s="140">
        <v>0.65010000000000001</v>
      </c>
      <c r="M66" s="140">
        <v>0.69799999999999995</v>
      </c>
      <c r="N66" s="140">
        <v>0.67049999999999998</v>
      </c>
    </row>
    <row r="67" spans="1:14" ht="15.6" x14ac:dyDescent="0.3">
      <c r="A67" s="132" t="s">
        <v>146</v>
      </c>
      <c r="B67" s="130"/>
      <c r="C67" s="140">
        <v>0.6179</v>
      </c>
      <c r="D67" s="140">
        <v>0.65639999999999998</v>
      </c>
      <c r="E67" s="140">
        <v>0.64149999999999996</v>
      </c>
      <c r="F67" s="140">
        <v>0.6401</v>
      </c>
      <c r="G67" s="140">
        <v>0.62870000000000004</v>
      </c>
      <c r="H67" s="140">
        <v>0.66080000000000005</v>
      </c>
      <c r="I67" s="140">
        <v>0.65090000000000003</v>
      </c>
      <c r="J67" s="140">
        <v>0.63900000000000001</v>
      </c>
      <c r="K67" s="140">
        <v>0.64429999999999998</v>
      </c>
      <c r="L67" s="140">
        <v>0.65010000000000001</v>
      </c>
      <c r="M67" s="140">
        <v>0.69799999999999995</v>
      </c>
      <c r="N67" s="140">
        <v>0.67049999999999998</v>
      </c>
    </row>
    <row r="68" spans="1:14" ht="15.6" x14ac:dyDescent="0.3">
      <c r="A68" s="132" t="s">
        <v>161</v>
      </c>
      <c r="B68" s="130"/>
      <c r="C68" s="133">
        <v>0.33979999999999999</v>
      </c>
      <c r="D68" s="133">
        <v>0.3493</v>
      </c>
      <c r="E68" s="133">
        <v>0.3453</v>
      </c>
      <c r="F68" s="133">
        <v>0.35649999999999998</v>
      </c>
      <c r="G68" s="133">
        <v>0.35239999999999999</v>
      </c>
      <c r="H68" s="133">
        <v>0.38229999999999997</v>
      </c>
      <c r="I68" s="133">
        <v>0.36659999999999998</v>
      </c>
      <c r="J68" s="133">
        <v>0.35809999999999997</v>
      </c>
      <c r="K68" s="133">
        <v>0.34370000000000001</v>
      </c>
      <c r="L68" s="133">
        <v>0.35010000000000002</v>
      </c>
      <c r="M68" s="133">
        <v>0.37709999999999999</v>
      </c>
      <c r="N68" s="133">
        <v>0.35470000000000002</v>
      </c>
    </row>
    <row r="69" spans="1:14" ht="15.6" x14ac:dyDescent="0.3">
      <c r="A69" s="132" t="s">
        <v>162</v>
      </c>
      <c r="B69" s="130"/>
      <c r="C69" s="133">
        <v>0.31309999999999999</v>
      </c>
      <c r="D69" s="133">
        <v>0.32200000000000001</v>
      </c>
      <c r="E69" s="133">
        <v>0.31850000000000001</v>
      </c>
      <c r="F69" s="133">
        <v>0.3291</v>
      </c>
      <c r="G69" s="133">
        <v>0.32540000000000002</v>
      </c>
      <c r="H69" s="133">
        <v>0.35320000000000001</v>
      </c>
      <c r="I69" s="133">
        <v>0.33889999999999998</v>
      </c>
      <c r="J69" s="133">
        <v>0.33</v>
      </c>
      <c r="K69" s="133">
        <v>0.32279999999999998</v>
      </c>
      <c r="L69" s="133">
        <v>0.32919999999999999</v>
      </c>
      <c r="M69" s="133">
        <v>0.3548</v>
      </c>
      <c r="N69" s="133">
        <v>0.33410000000000001</v>
      </c>
    </row>
    <row r="70" spans="1:14" ht="15.6" x14ac:dyDescent="0.3">
      <c r="A70" s="132" t="s">
        <v>147</v>
      </c>
      <c r="B70" s="130"/>
      <c r="C70" s="133">
        <v>0.29010000000000002</v>
      </c>
      <c r="D70" s="133">
        <v>0.29849999999999999</v>
      </c>
      <c r="E70" s="133">
        <v>0.2954</v>
      </c>
      <c r="F70" s="133">
        <v>0.3054</v>
      </c>
      <c r="G70" s="133">
        <v>0.30209999999999998</v>
      </c>
      <c r="H70" s="133">
        <v>0.3281</v>
      </c>
      <c r="I70" s="133">
        <v>0.31490000000000001</v>
      </c>
      <c r="J70" s="133">
        <v>0.30570000000000003</v>
      </c>
      <c r="K70" s="133">
        <v>0.30009999999999998</v>
      </c>
      <c r="L70" s="133">
        <v>0.30580000000000002</v>
      </c>
      <c r="M70" s="133">
        <v>0.32950000000000002</v>
      </c>
      <c r="N70" s="133">
        <v>0.31009999999999999</v>
      </c>
    </row>
    <row r="71" spans="1:14" ht="15.6" x14ac:dyDescent="0.3">
      <c r="A71" s="132" t="s">
        <v>148</v>
      </c>
      <c r="B71" s="130"/>
      <c r="C71" s="133">
        <v>9.01E-2</v>
      </c>
      <c r="D71" s="133">
        <v>9.2899999999999996E-2</v>
      </c>
      <c r="E71" s="133">
        <v>9.1700000000000004E-2</v>
      </c>
      <c r="F71" s="133">
        <v>9.4500000000000001E-2</v>
      </c>
      <c r="G71" s="133">
        <v>9.3399999999999997E-2</v>
      </c>
      <c r="H71" s="133">
        <v>0.1011</v>
      </c>
      <c r="I71" s="133">
        <v>9.7000000000000003E-2</v>
      </c>
      <c r="J71" s="133">
        <v>8.4400000000000003E-2</v>
      </c>
      <c r="K71" s="133">
        <v>8.2299999999999998E-2</v>
      </c>
      <c r="L71" s="133">
        <v>8.4400000000000003E-2</v>
      </c>
      <c r="M71" s="133">
        <v>9.1600000000000001E-2</v>
      </c>
      <c r="N71" s="133">
        <v>8.6900000000000005E-2</v>
      </c>
    </row>
    <row r="72" spans="1:14" ht="15.6" x14ac:dyDescent="0.3">
      <c r="A72" s="132"/>
      <c r="B72" s="130"/>
      <c r="C72" s="133"/>
      <c r="D72" s="133"/>
      <c r="E72" s="133"/>
      <c r="F72" s="133"/>
      <c r="G72" s="133"/>
      <c r="H72" s="133"/>
      <c r="I72" s="133"/>
      <c r="J72" s="133"/>
      <c r="K72" s="133"/>
      <c r="L72" s="133"/>
      <c r="M72" s="133"/>
      <c r="N72" s="133"/>
    </row>
    <row r="73" spans="1:14" ht="15.6" x14ac:dyDescent="0.3">
      <c r="A73" s="146" t="s">
        <v>166</v>
      </c>
      <c r="B73" s="130"/>
      <c r="C73" s="133"/>
      <c r="D73" s="133"/>
      <c r="E73" s="133"/>
      <c r="F73" s="133"/>
      <c r="G73" s="133"/>
      <c r="H73" s="133"/>
      <c r="I73" s="133"/>
      <c r="J73" s="133"/>
      <c r="K73" s="133"/>
      <c r="L73" s="133"/>
      <c r="M73" s="133"/>
      <c r="N73" s="133"/>
    </row>
    <row r="74" spans="1:14" ht="15.6" x14ac:dyDescent="0.3">
      <c r="A74" s="132" t="s">
        <v>160</v>
      </c>
      <c r="B74" s="130"/>
      <c r="C74" s="133"/>
      <c r="D74" s="133">
        <v>0.55559999999999998</v>
      </c>
      <c r="E74" s="133">
        <v>0.56820000000000004</v>
      </c>
      <c r="F74" s="133">
        <v>0.56140000000000001</v>
      </c>
      <c r="G74" s="133">
        <v>0.61019999999999996</v>
      </c>
      <c r="H74" s="133">
        <v>0.58299999999999996</v>
      </c>
      <c r="I74" s="133">
        <v>0.58109999999999995</v>
      </c>
      <c r="J74" s="133">
        <v>0.56189999999999996</v>
      </c>
      <c r="K74" s="133">
        <v>0.56189999999999996</v>
      </c>
      <c r="L74" s="133">
        <v>0.57979999999999998</v>
      </c>
      <c r="M74" s="133">
        <v>0.63429999999999997</v>
      </c>
      <c r="N74" s="133">
        <v>0.60309999999999997</v>
      </c>
    </row>
    <row r="75" spans="1:14" ht="15.6" x14ac:dyDescent="0.3">
      <c r="A75" s="132" t="s">
        <v>146</v>
      </c>
      <c r="B75" s="130"/>
      <c r="C75" s="133"/>
      <c r="D75" s="133">
        <v>0.55559999999999998</v>
      </c>
      <c r="E75" s="133">
        <v>0.56820000000000004</v>
      </c>
      <c r="F75" s="133">
        <v>0.56140000000000001</v>
      </c>
      <c r="G75" s="133">
        <v>0.61019999999999996</v>
      </c>
      <c r="H75" s="133">
        <v>0.58299999999999996</v>
      </c>
      <c r="I75" s="133">
        <v>0.58109999999999995</v>
      </c>
      <c r="J75" s="133">
        <v>0.56189999999999996</v>
      </c>
      <c r="K75" s="133">
        <v>0.56189999999999996</v>
      </c>
      <c r="L75" s="133">
        <v>0.57979999999999998</v>
      </c>
      <c r="M75" s="133">
        <v>0.63429999999999997</v>
      </c>
      <c r="N75" s="133">
        <v>0.60309999999999997</v>
      </c>
    </row>
    <row r="76" spans="1:14" ht="15.6" x14ac:dyDescent="0.3">
      <c r="A76" s="132" t="s">
        <v>162</v>
      </c>
      <c r="B76" s="130"/>
      <c r="C76" s="133"/>
      <c r="D76" s="133">
        <v>7.0900000000000005E-2</v>
      </c>
      <c r="E76" s="133">
        <v>7.2499999999999995E-2</v>
      </c>
      <c r="F76" s="133">
        <v>7.1499999999999994E-2</v>
      </c>
      <c r="G76" s="133">
        <v>7.7700000000000005E-2</v>
      </c>
      <c r="H76" s="133">
        <v>7.4099999999999999E-2</v>
      </c>
      <c r="I76" s="133">
        <v>6.1400000000000003E-2</v>
      </c>
      <c r="J76" s="133">
        <v>5.9400000000000001E-2</v>
      </c>
      <c r="K76" s="133">
        <v>5.9400000000000001E-2</v>
      </c>
      <c r="L76" s="133">
        <v>6.13E-2</v>
      </c>
      <c r="M76" s="133">
        <v>6.7000000000000004E-2</v>
      </c>
      <c r="N76" s="133">
        <v>6.3700000000000007E-2</v>
      </c>
    </row>
    <row r="77" spans="1:14" ht="15.6" x14ac:dyDescent="0.3">
      <c r="A77" s="132" t="s">
        <v>148</v>
      </c>
      <c r="B77" s="130"/>
      <c r="C77" s="133"/>
      <c r="D77" s="133"/>
      <c r="E77" s="133"/>
      <c r="F77" s="133"/>
      <c r="G77" s="133"/>
      <c r="H77" s="133"/>
      <c r="I77" s="133"/>
      <c r="J77" s="133"/>
      <c r="K77" s="133">
        <v>6.8199999999999997E-2</v>
      </c>
      <c r="L77" s="133">
        <v>7.0400000000000004E-2</v>
      </c>
      <c r="M77" s="133">
        <v>7.6999999999999999E-2</v>
      </c>
      <c r="N77" s="133">
        <v>7.3200000000000001E-2</v>
      </c>
    </row>
    <row r="78" spans="1:14" ht="15.6" x14ac:dyDescent="0.3">
      <c r="A78" s="132"/>
      <c r="B78" s="130"/>
      <c r="C78" s="133"/>
      <c r="D78" s="133"/>
      <c r="E78" s="133"/>
      <c r="F78" s="133"/>
      <c r="G78" s="133"/>
      <c r="H78" s="133"/>
      <c r="I78" s="133"/>
      <c r="J78" s="133"/>
      <c r="K78" s="133"/>
      <c r="L78" s="133"/>
      <c r="M78" s="133"/>
      <c r="N78" s="133"/>
    </row>
    <row r="79" spans="1:14" ht="15.6" x14ac:dyDescent="0.3">
      <c r="A79" s="146" t="s">
        <v>156</v>
      </c>
      <c r="B79" s="130"/>
      <c r="C79" s="133"/>
      <c r="D79" s="133"/>
      <c r="E79" s="133"/>
      <c r="F79" s="133"/>
      <c r="G79" s="133"/>
      <c r="H79" s="133"/>
      <c r="I79" s="133"/>
      <c r="J79" s="133"/>
      <c r="K79" s="133"/>
      <c r="L79" s="133"/>
      <c r="M79" s="133"/>
      <c r="N79" s="133"/>
    </row>
    <row r="80" spans="1:14" ht="15.6" x14ac:dyDescent="0.3">
      <c r="A80" s="132" t="s">
        <v>158</v>
      </c>
      <c r="B80" s="130"/>
      <c r="C80" s="140">
        <v>0.55700000000000005</v>
      </c>
      <c r="D80" s="140">
        <v>0.57120000000000004</v>
      </c>
      <c r="E80" s="140">
        <v>0.56469999999999998</v>
      </c>
      <c r="F80" s="140">
        <v>0.58430000000000004</v>
      </c>
      <c r="G80" s="140">
        <v>0.57720000000000005</v>
      </c>
      <c r="H80" s="140">
        <v>0.62739999999999996</v>
      </c>
      <c r="I80" s="140">
        <v>0.59940000000000004</v>
      </c>
      <c r="J80" s="140">
        <v>0.59789999999999999</v>
      </c>
      <c r="K80" s="140">
        <v>0.57809999999999995</v>
      </c>
      <c r="L80" s="140">
        <v>0.59650000000000003</v>
      </c>
      <c r="M80" s="140">
        <v>0.65259999999999996</v>
      </c>
      <c r="N80" s="140">
        <v>0.62050000000000005</v>
      </c>
    </row>
    <row r="81" spans="1:14" ht="15.6" x14ac:dyDescent="0.3">
      <c r="A81" s="132" t="s">
        <v>160</v>
      </c>
      <c r="B81" s="130"/>
      <c r="C81" s="140">
        <v>0.55700000000000005</v>
      </c>
      <c r="D81" s="140">
        <v>0.57120000000000004</v>
      </c>
      <c r="E81" s="140">
        <v>0.56469999999999998</v>
      </c>
      <c r="F81" s="140">
        <v>0.58430000000000004</v>
      </c>
      <c r="G81" s="140">
        <v>0.57720000000000005</v>
      </c>
      <c r="H81" s="140">
        <v>0.62739999999999996</v>
      </c>
      <c r="I81" s="140">
        <v>0.59940000000000004</v>
      </c>
      <c r="J81" s="140">
        <v>0.59789999999999999</v>
      </c>
      <c r="K81" s="140">
        <v>0.57809999999999995</v>
      </c>
      <c r="L81" s="140">
        <v>0.59650000000000003</v>
      </c>
      <c r="M81" s="140">
        <v>0.65259999999999996</v>
      </c>
      <c r="N81" s="140">
        <v>0.62050000000000005</v>
      </c>
    </row>
    <row r="82" spans="1:14" ht="15.6" x14ac:dyDescent="0.3">
      <c r="A82" s="132" t="s">
        <v>167</v>
      </c>
      <c r="B82" s="130"/>
      <c r="C82" s="140">
        <v>0.55700000000000005</v>
      </c>
      <c r="D82" s="140">
        <v>0.57120000000000004</v>
      </c>
      <c r="E82" s="140">
        <v>0.56469999999999998</v>
      </c>
      <c r="F82" s="140">
        <v>0.58430000000000004</v>
      </c>
      <c r="G82" s="140">
        <v>0.57720000000000005</v>
      </c>
      <c r="H82" s="140">
        <v>0.62739999999999996</v>
      </c>
      <c r="I82" s="140">
        <v>0.59940000000000004</v>
      </c>
      <c r="J82" s="140">
        <v>0.59789999999999999</v>
      </c>
      <c r="K82" s="140">
        <v>0.57809999999999995</v>
      </c>
      <c r="L82" s="140">
        <v>0.59650000000000003</v>
      </c>
      <c r="M82" s="140">
        <v>0.65259999999999996</v>
      </c>
      <c r="N82" s="140">
        <v>0.62050000000000005</v>
      </c>
    </row>
    <row r="83" spans="1:14" ht="15.6" x14ac:dyDescent="0.3">
      <c r="A83" s="132" t="s">
        <v>168</v>
      </c>
      <c r="B83" s="130"/>
      <c r="C83" s="140">
        <v>0.20019999999999999</v>
      </c>
      <c r="D83" s="140">
        <v>0.20530000000000001</v>
      </c>
      <c r="E83" s="140">
        <v>0.2029</v>
      </c>
      <c r="F83" s="140">
        <v>0.2099</v>
      </c>
      <c r="G83" s="140">
        <v>0.2074</v>
      </c>
      <c r="H83" s="140">
        <v>0.22539999999999999</v>
      </c>
      <c r="I83" s="140">
        <v>0.2152</v>
      </c>
      <c r="J83" s="140">
        <v>0.20549999999999999</v>
      </c>
      <c r="K83" s="140">
        <v>0.19869999999999999</v>
      </c>
      <c r="L83" s="140">
        <v>0.20499999999999999</v>
      </c>
      <c r="M83" s="140">
        <v>0.2243</v>
      </c>
      <c r="N83" s="140">
        <v>0.21329999999999999</v>
      </c>
    </row>
    <row r="84" spans="1:14" ht="15.6" x14ac:dyDescent="0.3">
      <c r="A84" s="132" t="s">
        <v>169</v>
      </c>
      <c r="B84" s="130"/>
      <c r="C84" s="140">
        <v>0.20019999999999999</v>
      </c>
      <c r="D84" s="140">
        <v>0.20530000000000001</v>
      </c>
      <c r="E84" s="140">
        <v>0.2029</v>
      </c>
      <c r="F84" s="140">
        <v>0.2099</v>
      </c>
      <c r="G84" s="140">
        <v>0.2074</v>
      </c>
      <c r="H84" s="140">
        <v>0.22539999999999999</v>
      </c>
      <c r="I84" s="140">
        <v>0.2152</v>
      </c>
      <c r="J84" s="140">
        <v>0.20549999999999999</v>
      </c>
      <c r="K84" s="140">
        <v>0.19869999999999999</v>
      </c>
      <c r="L84" s="140">
        <v>0.20499999999999999</v>
      </c>
      <c r="M84" s="140">
        <v>0.2243</v>
      </c>
      <c r="N84" s="140">
        <v>0.21329999999999999</v>
      </c>
    </row>
    <row r="85" spans="1:14" ht="15.6" x14ac:dyDescent="0.3">
      <c r="A85" s="132" t="s">
        <v>170</v>
      </c>
      <c r="B85" s="130"/>
      <c r="C85" s="140">
        <f>C71</f>
        <v>9.01E-2</v>
      </c>
      <c r="D85" s="140">
        <f t="shared" ref="D85:N85" si="1">D71</f>
        <v>9.2899999999999996E-2</v>
      </c>
      <c r="E85" s="140">
        <f t="shared" si="1"/>
        <v>9.1700000000000004E-2</v>
      </c>
      <c r="F85" s="140">
        <f t="shared" si="1"/>
        <v>9.4500000000000001E-2</v>
      </c>
      <c r="G85" s="140">
        <f t="shared" si="1"/>
        <v>9.3399999999999997E-2</v>
      </c>
      <c r="H85" s="140">
        <f t="shared" si="1"/>
        <v>0.1011</v>
      </c>
      <c r="I85" s="140">
        <f t="shared" si="1"/>
        <v>9.7000000000000003E-2</v>
      </c>
      <c r="J85" s="140">
        <f t="shared" si="1"/>
        <v>8.4400000000000003E-2</v>
      </c>
      <c r="K85" s="140">
        <f t="shared" si="1"/>
        <v>8.2299999999999998E-2</v>
      </c>
      <c r="L85" s="140">
        <f t="shared" si="1"/>
        <v>8.4400000000000003E-2</v>
      </c>
      <c r="M85" s="140">
        <f t="shared" si="1"/>
        <v>9.1600000000000001E-2</v>
      </c>
      <c r="N85" s="140">
        <f t="shared" si="1"/>
        <v>8.6900000000000005E-2</v>
      </c>
    </row>
    <row r="86" spans="1:14" ht="15.6" x14ac:dyDescent="0.3">
      <c r="A86" s="146"/>
      <c r="B86" s="130"/>
      <c r="C86" s="133"/>
      <c r="D86" s="133"/>
      <c r="E86" s="133"/>
      <c r="F86" s="133"/>
      <c r="G86" s="133"/>
      <c r="H86" s="133"/>
      <c r="I86" s="133"/>
      <c r="J86" s="133"/>
      <c r="K86" s="133"/>
      <c r="L86" s="133"/>
      <c r="M86" s="133"/>
      <c r="N86" s="133"/>
    </row>
    <row r="87" spans="1:14" ht="15.6" x14ac:dyDescent="0.3">
      <c r="A87" s="146" t="s">
        <v>171</v>
      </c>
      <c r="B87" s="130"/>
      <c r="C87" s="140">
        <v>0.20019999999999999</v>
      </c>
      <c r="D87" s="140">
        <v>0.20530000000000001</v>
      </c>
      <c r="E87" s="140">
        <v>0.2029</v>
      </c>
      <c r="F87" s="140">
        <v>0.2099</v>
      </c>
      <c r="G87" s="140">
        <v>0.2074</v>
      </c>
      <c r="H87" s="140">
        <v>0.22539999999999999</v>
      </c>
      <c r="I87" s="140">
        <v>0.2152</v>
      </c>
      <c r="J87" s="140">
        <v>0.20549999999999999</v>
      </c>
      <c r="K87" s="140">
        <v>0.19869999999999999</v>
      </c>
      <c r="L87" s="140">
        <v>0.20499999999999999</v>
      </c>
      <c r="M87" s="140">
        <v>0.2243</v>
      </c>
      <c r="N87" s="140">
        <v>0.21329999999999999</v>
      </c>
    </row>
    <row r="88" spans="1:14" x14ac:dyDescent="0.3">
      <c r="A88" s="125"/>
      <c r="B88" s="125"/>
      <c r="C88" s="125"/>
      <c r="D88" s="125"/>
      <c r="E88" s="125"/>
      <c r="F88" s="125"/>
      <c r="G88" s="125"/>
      <c r="H88" s="125"/>
      <c r="I88" s="125"/>
      <c r="J88" s="125"/>
      <c r="K88" s="125"/>
      <c r="L88" s="125"/>
      <c r="M88" s="125"/>
      <c r="N88" s="125"/>
    </row>
    <row r="89" spans="1:14" x14ac:dyDescent="0.3">
      <c r="A89" s="125"/>
      <c r="B89" s="125"/>
      <c r="C89" s="125"/>
      <c r="D89" s="125"/>
      <c r="E89" s="125"/>
      <c r="F89" s="125"/>
      <c r="G89" s="125"/>
      <c r="H89" s="125"/>
      <c r="I89" s="125"/>
      <c r="J89" s="125"/>
      <c r="K89" s="125"/>
      <c r="L89" s="125"/>
      <c r="M89" s="125"/>
      <c r="N89" s="125"/>
    </row>
    <row r="90" spans="1:14" ht="21" x14ac:dyDescent="0.4">
      <c r="A90" s="185" t="s">
        <v>140</v>
      </c>
      <c r="B90" s="185"/>
      <c r="C90" s="185"/>
      <c r="D90" s="185"/>
      <c r="E90" s="185"/>
      <c r="F90" s="185"/>
      <c r="G90" s="185"/>
      <c r="H90" s="185"/>
      <c r="I90" s="185"/>
      <c r="J90" s="185"/>
      <c r="K90" s="185"/>
      <c r="L90" s="185"/>
      <c r="M90" s="185"/>
      <c r="N90" s="185"/>
    </row>
    <row r="91" spans="1:14" ht="21" x14ac:dyDescent="0.4">
      <c r="A91" s="186" t="s">
        <v>172</v>
      </c>
      <c r="B91" s="186"/>
      <c r="C91" s="186"/>
      <c r="D91" s="186"/>
      <c r="E91" s="186"/>
      <c r="F91" s="186"/>
      <c r="G91" s="186"/>
      <c r="H91" s="186"/>
      <c r="I91" s="186"/>
      <c r="J91" s="186"/>
      <c r="K91" s="186"/>
      <c r="L91" s="186"/>
      <c r="M91" s="186"/>
      <c r="N91" s="186"/>
    </row>
    <row r="92" spans="1:14" ht="21" x14ac:dyDescent="0.4">
      <c r="A92" s="187" t="s">
        <v>173</v>
      </c>
      <c r="B92" s="187"/>
      <c r="C92" s="187"/>
      <c r="D92" s="187"/>
      <c r="E92" s="187"/>
      <c r="F92" s="187"/>
      <c r="G92" s="187"/>
      <c r="H92" s="187"/>
      <c r="I92" s="187"/>
      <c r="J92" s="187"/>
      <c r="K92" s="187"/>
      <c r="L92" s="187"/>
      <c r="M92" s="187"/>
      <c r="N92" s="187"/>
    </row>
    <row r="93" spans="1:14" x14ac:dyDescent="0.3">
      <c r="A93" s="125"/>
      <c r="B93" s="125"/>
      <c r="C93" s="125"/>
      <c r="D93" s="125"/>
      <c r="E93" s="125"/>
      <c r="F93" s="125"/>
      <c r="G93" s="125"/>
      <c r="H93" s="125"/>
      <c r="I93" s="125"/>
      <c r="J93" s="125"/>
      <c r="K93" s="125"/>
      <c r="L93" s="125"/>
      <c r="M93" s="125"/>
      <c r="N93" s="125"/>
    </row>
    <row r="94" spans="1:14" x14ac:dyDescent="0.3">
      <c r="A94" s="125"/>
      <c r="B94" s="125"/>
      <c r="C94" s="125"/>
      <c r="D94" s="125"/>
      <c r="E94" s="125"/>
      <c r="F94" s="125"/>
      <c r="G94" s="125"/>
      <c r="H94" s="125"/>
      <c r="I94" s="125"/>
      <c r="J94" s="125"/>
      <c r="K94" s="125"/>
      <c r="L94" s="125"/>
      <c r="M94" s="125"/>
      <c r="N94" s="125"/>
    </row>
    <row r="95" spans="1:14" ht="15.6" x14ac:dyDescent="0.3">
      <c r="A95" s="183" t="s">
        <v>142</v>
      </c>
      <c r="B95" s="184"/>
      <c r="C95" s="127" t="s">
        <v>5</v>
      </c>
      <c r="D95" s="127" t="s">
        <v>6</v>
      </c>
      <c r="E95" s="127" t="s">
        <v>7</v>
      </c>
      <c r="F95" s="127" t="s">
        <v>8</v>
      </c>
      <c r="G95" s="127" t="s">
        <v>9</v>
      </c>
      <c r="H95" s="127" t="s">
        <v>10</v>
      </c>
      <c r="I95" s="127" t="s">
        <v>11</v>
      </c>
      <c r="J95" s="127" t="s">
        <v>12</v>
      </c>
      <c r="K95" s="127" t="s">
        <v>13</v>
      </c>
      <c r="L95" s="127" t="s">
        <v>14</v>
      </c>
      <c r="M95" s="127" t="s">
        <v>15</v>
      </c>
      <c r="N95" s="127" t="s">
        <v>16</v>
      </c>
    </row>
    <row r="96" spans="1:14" x14ac:dyDescent="0.3">
      <c r="A96" s="125"/>
      <c r="B96" s="125"/>
      <c r="C96" s="125"/>
      <c r="D96" s="125"/>
      <c r="E96" s="125"/>
      <c r="F96" s="125"/>
      <c r="G96" s="125"/>
      <c r="H96" s="125"/>
      <c r="I96" s="125"/>
      <c r="J96" s="125"/>
      <c r="K96" s="125"/>
      <c r="L96" s="125"/>
      <c r="M96" s="125"/>
      <c r="N96" s="125"/>
    </row>
    <row r="97" spans="1:14" ht="15.6" x14ac:dyDescent="0.3">
      <c r="A97" s="132" t="s">
        <v>174</v>
      </c>
      <c r="B97" s="130"/>
      <c r="C97" s="140">
        <v>0</v>
      </c>
      <c r="D97" s="140">
        <v>0</v>
      </c>
      <c r="E97" s="140">
        <v>0</v>
      </c>
      <c r="F97" s="140">
        <v>0</v>
      </c>
      <c r="G97" s="140">
        <v>0</v>
      </c>
      <c r="H97" s="140">
        <v>0</v>
      </c>
      <c r="I97" s="140">
        <v>0</v>
      </c>
      <c r="J97" s="140">
        <v>0</v>
      </c>
      <c r="K97" s="140">
        <v>0</v>
      </c>
      <c r="L97" s="140">
        <v>0</v>
      </c>
      <c r="M97" s="140">
        <v>0</v>
      </c>
      <c r="N97" s="140">
        <v>0</v>
      </c>
    </row>
    <row r="98" spans="1:14" ht="15.6" x14ac:dyDescent="0.3">
      <c r="A98" s="132" t="s">
        <v>175</v>
      </c>
      <c r="B98" s="130"/>
      <c r="C98" s="140">
        <v>0.13170000000000001</v>
      </c>
      <c r="D98" s="140">
        <v>0.1391</v>
      </c>
      <c r="E98" s="140">
        <v>0.14630000000000001</v>
      </c>
      <c r="F98" s="140">
        <v>0.16639999999999999</v>
      </c>
      <c r="G98" s="140">
        <v>0.13789999999999999</v>
      </c>
      <c r="H98" s="140">
        <v>0.121</v>
      </c>
      <c r="I98" s="140">
        <v>0.1173</v>
      </c>
      <c r="J98" s="140">
        <v>0.1348</v>
      </c>
      <c r="K98" s="140">
        <v>0.1265</v>
      </c>
      <c r="L98" s="140">
        <v>0.1245</v>
      </c>
      <c r="M98" s="140">
        <v>0.13700000000000001</v>
      </c>
      <c r="N98" s="140">
        <v>0.1336</v>
      </c>
    </row>
    <row r="105" spans="1:14" ht="15.6" x14ac:dyDescent="0.3">
      <c r="D105" s="142"/>
      <c r="E105" s="142"/>
      <c r="F105" s="142"/>
      <c r="G105" s="142"/>
      <c r="H105" s="142"/>
      <c r="I105" s="142"/>
      <c r="J105" s="142"/>
      <c r="K105" s="142"/>
    </row>
    <row r="106" spans="1:14" ht="15.6" x14ac:dyDescent="0.3">
      <c r="D106" s="147" t="s">
        <v>176</v>
      </c>
      <c r="E106" s="148"/>
      <c r="F106" s="128"/>
      <c r="G106" s="128"/>
      <c r="H106" s="142"/>
      <c r="I106" s="147" t="s">
        <v>177</v>
      </c>
      <c r="J106" s="142"/>
      <c r="K106" s="142"/>
    </row>
    <row r="107" spans="1:14" ht="16.2" thickBot="1" x14ac:dyDescent="0.35">
      <c r="D107" s="149"/>
      <c r="E107" s="150"/>
      <c r="F107" s="151"/>
      <c r="G107" s="128"/>
      <c r="H107" s="142"/>
      <c r="I107" s="149"/>
      <c r="J107" s="152"/>
      <c r="K107" s="152"/>
    </row>
    <row r="108" spans="1:14" ht="15.6" x14ac:dyDescent="0.3">
      <c r="D108" s="188" t="s">
        <v>178</v>
      </c>
      <c r="E108" s="188"/>
      <c r="F108" s="188"/>
      <c r="G108" s="128"/>
      <c r="H108" s="142"/>
      <c r="I108" s="188" t="s">
        <v>179</v>
      </c>
      <c r="J108" s="188"/>
      <c r="K108" s="188"/>
    </row>
    <row r="109" spans="1:14" ht="15.6" x14ac:dyDescent="0.3">
      <c r="D109" s="142"/>
      <c r="E109" s="142"/>
      <c r="F109" s="142"/>
      <c r="G109" s="142"/>
      <c r="H109" s="142"/>
      <c r="I109" s="142"/>
      <c r="J109" s="142"/>
      <c r="K109" s="142"/>
    </row>
    <row r="110" spans="1:14" ht="15.6" x14ac:dyDescent="0.3">
      <c r="D110" s="142"/>
      <c r="E110" s="142"/>
      <c r="F110" s="142"/>
      <c r="G110" s="142"/>
      <c r="H110" s="142"/>
      <c r="I110" s="142"/>
      <c r="J110" s="142"/>
      <c r="K110" s="142"/>
    </row>
    <row r="111" spans="1:14" ht="15.6" x14ac:dyDescent="0.3">
      <c r="D111" s="142"/>
      <c r="E111" s="142"/>
      <c r="F111" s="142"/>
      <c r="G111" s="142"/>
      <c r="H111" s="142"/>
      <c r="I111" s="142"/>
      <c r="J111" s="142"/>
      <c r="K111" s="142"/>
    </row>
  </sheetData>
  <mergeCells count="18">
    <mergeCell ref="A90:N90"/>
    <mergeCell ref="A91:N91"/>
    <mergeCell ref="A92:N92"/>
    <mergeCell ref="A95:B95"/>
    <mergeCell ref="D108:F108"/>
    <mergeCell ref="I108:K108"/>
    <mergeCell ref="A59:B59"/>
    <mergeCell ref="A1:N1"/>
    <mergeCell ref="A2:N2"/>
    <mergeCell ref="A3:N3"/>
    <mergeCell ref="A6:B6"/>
    <mergeCell ref="A34:N34"/>
    <mergeCell ref="A35:N35"/>
    <mergeCell ref="A36:N36"/>
    <mergeCell ref="A39:B39"/>
    <mergeCell ref="A54:N54"/>
    <mergeCell ref="A55:N55"/>
    <mergeCell ref="A56:N56"/>
  </mergeCells>
  <printOptions horizontalCentered="1"/>
  <pageMargins left="0.2" right="0.2" top="0.5" bottom="0.2" header="0.2" footer="0.2"/>
  <pageSetup paperSize="132" scale="53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R1088"/>
  <sheetViews>
    <sheetView view="pageBreakPreview" topLeftCell="A116" zoomScaleNormal="85" workbookViewId="0">
      <pane xSplit="1" topLeftCell="B1" activePane="topRight" state="frozen"/>
      <selection pane="topRight" activeCell="C47" sqref="C47"/>
    </sheetView>
  </sheetViews>
  <sheetFormatPr defaultRowHeight="13.8" x14ac:dyDescent="0.3"/>
  <cols>
    <col min="1" max="1" width="39.109375" style="3" customWidth="1"/>
    <col min="2" max="2" width="1.109375" style="3" customWidth="1"/>
    <col min="3" max="3" width="14.5546875" style="32" customWidth="1"/>
    <col min="4" max="13" width="15.88671875" style="3" customWidth="1"/>
    <col min="14" max="14" width="14.33203125" style="3" bestFit="1" customWidth="1"/>
    <col min="15" max="15" width="15.88671875" style="3" customWidth="1"/>
    <col min="16" max="256" width="9.109375" style="3"/>
    <col min="257" max="257" width="39.109375" style="3" customWidth="1"/>
    <col min="258" max="258" width="1.109375" style="3" customWidth="1"/>
    <col min="259" max="259" width="14.5546875" style="3" customWidth="1"/>
    <col min="260" max="269" width="15.88671875" style="3" customWidth="1"/>
    <col min="270" max="270" width="14.33203125" style="3" bestFit="1" customWidth="1"/>
    <col min="271" max="271" width="15.88671875" style="3" customWidth="1"/>
    <col min="272" max="512" width="9.109375" style="3"/>
    <col min="513" max="513" width="39.109375" style="3" customWidth="1"/>
    <col min="514" max="514" width="1.109375" style="3" customWidth="1"/>
    <col min="515" max="515" width="14.5546875" style="3" customWidth="1"/>
    <col min="516" max="525" width="15.88671875" style="3" customWidth="1"/>
    <col min="526" max="526" width="14.33203125" style="3" bestFit="1" customWidth="1"/>
    <col min="527" max="527" width="15.88671875" style="3" customWidth="1"/>
    <col min="528" max="768" width="9.109375" style="3"/>
    <col min="769" max="769" width="39.109375" style="3" customWidth="1"/>
    <col min="770" max="770" width="1.109375" style="3" customWidth="1"/>
    <col min="771" max="771" width="14.5546875" style="3" customWidth="1"/>
    <col min="772" max="781" width="15.88671875" style="3" customWidth="1"/>
    <col min="782" max="782" width="14.33203125" style="3" bestFit="1" customWidth="1"/>
    <col min="783" max="783" width="15.88671875" style="3" customWidth="1"/>
    <col min="784" max="1024" width="9.109375" style="3"/>
    <col min="1025" max="1025" width="39.109375" style="3" customWidth="1"/>
    <col min="1026" max="1026" width="1.109375" style="3" customWidth="1"/>
    <col min="1027" max="1027" width="14.5546875" style="3" customWidth="1"/>
    <col min="1028" max="1037" width="15.88671875" style="3" customWidth="1"/>
    <col min="1038" max="1038" width="14.33203125" style="3" bestFit="1" customWidth="1"/>
    <col min="1039" max="1039" width="15.88671875" style="3" customWidth="1"/>
    <col min="1040" max="1280" width="9.109375" style="3"/>
    <col min="1281" max="1281" width="39.109375" style="3" customWidth="1"/>
    <col min="1282" max="1282" width="1.109375" style="3" customWidth="1"/>
    <col min="1283" max="1283" width="14.5546875" style="3" customWidth="1"/>
    <col min="1284" max="1293" width="15.88671875" style="3" customWidth="1"/>
    <col min="1294" max="1294" width="14.33203125" style="3" bestFit="1" customWidth="1"/>
    <col min="1295" max="1295" width="15.88671875" style="3" customWidth="1"/>
    <col min="1296" max="1536" width="9.109375" style="3"/>
    <col min="1537" max="1537" width="39.109375" style="3" customWidth="1"/>
    <col min="1538" max="1538" width="1.109375" style="3" customWidth="1"/>
    <col min="1539" max="1539" width="14.5546875" style="3" customWidth="1"/>
    <col min="1540" max="1549" width="15.88671875" style="3" customWidth="1"/>
    <col min="1550" max="1550" width="14.33203125" style="3" bestFit="1" customWidth="1"/>
    <col min="1551" max="1551" width="15.88671875" style="3" customWidth="1"/>
    <col min="1552" max="1792" width="9.109375" style="3"/>
    <col min="1793" max="1793" width="39.109375" style="3" customWidth="1"/>
    <col min="1794" max="1794" width="1.109375" style="3" customWidth="1"/>
    <col min="1795" max="1795" width="14.5546875" style="3" customWidth="1"/>
    <col min="1796" max="1805" width="15.88671875" style="3" customWidth="1"/>
    <col min="1806" max="1806" width="14.33203125" style="3" bestFit="1" customWidth="1"/>
    <col min="1807" max="1807" width="15.88671875" style="3" customWidth="1"/>
    <col min="1808" max="2048" width="9.109375" style="3"/>
    <col min="2049" max="2049" width="39.109375" style="3" customWidth="1"/>
    <col min="2050" max="2050" width="1.109375" style="3" customWidth="1"/>
    <col min="2051" max="2051" width="14.5546875" style="3" customWidth="1"/>
    <col min="2052" max="2061" width="15.88671875" style="3" customWidth="1"/>
    <col min="2062" max="2062" width="14.33203125" style="3" bestFit="1" customWidth="1"/>
    <col min="2063" max="2063" width="15.88671875" style="3" customWidth="1"/>
    <col min="2064" max="2304" width="9.109375" style="3"/>
    <col min="2305" max="2305" width="39.109375" style="3" customWidth="1"/>
    <col min="2306" max="2306" width="1.109375" style="3" customWidth="1"/>
    <col min="2307" max="2307" width="14.5546875" style="3" customWidth="1"/>
    <col min="2308" max="2317" width="15.88671875" style="3" customWidth="1"/>
    <col min="2318" max="2318" width="14.33203125" style="3" bestFit="1" customWidth="1"/>
    <col min="2319" max="2319" width="15.88671875" style="3" customWidth="1"/>
    <col min="2320" max="2560" width="9.109375" style="3"/>
    <col min="2561" max="2561" width="39.109375" style="3" customWidth="1"/>
    <col min="2562" max="2562" width="1.109375" style="3" customWidth="1"/>
    <col min="2563" max="2563" width="14.5546875" style="3" customWidth="1"/>
    <col min="2564" max="2573" width="15.88671875" style="3" customWidth="1"/>
    <col min="2574" max="2574" width="14.33203125" style="3" bestFit="1" customWidth="1"/>
    <col min="2575" max="2575" width="15.88671875" style="3" customWidth="1"/>
    <col min="2576" max="2816" width="9.109375" style="3"/>
    <col min="2817" max="2817" width="39.109375" style="3" customWidth="1"/>
    <col min="2818" max="2818" width="1.109375" style="3" customWidth="1"/>
    <col min="2819" max="2819" width="14.5546875" style="3" customWidth="1"/>
    <col min="2820" max="2829" width="15.88671875" style="3" customWidth="1"/>
    <col min="2830" max="2830" width="14.33203125" style="3" bestFit="1" customWidth="1"/>
    <col min="2831" max="2831" width="15.88671875" style="3" customWidth="1"/>
    <col min="2832" max="3072" width="9.109375" style="3"/>
    <col min="3073" max="3073" width="39.109375" style="3" customWidth="1"/>
    <col min="3074" max="3074" width="1.109375" style="3" customWidth="1"/>
    <col min="3075" max="3075" width="14.5546875" style="3" customWidth="1"/>
    <col min="3076" max="3085" width="15.88671875" style="3" customWidth="1"/>
    <col min="3086" max="3086" width="14.33203125" style="3" bestFit="1" customWidth="1"/>
    <col min="3087" max="3087" width="15.88671875" style="3" customWidth="1"/>
    <col min="3088" max="3328" width="9.109375" style="3"/>
    <col min="3329" max="3329" width="39.109375" style="3" customWidth="1"/>
    <col min="3330" max="3330" width="1.109375" style="3" customWidth="1"/>
    <col min="3331" max="3331" width="14.5546875" style="3" customWidth="1"/>
    <col min="3332" max="3341" width="15.88671875" style="3" customWidth="1"/>
    <col min="3342" max="3342" width="14.33203125" style="3" bestFit="1" customWidth="1"/>
    <col min="3343" max="3343" width="15.88671875" style="3" customWidth="1"/>
    <col min="3344" max="3584" width="9.109375" style="3"/>
    <col min="3585" max="3585" width="39.109375" style="3" customWidth="1"/>
    <col min="3586" max="3586" width="1.109375" style="3" customWidth="1"/>
    <col min="3587" max="3587" width="14.5546875" style="3" customWidth="1"/>
    <col min="3588" max="3597" width="15.88671875" style="3" customWidth="1"/>
    <col min="3598" max="3598" width="14.33203125" style="3" bestFit="1" customWidth="1"/>
    <col min="3599" max="3599" width="15.88671875" style="3" customWidth="1"/>
    <col min="3600" max="3840" width="9.109375" style="3"/>
    <col min="3841" max="3841" width="39.109375" style="3" customWidth="1"/>
    <col min="3842" max="3842" width="1.109375" style="3" customWidth="1"/>
    <col min="3843" max="3843" width="14.5546875" style="3" customWidth="1"/>
    <col min="3844" max="3853" width="15.88671875" style="3" customWidth="1"/>
    <col min="3854" max="3854" width="14.33203125" style="3" bestFit="1" customWidth="1"/>
    <col min="3855" max="3855" width="15.88671875" style="3" customWidth="1"/>
    <col min="3856" max="4096" width="9.109375" style="3"/>
    <col min="4097" max="4097" width="39.109375" style="3" customWidth="1"/>
    <col min="4098" max="4098" width="1.109375" style="3" customWidth="1"/>
    <col min="4099" max="4099" width="14.5546875" style="3" customWidth="1"/>
    <col min="4100" max="4109" width="15.88671875" style="3" customWidth="1"/>
    <col min="4110" max="4110" width="14.33203125" style="3" bestFit="1" customWidth="1"/>
    <col min="4111" max="4111" width="15.88671875" style="3" customWidth="1"/>
    <col min="4112" max="4352" width="9.109375" style="3"/>
    <col min="4353" max="4353" width="39.109375" style="3" customWidth="1"/>
    <col min="4354" max="4354" width="1.109375" style="3" customWidth="1"/>
    <col min="4355" max="4355" width="14.5546875" style="3" customWidth="1"/>
    <col min="4356" max="4365" width="15.88671875" style="3" customWidth="1"/>
    <col min="4366" max="4366" width="14.33203125" style="3" bestFit="1" customWidth="1"/>
    <col min="4367" max="4367" width="15.88671875" style="3" customWidth="1"/>
    <col min="4368" max="4608" width="9.109375" style="3"/>
    <col min="4609" max="4609" width="39.109375" style="3" customWidth="1"/>
    <col min="4610" max="4610" width="1.109375" style="3" customWidth="1"/>
    <col min="4611" max="4611" width="14.5546875" style="3" customWidth="1"/>
    <col min="4612" max="4621" width="15.88671875" style="3" customWidth="1"/>
    <col min="4622" max="4622" width="14.33203125" style="3" bestFit="1" customWidth="1"/>
    <col min="4623" max="4623" width="15.88671875" style="3" customWidth="1"/>
    <col min="4624" max="4864" width="9.109375" style="3"/>
    <col min="4865" max="4865" width="39.109375" style="3" customWidth="1"/>
    <col min="4866" max="4866" width="1.109375" style="3" customWidth="1"/>
    <col min="4867" max="4867" width="14.5546875" style="3" customWidth="1"/>
    <col min="4868" max="4877" width="15.88671875" style="3" customWidth="1"/>
    <col min="4878" max="4878" width="14.33203125" style="3" bestFit="1" customWidth="1"/>
    <col min="4879" max="4879" width="15.88671875" style="3" customWidth="1"/>
    <col min="4880" max="5120" width="9.109375" style="3"/>
    <col min="5121" max="5121" width="39.109375" style="3" customWidth="1"/>
    <col min="5122" max="5122" width="1.109375" style="3" customWidth="1"/>
    <col min="5123" max="5123" width="14.5546875" style="3" customWidth="1"/>
    <col min="5124" max="5133" width="15.88671875" style="3" customWidth="1"/>
    <col min="5134" max="5134" width="14.33203125" style="3" bestFit="1" customWidth="1"/>
    <col min="5135" max="5135" width="15.88671875" style="3" customWidth="1"/>
    <col min="5136" max="5376" width="9.109375" style="3"/>
    <col min="5377" max="5377" width="39.109375" style="3" customWidth="1"/>
    <col min="5378" max="5378" width="1.109375" style="3" customWidth="1"/>
    <col min="5379" max="5379" width="14.5546875" style="3" customWidth="1"/>
    <col min="5380" max="5389" width="15.88671875" style="3" customWidth="1"/>
    <col min="5390" max="5390" width="14.33203125" style="3" bestFit="1" customWidth="1"/>
    <col min="5391" max="5391" width="15.88671875" style="3" customWidth="1"/>
    <col min="5392" max="5632" width="9.109375" style="3"/>
    <col min="5633" max="5633" width="39.109375" style="3" customWidth="1"/>
    <col min="5634" max="5634" width="1.109375" style="3" customWidth="1"/>
    <col min="5635" max="5635" width="14.5546875" style="3" customWidth="1"/>
    <col min="5636" max="5645" width="15.88671875" style="3" customWidth="1"/>
    <col min="5646" max="5646" width="14.33203125" style="3" bestFit="1" customWidth="1"/>
    <col min="5647" max="5647" width="15.88671875" style="3" customWidth="1"/>
    <col min="5648" max="5888" width="9.109375" style="3"/>
    <col min="5889" max="5889" width="39.109375" style="3" customWidth="1"/>
    <col min="5890" max="5890" width="1.109375" style="3" customWidth="1"/>
    <col min="5891" max="5891" width="14.5546875" style="3" customWidth="1"/>
    <col min="5892" max="5901" width="15.88671875" style="3" customWidth="1"/>
    <col min="5902" max="5902" width="14.33203125" style="3" bestFit="1" customWidth="1"/>
    <col min="5903" max="5903" width="15.88671875" style="3" customWidth="1"/>
    <col min="5904" max="6144" width="9.109375" style="3"/>
    <col min="6145" max="6145" width="39.109375" style="3" customWidth="1"/>
    <col min="6146" max="6146" width="1.109375" style="3" customWidth="1"/>
    <col min="6147" max="6147" width="14.5546875" style="3" customWidth="1"/>
    <col min="6148" max="6157" width="15.88671875" style="3" customWidth="1"/>
    <col min="6158" max="6158" width="14.33203125" style="3" bestFit="1" customWidth="1"/>
    <col min="6159" max="6159" width="15.88671875" style="3" customWidth="1"/>
    <col min="6160" max="6400" width="9.109375" style="3"/>
    <col min="6401" max="6401" width="39.109375" style="3" customWidth="1"/>
    <col min="6402" max="6402" width="1.109375" style="3" customWidth="1"/>
    <col min="6403" max="6403" width="14.5546875" style="3" customWidth="1"/>
    <col min="6404" max="6413" width="15.88671875" style="3" customWidth="1"/>
    <col min="6414" max="6414" width="14.33203125" style="3" bestFit="1" customWidth="1"/>
    <col min="6415" max="6415" width="15.88671875" style="3" customWidth="1"/>
    <col min="6416" max="6656" width="9.109375" style="3"/>
    <col min="6657" max="6657" width="39.109375" style="3" customWidth="1"/>
    <col min="6658" max="6658" width="1.109375" style="3" customWidth="1"/>
    <col min="6659" max="6659" width="14.5546875" style="3" customWidth="1"/>
    <col min="6660" max="6669" width="15.88671875" style="3" customWidth="1"/>
    <col min="6670" max="6670" width="14.33203125" style="3" bestFit="1" customWidth="1"/>
    <col min="6671" max="6671" width="15.88671875" style="3" customWidth="1"/>
    <col min="6672" max="6912" width="9.109375" style="3"/>
    <col min="6913" max="6913" width="39.109375" style="3" customWidth="1"/>
    <col min="6914" max="6914" width="1.109375" style="3" customWidth="1"/>
    <col min="6915" max="6915" width="14.5546875" style="3" customWidth="1"/>
    <col min="6916" max="6925" width="15.88671875" style="3" customWidth="1"/>
    <col min="6926" max="6926" width="14.33203125" style="3" bestFit="1" customWidth="1"/>
    <col min="6927" max="6927" width="15.88671875" style="3" customWidth="1"/>
    <col min="6928" max="7168" width="9.109375" style="3"/>
    <col min="7169" max="7169" width="39.109375" style="3" customWidth="1"/>
    <col min="7170" max="7170" width="1.109375" style="3" customWidth="1"/>
    <col min="7171" max="7171" width="14.5546875" style="3" customWidth="1"/>
    <col min="7172" max="7181" width="15.88671875" style="3" customWidth="1"/>
    <col min="7182" max="7182" width="14.33203125" style="3" bestFit="1" customWidth="1"/>
    <col min="7183" max="7183" width="15.88671875" style="3" customWidth="1"/>
    <col min="7184" max="7424" width="9.109375" style="3"/>
    <col min="7425" max="7425" width="39.109375" style="3" customWidth="1"/>
    <col min="7426" max="7426" width="1.109375" style="3" customWidth="1"/>
    <col min="7427" max="7427" width="14.5546875" style="3" customWidth="1"/>
    <col min="7428" max="7437" width="15.88671875" style="3" customWidth="1"/>
    <col min="7438" max="7438" width="14.33203125" style="3" bestFit="1" customWidth="1"/>
    <col min="7439" max="7439" width="15.88671875" style="3" customWidth="1"/>
    <col min="7440" max="7680" width="9.109375" style="3"/>
    <col min="7681" max="7681" width="39.109375" style="3" customWidth="1"/>
    <col min="7682" max="7682" width="1.109375" style="3" customWidth="1"/>
    <col min="7683" max="7683" width="14.5546875" style="3" customWidth="1"/>
    <col min="7684" max="7693" width="15.88671875" style="3" customWidth="1"/>
    <col min="7694" max="7694" width="14.33203125" style="3" bestFit="1" customWidth="1"/>
    <col min="7695" max="7695" width="15.88671875" style="3" customWidth="1"/>
    <col min="7696" max="7936" width="9.109375" style="3"/>
    <col min="7937" max="7937" width="39.109375" style="3" customWidth="1"/>
    <col min="7938" max="7938" width="1.109375" style="3" customWidth="1"/>
    <col min="7939" max="7939" width="14.5546875" style="3" customWidth="1"/>
    <col min="7940" max="7949" width="15.88671875" style="3" customWidth="1"/>
    <col min="7950" max="7950" width="14.33203125" style="3" bestFit="1" customWidth="1"/>
    <col min="7951" max="7951" width="15.88671875" style="3" customWidth="1"/>
    <col min="7952" max="8192" width="9.109375" style="3"/>
    <col min="8193" max="8193" width="39.109375" style="3" customWidth="1"/>
    <col min="8194" max="8194" width="1.109375" style="3" customWidth="1"/>
    <col min="8195" max="8195" width="14.5546875" style="3" customWidth="1"/>
    <col min="8196" max="8205" width="15.88671875" style="3" customWidth="1"/>
    <col min="8206" max="8206" width="14.33203125" style="3" bestFit="1" customWidth="1"/>
    <col min="8207" max="8207" width="15.88671875" style="3" customWidth="1"/>
    <col min="8208" max="8448" width="9.109375" style="3"/>
    <col min="8449" max="8449" width="39.109375" style="3" customWidth="1"/>
    <col min="8450" max="8450" width="1.109375" style="3" customWidth="1"/>
    <col min="8451" max="8451" width="14.5546875" style="3" customWidth="1"/>
    <col min="8452" max="8461" width="15.88671875" style="3" customWidth="1"/>
    <col min="8462" max="8462" width="14.33203125" style="3" bestFit="1" customWidth="1"/>
    <col min="8463" max="8463" width="15.88671875" style="3" customWidth="1"/>
    <col min="8464" max="8704" width="9.109375" style="3"/>
    <col min="8705" max="8705" width="39.109375" style="3" customWidth="1"/>
    <col min="8706" max="8706" width="1.109375" style="3" customWidth="1"/>
    <col min="8707" max="8707" width="14.5546875" style="3" customWidth="1"/>
    <col min="8708" max="8717" width="15.88671875" style="3" customWidth="1"/>
    <col min="8718" max="8718" width="14.33203125" style="3" bestFit="1" customWidth="1"/>
    <col min="8719" max="8719" width="15.88671875" style="3" customWidth="1"/>
    <col min="8720" max="8960" width="9.109375" style="3"/>
    <col min="8961" max="8961" width="39.109375" style="3" customWidth="1"/>
    <col min="8962" max="8962" width="1.109375" style="3" customWidth="1"/>
    <col min="8963" max="8963" width="14.5546875" style="3" customWidth="1"/>
    <col min="8964" max="8973" width="15.88671875" style="3" customWidth="1"/>
    <col min="8974" max="8974" width="14.33203125" style="3" bestFit="1" customWidth="1"/>
    <col min="8975" max="8975" width="15.88671875" style="3" customWidth="1"/>
    <col min="8976" max="9216" width="9.109375" style="3"/>
    <col min="9217" max="9217" width="39.109375" style="3" customWidth="1"/>
    <col min="9218" max="9218" width="1.109375" style="3" customWidth="1"/>
    <col min="9219" max="9219" width="14.5546875" style="3" customWidth="1"/>
    <col min="9220" max="9229" width="15.88671875" style="3" customWidth="1"/>
    <col min="9230" max="9230" width="14.33203125" style="3" bestFit="1" customWidth="1"/>
    <col min="9231" max="9231" width="15.88671875" style="3" customWidth="1"/>
    <col min="9232" max="9472" width="9.109375" style="3"/>
    <col min="9473" max="9473" width="39.109375" style="3" customWidth="1"/>
    <col min="9474" max="9474" width="1.109375" style="3" customWidth="1"/>
    <col min="9475" max="9475" width="14.5546875" style="3" customWidth="1"/>
    <col min="9476" max="9485" width="15.88671875" style="3" customWidth="1"/>
    <col min="9486" max="9486" width="14.33203125" style="3" bestFit="1" customWidth="1"/>
    <col min="9487" max="9487" width="15.88671875" style="3" customWidth="1"/>
    <col min="9488" max="9728" width="9.109375" style="3"/>
    <col min="9729" max="9729" width="39.109375" style="3" customWidth="1"/>
    <col min="9730" max="9730" width="1.109375" style="3" customWidth="1"/>
    <col min="9731" max="9731" width="14.5546875" style="3" customWidth="1"/>
    <col min="9732" max="9741" width="15.88671875" style="3" customWidth="1"/>
    <col min="9742" max="9742" width="14.33203125" style="3" bestFit="1" customWidth="1"/>
    <col min="9743" max="9743" width="15.88671875" style="3" customWidth="1"/>
    <col min="9744" max="9984" width="9.109375" style="3"/>
    <col min="9985" max="9985" width="39.109375" style="3" customWidth="1"/>
    <col min="9986" max="9986" width="1.109375" style="3" customWidth="1"/>
    <col min="9987" max="9987" width="14.5546875" style="3" customWidth="1"/>
    <col min="9988" max="9997" width="15.88671875" style="3" customWidth="1"/>
    <col min="9998" max="9998" width="14.33203125" style="3" bestFit="1" customWidth="1"/>
    <col min="9999" max="9999" width="15.88671875" style="3" customWidth="1"/>
    <col min="10000" max="10240" width="9.109375" style="3"/>
    <col min="10241" max="10241" width="39.109375" style="3" customWidth="1"/>
    <col min="10242" max="10242" width="1.109375" style="3" customWidth="1"/>
    <col min="10243" max="10243" width="14.5546875" style="3" customWidth="1"/>
    <col min="10244" max="10253" width="15.88671875" style="3" customWidth="1"/>
    <col min="10254" max="10254" width="14.33203125" style="3" bestFit="1" customWidth="1"/>
    <col min="10255" max="10255" width="15.88671875" style="3" customWidth="1"/>
    <col min="10256" max="10496" width="9.109375" style="3"/>
    <col min="10497" max="10497" width="39.109375" style="3" customWidth="1"/>
    <col min="10498" max="10498" width="1.109375" style="3" customWidth="1"/>
    <col min="10499" max="10499" width="14.5546875" style="3" customWidth="1"/>
    <col min="10500" max="10509" width="15.88671875" style="3" customWidth="1"/>
    <col min="10510" max="10510" width="14.33203125" style="3" bestFit="1" customWidth="1"/>
    <col min="10511" max="10511" width="15.88671875" style="3" customWidth="1"/>
    <col min="10512" max="10752" width="9.109375" style="3"/>
    <col min="10753" max="10753" width="39.109375" style="3" customWidth="1"/>
    <col min="10754" max="10754" width="1.109375" style="3" customWidth="1"/>
    <col min="10755" max="10755" width="14.5546875" style="3" customWidth="1"/>
    <col min="10756" max="10765" width="15.88671875" style="3" customWidth="1"/>
    <col min="10766" max="10766" width="14.33203125" style="3" bestFit="1" customWidth="1"/>
    <col min="10767" max="10767" width="15.88671875" style="3" customWidth="1"/>
    <col min="10768" max="11008" width="9.109375" style="3"/>
    <col min="11009" max="11009" width="39.109375" style="3" customWidth="1"/>
    <col min="11010" max="11010" width="1.109375" style="3" customWidth="1"/>
    <col min="11011" max="11011" width="14.5546875" style="3" customWidth="1"/>
    <col min="11012" max="11021" width="15.88671875" style="3" customWidth="1"/>
    <col min="11022" max="11022" width="14.33203125" style="3" bestFit="1" customWidth="1"/>
    <col min="11023" max="11023" width="15.88671875" style="3" customWidth="1"/>
    <col min="11024" max="11264" width="9.109375" style="3"/>
    <col min="11265" max="11265" width="39.109375" style="3" customWidth="1"/>
    <col min="11266" max="11266" width="1.109375" style="3" customWidth="1"/>
    <col min="11267" max="11267" width="14.5546875" style="3" customWidth="1"/>
    <col min="11268" max="11277" width="15.88671875" style="3" customWidth="1"/>
    <col min="11278" max="11278" width="14.33203125" style="3" bestFit="1" customWidth="1"/>
    <col min="11279" max="11279" width="15.88671875" style="3" customWidth="1"/>
    <col min="11280" max="11520" width="9.109375" style="3"/>
    <col min="11521" max="11521" width="39.109375" style="3" customWidth="1"/>
    <col min="11522" max="11522" width="1.109375" style="3" customWidth="1"/>
    <col min="11523" max="11523" width="14.5546875" style="3" customWidth="1"/>
    <col min="11524" max="11533" width="15.88671875" style="3" customWidth="1"/>
    <col min="11534" max="11534" width="14.33203125" style="3" bestFit="1" customWidth="1"/>
    <col min="11535" max="11535" width="15.88671875" style="3" customWidth="1"/>
    <col min="11536" max="11776" width="9.109375" style="3"/>
    <col min="11777" max="11777" width="39.109375" style="3" customWidth="1"/>
    <col min="11778" max="11778" width="1.109375" style="3" customWidth="1"/>
    <col min="11779" max="11779" width="14.5546875" style="3" customWidth="1"/>
    <col min="11780" max="11789" width="15.88671875" style="3" customWidth="1"/>
    <col min="11790" max="11790" width="14.33203125" style="3" bestFit="1" customWidth="1"/>
    <col min="11791" max="11791" width="15.88671875" style="3" customWidth="1"/>
    <col min="11792" max="12032" width="9.109375" style="3"/>
    <col min="12033" max="12033" width="39.109375" style="3" customWidth="1"/>
    <col min="12034" max="12034" width="1.109375" style="3" customWidth="1"/>
    <col min="12035" max="12035" width="14.5546875" style="3" customWidth="1"/>
    <col min="12036" max="12045" width="15.88671875" style="3" customWidth="1"/>
    <col min="12046" max="12046" width="14.33203125" style="3" bestFit="1" customWidth="1"/>
    <col min="12047" max="12047" width="15.88671875" style="3" customWidth="1"/>
    <col min="12048" max="12288" width="9.109375" style="3"/>
    <col min="12289" max="12289" width="39.109375" style="3" customWidth="1"/>
    <col min="12290" max="12290" width="1.109375" style="3" customWidth="1"/>
    <col min="12291" max="12291" width="14.5546875" style="3" customWidth="1"/>
    <col min="12292" max="12301" width="15.88671875" style="3" customWidth="1"/>
    <col min="12302" max="12302" width="14.33203125" style="3" bestFit="1" customWidth="1"/>
    <col min="12303" max="12303" width="15.88671875" style="3" customWidth="1"/>
    <col min="12304" max="12544" width="9.109375" style="3"/>
    <col min="12545" max="12545" width="39.109375" style="3" customWidth="1"/>
    <col min="12546" max="12546" width="1.109375" style="3" customWidth="1"/>
    <col min="12547" max="12547" width="14.5546875" style="3" customWidth="1"/>
    <col min="12548" max="12557" width="15.88671875" style="3" customWidth="1"/>
    <col min="12558" max="12558" width="14.33203125" style="3" bestFit="1" customWidth="1"/>
    <col min="12559" max="12559" width="15.88671875" style="3" customWidth="1"/>
    <col min="12560" max="12800" width="9.109375" style="3"/>
    <col min="12801" max="12801" width="39.109375" style="3" customWidth="1"/>
    <col min="12802" max="12802" width="1.109375" style="3" customWidth="1"/>
    <col min="12803" max="12803" width="14.5546875" style="3" customWidth="1"/>
    <col min="12804" max="12813" width="15.88671875" style="3" customWidth="1"/>
    <col min="12814" max="12814" width="14.33203125" style="3" bestFit="1" customWidth="1"/>
    <col min="12815" max="12815" width="15.88671875" style="3" customWidth="1"/>
    <col min="12816" max="13056" width="9.109375" style="3"/>
    <col min="13057" max="13057" width="39.109375" style="3" customWidth="1"/>
    <col min="13058" max="13058" width="1.109375" style="3" customWidth="1"/>
    <col min="13059" max="13059" width="14.5546875" style="3" customWidth="1"/>
    <col min="13060" max="13069" width="15.88671875" style="3" customWidth="1"/>
    <col min="13070" max="13070" width="14.33203125" style="3" bestFit="1" customWidth="1"/>
    <col min="13071" max="13071" width="15.88671875" style="3" customWidth="1"/>
    <col min="13072" max="13312" width="9.109375" style="3"/>
    <col min="13313" max="13313" width="39.109375" style="3" customWidth="1"/>
    <col min="13314" max="13314" width="1.109375" style="3" customWidth="1"/>
    <col min="13315" max="13315" width="14.5546875" style="3" customWidth="1"/>
    <col min="13316" max="13325" width="15.88671875" style="3" customWidth="1"/>
    <col min="13326" max="13326" width="14.33203125" style="3" bestFit="1" customWidth="1"/>
    <col min="13327" max="13327" width="15.88671875" style="3" customWidth="1"/>
    <col min="13328" max="13568" width="9.109375" style="3"/>
    <col min="13569" max="13569" width="39.109375" style="3" customWidth="1"/>
    <col min="13570" max="13570" width="1.109375" style="3" customWidth="1"/>
    <col min="13571" max="13571" width="14.5546875" style="3" customWidth="1"/>
    <col min="13572" max="13581" width="15.88671875" style="3" customWidth="1"/>
    <col min="13582" max="13582" width="14.33203125" style="3" bestFit="1" customWidth="1"/>
    <col min="13583" max="13583" width="15.88671875" style="3" customWidth="1"/>
    <col min="13584" max="13824" width="9.109375" style="3"/>
    <col min="13825" max="13825" width="39.109375" style="3" customWidth="1"/>
    <col min="13826" max="13826" width="1.109375" style="3" customWidth="1"/>
    <col min="13827" max="13827" width="14.5546875" style="3" customWidth="1"/>
    <col min="13828" max="13837" width="15.88671875" style="3" customWidth="1"/>
    <col min="13838" max="13838" width="14.33203125" style="3" bestFit="1" customWidth="1"/>
    <col min="13839" max="13839" width="15.88671875" style="3" customWidth="1"/>
    <col min="13840" max="14080" width="9.109375" style="3"/>
    <col min="14081" max="14081" width="39.109375" style="3" customWidth="1"/>
    <col min="14082" max="14082" width="1.109375" style="3" customWidth="1"/>
    <col min="14083" max="14083" width="14.5546875" style="3" customWidth="1"/>
    <col min="14084" max="14093" width="15.88671875" style="3" customWidth="1"/>
    <col min="14094" max="14094" width="14.33203125" style="3" bestFit="1" customWidth="1"/>
    <col min="14095" max="14095" width="15.88671875" style="3" customWidth="1"/>
    <col min="14096" max="14336" width="9.109375" style="3"/>
    <col min="14337" max="14337" width="39.109375" style="3" customWidth="1"/>
    <col min="14338" max="14338" width="1.109375" style="3" customWidth="1"/>
    <col min="14339" max="14339" width="14.5546875" style="3" customWidth="1"/>
    <col min="14340" max="14349" width="15.88671875" style="3" customWidth="1"/>
    <col min="14350" max="14350" width="14.33203125" style="3" bestFit="1" customWidth="1"/>
    <col min="14351" max="14351" width="15.88671875" style="3" customWidth="1"/>
    <col min="14352" max="14592" width="9.109375" style="3"/>
    <col min="14593" max="14593" width="39.109375" style="3" customWidth="1"/>
    <col min="14594" max="14594" width="1.109375" style="3" customWidth="1"/>
    <col min="14595" max="14595" width="14.5546875" style="3" customWidth="1"/>
    <col min="14596" max="14605" width="15.88671875" style="3" customWidth="1"/>
    <col min="14606" max="14606" width="14.33203125" style="3" bestFit="1" customWidth="1"/>
    <col min="14607" max="14607" width="15.88671875" style="3" customWidth="1"/>
    <col min="14608" max="14848" width="9.109375" style="3"/>
    <col min="14849" max="14849" width="39.109375" style="3" customWidth="1"/>
    <col min="14850" max="14850" width="1.109375" style="3" customWidth="1"/>
    <col min="14851" max="14851" width="14.5546875" style="3" customWidth="1"/>
    <col min="14852" max="14861" width="15.88671875" style="3" customWidth="1"/>
    <col min="14862" max="14862" width="14.33203125" style="3" bestFit="1" customWidth="1"/>
    <col min="14863" max="14863" width="15.88671875" style="3" customWidth="1"/>
    <col min="14864" max="15104" width="9.109375" style="3"/>
    <col min="15105" max="15105" width="39.109375" style="3" customWidth="1"/>
    <col min="15106" max="15106" width="1.109375" style="3" customWidth="1"/>
    <col min="15107" max="15107" width="14.5546875" style="3" customWidth="1"/>
    <col min="15108" max="15117" width="15.88671875" style="3" customWidth="1"/>
    <col min="15118" max="15118" width="14.33203125" style="3" bestFit="1" customWidth="1"/>
    <col min="15119" max="15119" width="15.88671875" style="3" customWidth="1"/>
    <col min="15120" max="15360" width="9.109375" style="3"/>
    <col min="15361" max="15361" width="39.109375" style="3" customWidth="1"/>
    <col min="15362" max="15362" width="1.109375" style="3" customWidth="1"/>
    <col min="15363" max="15363" width="14.5546875" style="3" customWidth="1"/>
    <col min="15364" max="15373" width="15.88671875" style="3" customWidth="1"/>
    <col min="15374" max="15374" width="14.33203125" style="3" bestFit="1" customWidth="1"/>
    <col min="15375" max="15375" width="15.88671875" style="3" customWidth="1"/>
    <col min="15376" max="15616" width="9.109375" style="3"/>
    <col min="15617" max="15617" width="39.109375" style="3" customWidth="1"/>
    <col min="15618" max="15618" width="1.109375" style="3" customWidth="1"/>
    <col min="15619" max="15619" width="14.5546875" style="3" customWidth="1"/>
    <col min="15620" max="15629" width="15.88671875" style="3" customWidth="1"/>
    <col min="15630" max="15630" width="14.33203125" style="3" bestFit="1" customWidth="1"/>
    <col min="15631" max="15631" width="15.88671875" style="3" customWidth="1"/>
    <col min="15632" max="15872" width="9.109375" style="3"/>
    <col min="15873" max="15873" width="39.109375" style="3" customWidth="1"/>
    <col min="15874" max="15874" width="1.109375" style="3" customWidth="1"/>
    <col min="15875" max="15875" width="14.5546875" style="3" customWidth="1"/>
    <col min="15876" max="15885" width="15.88671875" style="3" customWidth="1"/>
    <col min="15886" max="15886" width="14.33203125" style="3" bestFit="1" customWidth="1"/>
    <col min="15887" max="15887" width="15.88671875" style="3" customWidth="1"/>
    <col min="15888" max="16128" width="9.109375" style="3"/>
    <col min="16129" max="16129" width="39.109375" style="3" customWidth="1"/>
    <col min="16130" max="16130" width="1.109375" style="3" customWidth="1"/>
    <col min="16131" max="16131" width="14.5546875" style="3" customWidth="1"/>
    <col min="16132" max="16141" width="15.88671875" style="3" customWidth="1"/>
    <col min="16142" max="16142" width="14.33203125" style="3" bestFit="1" customWidth="1"/>
    <col min="16143" max="16143" width="15.88671875" style="3" customWidth="1"/>
    <col min="16144" max="16384" width="9.109375" style="3"/>
  </cols>
  <sheetData>
    <row r="1" spans="1:18" ht="21" x14ac:dyDescent="0.4">
      <c r="A1" s="1" t="s">
        <v>0</v>
      </c>
      <c r="B1" s="1"/>
      <c r="C1" s="2"/>
      <c r="D1" s="5"/>
      <c r="P1" s="5"/>
      <c r="Q1" s="5"/>
      <c r="R1" s="5"/>
    </row>
    <row r="2" spans="1:18" ht="21" x14ac:dyDescent="0.4">
      <c r="A2" s="4" t="s">
        <v>1</v>
      </c>
      <c r="B2" s="4"/>
      <c r="C2" s="5"/>
      <c r="D2" s="5"/>
      <c r="P2" s="5"/>
      <c r="Q2" s="5"/>
      <c r="R2" s="5"/>
    </row>
    <row r="3" spans="1:18" ht="21" x14ac:dyDescent="0.4">
      <c r="A3" s="6" t="str">
        <f>'[40]Supplier &amp; Trans Data 2012'!A3</f>
        <v>For the Billing Months of January to December 2012</v>
      </c>
      <c r="B3" s="6"/>
      <c r="C3" s="7"/>
      <c r="D3" s="7"/>
      <c r="P3" s="5"/>
      <c r="Q3" s="5"/>
      <c r="R3" s="5"/>
    </row>
    <row r="4" spans="1:18" ht="21" x14ac:dyDescent="0.4">
      <c r="A4" s="4"/>
      <c r="B4" s="4"/>
      <c r="C4" s="5"/>
      <c r="D4" s="5"/>
      <c r="P4" s="5"/>
      <c r="Q4" s="5"/>
      <c r="R4" s="5"/>
    </row>
    <row r="5" spans="1:18" ht="21" x14ac:dyDescent="0.4">
      <c r="A5" s="8"/>
      <c r="B5" s="4"/>
      <c r="C5" s="5"/>
      <c r="D5" s="5"/>
      <c r="P5" s="5"/>
      <c r="Q5" s="5"/>
      <c r="R5" s="5"/>
    </row>
    <row r="6" spans="1:18" ht="18" x14ac:dyDescent="0.35">
      <c r="A6" s="9" t="s">
        <v>2</v>
      </c>
      <c r="B6" s="9"/>
      <c r="C6" s="5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5"/>
      <c r="Q6" s="5"/>
      <c r="R6" s="5"/>
    </row>
    <row r="7" spans="1:18" s="13" customFormat="1" ht="14.4" x14ac:dyDescent="0.3">
      <c r="A7" s="11" t="s">
        <v>3</v>
      </c>
      <c r="B7" s="11"/>
      <c r="C7" s="11" t="s">
        <v>4</v>
      </c>
      <c r="D7" s="12" t="s">
        <v>5</v>
      </c>
      <c r="E7" s="12" t="s">
        <v>6</v>
      </c>
      <c r="F7" s="12" t="s">
        <v>7</v>
      </c>
      <c r="G7" s="12" t="s">
        <v>8</v>
      </c>
      <c r="H7" s="12" t="s">
        <v>9</v>
      </c>
      <c r="I7" s="12" t="s">
        <v>10</v>
      </c>
      <c r="J7" s="12" t="s">
        <v>11</v>
      </c>
      <c r="K7" s="12" t="s">
        <v>12</v>
      </c>
      <c r="L7" s="12" t="s">
        <v>13</v>
      </c>
      <c r="M7" s="12" t="s">
        <v>14</v>
      </c>
      <c r="N7" s="12" t="s">
        <v>15</v>
      </c>
      <c r="O7" s="12" t="s">
        <v>16</v>
      </c>
      <c r="P7" s="153"/>
      <c r="Q7" s="153"/>
      <c r="R7" s="153"/>
    </row>
    <row r="8" spans="1:18" ht="14.4" x14ac:dyDescent="0.3">
      <c r="A8" s="14" t="s">
        <v>17</v>
      </c>
      <c r="B8" s="15"/>
      <c r="C8" s="16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5"/>
      <c r="Q8" s="5"/>
      <c r="R8" s="5"/>
    </row>
    <row r="9" spans="1:18" ht="14.4" x14ac:dyDescent="0.3">
      <c r="A9" s="18" t="s">
        <v>18</v>
      </c>
      <c r="B9" s="19"/>
      <c r="C9" s="16" t="s">
        <v>19</v>
      </c>
      <c r="D9" s="20">
        <f>D989</f>
        <v>5.4642999999999997</v>
      </c>
      <c r="E9" s="20">
        <f t="shared" ref="E9:O9" si="0">E989</f>
        <v>5.5773999999999999</v>
      </c>
      <c r="F9" s="20">
        <f t="shared" si="0"/>
        <v>5.3348000000000004</v>
      </c>
      <c r="G9" s="20">
        <f t="shared" si="0"/>
        <v>5.6620999999999997</v>
      </c>
      <c r="H9" s="20">
        <f t="shared" si="0"/>
        <v>5.5983000000000001</v>
      </c>
      <c r="I9" s="20">
        <f t="shared" si="0"/>
        <v>6.1375000000000002</v>
      </c>
      <c r="J9" s="20">
        <f t="shared" si="0"/>
        <v>6.4549000000000003</v>
      </c>
      <c r="K9" s="20">
        <f t="shared" si="0"/>
        <v>6.7397</v>
      </c>
      <c r="L9" s="20">
        <f t="shared" si="0"/>
        <v>5.3964999999999996</v>
      </c>
      <c r="M9" s="20">
        <f t="shared" si="0"/>
        <v>5.4978999999999996</v>
      </c>
      <c r="N9" s="20">
        <f t="shared" si="0"/>
        <v>5.6330999999999998</v>
      </c>
      <c r="O9" s="20">
        <f t="shared" si="0"/>
        <v>5.4817</v>
      </c>
      <c r="P9" s="5"/>
      <c r="Q9" s="5"/>
      <c r="R9" s="5"/>
    </row>
    <row r="10" spans="1:18" ht="14.4" x14ac:dyDescent="0.3">
      <c r="A10" s="18" t="s">
        <v>66</v>
      </c>
      <c r="B10" s="19"/>
      <c r="C10" s="16" t="s">
        <v>19</v>
      </c>
      <c r="D10" s="20">
        <v>0</v>
      </c>
      <c r="E10" s="20">
        <v>0</v>
      </c>
      <c r="F10" s="20">
        <v>0</v>
      </c>
      <c r="G10" s="20">
        <v>0</v>
      </c>
      <c r="H10" s="20">
        <v>0</v>
      </c>
      <c r="I10" s="20">
        <v>0</v>
      </c>
      <c r="J10" s="20">
        <v>0</v>
      </c>
      <c r="K10" s="20">
        <v>0</v>
      </c>
      <c r="L10" s="20">
        <v>0</v>
      </c>
      <c r="M10" s="20">
        <v>0</v>
      </c>
      <c r="N10" s="20">
        <v>0</v>
      </c>
      <c r="O10" s="20">
        <v>0</v>
      </c>
      <c r="P10" s="5"/>
      <c r="Q10" s="5"/>
      <c r="R10" s="5"/>
    </row>
    <row r="11" spans="1:18" ht="14.4" x14ac:dyDescent="0.3">
      <c r="A11" s="14" t="s">
        <v>20</v>
      </c>
      <c r="B11" s="15"/>
      <c r="C11" s="16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5"/>
      <c r="Q11" s="5"/>
      <c r="R11" s="5"/>
    </row>
    <row r="12" spans="1:18" ht="14.4" x14ac:dyDescent="0.3">
      <c r="A12" s="18" t="s">
        <v>21</v>
      </c>
      <c r="B12" s="19"/>
      <c r="C12" s="16" t="s">
        <v>19</v>
      </c>
      <c r="D12" s="20">
        <f>[40]TR!D79</f>
        <v>1.1901999999999999</v>
      </c>
      <c r="E12" s="20">
        <f>[40]TR!E79</f>
        <v>1.0365</v>
      </c>
      <c r="F12" s="20">
        <f>[40]TR!F79</f>
        <v>0.9849</v>
      </c>
      <c r="G12" s="20">
        <f>[40]TR!G79</f>
        <v>0.99509999999999998</v>
      </c>
      <c r="H12" s="20">
        <f>[40]TR!H79</f>
        <v>0.99199999999999999</v>
      </c>
      <c r="I12" s="20">
        <f>[40]TR!I79</f>
        <v>1.0683</v>
      </c>
      <c r="J12" s="20">
        <f>[40]TR!J79</f>
        <v>1.0085999999999999</v>
      </c>
      <c r="K12" s="20">
        <f>[40]TR!K79</f>
        <v>0.98870000000000002</v>
      </c>
      <c r="L12" s="20">
        <f>[40]TR!L79</f>
        <v>0.84160000000000001</v>
      </c>
      <c r="M12" s="20">
        <f>[40]TR!M79</f>
        <v>0.88790000000000002</v>
      </c>
      <c r="N12" s="20">
        <f>[40]TR!N79</f>
        <v>0.9748</v>
      </c>
      <c r="O12" s="20">
        <f>[40]TR!O79</f>
        <v>0.86739999999999995</v>
      </c>
      <c r="P12" s="5"/>
      <c r="Q12" s="5"/>
      <c r="R12" s="5"/>
    </row>
    <row r="13" spans="1:18" ht="14.4" x14ac:dyDescent="0.3">
      <c r="A13" s="18" t="s">
        <v>22</v>
      </c>
      <c r="B13" s="19"/>
      <c r="C13" s="16" t="s">
        <v>23</v>
      </c>
      <c r="D13" s="23">
        <v>0</v>
      </c>
      <c r="E13" s="23">
        <v>0</v>
      </c>
      <c r="F13" s="23">
        <v>0</v>
      </c>
      <c r="G13" s="23">
        <v>0</v>
      </c>
      <c r="H13" s="23">
        <v>0</v>
      </c>
      <c r="I13" s="23">
        <v>0</v>
      </c>
      <c r="J13" s="23">
        <v>0</v>
      </c>
      <c r="K13" s="23">
        <v>0</v>
      </c>
      <c r="L13" s="23">
        <v>0</v>
      </c>
      <c r="M13" s="23">
        <v>0</v>
      </c>
      <c r="N13" s="23">
        <v>0</v>
      </c>
      <c r="O13" s="23">
        <v>0</v>
      </c>
      <c r="P13" s="5"/>
      <c r="Q13" s="5"/>
      <c r="R13" s="5"/>
    </row>
    <row r="14" spans="1:18" ht="14.4" x14ac:dyDescent="0.3">
      <c r="A14" s="14" t="s">
        <v>24</v>
      </c>
      <c r="B14" s="15"/>
      <c r="C14" s="16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5"/>
      <c r="Q14" s="5"/>
      <c r="R14" s="5"/>
    </row>
    <row r="15" spans="1:18" ht="14.4" x14ac:dyDescent="0.3">
      <c r="A15" s="18" t="s">
        <v>25</v>
      </c>
      <c r="B15" s="19"/>
      <c r="C15" s="16" t="s">
        <v>19</v>
      </c>
      <c r="D15" s="20">
        <f>[40]SLR!D122</f>
        <v>0.65939999999999999</v>
      </c>
      <c r="E15" s="20">
        <f>[40]SLR!E122</f>
        <v>0.65849999999999997</v>
      </c>
      <c r="F15" s="20">
        <f>[40]SLR!F122</f>
        <v>0.624</v>
      </c>
      <c r="G15" s="20">
        <f>[40]SLR!G122</f>
        <v>0.66700000000000004</v>
      </c>
      <c r="H15" s="20">
        <f>[40]SLR!H122</f>
        <v>0.69189999999999996</v>
      </c>
      <c r="I15" s="20">
        <f>[40]SLR!I122</f>
        <v>0.73960000000000004</v>
      </c>
      <c r="J15" s="20">
        <f>[40]SLR!J122</f>
        <v>0.76259999999999994</v>
      </c>
      <c r="K15" s="20">
        <f>[40]SLR!K122</f>
        <v>0.77769999999999995</v>
      </c>
      <c r="L15" s="20">
        <f>[40]SLR!L122</f>
        <v>0.61739999999999995</v>
      </c>
      <c r="M15" s="20">
        <f>[40]SLR!M122</f>
        <v>0.63919999999999999</v>
      </c>
      <c r="N15" s="20">
        <f>[40]SLR!N122</f>
        <v>0.66279999999999994</v>
      </c>
      <c r="O15" s="20">
        <f>[40]SLR!O122</f>
        <v>0.62280000000000002</v>
      </c>
      <c r="P15" s="5"/>
      <c r="Q15" s="5"/>
      <c r="R15" s="5"/>
    </row>
    <row r="16" spans="1:18" ht="14.4" x14ac:dyDescent="0.3">
      <c r="A16" s="14" t="s">
        <v>26</v>
      </c>
      <c r="B16" s="14"/>
      <c r="C16" s="16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5"/>
      <c r="Q16" s="5"/>
      <c r="R16" s="5"/>
    </row>
    <row r="17" spans="1:18" ht="14.4" x14ac:dyDescent="0.3">
      <c r="A17" s="18" t="s">
        <v>27</v>
      </c>
      <c r="B17" s="18"/>
      <c r="C17" s="16" t="s">
        <v>19</v>
      </c>
      <c r="D17" s="20">
        <v>2.13</v>
      </c>
      <c r="E17" s="20">
        <v>2.13</v>
      </c>
      <c r="F17" s="20">
        <v>2.13</v>
      </c>
      <c r="G17" s="20">
        <v>2.13</v>
      </c>
      <c r="H17" s="20">
        <v>2.13</v>
      </c>
      <c r="I17" s="20">
        <v>2.13</v>
      </c>
      <c r="J17" s="20">
        <v>2.35</v>
      </c>
      <c r="K17" s="20">
        <v>2.35</v>
      </c>
      <c r="L17" s="20">
        <v>2.35</v>
      </c>
      <c r="M17" s="20">
        <v>2.35</v>
      </c>
      <c r="N17" s="20">
        <v>2.35</v>
      </c>
      <c r="O17" s="20">
        <v>2.35</v>
      </c>
      <c r="P17" s="5"/>
      <c r="Q17" s="5"/>
      <c r="R17" s="5"/>
    </row>
    <row r="18" spans="1:18" ht="14.4" x14ac:dyDescent="0.3">
      <c r="A18" s="18" t="s">
        <v>28</v>
      </c>
      <c r="B18" s="18"/>
      <c r="C18" s="16" t="s">
        <v>23</v>
      </c>
      <c r="D18" s="23">
        <v>0</v>
      </c>
      <c r="E18" s="23">
        <v>0</v>
      </c>
      <c r="F18" s="23">
        <v>0</v>
      </c>
      <c r="G18" s="23">
        <v>0</v>
      </c>
      <c r="H18" s="23">
        <v>0</v>
      </c>
      <c r="I18" s="23">
        <v>0</v>
      </c>
      <c r="J18" s="23">
        <v>0</v>
      </c>
      <c r="K18" s="23">
        <v>0</v>
      </c>
      <c r="L18" s="23">
        <v>0</v>
      </c>
      <c r="M18" s="23">
        <v>0</v>
      </c>
      <c r="N18" s="23">
        <v>0</v>
      </c>
      <c r="O18" s="23">
        <v>0</v>
      </c>
      <c r="P18" s="5"/>
      <c r="Q18" s="5"/>
      <c r="R18" s="5"/>
    </row>
    <row r="19" spans="1:18" s="5" customFormat="1" ht="14.4" x14ac:dyDescent="0.3">
      <c r="A19" s="14" t="s">
        <v>29</v>
      </c>
      <c r="B19" s="14"/>
      <c r="C19" s="16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</row>
    <row r="20" spans="1:18" ht="14.4" x14ac:dyDescent="0.3">
      <c r="A20" s="18" t="s">
        <v>30</v>
      </c>
      <c r="B20" s="18"/>
      <c r="C20" s="16" t="s">
        <v>19</v>
      </c>
      <c r="D20" s="20">
        <v>0.7</v>
      </c>
      <c r="E20" s="20">
        <v>0.7</v>
      </c>
      <c r="F20" s="20">
        <v>0.7</v>
      </c>
      <c r="G20" s="20">
        <v>0.7</v>
      </c>
      <c r="H20" s="20">
        <v>0.7</v>
      </c>
      <c r="I20" s="20">
        <v>0.7</v>
      </c>
      <c r="J20" s="20">
        <v>0.76</v>
      </c>
      <c r="K20" s="20">
        <v>0.76</v>
      </c>
      <c r="L20" s="20">
        <v>0.76</v>
      </c>
      <c r="M20" s="20">
        <v>0.76</v>
      </c>
      <c r="N20" s="20">
        <v>0.76</v>
      </c>
      <c r="O20" s="20">
        <v>0.76</v>
      </c>
      <c r="P20" s="5"/>
      <c r="Q20" s="5"/>
      <c r="R20" s="5"/>
    </row>
    <row r="21" spans="1:18" ht="14.4" x14ac:dyDescent="0.3">
      <c r="A21" s="18" t="s">
        <v>31</v>
      </c>
      <c r="B21" s="18"/>
      <c r="C21" s="16" t="s">
        <v>32</v>
      </c>
      <c r="D21" s="23">
        <v>0</v>
      </c>
      <c r="E21" s="23">
        <v>0</v>
      </c>
      <c r="F21" s="23">
        <v>0</v>
      </c>
      <c r="G21" s="23">
        <v>0</v>
      </c>
      <c r="H21" s="23">
        <v>0</v>
      </c>
      <c r="I21" s="23">
        <v>0</v>
      </c>
      <c r="J21" s="23">
        <v>0</v>
      </c>
      <c r="K21" s="23">
        <v>0</v>
      </c>
      <c r="L21" s="23">
        <v>0</v>
      </c>
      <c r="M21" s="23">
        <v>0</v>
      </c>
      <c r="N21" s="23">
        <v>0</v>
      </c>
      <c r="O21" s="23">
        <v>0</v>
      </c>
      <c r="P21" s="5"/>
      <c r="Q21" s="5"/>
      <c r="R21" s="5"/>
    </row>
    <row r="22" spans="1:18" ht="14.4" x14ac:dyDescent="0.3">
      <c r="A22" s="14" t="s">
        <v>33</v>
      </c>
      <c r="B22" s="14"/>
      <c r="C22" s="16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5"/>
      <c r="Q22" s="5"/>
      <c r="R22" s="5"/>
    </row>
    <row r="23" spans="1:18" ht="14.4" x14ac:dyDescent="0.3">
      <c r="A23" s="18" t="s">
        <v>34</v>
      </c>
      <c r="B23" s="18"/>
      <c r="C23" s="16" t="s">
        <v>19</v>
      </c>
      <c r="D23" s="20">
        <v>0</v>
      </c>
      <c r="E23" s="20">
        <v>0</v>
      </c>
      <c r="F23" s="20">
        <v>0</v>
      </c>
      <c r="G23" s="20">
        <v>0</v>
      </c>
      <c r="H23" s="20">
        <v>0</v>
      </c>
      <c r="I23" s="20">
        <v>0</v>
      </c>
      <c r="J23" s="20">
        <v>0</v>
      </c>
      <c r="K23" s="20">
        <v>0</v>
      </c>
      <c r="L23" s="20">
        <v>0</v>
      </c>
      <c r="M23" s="20">
        <v>0</v>
      </c>
      <c r="N23" s="20">
        <v>0</v>
      </c>
      <c r="O23" s="20">
        <v>0</v>
      </c>
      <c r="P23" s="5"/>
      <c r="Q23" s="5"/>
      <c r="R23" s="5"/>
    </row>
    <row r="24" spans="1:18" ht="14.4" x14ac:dyDescent="0.3">
      <c r="A24" s="18" t="s">
        <v>35</v>
      </c>
      <c r="B24" s="18"/>
      <c r="C24" s="16" t="s">
        <v>36</v>
      </c>
      <c r="D24" s="23">
        <v>0</v>
      </c>
      <c r="E24" s="23">
        <v>0</v>
      </c>
      <c r="F24" s="23">
        <v>0</v>
      </c>
      <c r="G24" s="23">
        <v>0</v>
      </c>
      <c r="H24" s="23">
        <v>0</v>
      </c>
      <c r="I24" s="23">
        <v>0</v>
      </c>
      <c r="J24" s="23">
        <v>0</v>
      </c>
      <c r="K24" s="23">
        <v>0</v>
      </c>
      <c r="L24" s="23">
        <v>0</v>
      </c>
      <c r="M24" s="23">
        <v>0</v>
      </c>
      <c r="N24" s="23">
        <v>0</v>
      </c>
      <c r="O24" s="23">
        <v>0</v>
      </c>
      <c r="P24" s="5"/>
      <c r="Q24" s="5"/>
      <c r="R24" s="5"/>
    </row>
    <row r="25" spans="1:18" ht="14.4" x14ac:dyDescent="0.3">
      <c r="A25" s="14" t="s">
        <v>37</v>
      </c>
      <c r="B25" s="14"/>
      <c r="C25" s="16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5"/>
      <c r="Q25" s="5"/>
      <c r="R25" s="5"/>
    </row>
    <row r="26" spans="1:18" ht="14.4" x14ac:dyDescent="0.3">
      <c r="A26" s="25" t="s">
        <v>38</v>
      </c>
      <c r="B26" s="18"/>
      <c r="C26" s="16" t="s">
        <v>19</v>
      </c>
      <c r="D26" s="20">
        <f>[40]LD!E38</f>
        <v>0.1404</v>
      </c>
      <c r="E26" s="20">
        <f>[40]LD!F38</f>
        <v>0.14729999999999999</v>
      </c>
      <c r="F26" s="20">
        <f>[40]LD!G38</f>
        <v>0.13950000000000001</v>
      </c>
      <c r="G26" s="20">
        <f>[40]LD!H38</f>
        <v>0.14099999999999999</v>
      </c>
      <c r="H26" s="20">
        <f>[40]LD!I38</f>
        <v>0.1283</v>
      </c>
      <c r="I26" s="20">
        <f>[40]LD!J38</f>
        <v>0.1103</v>
      </c>
      <c r="J26" s="20">
        <f>[40]LD!K38</f>
        <v>0.11559999999999999</v>
      </c>
      <c r="K26" s="20">
        <f>[40]LD!L38</f>
        <v>0.1419</v>
      </c>
      <c r="L26" s="20">
        <f>[40]LD!M38</f>
        <v>0.15759999999999999</v>
      </c>
      <c r="M26" s="20">
        <f>[40]LD!N38</f>
        <v>0.1288</v>
      </c>
      <c r="N26" s="20">
        <f>[40]LD!O38</f>
        <v>0.1321</v>
      </c>
      <c r="O26" s="20">
        <f>[40]LD!P38</f>
        <v>0.1331</v>
      </c>
      <c r="P26" s="5"/>
      <c r="Q26" s="5"/>
      <c r="R26" s="5"/>
    </row>
    <row r="27" spans="1:18" ht="14.4" x14ac:dyDescent="0.3">
      <c r="A27" s="25" t="s">
        <v>39</v>
      </c>
      <c r="B27" s="18"/>
      <c r="C27" s="16" t="s">
        <v>19</v>
      </c>
      <c r="D27" s="20">
        <v>0</v>
      </c>
      <c r="E27" s="20">
        <v>0</v>
      </c>
      <c r="F27" s="20">
        <v>0</v>
      </c>
      <c r="G27" s="20">
        <v>0</v>
      </c>
      <c r="H27" s="20">
        <v>0</v>
      </c>
      <c r="I27" s="20">
        <v>0</v>
      </c>
      <c r="J27" s="20">
        <v>0</v>
      </c>
      <c r="K27" s="20">
        <v>0</v>
      </c>
      <c r="L27" s="20">
        <v>0</v>
      </c>
      <c r="M27" s="20">
        <v>0</v>
      </c>
      <c r="N27" s="20">
        <v>0</v>
      </c>
      <c r="O27" s="20">
        <v>0</v>
      </c>
      <c r="P27" s="5"/>
      <c r="Q27" s="5"/>
      <c r="R27" s="5"/>
    </row>
    <row r="28" spans="1:18" ht="14.4" x14ac:dyDescent="0.3">
      <c r="A28" s="25" t="s">
        <v>180</v>
      </c>
      <c r="B28" s="18"/>
      <c r="C28" s="16" t="s">
        <v>19</v>
      </c>
      <c r="D28" s="20">
        <v>6.2E-2</v>
      </c>
      <c r="E28" s="20">
        <v>6.2E-2</v>
      </c>
      <c r="F28" s="20">
        <v>6.2E-2</v>
      </c>
      <c r="G28" s="20">
        <v>6.2E-2</v>
      </c>
      <c r="H28" s="20">
        <v>6.2E-2</v>
      </c>
      <c r="I28" s="20">
        <v>6.2E-2</v>
      </c>
      <c r="J28" s="20">
        <v>6.2E-2</v>
      </c>
      <c r="K28" s="20">
        <v>6.2E-2</v>
      </c>
      <c r="L28" s="20">
        <v>6.2E-2</v>
      </c>
      <c r="M28" s="20">
        <v>6.2E-2</v>
      </c>
      <c r="N28" s="20">
        <v>3.1399999999999997E-2</v>
      </c>
      <c r="O28" s="20">
        <v>3.1399999999999997E-2</v>
      </c>
      <c r="P28" s="5"/>
      <c r="Q28" s="5"/>
      <c r="R28" s="5"/>
    </row>
    <row r="29" spans="1:18" ht="14.4" x14ac:dyDescent="0.3">
      <c r="A29" s="26" t="s">
        <v>40</v>
      </c>
      <c r="B29" s="18"/>
      <c r="C29" s="16" t="s">
        <v>19</v>
      </c>
      <c r="D29" s="20">
        <f>'[40]SR CIT. SUBSIDY'!E91</f>
        <v>1E-4</v>
      </c>
      <c r="E29" s="20">
        <f>'[40]SR CIT. SUBSIDY'!F91</f>
        <v>1E-4</v>
      </c>
      <c r="F29" s="20">
        <f>'[40]SR CIT. SUBSIDY'!G91</f>
        <v>1E-4</v>
      </c>
      <c r="G29" s="20">
        <f>'[40]SR CIT. SUBSIDY'!H91</f>
        <v>1E-4</v>
      </c>
      <c r="H29" s="20">
        <f>'[40]SR CIT. SUBSIDY'!I91</f>
        <v>1E-4</v>
      </c>
      <c r="I29" s="20">
        <f>'[40]SR CIT. SUBSIDY'!J91</f>
        <v>1E-4</v>
      </c>
      <c r="J29" s="20">
        <f>'[40]SR CIT. SUBSIDY'!K91</f>
        <v>1E-4</v>
      </c>
      <c r="K29" s="20">
        <f>'[40]SR CIT. SUBSIDY'!L91</f>
        <v>1E-4</v>
      </c>
      <c r="L29" s="20">
        <f>'[40]SR CIT. SUBSIDY'!M91</f>
        <v>1E-4</v>
      </c>
      <c r="M29" s="20">
        <f>'[40]SR CIT. SUBSIDY'!N91</f>
        <v>1E-4</v>
      </c>
      <c r="N29" s="20">
        <f>'[40]SR CIT. SUBSIDY'!O91</f>
        <v>1E-4</v>
      </c>
      <c r="O29" s="20">
        <f>'[40]SR CIT. SUBSIDY'!P91</f>
        <v>1E-4</v>
      </c>
      <c r="P29" s="5"/>
      <c r="Q29" s="5"/>
      <c r="R29" s="5"/>
    </row>
    <row r="30" spans="1:18" ht="14.4" x14ac:dyDescent="0.3">
      <c r="A30" s="26" t="s">
        <v>41</v>
      </c>
      <c r="B30" s="18"/>
      <c r="C30" s="16" t="s">
        <v>19</v>
      </c>
      <c r="D30" s="20">
        <v>0</v>
      </c>
      <c r="E30" s="20">
        <f t="shared" ref="E30:O31" si="1">D30</f>
        <v>0</v>
      </c>
      <c r="F30" s="20">
        <f t="shared" si="1"/>
        <v>0</v>
      </c>
      <c r="G30" s="20">
        <f t="shared" si="1"/>
        <v>0</v>
      </c>
      <c r="H30" s="20">
        <f t="shared" si="1"/>
        <v>0</v>
      </c>
      <c r="I30" s="20">
        <f t="shared" si="1"/>
        <v>0</v>
      </c>
      <c r="J30" s="20">
        <f t="shared" si="1"/>
        <v>0</v>
      </c>
      <c r="K30" s="20">
        <f t="shared" si="1"/>
        <v>0</v>
      </c>
      <c r="L30" s="20">
        <f t="shared" si="1"/>
        <v>0</v>
      </c>
      <c r="M30" s="20">
        <f t="shared" si="1"/>
        <v>0</v>
      </c>
      <c r="N30" s="20">
        <f t="shared" si="1"/>
        <v>0</v>
      </c>
      <c r="O30" s="20">
        <f t="shared" si="1"/>
        <v>0</v>
      </c>
      <c r="P30" s="5"/>
      <c r="Q30" s="5"/>
      <c r="R30" s="5"/>
    </row>
    <row r="31" spans="1:18" ht="14.4" x14ac:dyDescent="0.3">
      <c r="A31" s="154" t="s">
        <v>181</v>
      </c>
      <c r="B31" s="155"/>
      <c r="C31" s="16" t="s">
        <v>19</v>
      </c>
      <c r="D31" s="20">
        <v>1.03E-2</v>
      </c>
      <c r="E31" s="20">
        <f t="shared" si="1"/>
        <v>1.03E-2</v>
      </c>
      <c r="F31" s="20">
        <f t="shared" si="1"/>
        <v>1.03E-2</v>
      </c>
      <c r="G31" s="20">
        <f t="shared" si="1"/>
        <v>1.03E-2</v>
      </c>
      <c r="H31" s="20">
        <f t="shared" si="1"/>
        <v>1.03E-2</v>
      </c>
      <c r="I31" s="20">
        <f t="shared" si="1"/>
        <v>1.03E-2</v>
      </c>
      <c r="J31" s="20">
        <f t="shared" si="1"/>
        <v>1.03E-2</v>
      </c>
      <c r="K31" s="20">
        <f t="shared" si="1"/>
        <v>1.03E-2</v>
      </c>
      <c r="L31" s="20">
        <f t="shared" si="1"/>
        <v>1.03E-2</v>
      </c>
      <c r="M31" s="20">
        <f t="shared" si="1"/>
        <v>1.03E-2</v>
      </c>
      <c r="N31" s="20">
        <f t="shared" si="1"/>
        <v>1.03E-2</v>
      </c>
      <c r="O31" s="20">
        <f t="shared" si="1"/>
        <v>1.03E-2</v>
      </c>
      <c r="P31" s="5"/>
      <c r="Q31" s="5"/>
      <c r="R31" s="5"/>
    </row>
    <row r="32" spans="1:18" ht="16.2" hidden="1" x14ac:dyDescent="0.3">
      <c r="A32" s="154" t="s">
        <v>182</v>
      </c>
      <c r="B32" s="155"/>
      <c r="C32" s="16" t="s">
        <v>19</v>
      </c>
      <c r="D32" s="20">
        <v>0</v>
      </c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5"/>
      <c r="Q32" s="5"/>
      <c r="R32" s="5"/>
    </row>
    <row r="33" spans="1:18" ht="16.2" hidden="1" x14ac:dyDescent="0.3">
      <c r="A33" s="154" t="s">
        <v>182</v>
      </c>
      <c r="B33" s="156"/>
      <c r="C33" s="16" t="s">
        <v>19</v>
      </c>
      <c r="D33" s="20">
        <v>0</v>
      </c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5"/>
      <c r="Q33" s="5"/>
      <c r="R33" s="5"/>
    </row>
    <row r="34" spans="1:18" ht="14.4" x14ac:dyDescent="0.3">
      <c r="A34" s="14" t="s">
        <v>42</v>
      </c>
      <c r="B34" s="14"/>
      <c r="C34" s="16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5"/>
      <c r="Q34" s="5"/>
      <c r="R34" s="5"/>
    </row>
    <row r="35" spans="1:18" ht="14.4" x14ac:dyDescent="0.3">
      <c r="A35" s="14" t="s">
        <v>43</v>
      </c>
      <c r="B35" s="14"/>
      <c r="C35" s="16" t="s">
        <v>44</v>
      </c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5"/>
      <c r="Q35" s="5"/>
      <c r="R35" s="5"/>
    </row>
    <row r="36" spans="1:18" ht="14.4" hidden="1" x14ac:dyDescent="0.3">
      <c r="A36" s="14" t="s">
        <v>183</v>
      </c>
      <c r="B36" s="14"/>
      <c r="C36" s="16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5"/>
      <c r="Q36" s="5"/>
      <c r="R36" s="5"/>
    </row>
    <row r="37" spans="1:18" ht="14.4" hidden="1" x14ac:dyDescent="0.3">
      <c r="A37" s="14" t="s">
        <v>184</v>
      </c>
      <c r="B37" s="14"/>
      <c r="C37" s="16" t="s">
        <v>19</v>
      </c>
      <c r="D37" s="20">
        <v>0</v>
      </c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5"/>
      <c r="Q37" s="5"/>
      <c r="R37" s="5"/>
    </row>
    <row r="38" spans="1:18" ht="14.4" x14ac:dyDescent="0.3">
      <c r="A38" s="14" t="s">
        <v>45</v>
      </c>
      <c r="B38" s="14"/>
      <c r="C38" s="16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5"/>
      <c r="Q38" s="5"/>
      <c r="R38" s="5"/>
    </row>
    <row r="39" spans="1:18" ht="14.4" x14ac:dyDescent="0.3">
      <c r="A39" s="14" t="s">
        <v>46</v>
      </c>
      <c r="B39" s="14"/>
      <c r="C39" s="16" t="s">
        <v>19</v>
      </c>
      <c r="D39" s="20">
        <v>0</v>
      </c>
      <c r="E39" s="20">
        <v>0</v>
      </c>
      <c r="F39" s="20">
        <v>0</v>
      </c>
      <c r="G39" s="20">
        <v>0</v>
      </c>
      <c r="H39" s="20">
        <v>0</v>
      </c>
      <c r="I39" s="20">
        <v>0</v>
      </c>
      <c r="J39" s="20">
        <v>0</v>
      </c>
      <c r="K39" s="20">
        <v>0</v>
      </c>
      <c r="L39" s="20">
        <v>0</v>
      </c>
      <c r="M39" s="20">
        <v>0</v>
      </c>
      <c r="N39" s="20">
        <v>0</v>
      </c>
      <c r="O39" s="20">
        <v>0</v>
      </c>
      <c r="P39" s="5"/>
      <c r="Q39" s="5"/>
      <c r="R39" s="5"/>
    </row>
    <row r="40" spans="1:18" ht="14.4" hidden="1" x14ac:dyDescent="0.3">
      <c r="A40" s="14" t="s">
        <v>185</v>
      </c>
      <c r="B40" s="14"/>
      <c r="C40" s="16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5"/>
      <c r="Q40" s="5"/>
      <c r="R40" s="5"/>
    </row>
    <row r="41" spans="1:18" ht="14.4" hidden="1" x14ac:dyDescent="0.3">
      <c r="A41" s="14" t="s">
        <v>186</v>
      </c>
      <c r="B41" s="14"/>
      <c r="C41" s="16" t="s">
        <v>19</v>
      </c>
      <c r="D41" s="20">
        <v>0</v>
      </c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5"/>
      <c r="Q41" s="5"/>
      <c r="R41" s="5"/>
    </row>
    <row r="42" spans="1:18" ht="14.4" x14ac:dyDescent="0.3">
      <c r="A42" s="14" t="s">
        <v>47</v>
      </c>
      <c r="B42" s="14"/>
      <c r="C42" s="16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5"/>
      <c r="Q42" s="5"/>
      <c r="R42" s="5"/>
    </row>
    <row r="43" spans="1:18" ht="14.4" x14ac:dyDescent="0.3">
      <c r="A43" s="18" t="s">
        <v>48</v>
      </c>
      <c r="B43" s="18"/>
      <c r="C43" s="16" t="s">
        <v>19</v>
      </c>
      <c r="D43" s="20">
        <v>0.1163</v>
      </c>
      <c r="E43" s="20">
        <v>0.1163</v>
      </c>
      <c r="F43" s="20">
        <v>0.1163</v>
      </c>
      <c r="G43" s="20">
        <v>0.1163</v>
      </c>
      <c r="H43" s="20">
        <v>0.1163</v>
      </c>
      <c r="I43" s="20">
        <v>0.1163</v>
      </c>
      <c r="J43" s="20">
        <v>0.1163</v>
      </c>
      <c r="K43" s="20">
        <v>0.1163</v>
      </c>
      <c r="L43" s="20">
        <v>0.1163</v>
      </c>
      <c r="M43" s="20">
        <v>0.1163</v>
      </c>
      <c r="N43" s="20">
        <v>0.1163</v>
      </c>
      <c r="O43" s="20">
        <v>0.1163</v>
      </c>
      <c r="P43" s="5"/>
      <c r="Q43" s="5"/>
      <c r="R43" s="5"/>
    </row>
    <row r="44" spans="1:18" ht="14.4" x14ac:dyDescent="0.3">
      <c r="A44" s="18" t="s">
        <v>49</v>
      </c>
      <c r="B44" s="18"/>
      <c r="C44" s="16" t="s">
        <v>19</v>
      </c>
      <c r="D44" s="20">
        <v>2.5000000000000001E-3</v>
      </c>
      <c r="E44" s="20">
        <v>2.5000000000000001E-3</v>
      </c>
      <c r="F44" s="20">
        <v>2.5000000000000001E-3</v>
      </c>
      <c r="G44" s="20">
        <v>2.5000000000000001E-3</v>
      </c>
      <c r="H44" s="20">
        <v>2.5000000000000001E-3</v>
      </c>
      <c r="I44" s="20">
        <v>2.5000000000000001E-3</v>
      </c>
      <c r="J44" s="20">
        <v>2.5000000000000001E-3</v>
      </c>
      <c r="K44" s="20">
        <v>2.5000000000000001E-3</v>
      </c>
      <c r="L44" s="20">
        <v>2.5000000000000001E-3</v>
      </c>
      <c r="M44" s="20">
        <v>2.5000000000000001E-3</v>
      </c>
      <c r="N44" s="20">
        <v>2.5000000000000001E-3</v>
      </c>
      <c r="O44" s="20">
        <v>2.5000000000000001E-3</v>
      </c>
      <c r="P44" s="5"/>
      <c r="Q44" s="5"/>
      <c r="R44" s="5"/>
    </row>
    <row r="45" spans="1:18" ht="14.4" x14ac:dyDescent="0.3">
      <c r="A45" s="14" t="s">
        <v>52</v>
      </c>
      <c r="B45" s="14"/>
      <c r="C45" s="29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5"/>
      <c r="Q45" s="5"/>
      <c r="R45" s="5"/>
    </row>
    <row r="46" spans="1:18" ht="14.4" x14ac:dyDescent="0.3">
      <c r="A46" s="18" t="s">
        <v>53</v>
      </c>
      <c r="B46" s="18"/>
      <c r="C46" s="16" t="s">
        <v>44</v>
      </c>
      <c r="D46" s="30">
        <f>D1070</f>
        <v>0.1095</v>
      </c>
      <c r="E46" s="30">
        <f>E1070</f>
        <v>0.1114</v>
      </c>
      <c r="F46" s="30">
        <f>F1070</f>
        <v>0.1114</v>
      </c>
      <c r="G46" s="30">
        <f>G1070</f>
        <v>0.1135</v>
      </c>
      <c r="H46" s="30">
        <f t="shared" ref="H46:O46" si="2">H1070</f>
        <v>0.1147</v>
      </c>
      <c r="I46" s="30">
        <f t="shared" si="2"/>
        <v>0.11409999999999999</v>
      </c>
      <c r="J46" s="30">
        <f t="shared" si="2"/>
        <v>0.11020000000000001</v>
      </c>
      <c r="K46" s="30">
        <f t="shared" si="2"/>
        <v>0.10290000000000001</v>
      </c>
      <c r="L46" s="30">
        <f t="shared" si="2"/>
        <v>0.114</v>
      </c>
      <c r="M46" s="30">
        <f t="shared" si="2"/>
        <v>0.10929999999999999</v>
      </c>
      <c r="N46" s="30">
        <f t="shared" si="2"/>
        <v>0.10970000000000001</v>
      </c>
      <c r="O46" s="30">
        <f t="shared" si="2"/>
        <v>0.1105</v>
      </c>
      <c r="P46" s="5"/>
      <c r="Q46" s="5"/>
      <c r="R46" s="5"/>
    </row>
    <row r="47" spans="1:18" ht="14.4" x14ac:dyDescent="0.3">
      <c r="A47" s="18" t="s">
        <v>54</v>
      </c>
      <c r="B47" s="18"/>
      <c r="C47" s="16" t="s">
        <v>44</v>
      </c>
      <c r="D47" s="30">
        <f>'[40]DU VAT'!D21</f>
        <v>0</v>
      </c>
      <c r="E47" s="30">
        <f>'[40]DU VAT'!E21</f>
        <v>0</v>
      </c>
      <c r="F47" s="30">
        <f>'[40]DU VAT'!F21</f>
        <v>0</v>
      </c>
      <c r="G47" s="30">
        <f>'[40]DU VAT'!G21</f>
        <v>0</v>
      </c>
      <c r="H47" s="30">
        <f>'[40]DU VAT'!H21</f>
        <v>0</v>
      </c>
      <c r="I47" s="30">
        <f>'[40]DU VAT'!I21</f>
        <v>0</v>
      </c>
      <c r="J47" s="30">
        <f>'[40]DU VAT'!J21</f>
        <v>0</v>
      </c>
      <c r="K47" s="30">
        <f>'[40]DU VAT'!K21</f>
        <v>0</v>
      </c>
      <c r="L47" s="30">
        <f>'[40]DU VAT'!L21</f>
        <v>0</v>
      </c>
      <c r="M47" s="30">
        <f>'[40]DU VAT'!M21</f>
        <v>0</v>
      </c>
      <c r="N47" s="30">
        <f>'[40]DU VAT'!N21</f>
        <v>0</v>
      </c>
      <c r="O47" s="30">
        <f>'[40]DU VAT'!O21</f>
        <v>0</v>
      </c>
      <c r="P47" s="5"/>
      <c r="Q47" s="5"/>
      <c r="R47" s="5"/>
    </row>
    <row r="48" spans="1:18" ht="14.4" x14ac:dyDescent="0.3">
      <c r="A48" s="18" t="s">
        <v>55</v>
      </c>
      <c r="B48" s="18"/>
      <c r="C48" s="16" t="s">
        <v>44</v>
      </c>
      <c r="D48" s="30">
        <f>'[40]DU VAT'!D26</f>
        <v>8.9899999999999994E-2</v>
      </c>
      <c r="E48" s="30">
        <f>'[40]DU VAT'!E26</f>
        <v>9.3700000000000006E-2</v>
      </c>
      <c r="F48" s="30">
        <f>'[40]DU VAT'!F26</f>
        <v>9.4399999999999998E-2</v>
      </c>
      <c r="G48" s="30">
        <f>'[40]DU VAT'!G26</f>
        <v>9.6299999999999997E-2</v>
      </c>
      <c r="H48" s="30">
        <f>'[40]DU VAT'!H26</f>
        <v>9.7600000000000006E-2</v>
      </c>
      <c r="I48" s="30">
        <f>'[40]DU VAT'!I26</f>
        <v>9.7299999999999998E-2</v>
      </c>
      <c r="J48" s="30">
        <f>'[40]DU VAT'!J26</f>
        <v>9.5600000000000004E-2</v>
      </c>
      <c r="K48" s="30">
        <f>'[40]DU VAT'!K26</f>
        <v>8.9700000000000002E-2</v>
      </c>
      <c r="L48" s="30">
        <f>'[40]DU VAT'!L26</f>
        <v>9.8400000000000001E-2</v>
      </c>
      <c r="M48" s="30">
        <f>'[40]DU VAT'!M26</f>
        <v>9.4299999999999995E-2</v>
      </c>
      <c r="N48" s="30">
        <f>'[40]DU VAT'!N26</f>
        <v>9.3399999999999997E-2</v>
      </c>
      <c r="O48" s="30">
        <f>'[40]DU VAT'!O26</f>
        <v>9.5500000000000002E-2</v>
      </c>
      <c r="P48" s="5"/>
      <c r="Q48" s="5"/>
      <c r="R48" s="5"/>
    </row>
    <row r="49" spans="1:18" ht="14.4" x14ac:dyDescent="0.3">
      <c r="A49" s="18" t="s">
        <v>187</v>
      </c>
      <c r="B49" s="18"/>
      <c r="C49" s="16" t="s">
        <v>44</v>
      </c>
      <c r="D49" s="30">
        <v>5.5858455631032497E-3</v>
      </c>
      <c r="E49" s="30">
        <v>3.0650583850564523E-3</v>
      </c>
      <c r="F49" s="30">
        <v>2.6939820012288874E-3</v>
      </c>
      <c r="G49" s="30">
        <v>0</v>
      </c>
      <c r="H49" s="30">
        <v>1.4227759048057112E-2</v>
      </c>
      <c r="I49" s="30">
        <v>1.0851314063502437E-2</v>
      </c>
      <c r="J49" s="30">
        <v>1.691896019316478E-2</v>
      </c>
      <c r="K49" s="30">
        <v>4.451228191928034E-2</v>
      </c>
      <c r="L49" s="30">
        <v>1.7462006912087345E-2</v>
      </c>
      <c r="M49" s="30">
        <v>1.7899999999999999E-2</v>
      </c>
      <c r="N49" s="30">
        <v>5.3E-3</v>
      </c>
      <c r="O49" s="30">
        <v>5.5999999999999999E-3</v>
      </c>
      <c r="P49" s="5"/>
      <c r="Q49" s="5"/>
      <c r="R49" s="5"/>
    </row>
    <row r="50" spans="1:18" ht="14.4" x14ac:dyDescent="0.3">
      <c r="A50" s="18" t="s">
        <v>188</v>
      </c>
      <c r="B50" s="18"/>
      <c r="C50" s="16" t="s">
        <v>44</v>
      </c>
      <c r="D50" s="30">
        <v>9.8799999999999999E-2</v>
      </c>
      <c r="E50" s="30">
        <v>9.8799999999999999E-2</v>
      </c>
      <c r="F50" s="30">
        <v>9.8799999999999999E-2</v>
      </c>
      <c r="G50" s="30">
        <v>9.8799999999999999E-2</v>
      </c>
      <c r="H50" s="30">
        <v>9.8799999999999999E-2</v>
      </c>
      <c r="I50" s="30">
        <v>9.8799999999999999E-2</v>
      </c>
      <c r="J50" s="30">
        <v>9.8799999999999999E-2</v>
      </c>
      <c r="K50" s="30">
        <v>9.8799999999999999E-2</v>
      </c>
      <c r="L50" s="30">
        <v>9.8799999999999999E-2</v>
      </c>
      <c r="M50" s="30">
        <v>9.8799999999999999E-2</v>
      </c>
      <c r="N50" s="30">
        <v>9.8799999999999999E-2</v>
      </c>
      <c r="O50" s="30">
        <v>9.8799999999999999E-2</v>
      </c>
      <c r="P50" s="5"/>
      <c r="Q50" s="5"/>
      <c r="R50" s="5"/>
    </row>
    <row r="51" spans="1:18" ht="14.4" x14ac:dyDescent="0.3">
      <c r="A51" s="18" t="s">
        <v>56</v>
      </c>
      <c r="B51" s="18"/>
      <c r="C51" s="16" t="s">
        <v>44</v>
      </c>
      <c r="D51" s="30">
        <v>0.12</v>
      </c>
      <c r="E51" s="30">
        <v>0.12</v>
      </c>
      <c r="F51" s="30">
        <v>0.12</v>
      </c>
      <c r="G51" s="30">
        <v>0.12</v>
      </c>
      <c r="H51" s="30">
        <v>0.12</v>
      </c>
      <c r="I51" s="30">
        <v>0.12</v>
      </c>
      <c r="J51" s="30">
        <v>0.12</v>
      </c>
      <c r="K51" s="30">
        <v>0.12</v>
      </c>
      <c r="L51" s="30">
        <v>0.12</v>
      </c>
      <c r="M51" s="30">
        <v>0.12</v>
      </c>
      <c r="N51" s="30">
        <v>0.12</v>
      </c>
      <c r="O51" s="30">
        <v>0.12</v>
      </c>
      <c r="P51" s="5"/>
      <c r="Q51" s="5"/>
      <c r="R51" s="5"/>
    </row>
    <row r="52" spans="1:18" ht="14.4" x14ac:dyDescent="0.3">
      <c r="A52" s="18" t="s">
        <v>57</v>
      </c>
      <c r="B52" s="18"/>
      <c r="C52" s="16" t="s">
        <v>44</v>
      </c>
      <c r="D52" s="30">
        <v>0.12</v>
      </c>
      <c r="E52" s="30">
        <v>0.12</v>
      </c>
      <c r="F52" s="30">
        <v>0.12</v>
      </c>
      <c r="G52" s="30">
        <v>0.12</v>
      </c>
      <c r="H52" s="30">
        <v>0.12</v>
      </c>
      <c r="I52" s="30">
        <v>0.12</v>
      </c>
      <c r="J52" s="30">
        <v>0.12</v>
      </c>
      <c r="K52" s="30">
        <v>0.12</v>
      </c>
      <c r="L52" s="30">
        <v>0.12</v>
      </c>
      <c r="M52" s="30">
        <v>0.12</v>
      </c>
      <c r="N52" s="30">
        <v>0.12</v>
      </c>
      <c r="O52" s="30">
        <v>0.12</v>
      </c>
      <c r="P52" s="5"/>
      <c r="Q52" s="5"/>
      <c r="R52" s="5"/>
    </row>
    <row r="53" spans="1:18" s="5" customFormat="1" x14ac:dyDescent="0.3">
      <c r="A53" s="31"/>
      <c r="B53" s="31"/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</row>
    <row r="54" spans="1:18" x14ac:dyDescent="0.3">
      <c r="A54" s="33" t="s">
        <v>58</v>
      </c>
    </row>
    <row r="55" spans="1:18" x14ac:dyDescent="0.3">
      <c r="A55" s="33"/>
    </row>
    <row r="56" spans="1:18" ht="18" x14ac:dyDescent="0.35">
      <c r="A56" s="9" t="str">
        <f>'[40]Statistical data'!A183</f>
        <v xml:space="preserve">Residential </v>
      </c>
      <c r="B56" s="9"/>
      <c r="C56" s="5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5"/>
      <c r="Q56" s="5"/>
      <c r="R56" s="5"/>
    </row>
    <row r="57" spans="1:18" s="13" customFormat="1" ht="14.4" x14ac:dyDescent="0.3">
      <c r="A57" s="11" t="s">
        <v>3</v>
      </c>
      <c r="B57" s="11"/>
      <c r="C57" s="11" t="s">
        <v>4</v>
      </c>
      <c r="D57" s="12" t="s">
        <v>5</v>
      </c>
      <c r="E57" s="12" t="s">
        <v>6</v>
      </c>
      <c r="F57" s="12" t="s">
        <v>7</v>
      </c>
      <c r="G57" s="12" t="s">
        <v>8</v>
      </c>
      <c r="H57" s="12" t="s">
        <v>9</v>
      </c>
      <c r="I57" s="12" t="s">
        <v>10</v>
      </c>
      <c r="J57" s="12" t="s">
        <v>11</v>
      </c>
      <c r="K57" s="12" t="s">
        <v>12</v>
      </c>
      <c r="L57" s="12" t="s">
        <v>13</v>
      </c>
      <c r="M57" s="12" t="s">
        <v>14</v>
      </c>
      <c r="N57" s="12" t="s">
        <v>15</v>
      </c>
      <c r="O57" s="12" t="s">
        <v>16</v>
      </c>
      <c r="P57" s="153"/>
      <c r="Q57" s="153"/>
      <c r="R57" s="153"/>
    </row>
    <row r="58" spans="1:18" ht="14.4" x14ac:dyDescent="0.3">
      <c r="A58" s="34" t="s">
        <v>17</v>
      </c>
      <c r="B58" s="35"/>
      <c r="C58" s="36"/>
      <c r="D58" s="37"/>
      <c r="E58" s="37"/>
      <c r="F58" s="37"/>
      <c r="G58" s="37"/>
      <c r="H58" s="37"/>
      <c r="I58" s="37"/>
      <c r="J58" s="37"/>
      <c r="K58" s="37"/>
      <c r="L58" s="37"/>
      <c r="M58" s="37"/>
      <c r="N58" s="37"/>
      <c r="O58" s="37"/>
    </row>
    <row r="59" spans="1:18" ht="14.4" x14ac:dyDescent="0.3">
      <c r="A59" s="38" t="s">
        <v>18</v>
      </c>
      <c r="B59" s="39"/>
      <c r="C59" s="36" t="s">
        <v>19</v>
      </c>
      <c r="D59" s="40" t="s">
        <v>59</v>
      </c>
      <c r="E59" s="40" t="s">
        <v>59</v>
      </c>
      <c r="F59" s="40" t="s">
        <v>59</v>
      </c>
      <c r="G59" s="40" t="s">
        <v>59</v>
      </c>
      <c r="H59" s="40" t="s">
        <v>59</v>
      </c>
      <c r="I59" s="40" t="s">
        <v>59</v>
      </c>
      <c r="J59" s="40" t="s">
        <v>59</v>
      </c>
      <c r="K59" s="40" t="s">
        <v>59</v>
      </c>
      <c r="L59" s="40" t="s">
        <v>59</v>
      </c>
      <c r="M59" s="40" t="s">
        <v>59</v>
      </c>
      <c r="N59" s="40" t="s">
        <v>59</v>
      </c>
      <c r="O59" s="40" t="s">
        <v>59</v>
      </c>
    </row>
    <row r="60" spans="1:18" ht="14.4" x14ac:dyDescent="0.3">
      <c r="A60" s="38" t="s">
        <v>66</v>
      </c>
      <c r="B60" s="39"/>
      <c r="C60" s="36" t="s">
        <v>19</v>
      </c>
      <c r="D60" s="42">
        <v>-5.0000000000000001E-3</v>
      </c>
      <c r="E60" s="42">
        <v>-9.7000000000000003E-3</v>
      </c>
      <c r="F60" s="42">
        <v>-1.2999999999999999E-3</v>
      </c>
      <c r="G60" s="42">
        <v>0</v>
      </c>
      <c r="H60" s="42">
        <v>-8.0000000000000004E-4</v>
      </c>
      <c r="I60" s="42">
        <v>-2.3999999999999998E-3</v>
      </c>
      <c r="J60" s="42">
        <v>-2.5999999999999999E-3</v>
      </c>
      <c r="K60" s="42">
        <v>-1.1000000000000001E-3</v>
      </c>
      <c r="L60" s="42">
        <v>-1.1000000000000001E-3</v>
      </c>
      <c r="M60" s="42">
        <v>-2.7000000000000001E-3</v>
      </c>
      <c r="N60" s="42">
        <v>-2.5999999999999999E-3</v>
      </c>
      <c r="O60" s="42">
        <v>-1.1000000000000001E-3</v>
      </c>
    </row>
    <row r="61" spans="1:18" ht="14.4" x14ac:dyDescent="0.3">
      <c r="A61" s="34" t="s">
        <v>20</v>
      </c>
      <c r="B61" s="35"/>
      <c r="C61" s="36"/>
      <c r="D61" s="41"/>
      <c r="E61" s="41"/>
      <c r="F61" s="41"/>
      <c r="G61" s="41"/>
      <c r="H61" s="41"/>
      <c r="I61" s="41"/>
      <c r="J61" s="41"/>
      <c r="K61" s="41"/>
      <c r="L61" s="41"/>
      <c r="M61" s="41"/>
      <c r="N61" s="41"/>
      <c r="O61" s="41"/>
    </row>
    <row r="62" spans="1:18" ht="14.4" x14ac:dyDescent="0.3">
      <c r="A62" s="38" t="s">
        <v>21</v>
      </c>
      <c r="B62" s="39"/>
      <c r="C62" s="36" t="s">
        <v>19</v>
      </c>
      <c r="D62" s="42">
        <f>[40]TR!D80</f>
        <v>1.1839999999999999</v>
      </c>
      <c r="E62" s="42">
        <f>[40]TR!E80</f>
        <v>1.0303</v>
      </c>
      <c r="F62" s="42">
        <f>[40]TR!F80</f>
        <v>0.97140000000000004</v>
      </c>
      <c r="G62" s="42">
        <f>[40]TR!G80</f>
        <v>0.98980000000000001</v>
      </c>
      <c r="H62" s="42">
        <f>[40]TR!H80</f>
        <v>0.98099999999999998</v>
      </c>
      <c r="I62" s="42">
        <f>[40]TR!I80</f>
        <v>1.0566</v>
      </c>
      <c r="J62" s="42">
        <f>[40]TR!J80</f>
        <v>0.99550000000000005</v>
      </c>
      <c r="K62" s="42">
        <f>[40]TR!K80</f>
        <v>0.98089999999999999</v>
      </c>
      <c r="L62" s="42">
        <f>[40]TR!L80</f>
        <v>0.83640000000000003</v>
      </c>
      <c r="M62" s="42">
        <f>[40]TR!M80</f>
        <v>0.87960000000000005</v>
      </c>
      <c r="N62" s="42">
        <f>[40]TR!N80</f>
        <v>0.9677</v>
      </c>
      <c r="O62" s="42">
        <f>[40]TR!O80</f>
        <v>0.85899999999999999</v>
      </c>
    </row>
    <row r="63" spans="1:18" ht="14.4" x14ac:dyDescent="0.3">
      <c r="A63" s="38" t="s">
        <v>22</v>
      </c>
      <c r="B63" s="39"/>
      <c r="C63" s="36" t="s">
        <v>23</v>
      </c>
      <c r="D63" s="43">
        <v>0</v>
      </c>
      <c r="E63" s="43">
        <v>0</v>
      </c>
      <c r="F63" s="43">
        <v>0</v>
      </c>
      <c r="G63" s="43">
        <v>0</v>
      </c>
      <c r="H63" s="43">
        <v>0</v>
      </c>
      <c r="I63" s="43">
        <v>0</v>
      </c>
      <c r="J63" s="43">
        <v>0</v>
      </c>
      <c r="K63" s="43">
        <v>0</v>
      </c>
      <c r="L63" s="43">
        <v>0</v>
      </c>
      <c r="M63" s="43">
        <v>0</v>
      </c>
      <c r="N63" s="43">
        <v>0</v>
      </c>
      <c r="O63" s="43">
        <v>0</v>
      </c>
      <c r="P63" s="5"/>
      <c r="Q63" s="5"/>
      <c r="R63" s="5"/>
    </row>
    <row r="64" spans="1:18" ht="14.4" x14ac:dyDescent="0.3">
      <c r="A64" s="34" t="s">
        <v>24</v>
      </c>
      <c r="B64" s="35"/>
      <c r="C64" s="36"/>
      <c r="D64" s="41"/>
      <c r="E64" s="41"/>
      <c r="F64" s="41"/>
      <c r="G64" s="41"/>
      <c r="H64" s="41"/>
      <c r="I64" s="41"/>
      <c r="J64" s="41"/>
      <c r="K64" s="41"/>
      <c r="L64" s="41"/>
      <c r="M64" s="41"/>
      <c r="N64" s="41"/>
      <c r="O64" s="41"/>
    </row>
    <row r="65" spans="1:15" ht="14.4" x14ac:dyDescent="0.3">
      <c r="A65" s="38" t="s">
        <v>25</v>
      </c>
      <c r="B65" s="39"/>
      <c r="C65" s="36" t="s">
        <v>19</v>
      </c>
      <c r="D65" s="42">
        <f t="shared" ref="D65:O65" si="3">D15</f>
        <v>0.65939999999999999</v>
      </c>
      <c r="E65" s="42">
        <f t="shared" si="3"/>
        <v>0.65849999999999997</v>
      </c>
      <c r="F65" s="42">
        <f t="shared" si="3"/>
        <v>0.624</v>
      </c>
      <c r="G65" s="42">
        <f t="shared" si="3"/>
        <v>0.66700000000000004</v>
      </c>
      <c r="H65" s="42">
        <f t="shared" si="3"/>
        <v>0.69189999999999996</v>
      </c>
      <c r="I65" s="42">
        <f t="shared" si="3"/>
        <v>0.73960000000000004</v>
      </c>
      <c r="J65" s="42">
        <f t="shared" si="3"/>
        <v>0.76259999999999994</v>
      </c>
      <c r="K65" s="42">
        <f t="shared" si="3"/>
        <v>0.77769999999999995</v>
      </c>
      <c r="L65" s="42">
        <f t="shared" si="3"/>
        <v>0.61739999999999995</v>
      </c>
      <c r="M65" s="42">
        <f t="shared" si="3"/>
        <v>0.63919999999999999</v>
      </c>
      <c r="N65" s="42">
        <f t="shared" si="3"/>
        <v>0.66279999999999994</v>
      </c>
      <c r="O65" s="42">
        <f t="shared" si="3"/>
        <v>0.62280000000000002</v>
      </c>
    </row>
    <row r="66" spans="1:15" ht="14.4" x14ac:dyDescent="0.3">
      <c r="A66" s="34" t="s">
        <v>26</v>
      </c>
      <c r="B66" s="34"/>
      <c r="C66" s="36"/>
      <c r="D66" s="44"/>
      <c r="E66" s="44"/>
      <c r="F66" s="44"/>
      <c r="G66" s="44"/>
      <c r="H66" s="44"/>
      <c r="I66" s="44"/>
      <c r="J66" s="44"/>
      <c r="K66" s="44"/>
      <c r="L66" s="44"/>
      <c r="M66" s="44"/>
      <c r="N66" s="44"/>
      <c r="O66" s="44"/>
    </row>
    <row r="67" spans="1:15" ht="14.4" x14ac:dyDescent="0.3">
      <c r="A67" s="38" t="s">
        <v>27</v>
      </c>
      <c r="B67" s="38"/>
      <c r="C67" s="36" t="s">
        <v>19</v>
      </c>
      <c r="D67" s="40" t="s">
        <v>60</v>
      </c>
      <c r="E67" s="40" t="s">
        <v>60</v>
      </c>
      <c r="F67" s="40" t="s">
        <v>60</v>
      </c>
      <c r="G67" s="40" t="s">
        <v>60</v>
      </c>
      <c r="H67" s="40" t="s">
        <v>60</v>
      </c>
      <c r="I67" s="40" t="s">
        <v>60</v>
      </c>
      <c r="J67" s="40" t="s">
        <v>60</v>
      </c>
      <c r="K67" s="40" t="s">
        <v>60</v>
      </c>
      <c r="L67" s="40" t="s">
        <v>60</v>
      </c>
      <c r="M67" s="40" t="s">
        <v>60</v>
      </c>
      <c r="N67" s="40" t="s">
        <v>60</v>
      </c>
      <c r="O67" s="40" t="s">
        <v>60</v>
      </c>
    </row>
    <row r="68" spans="1:15" ht="14.4" x14ac:dyDescent="0.3">
      <c r="A68" s="38" t="s">
        <v>28</v>
      </c>
      <c r="B68" s="38"/>
      <c r="C68" s="36" t="s">
        <v>23</v>
      </c>
      <c r="D68" s="43">
        <v>0</v>
      </c>
      <c r="E68" s="43">
        <v>0</v>
      </c>
      <c r="F68" s="43">
        <v>0</v>
      </c>
      <c r="G68" s="43">
        <v>0</v>
      </c>
      <c r="H68" s="43">
        <v>0</v>
      </c>
      <c r="I68" s="43">
        <v>0</v>
      </c>
      <c r="J68" s="43">
        <v>0</v>
      </c>
      <c r="K68" s="43">
        <v>0</v>
      </c>
      <c r="L68" s="43">
        <v>0</v>
      </c>
      <c r="M68" s="43">
        <v>0</v>
      </c>
      <c r="N68" s="43">
        <v>0</v>
      </c>
      <c r="O68" s="43">
        <v>0</v>
      </c>
    </row>
    <row r="69" spans="1:15" ht="14.4" x14ac:dyDescent="0.3">
      <c r="A69" s="34" t="s">
        <v>29</v>
      </c>
      <c r="B69" s="34"/>
      <c r="C69" s="36"/>
      <c r="D69" s="45"/>
      <c r="E69" s="45"/>
      <c r="F69" s="45"/>
      <c r="G69" s="45"/>
      <c r="H69" s="45"/>
      <c r="I69" s="45"/>
      <c r="J69" s="45"/>
      <c r="K69" s="45"/>
      <c r="L69" s="45"/>
      <c r="M69" s="45"/>
      <c r="N69" s="45"/>
      <c r="O69" s="45"/>
    </row>
    <row r="70" spans="1:15" ht="14.4" x14ac:dyDescent="0.3">
      <c r="A70" s="38" t="s">
        <v>30</v>
      </c>
      <c r="B70" s="38"/>
      <c r="C70" s="36" t="s">
        <v>19</v>
      </c>
      <c r="D70" s="40" t="s">
        <v>61</v>
      </c>
      <c r="E70" s="40" t="s">
        <v>61</v>
      </c>
      <c r="F70" s="40" t="s">
        <v>61</v>
      </c>
      <c r="G70" s="40" t="s">
        <v>61</v>
      </c>
      <c r="H70" s="40" t="s">
        <v>61</v>
      </c>
      <c r="I70" s="40" t="s">
        <v>61</v>
      </c>
      <c r="J70" s="40" t="s">
        <v>61</v>
      </c>
      <c r="K70" s="40" t="s">
        <v>61</v>
      </c>
      <c r="L70" s="40" t="s">
        <v>61</v>
      </c>
      <c r="M70" s="40" t="s">
        <v>61</v>
      </c>
      <c r="N70" s="40" t="s">
        <v>61</v>
      </c>
      <c r="O70" s="40" t="s">
        <v>61</v>
      </c>
    </row>
    <row r="71" spans="1:15" ht="14.4" x14ac:dyDescent="0.3">
      <c r="A71" s="38" t="s">
        <v>31</v>
      </c>
      <c r="B71" s="38"/>
      <c r="C71" s="36" t="s">
        <v>32</v>
      </c>
      <c r="D71" s="40" t="s">
        <v>62</v>
      </c>
      <c r="E71" s="40" t="s">
        <v>62</v>
      </c>
      <c r="F71" s="40" t="s">
        <v>62</v>
      </c>
      <c r="G71" s="40" t="s">
        <v>62</v>
      </c>
      <c r="H71" s="40" t="s">
        <v>62</v>
      </c>
      <c r="I71" s="40" t="s">
        <v>62</v>
      </c>
      <c r="J71" s="40" t="s">
        <v>62</v>
      </c>
      <c r="K71" s="40" t="s">
        <v>62</v>
      </c>
      <c r="L71" s="40" t="s">
        <v>62</v>
      </c>
      <c r="M71" s="40" t="s">
        <v>62</v>
      </c>
      <c r="N71" s="40" t="s">
        <v>62</v>
      </c>
      <c r="O71" s="40" t="s">
        <v>62</v>
      </c>
    </row>
    <row r="72" spans="1:15" ht="14.4" x14ac:dyDescent="0.3">
      <c r="A72" s="34" t="s">
        <v>33</v>
      </c>
      <c r="B72" s="34"/>
      <c r="C72" s="36"/>
      <c r="D72" s="45"/>
      <c r="E72" s="45"/>
      <c r="F72" s="45"/>
      <c r="G72" s="45"/>
      <c r="H72" s="45"/>
      <c r="I72" s="45"/>
      <c r="J72" s="45"/>
      <c r="K72" s="45"/>
      <c r="L72" s="45"/>
      <c r="M72" s="45"/>
      <c r="N72" s="45"/>
      <c r="O72" s="45"/>
    </row>
    <row r="73" spans="1:15" ht="14.4" x14ac:dyDescent="0.3">
      <c r="A73" s="38" t="s">
        <v>34</v>
      </c>
      <c r="B73" s="38"/>
      <c r="C73" s="36" t="s">
        <v>19</v>
      </c>
      <c r="D73" s="42">
        <v>0.3664</v>
      </c>
      <c r="E73" s="42">
        <v>0.3664</v>
      </c>
      <c r="F73" s="42">
        <v>0.3664</v>
      </c>
      <c r="G73" s="42">
        <v>0.3664</v>
      </c>
      <c r="H73" s="42">
        <v>0.3664</v>
      </c>
      <c r="I73" s="42">
        <v>0.3664</v>
      </c>
      <c r="J73" s="42">
        <v>0.40029999999999999</v>
      </c>
      <c r="K73" s="42">
        <v>0.40029999999999999</v>
      </c>
      <c r="L73" s="42">
        <v>0.40029999999999999</v>
      </c>
      <c r="M73" s="42">
        <v>0.40029999999999999</v>
      </c>
      <c r="N73" s="42">
        <v>0.40029999999999999</v>
      </c>
      <c r="O73" s="42">
        <v>0.40029999999999999</v>
      </c>
    </row>
    <row r="74" spans="1:15" ht="14.4" x14ac:dyDescent="0.3">
      <c r="A74" s="38" t="s">
        <v>35</v>
      </c>
      <c r="B74" s="38"/>
      <c r="C74" s="36" t="s">
        <v>36</v>
      </c>
      <c r="D74" s="40" t="s">
        <v>63</v>
      </c>
      <c r="E74" s="40" t="s">
        <v>63</v>
      </c>
      <c r="F74" s="40" t="s">
        <v>63</v>
      </c>
      <c r="G74" s="40" t="s">
        <v>63</v>
      </c>
      <c r="H74" s="40" t="s">
        <v>63</v>
      </c>
      <c r="I74" s="40" t="s">
        <v>63</v>
      </c>
      <c r="J74" s="40" t="s">
        <v>63</v>
      </c>
      <c r="K74" s="40" t="s">
        <v>63</v>
      </c>
      <c r="L74" s="40" t="s">
        <v>63</v>
      </c>
      <c r="M74" s="40" t="s">
        <v>63</v>
      </c>
      <c r="N74" s="40" t="s">
        <v>63</v>
      </c>
      <c r="O74" s="40" t="s">
        <v>63</v>
      </c>
    </row>
    <row r="75" spans="1:15" ht="14.4" x14ac:dyDescent="0.3">
      <c r="A75" s="34" t="s">
        <v>37</v>
      </c>
      <c r="B75" s="34"/>
      <c r="C75" s="36"/>
      <c r="D75" s="45"/>
      <c r="E75" s="45"/>
      <c r="F75" s="45"/>
      <c r="G75" s="45"/>
      <c r="H75" s="45"/>
      <c r="I75" s="45"/>
      <c r="J75" s="45"/>
      <c r="K75" s="45"/>
      <c r="L75" s="45"/>
      <c r="M75" s="45"/>
      <c r="N75" s="45"/>
      <c r="O75" s="45"/>
    </row>
    <row r="76" spans="1:15" ht="14.4" x14ac:dyDescent="0.3">
      <c r="A76" s="46" t="s">
        <v>38</v>
      </c>
      <c r="B76" s="38"/>
      <c r="C76" s="36" t="s">
        <v>19</v>
      </c>
      <c r="D76" s="42">
        <f t="shared" ref="D76:O76" si="4">D26</f>
        <v>0.1404</v>
      </c>
      <c r="E76" s="42">
        <f t="shared" si="4"/>
        <v>0.14729999999999999</v>
      </c>
      <c r="F76" s="42">
        <f t="shared" si="4"/>
        <v>0.13950000000000001</v>
      </c>
      <c r="G76" s="42">
        <f t="shared" si="4"/>
        <v>0.14099999999999999</v>
      </c>
      <c r="H76" s="42">
        <f t="shared" si="4"/>
        <v>0.1283</v>
      </c>
      <c r="I76" s="42">
        <f t="shared" si="4"/>
        <v>0.1103</v>
      </c>
      <c r="J76" s="42">
        <f t="shared" si="4"/>
        <v>0.11559999999999999</v>
      </c>
      <c r="K76" s="42">
        <f t="shared" si="4"/>
        <v>0.1419</v>
      </c>
      <c r="L76" s="42">
        <f t="shared" si="4"/>
        <v>0.15759999999999999</v>
      </c>
      <c r="M76" s="42">
        <f t="shared" si="4"/>
        <v>0.1288</v>
      </c>
      <c r="N76" s="42">
        <f t="shared" si="4"/>
        <v>0.1321</v>
      </c>
      <c r="O76" s="42">
        <f t="shared" si="4"/>
        <v>0.1331</v>
      </c>
    </row>
    <row r="77" spans="1:15" ht="14.4" x14ac:dyDescent="0.3">
      <c r="A77" s="46" t="s">
        <v>39</v>
      </c>
      <c r="B77" s="38"/>
      <c r="C77" s="36" t="s">
        <v>19</v>
      </c>
      <c r="D77" s="40" t="s">
        <v>64</v>
      </c>
      <c r="E77" s="40" t="s">
        <v>64</v>
      </c>
      <c r="F77" s="40" t="s">
        <v>64</v>
      </c>
      <c r="G77" s="40" t="s">
        <v>64</v>
      </c>
      <c r="H77" s="40" t="s">
        <v>64</v>
      </c>
      <c r="I77" s="40" t="s">
        <v>64</v>
      </c>
      <c r="J77" s="40" t="s">
        <v>64</v>
      </c>
      <c r="K77" s="40" t="s">
        <v>64</v>
      </c>
      <c r="L77" s="40" t="s">
        <v>64</v>
      </c>
      <c r="M77" s="40" t="s">
        <v>64</v>
      </c>
      <c r="N77" s="40" t="s">
        <v>64</v>
      </c>
      <c r="O77" s="40" t="s">
        <v>64</v>
      </c>
    </row>
    <row r="78" spans="1:15" ht="14.4" x14ac:dyDescent="0.3">
      <c r="A78" s="46" t="s">
        <v>180</v>
      </c>
      <c r="B78" s="38"/>
      <c r="C78" s="36" t="s">
        <v>19</v>
      </c>
      <c r="D78" s="42">
        <f>D28</f>
        <v>6.2E-2</v>
      </c>
      <c r="E78" s="42">
        <f t="shared" ref="E78:O81" si="5">E28</f>
        <v>6.2E-2</v>
      </c>
      <c r="F78" s="42">
        <f t="shared" si="5"/>
        <v>6.2E-2</v>
      </c>
      <c r="G78" s="42">
        <f t="shared" si="5"/>
        <v>6.2E-2</v>
      </c>
      <c r="H78" s="42">
        <f t="shared" si="5"/>
        <v>6.2E-2</v>
      </c>
      <c r="I78" s="42">
        <f t="shared" si="5"/>
        <v>6.2E-2</v>
      </c>
      <c r="J78" s="42">
        <f t="shared" si="5"/>
        <v>6.2E-2</v>
      </c>
      <c r="K78" s="42">
        <f t="shared" si="5"/>
        <v>6.2E-2</v>
      </c>
      <c r="L78" s="42">
        <f t="shared" si="5"/>
        <v>6.2E-2</v>
      </c>
      <c r="M78" s="42">
        <f t="shared" si="5"/>
        <v>6.2E-2</v>
      </c>
      <c r="N78" s="42">
        <f t="shared" si="5"/>
        <v>3.1399999999999997E-2</v>
      </c>
      <c r="O78" s="42">
        <f t="shared" si="5"/>
        <v>3.1399999999999997E-2</v>
      </c>
    </row>
    <row r="79" spans="1:15" ht="14.4" x14ac:dyDescent="0.3">
      <c r="A79" s="47" t="s">
        <v>40</v>
      </c>
      <c r="B79" s="38"/>
      <c r="C79" s="36" t="s">
        <v>19</v>
      </c>
      <c r="D79" s="42">
        <f>D29</f>
        <v>1E-4</v>
      </c>
      <c r="E79" s="42">
        <f t="shared" si="5"/>
        <v>1E-4</v>
      </c>
      <c r="F79" s="42">
        <f t="shared" si="5"/>
        <v>1E-4</v>
      </c>
      <c r="G79" s="42">
        <f t="shared" si="5"/>
        <v>1E-4</v>
      </c>
      <c r="H79" s="42">
        <f t="shared" si="5"/>
        <v>1E-4</v>
      </c>
      <c r="I79" s="42">
        <f t="shared" si="5"/>
        <v>1E-4</v>
      </c>
      <c r="J79" s="42">
        <f t="shared" si="5"/>
        <v>1E-4</v>
      </c>
      <c r="K79" s="42">
        <f t="shared" si="5"/>
        <v>1E-4</v>
      </c>
      <c r="L79" s="42">
        <f t="shared" si="5"/>
        <v>1E-4</v>
      </c>
      <c r="M79" s="42">
        <f t="shared" si="5"/>
        <v>1E-4</v>
      </c>
      <c r="N79" s="42">
        <f t="shared" si="5"/>
        <v>1E-4</v>
      </c>
      <c r="O79" s="42">
        <f t="shared" si="5"/>
        <v>1E-4</v>
      </c>
    </row>
    <row r="80" spans="1:15" ht="14.4" x14ac:dyDescent="0.3">
      <c r="A80" s="47" t="s">
        <v>41</v>
      </c>
      <c r="B80" s="38"/>
      <c r="C80" s="36" t="s">
        <v>19</v>
      </c>
      <c r="D80" s="42">
        <f>D30</f>
        <v>0</v>
      </c>
      <c r="E80" s="42">
        <f t="shared" si="5"/>
        <v>0</v>
      </c>
      <c r="F80" s="42">
        <f t="shared" si="5"/>
        <v>0</v>
      </c>
      <c r="G80" s="42">
        <f t="shared" si="5"/>
        <v>0</v>
      </c>
      <c r="H80" s="42">
        <f t="shared" si="5"/>
        <v>0</v>
      </c>
      <c r="I80" s="42">
        <f t="shared" si="5"/>
        <v>0</v>
      </c>
      <c r="J80" s="42">
        <f t="shared" si="5"/>
        <v>0</v>
      </c>
      <c r="K80" s="42">
        <f t="shared" si="5"/>
        <v>0</v>
      </c>
      <c r="L80" s="42">
        <f t="shared" si="5"/>
        <v>0</v>
      </c>
      <c r="M80" s="42">
        <f t="shared" si="5"/>
        <v>0</v>
      </c>
      <c r="N80" s="42">
        <f t="shared" si="5"/>
        <v>0</v>
      </c>
      <c r="O80" s="42">
        <f t="shared" si="5"/>
        <v>0</v>
      </c>
    </row>
    <row r="81" spans="1:18" ht="14.4" x14ac:dyDescent="0.3">
      <c r="A81" s="157" t="s">
        <v>181</v>
      </c>
      <c r="B81" s="158"/>
      <c r="C81" s="36" t="s">
        <v>19</v>
      </c>
      <c r="D81" s="42">
        <f>D31</f>
        <v>1.03E-2</v>
      </c>
      <c r="E81" s="42">
        <f t="shared" si="5"/>
        <v>1.03E-2</v>
      </c>
      <c r="F81" s="42">
        <f t="shared" si="5"/>
        <v>1.03E-2</v>
      </c>
      <c r="G81" s="42">
        <f t="shared" si="5"/>
        <v>1.03E-2</v>
      </c>
      <c r="H81" s="42">
        <f t="shared" si="5"/>
        <v>1.03E-2</v>
      </c>
      <c r="I81" s="42">
        <f t="shared" si="5"/>
        <v>1.03E-2</v>
      </c>
      <c r="J81" s="42">
        <f t="shared" si="5"/>
        <v>1.03E-2</v>
      </c>
      <c r="K81" s="42">
        <f t="shared" si="5"/>
        <v>1.03E-2</v>
      </c>
      <c r="L81" s="42">
        <f t="shared" si="5"/>
        <v>1.03E-2</v>
      </c>
      <c r="M81" s="42">
        <f t="shared" si="5"/>
        <v>1.03E-2</v>
      </c>
      <c r="N81" s="42">
        <f t="shared" si="5"/>
        <v>1.03E-2</v>
      </c>
      <c r="O81" s="42">
        <f t="shared" si="5"/>
        <v>1.03E-2</v>
      </c>
    </row>
    <row r="82" spans="1:18" ht="16.2" hidden="1" x14ac:dyDescent="0.3">
      <c r="A82" s="157" t="s">
        <v>182</v>
      </c>
      <c r="B82" s="158"/>
      <c r="C82" s="36" t="s">
        <v>19</v>
      </c>
      <c r="D82" s="42">
        <v>0</v>
      </c>
      <c r="E82" s="42"/>
      <c r="F82" s="42"/>
      <c r="G82" s="42"/>
      <c r="H82" s="42"/>
      <c r="I82" s="42"/>
      <c r="J82" s="42"/>
      <c r="K82" s="42"/>
      <c r="L82" s="42"/>
      <c r="M82" s="42"/>
      <c r="N82" s="42"/>
      <c r="O82" s="42"/>
    </row>
    <row r="83" spans="1:18" ht="16.2" hidden="1" x14ac:dyDescent="0.3">
      <c r="A83" s="157" t="s">
        <v>182</v>
      </c>
      <c r="B83" s="159"/>
      <c r="C83" s="36" t="s">
        <v>19</v>
      </c>
      <c r="D83" s="42">
        <v>0</v>
      </c>
      <c r="E83" s="42"/>
      <c r="F83" s="42"/>
      <c r="G83" s="42"/>
      <c r="H83" s="42"/>
      <c r="I83" s="42"/>
      <c r="J83" s="42"/>
      <c r="K83" s="42"/>
      <c r="L83" s="42"/>
      <c r="M83" s="42"/>
      <c r="N83" s="42"/>
      <c r="O83" s="42"/>
    </row>
    <row r="84" spans="1:18" ht="14.4" x14ac:dyDescent="0.3">
      <c r="A84" s="34" t="s">
        <v>42</v>
      </c>
      <c r="B84" s="34"/>
      <c r="C84" s="36"/>
      <c r="D84" s="45"/>
      <c r="E84" s="45"/>
      <c r="F84" s="45"/>
      <c r="G84" s="45"/>
      <c r="H84" s="45"/>
      <c r="I84" s="45"/>
      <c r="J84" s="45"/>
      <c r="K84" s="45"/>
      <c r="L84" s="45"/>
      <c r="M84" s="45"/>
      <c r="N84" s="45"/>
      <c r="O84" s="45"/>
    </row>
    <row r="85" spans="1:18" ht="14.4" x14ac:dyDescent="0.3">
      <c r="A85" s="34" t="s">
        <v>43</v>
      </c>
      <c r="B85" s="34"/>
      <c r="C85" s="36" t="s">
        <v>44</v>
      </c>
      <c r="D85" s="48"/>
      <c r="E85" s="48"/>
      <c r="F85" s="48"/>
      <c r="G85" s="48"/>
      <c r="H85" s="48"/>
      <c r="I85" s="48"/>
      <c r="J85" s="48"/>
      <c r="K85" s="48"/>
      <c r="L85" s="48"/>
      <c r="M85" s="48"/>
      <c r="N85" s="48"/>
      <c r="O85" s="48"/>
      <c r="P85" s="5"/>
      <c r="Q85" s="5"/>
      <c r="R85" s="5"/>
    </row>
    <row r="86" spans="1:18" ht="14.4" hidden="1" x14ac:dyDescent="0.3">
      <c r="A86" s="34" t="s">
        <v>183</v>
      </c>
      <c r="B86" s="34"/>
      <c r="C86" s="36"/>
      <c r="D86" s="49"/>
      <c r="E86" s="49"/>
      <c r="F86" s="49"/>
      <c r="G86" s="49"/>
      <c r="H86" s="49"/>
      <c r="I86" s="49"/>
      <c r="J86" s="49"/>
      <c r="K86" s="49"/>
      <c r="L86" s="49"/>
      <c r="M86" s="49"/>
      <c r="N86" s="49"/>
      <c r="O86" s="49"/>
    </row>
    <row r="87" spans="1:18" ht="14.4" hidden="1" x14ac:dyDescent="0.3">
      <c r="A87" s="34" t="s">
        <v>184</v>
      </c>
      <c r="B87" s="34"/>
      <c r="C87" s="36" t="s">
        <v>19</v>
      </c>
      <c r="D87" s="42">
        <v>0</v>
      </c>
      <c r="E87" s="42"/>
      <c r="F87" s="42"/>
      <c r="G87" s="42"/>
      <c r="H87" s="42"/>
      <c r="I87" s="42"/>
      <c r="J87" s="42"/>
      <c r="K87" s="42"/>
      <c r="L87" s="42"/>
      <c r="M87" s="42"/>
      <c r="N87" s="42"/>
      <c r="O87" s="42"/>
    </row>
    <row r="88" spans="1:18" ht="14.4" x14ac:dyDescent="0.3">
      <c r="A88" s="34" t="s">
        <v>45</v>
      </c>
      <c r="B88" s="34"/>
      <c r="C88" s="36"/>
      <c r="D88" s="49"/>
      <c r="E88" s="49"/>
      <c r="F88" s="49"/>
      <c r="G88" s="49"/>
      <c r="H88" s="49"/>
      <c r="I88" s="49"/>
      <c r="J88" s="49"/>
      <c r="K88" s="49"/>
      <c r="L88" s="49"/>
      <c r="M88" s="49"/>
      <c r="N88" s="49"/>
      <c r="O88" s="49"/>
    </row>
    <row r="89" spans="1:18" ht="14.4" x14ac:dyDescent="0.3">
      <c r="A89" s="34" t="s">
        <v>46</v>
      </c>
      <c r="B89" s="34"/>
      <c r="C89" s="36" t="s">
        <v>19</v>
      </c>
      <c r="D89" s="40" t="s">
        <v>65</v>
      </c>
      <c r="E89" s="40" t="s">
        <v>65</v>
      </c>
      <c r="F89" s="40" t="s">
        <v>65</v>
      </c>
      <c r="G89" s="40" t="s">
        <v>65</v>
      </c>
      <c r="H89" s="40" t="s">
        <v>65</v>
      </c>
      <c r="I89" s="40" t="s">
        <v>65</v>
      </c>
      <c r="J89" s="40" t="s">
        <v>65</v>
      </c>
      <c r="K89" s="40" t="s">
        <v>65</v>
      </c>
      <c r="L89" s="40" t="s">
        <v>65</v>
      </c>
      <c r="M89" s="40" t="s">
        <v>65</v>
      </c>
      <c r="N89" s="40" t="s">
        <v>65</v>
      </c>
      <c r="O89" s="40" t="s">
        <v>65</v>
      </c>
    </row>
    <row r="90" spans="1:18" ht="14.4" hidden="1" x14ac:dyDescent="0.3">
      <c r="A90" s="34" t="s">
        <v>185</v>
      </c>
      <c r="B90" s="34"/>
      <c r="C90" s="36"/>
      <c r="D90" s="49"/>
      <c r="E90" s="49"/>
      <c r="F90" s="49"/>
      <c r="G90" s="49"/>
      <c r="H90" s="49"/>
      <c r="I90" s="49"/>
      <c r="J90" s="49"/>
      <c r="K90" s="49"/>
      <c r="L90" s="49"/>
      <c r="M90" s="49"/>
      <c r="N90" s="49"/>
      <c r="O90" s="49"/>
    </row>
    <row r="91" spans="1:18" ht="14.4" hidden="1" x14ac:dyDescent="0.3">
      <c r="A91" s="34" t="s">
        <v>186</v>
      </c>
      <c r="B91" s="34"/>
      <c r="C91" s="36" t="s">
        <v>19</v>
      </c>
      <c r="D91" s="42">
        <v>0</v>
      </c>
      <c r="E91" s="42"/>
      <c r="F91" s="42"/>
      <c r="G91" s="42"/>
      <c r="H91" s="42"/>
      <c r="I91" s="42"/>
      <c r="J91" s="42"/>
      <c r="K91" s="42"/>
      <c r="L91" s="42"/>
      <c r="M91" s="42"/>
      <c r="N91" s="42"/>
      <c r="O91" s="42"/>
    </row>
    <row r="92" spans="1:18" ht="14.4" x14ac:dyDescent="0.3">
      <c r="A92" s="34" t="s">
        <v>47</v>
      </c>
      <c r="B92" s="34"/>
      <c r="C92" s="36"/>
      <c r="D92" s="45"/>
      <c r="E92" s="45"/>
      <c r="F92" s="45"/>
      <c r="G92" s="45"/>
      <c r="H92" s="45"/>
      <c r="I92" s="45"/>
      <c r="J92" s="45"/>
      <c r="K92" s="45"/>
      <c r="L92" s="45"/>
      <c r="M92" s="45"/>
      <c r="N92" s="45"/>
      <c r="O92" s="45"/>
    </row>
    <row r="93" spans="1:18" ht="14.4" x14ac:dyDescent="0.3">
      <c r="A93" s="38" t="s">
        <v>48</v>
      </c>
      <c r="B93" s="38"/>
      <c r="C93" s="36" t="s">
        <v>19</v>
      </c>
      <c r="D93" s="42">
        <f>D43</f>
        <v>0.1163</v>
      </c>
      <c r="E93" s="42">
        <f t="shared" ref="E93:O94" si="6">E43</f>
        <v>0.1163</v>
      </c>
      <c r="F93" s="42">
        <f t="shared" si="6"/>
        <v>0.1163</v>
      </c>
      <c r="G93" s="42">
        <f t="shared" si="6"/>
        <v>0.1163</v>
      </c>
      <c r="H93" s="42">
        <f t="shared" si="6"/>
        <v>0.1163</v>
      </c>
      <c r="I93" s="42">
        <f t="shared" si="6"/>
        <v>0.1163</v>
      </c>
      <c r="J93" s="42">
        <f t="shared" si="6"/>
        <v>0.1163</v>
      </c>
      <c r="K93" s="42">
        <f t="shared" si="6"/>
        <v>0.1163</v>
      </c>
      <c r="L93" s="42">
        <f t="shared" si="6"/>
        <v>0.1163</v>
      </c>
      <c r="M93" s="42">
        <f t="shared" si="6"/>
        <v>0.1163</v>
      </c>
      <c r="N93" s="42">
        <f t="shared" si="6"/>
        <v>0.1163</v>
      </c>
      <c r="O93" s="42">
        <f t="shared" si="6"/>
        <v>0.1163</v>
      </c>
    </row>
    <row r="94" spans="1:18" ht="14.4" x14ac:dyDescent="0.3">
      <c r="A94" s="38" t="s">
        <v>49</v>
      </c>
      <c r="B94" s="38"/>
      <c r="C94" s="36" t="s">
        <v>19</v>
      </c>
      <c r="D94" s="42">
        <f>D44</f>
        <v>2.5000000000000001E-3</v>
      </c>
      <c r="E94" s="42">
        <f t="shared" si="6"/>
        <v>2.5000000000000001E-3</v>
      </c>
      <c r="F94" s="42">
        <f t="shared" si="6"/>
        <v>2.5000000000000001E-3</v>
      </c>
      <c r="G94" s="42">
        <f t="shared" si="6"/>
        <v>2.5000000000000001E-3</v>
      </c>
      <c r="H94" s="42">
        <f t="shared" si="6"/>
        <v>2.5000000000000001E-3</v>
      </c>
      <c r="I94" s="42">
        <f t="shared" si="6"/>
        <v>2.5000000000000001E-3</v>
      </c>
      <c r="J94" s="42">
        <f t="shared" si="6"/>
        <v>2.5000000000000001E-3</v>
      </c>
      <c r="K94" s="42">
        <f t="shared" si="6"/>
        <v>2.5000000000000001E-3</v>
      </c>
      <c r="L94" s="42">
        <f t="shared" si="6"/>
        <v>2.5000000000000001E-3</v>
      </c>
      <c r="M94" s="42">
        <f t="shared" si="6"/>
        <v>2.5000000000000001E-3</v>
      </c>
      <c r="N94" s="42">
        <f t="shared" si="6"/>
        <v>2.5000000000000001E-3</v>
      </c>
      <c r="O94" s="42">
        <f t="shared" si="6"/>
        <v>2.5000000000000001E-3</v>
      </c>
    </row>
    <row r="95" spans="1:18" ht="14.4" x14ac:dyDescent="0.3">
      <c r="A95" s="34" t="s">
        <v>52</v>
      </c>
      <c r="B95" s="34"/>
      <c r="C95" s="50"/>
      <c r="D95" s="44"/>
      <c r="E95" s="44"/>
      <c r="F95" s="44"/>
      <c r="G95" s="44"/>
      <c r="H95" s="44"/>
      <c r="I95" s="44"/>
      <c r="J95" s="44"/>
      <c r="K95" s="44"/>
      <c r="L95" s="44"/>
      <c r="M95" s="44"/>
      <c r="N95" s="44"/>
      <c r="O95" s="44"/>
    </row>
    <row r="96" spans="1:18" ht="14.4" x14ac:dyDescent="0.3">
      <c r="A96" s="38" t="s">
        <v>53</v>
      </c>
      <c r="B96" s="38"/>
      <c r="C96" s="36" t="s">
        <v>44</v>
      </c>
      <c r="D96" s="40" t="s">
        <v>189</v>
      </c>
      <c r="E96" s="40" t="str">
        <f>D96</f>
        <v>See Schedule 8</v>
      </c>
      <c r="F96" s="40" t="str">
        <f t="shared" ref="F96:O96" si="7">E96</f>
        <v>See Schedule 8</v>
      </c>
      <c r="G96" s="40" t="str">
        <f t="shared" si="7"/>
        <v>See Schedule 8</v>
      </c>
      <c r="H96" s="40" t="str">
        <f t="shared" si="7"/>
        <v>See Schedule 8</v>
      </c>
      <c r="I96" s="40" t="str">
        <f>G96</f>
        <v>See Schedule 8</v>
      </c>
      <c r="J96" s="40" t="str">
        <f t="shared" si="7"/>
        <v>See Schedule 8</v>
      </c>
      <c r="K96" s="40" t="str">
        <f t="shared" si="7"/>
        <v>See Schedule 8</v>
      </c>
      <c r="L96" s="40" t="str">
        <f t="shared" si="7"/>
        <v>See Schedule 8</v>
      </c>
      <c r="M96" s="40" t="str">
        <f t="shared" si="7"/>
        <v>See Schedule 8</v>
      </c>
      <c r="N96" s="40" t="str">
        <f t="shared" si="7"/>
        <v>See Schedule 8</v>
      </c>
      <c r="O96" s="40" t="str">
        <f t="shared" si="7"/>
        <v>See Schedule 8</v>
      </c>
    </row>
    <row r="97" spans="1:18" ht="14.4" x14ac:dyDescent="0.3">
      <c r="A97" s="38" t="s">
        <v>54</v>
      </c>
      <c r="B97" s="38"/>
      <c r="C97" s="36" t="s">
        <v>44</v>
      </c>
      <c r="D97" s="51">
        <f t="shared" ref="D97:O102" si="8">D47</f>
        <v>0</v>
      </c>
      <c r="E97" s="51">
        <f t="shared" si="8"/>
        <v>0</v>
      </c>
      <c r="F97" s="51">
        <f t="shared" si="8"/>
        <v>0</v>
      </c>
      <c r="G97" s="51">
        <f t="shared" si="8"/>
        <v>0</v>
      </c>
      <c r="H97" s="51">
        <f t="shared" si="8"/>
        <v>0</v>
      </c>
      <c r="I97" s="51">
        <f t="shared" si="8"/>
        <v>0</v>
      </c>
      <c r="J97" s="51">
        <f t="shared" si="8"/>
        <v>0</v>
      </c>
      <c r="K97" s="51">
        <f t="shared" si="8"/>
        <v>0</v>
      </c>
      <c r="L97" s="51">
        <f t="shared" si="8"/>
        <v>0</v>
      </c>
      <c r="M97" s="51">
        <f t="shared" si="8"/>
        <v>0</v>
      </c>
      <c r="N97" s="51">
        <f t="shared" si="8"/>
        <v>0</v>
      </c>
      <c r="O97" s="51">
        <f t="shared" si="8"/>
        <v>0</v>
      </c>
    </row>
    <row r="98" spans="1:18" ht="14.4" x14ac:dyDescent="0.3">
      <c r="A98" s="38" t="s">
        <v>55</v>
      </c>
      <c r="B98" s="38"/>
      <c r="C98" s="36" t="s">
        <v>44</v>
      </c>
      <c r="D98" s="51">
        <f t="shared" si="8"/>
        <v>8.9899999999999994E-2</v>
      </c>
      <c r="E98" s="51">
        <f t="shared" si="8"/>
        <v>9.3700000000000006E-2</v>
      </c>
      <c r="F98" s="51">
        <f t="shared" si="8"/>
        <v>9.4399999999999998E-2</v>
      </c>
      <c r="G98" s="51">
        <f t="shared" si="8"/>
        <v>9.6299999999999997E-2</v>
      </c>
      <c r="H98" s="51">
        <f t="shared" si="8"/>
        <v>9.7600000000000006E-2</v>
      </c>
      <c r="I98" s="51">
        <f t="shared" si="8"/>
        <v>9.7299999999999998E-2</v>
      </c>
      <c r="J98" s="51">
        <f t="shared" si="8"/>
        <v>9.5600000000000004E-2</v>
      </c>
      <c r="K98" s="51">
        <f t="shared" si="8"/>
        <v>8.9700000000000002E-2</v>
      </c>
      <c r="L98" s="51">
        <f t="shared" si="8"/>
        <v>9.8400000000000001E-2</v>
      </c>
      <c r="M98" s="51">
        <f t="shared" si="8"/>
        <v>9.4299999999999995E-2</v>
      </c>
      <c r="N98" s="51">
        <f t="shared" si="8"/>
        <v>9.3399999999999997E-2</v>
      </c>
      <c r="O98" s="51">
        <f t="shared" si="8"/>
        <v>9.5500000000000002E-2</v>
      </c>
    </row>
    <row r="99" spans="1:18" ht="14.4" x14ac:dyDescent="0.3">
      <c r="A99" s="38" t="s">
        <v>187</v>
      </c>
      <c r="B99" s="38"/>
      <c r="C99" s="36" t="s">
        <v>44</v>
      </c>
      <c r="D99" s="51">
        <f t="shared" si="8"/>
        <v>5.5858455631032497E-3</v>
      </c>
      <c r="E99" s="51">
        <f t="shared" si="8"/>
        <v>3.0650583850564523E-3</v>
      </c>
      <c r="F99" s="51">
        <f t="shared" si="8"/>
        <v>2.6939820012288874E-3</v>
      </c>
      <c r="G99" s="51">
        <f t="shared" si="8"/>
        <v>0</v>
      </c>
      <c r="H99" s="51">
        <f t="shared" si="8"/>
        <v>1.4227759048057112E-2</v>
      </c>
      <c r="I99" s="51">
        <f t="shared" si="8"/>
        <v>1.0851314063502437E-2</v>
      </c>
      <c r="J99" s="51">
        <f t="shared" si="8"/>
        <v>1.691896019316478E-2</v>
      </c>
      <c r="K99" s="51">
        <f t="shared" si="8"/>
        <v>4.451228191928034E-2</v>
      </c>
      <c r="L99" s="51">
        <f t="shared" si="8"/>
        <v>1.7462006912087345E-2</v>
      </c>
      <c r="M99" s="51">
        <f t="shared" si="8"/>
        <v>1.7899999999999999E-2</v>
      </c>
      <c r="N99" s="51">
        <f t="shared" si="8"/>
        <v>5.3E-3</v>
      </c>
      <c r="O99" s="51">
        <f t="shared" si="8"/>
        <v>5.5999999999999999E-3</v>
      </c>
    </row>
    <row r="100" spans="1:18" ht="14.4" x14ac:dyDescent="0.3">
      <c r="A100" s="38" t="s">
        <v>188</v>
      </c>
      <c r="B100" s="38"/>
      <c r="C100" s="36" t="s">
        <v>44</v>
      </c>
      <c r="D100" s="51">
        <f t="shared" si="8"/>
        <v>9.8799999999999999E-2</v>
      </c>
      <c r="E100" s="51">
        <f t="shared" si="8"/>
        <v>9.8799999999999999E-2</v>
      </c>
      <c r="F100" s="51">
        <f t="shared" si="8"/>
        <v>9.8799999999999999E-2</v>
      </c>
      <c r="G100" s="51">
        <f t="shared" si="8"/>
        <v>9.8799999999999999E-2</v>
      </c>
      <c r="H100" s="51">
        <f t="shared" si="8"/>
        <v>9.8799999999999999E-2</v>
      </c>
      <c r="I100" s="51">
        <f t="shared" si="8"/>
        <v>9.8799999999999999E-2</v>
      </c>
      <c r="J100" s="51">
        <f t="shared" si="8"/>
        <v>9.8799999999999999E-2</v>
      </c>
      <c r="K100" s="51">
        <f t="shared" si="8"/>
        <v>9.8799999999999999E-2</v>
      </c>
      <c r="L100" s="51">
        <f t="shared" si="8"/>
        <v>9.8799999999999999E-2</v>
      </c>
      <c r="M100" s="51">
        <f t="shared" si="8"/>
        <v>9.8799999999999999E-2</v>
      </c>
      <c r="N100" s="51">
        <f t="shared" si="8"/>
        <v>9.8799999999999999E-2</v>
      </c>
      <c r="O100" s="51">
        <f t="shared" si="8"/>
        <v>9.8799999999999999E-2</v>
      </c>
    </row>
    <row r="101" spans="1:18" ht="14.4" x14ac:dyDescent="0.3">
      <c r="A101" s="38" t="s">
        <v>56</v>
      </c>
      <c r="B101" s="38"/>
      <c r="C101" s="36" t="s">
        <v>44</v>
      </c>
      <c r="D101" s="51">
        <f t="shared" si="8"/>
        <v>0.12</v>
      </c>
      <c r="E101" s="51">
        <f t="shared" si="8"/>
        <v>0.12</v>
      </c>
      <c r="F101" s="51">
        <f t="shared" si="8"/>
        <v>0.12</v>
      </c>
      <c r="G101" s="51">
        <f t="shared" si="8"/>
        <v>0.12</v>
      </c>
      <c r="H101" s="51">
        <f t="shared" si="8"/>
        <v>0.12</v>
      </c>
      <c r="I101" s="51">
        <f t="shared" si="8"/>
        <v>0.12</v>
      </c>
      <c r="J101" s="51">
        <f t="shared" si="8"/>
        <v>0.12</v>
      </c>
      <c r="K101" s="51">
        <f t="shared" si="8"/>
        <v>0.12</v>
      </c>
      <c r="L101" s="51">
        <f t="shared" si="8"/>
        <v>0.12</v>
      </c>
      <c r="M101" s="51">
        <f t="shared" si="8"/>
        <v>0.12</v>
      </c>
      <c r="N101" s="51">
        <f t="shared" si="8"/>
        <v>0.12</v>
      </c>
      <c r="O101" s="51">
        <f t="shared" si="8"/>
        <v>0.12</v>
      </c>
    </row>
    <row r="102" spans="1:18" ht="14.4" x14ac:dyDescent="0.3">
      <c r="A102" s="38" t="s">
        <v>57</v>
      </c>
      <c r="B102" s="38"/>
      <c r="C102" s="36" t="s">
        <v>44</v>
      </c>
      <c r="D102" s="51">
        <f t="shared" si="8"/>
        <v>0.12</v>
      </c>
      <c r="E102" s="51">
        <f t="shared" si="8"/>
        <v>0.12</v>
      </c>
      <c r="F102" s="51">
        <f t="shared" si="8"/>
        <v>0.12</v>
      </c>
      <c r="G102" s="51">
        <f t="shared" si="8"/>
        <v>0.12</v>
      </c>
      <c r="H102" s="51">
        <f t="shared" si="8"/>
        <v>0.12</v>
      </c>
      <c r="I102" s="51">
        <f t="shared" si="8"/>
        <v>0.12</v>
      </c>
      <c r="J102" s="51">
        <f t="shared" si="8"/>
        <v>0.12</v>
      </c>
      <c r="K102" s="51">
        <f t="shared" si="8"/>
        <v>0.12</v>
      </c>
      <c r="L102" s="51">
        <f t="shared" si="8"/>
        <v>0.12</v>
      </c>
      <c r="M102" s="51">
        <f t="shared" si="8"/>
        <v>0.12</v>
      </c>
      <c r="N102" s="51">
        <f t="shared" si="8"/>
        <v>0.12</v>
      </c>
      <c r="O102" s="51">
        <f t="shared" si="8"/>
        <v>0.12</v>
      </c>
    </row>
    <row r="104" spans="1:18" x14ac:dyDescent="0.3">
      <c r="A104" s="33" t="s">
        <v>58</v>
      </c>
    </row>
    <row r="105" spans="1:18" x14ac:dyDescent="0.3">
      <c r="A105" s="33"/>
    </row>
    <row r="106" spans="1:18" ht="18" x14ac:dyDescent="0.35">
      <c r="A106" s="9" t="str">
        <f>'[40]Statistical data'!A186</f>
        <v>General Service A</v>
      </c>
      <c r="B106" s="9"/>
      <c r="C106" s="5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</row>
    <row r="107" spans="1:18" s="13" customFormat="1" ht="14.4" x14ac:dyDescent="0.3">
      <c r="A107" s="11" t="s">
        <v>3</v>
      </c>
      <c r="B107" s="11"/>
      <c r="C107" s="11" t="s">
        <v>4</v>
      </c>
      <c r="D107" s="12" t="s">
        <v>5</v>
      </c>
      <c r="E107" s="12" t="s">
        <v>6</v>
      </c>
      <c r="F107" s="12" t="s">
        <v>7</v>
      </c>
      <c r="G107" s="12" t="s">
        <v>8</v>
      </c>
      <c r="H107" s="12" t="s">
        <v>9</v>
      </c>
      <c r="I107" s="12" t="s">
        <v>10</v>
      </c>
      <c r="J107" s="12" t="s">
        <v>11</v>
      </c>
      <c r="K107" s="12" t="s">
        <v>12</v>
      </c>
      <c r="L107" s="12" t="s">
        <v>13</v>
      </c>
      <c r="M107" s="12" t="s">
        <v>14</v>
      </c>
      <c r="N107" s="12" t="s">
        <v>15</v>
      </c>
      <c r="O107" s="12" t="s">
        <v>16</v>
      </c>
      <c r="P107" s="153"/>
      <c r="Q107" s="153"/>
      <c r="R107" s="153"/>
    </row>
    <row r="108" spans="1:18" ht="14.4" x14ac:dyDescent="0.3">
      <c r="A108" s="14" t="s">
        <v>17</v>
      </c>
      <c r="B108" s="15"/>
      <c r="C108" s="16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</row>
    <row r="109" spans="1:18" ht="14.4" x14ac:dyDescent="0.3">
      <c r="A109" s="18" t="s">
        <v>18</v>
      </c>
      <c r="B109" s="19"/>
      <c r="C109" s="16" t="s">
        <v>19</v>
      </c>
      <c r="D109" s="52" t="s">
        <v>59</v>
      </c>
      <c r="E109" s="52" t="s">
        <v>59</v>
      </c>
      <c r="F109" s="52" t="s">
        <v>59</v>
      </c>
      <c r="G109" s="52" t="s">
        <v>59</v>
      </c>
      <c r="H109" s="52" t="s">
        <v>59</v>
      </c>
      <c r="I109" s="52" t="s">
        <v>59</v>
      </c>
      <c r="J109" s="52" t="s">
        <v>59</v>
      </c>
      <c r="K109" s="52" t="s">
        <v>59</v>
      </c>
      <c r="L109" s="52" t="s">
        <v>59</v>
      </c>
      <c r="M109" s="52" t="s">
        <v>59</v>
      </c>
      <c r="N109" s="52" t="s">
        <v>59</v>
      </c>
      <c r="O109" s="52" t="s">
        <v>59</v>
      </c>
    </row>
    <row r="110" spans="1:18" ht="14.4" x14ac:dyDescent="0.3">
      <c r="A110" s="18" t="s">
        <v>66</v>
      </c>
      <c r="B110" s="19"/>
      <c r="C110" s="16" t="s">
        <v>19</v>
      </c>
      <c r="D110" s="20">
        <v>0</v>
      </c>
      <c r="E110" s="20">
        <v>0</v>
      </c>
      <c r="F110" s="20">
        <v>0</v>
      </c>
      <c r="G110" s="20">
        <v>0</v>
      </c>
      <c r="H110" s="20">
        <v>0</v>
      </c>
      <c r="I110" s="20">
        <v>0</v>
      </c>
      <c r="J110" s="20">
        <v>0</v>
      </c>
      <c r="K110" s="20">
        <v>0</v>
      </c>
      <c r="L110" s="20">
        <v>0</v>
      </c>
      <c r="M110" s="20">
        <v>0</v>
      </c>
      <c r="N110" s="20">
        <v>0</v>
      </c>
      <c r="O110" s="20">
        <v>0</v>
      </c>
      <c r="P110" s="5"/>
      <c r="Q110" s="5"/>
      <c r="R110" s="5"/>
    </row>
    <row r="111" spans="1:18" ht="14.4" x14ac:dyDescent="0.3">
      <c r="A111" s="14" t="s">
        <v>20</v>
      </c>
      <c r="B111" s="15"/>
      <c r="C111" s="16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</row>
    <row r="112" spans="1:18" ht="14.4" x14ac:dyDescent="0.3">
      <c r="A112" s="18" t="s">
        <v>21</v>
      </c>
      <c r="B112" s="19"/>
      <c r="C112" s="16" t="s">
        <v>19</v>
      </c>
      <c r="D112" s="20">
        <f>D62</f>
        <v>1.1839999999999999</v>
      </c>
      <c r="E112" s="20">
        <f t="shared" ref="E112:O113" si="9">E62</f>
        <v>1.0303</v>
      </c>
      <c r="F112" s="20">
        <f t="shared" si="9"/>
        <v>0.97140000000000004</v>
      </c>
      <c r="G112" s="20">
        <f t="shared" si="9"/>
        <v>0.98980000000000001</v>
      </c>
      <c r="H112" s="20">
        <f t="shared" si="9"/>
        <v>0.98099999999999998</v>
      </c>
      <c r="I112" s="20">
        <f t="shared" si="9"/>
        <v>1.0566</v>
      </c>
      <c r="J112" s="20">
        <f t="shared" si="9"/>
        <v>0.99550000000000005</v>
      </c>
      <c r="K112" s="20">
        <f t="shared" si="9"/>
        <v>0.98089999999999999</v>
      </c>
      <c r="L112" s="20">
        <f t="shared" si="9"/>
        <v>0.83640000000000003</v>
      </c>
      <c r="M112" s="20">
        <f t="shared" si="9"/>
        <v>0.87960000000000005</v>
      </c>
      <c r="N112" s="20">
        <f t="shared" si="9"/>
        <v>0.9677</v>
      </c>
      <c r="O112" s="20">
        <f t="shared" si="9"/>
        <v>0.85899999999999999</v>
      </c>
    </row>
    <row r="113" spans="1:18" ht="14.4" x14ac:dyDescent="0.3">
      <c r="A113" s="18" t="s">
        <v>22</v>
      </c>
      <c r="B113" s="19"/>
      <c r="C113" s="16" t="s">
        <v>23</v>
      </c>
      <c r="D113" s="23">
        <f>D63</f>
        <v>0</v>
      </c>
      <c r="E113" s="23">
        <f t="shared" si="9"/>
        <v>0</v>
      </c>
      <c r="F113" s="23">
        <f t="shared" si="9"/>
        <v>0</v>
      </c>
      <c r="G113" s="23">
        <f t="shared" si="9"/>
        <v>0</v>
      </c>
      <c r="H113" s="23">
        <f t="shared" si="9"/>
        <v>0</v>
      </c>
      <c r="I113" s="23">
        <f t="shared" si="9"/>
        <v>0</v>
      </c>
      <c r="J113" s="23">
        <f t="shared" si="9"/>
        <v>0</v>
      </c>
      <c r="K113" s="23">
        <f t="shared" si="9"/>
        <v>0</v>
      </c>
      <c r="L113" s="23">
        <f t="shared" si="9"/>
        <v>0</v>
      </c>
      <c r="M113" s="23">
        <f t="shared" si="9"/>
        <v>0</v>
      </c>
      <c r="N113" s="23">
        <f t="shared" si="9"/>
        <v>0</v>
      </c>
      <c r="O113" s="23">
        <f t="shared" si="9"/>
        <v>0</v>
      </c>
    </row>
    <row r="114" spans="1:18" ht="14.4" x14ac:dyDescent="0.3">
      <c r="A114" s="14" t="s">
        <v>24</v>
      </c>
      <c r="B114" s="15"/>
      <c r="C114" s="16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</row>
    <row r="115" spans="1:18" ht="14.4" x14ac:dyDescent="0.3">
      <c r="A115" s="18" t="s">
        <v>25</v>
      </c>
      <c r="B115" s="19"/>
      <c r="C115" s="16" t="s">
        <v>19</v>
      </c>
      <c r="D115" s="20">
        <f t="shared" ref="D115:O115" si="10">D65</f>
        <v>0.65939999999999999</v>
      </c>
      <c r="E115" s="20">
        <f t="shared" si="10"/>
        <v>0.65849999999999997</v>
      </c>
      <c r="F115" s="20">
        <f t="shared" si="10"/>
        <v>0.624</v>
      </c>
      <c r="G115" s="20">
        <f t="shared" si="10"/>
        <v>0.66700000000000004</v>
      </c>
      <c r="H115" s="20">
        <f t="shared" si="10"/>
        <v>0.69189999999999996</v>
      </c>
      <c r="I115" s="20">
        <f t="shared" si="10"/>
        <v>0.73960000000000004</v>
      </c>
      <c r="J115" s="20">
        <f t="shared" si="10"/>
        <v>0.76259999999999994</v>
      </c>
      <c r="K115" s="20">
        <f t="shared" si="10"/>
        <v>0.77769999999999995</v>
      </c>
      <c r="L115" s="20">
        <f t="shared" si="10"/>
        <v>0.61739999999999995</v>
      </c>
      <c r="M115" s="20">
        <f t="shared" si="10"/>
        <v>0.63919999999999999</v>
      </c>
      <c r="N115" s="20">
        <f t="shared" si="10"/>
        <v>0.66279999999999994</v>
      </c>
      <c r="O115" s="20">
        <f t="shared" si="10"/>
        <v>0.62280000000000002</v>
      </c>
    </row>
    <row r="116" spans="1:18" ht="14.4" x14ac:dyDescent="0.3">
      <c r="A116" s="14" t="s">
        <v>26</v>
      </c>
      <c r="B116" s="14"/>
      <c r="C116" s="16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</row>
    <row r="117" spans="1:18" ht="14.4" x14ac:dyDescent="0.3">
      <c r="A117" s="18" t="s">
        <v>27</v>
      </c>
      <c r="B117" s="18"/>
      <c r="C117" s="16" t="s">
        <v>19</v>
      </c>
      <c r="D117" s="52" t="str">
        <f>D67</f>
        <v>See Schedule 2</v>
      </c>
      <c r="E117" s="52" t="str">
        <f t="shared" ref="E117:O118" si="11">E67</f>
        <v>See Schedule 2</v>
      </c>
      <c r="F117" s="52" t="str">
        <f t="shared" si="11"/>
        <v>See Schedule 2</v>
      </c>
      <c r="G117" s="52" t="str">
        <f t="shared" si="11"/>
        <v>See Schedule 2</v>
      </c>
      <c r="H117" s="52" t="str">
        <f t="shared" si="11"/>
        <v>See Schedule 2</v>
      </c>
      <c r="I117" s="52" t="str">
        <f t="shared" si="11"/>
        <v>See Schedule 2</v>
      </c>
      <c r="J117" s="52" t="str">
        <f t="shared" si="11"/>
        <v>See Schedule 2</v>
      </c>
      <c r="K117" s="52" t="str">
        <f t="shared" si="11"/>
        <v>See Schedule 2</v>
      </c>
      <c r="L117" s="52" t="str">
        <f t="shared" si="11"/>
        <v>See Schedule 2</v>
      </c>
      <c r="M117" s="52" t="str">
        <f t="shared" si="11"/>
        <v>See Schedule 2</v>
      </c>
      <c r="N117" s="52" t="str">
        <f t="shared" si="11"/>
        <v>See Schedule 2</v>
      </c>
      <c r="O117" s="52" t="str">
        <f t="shared" si="11"/>
        <v>See Schedule 2</v>
      </c>
    </row>
    <row r="118" spans="1:18" ht="14.4" x14ac:dyDescent="0.3">
      <c r="A118" s="18" t="s">
        <v>28</v>
      </c>
      <c r="B118" s="18"/>
      <c r="C118" s="16" t="s">
        <v>23</v>
      </c>
      <c r="D118" s="23">
        <f>D68</f>
        <v>0</v>
      </c>
      <c r="E118" s="23">
        <f t="shared" si="11"/>
        <v>0</v>
      </c>
      <c r="F118" s="23">
        <f t="shared" si="11"/>
        <v>0</v>
      </c>
      <c r="G118" s="23">
        <f t="shared" si="11"/>
        <v>0</v>
      </c>
      <c r="H118" s="23">
        <f t="shared" si="11"/>
        <v>0</v>
      </c>
      <c r="I118" s="23">
        <f t="shared" si="11"/>
        <v>0</v>
      </c>
      <c r="J118" s="23">
        <f t="shared" si="11"/>
        <v>0</v>
      </c>
      <c r="K118" s="23">
        <f t="shared" si="11"/>
        <v>0</v>
      </c>
      <c r="L118" s="23">
        <f t="shared" si="11"/>
        <v>0</v>
      </c>
      <c r="M118" s="23">
        <f t="shared" si="11"/>
        <v>0</v>
      </c>
      <c r="N118" s="23">
        <f t="shared" si="11"/>
        <v>0</v>
      </c>
      <c r="O118" s="23">
        <f t="shared" si="11"/>
        <v>0</v>
      </c>
    </row>
    <row r="119" spans="1:18" ht="14.4" x14ac:dyDescent="0.3">
      <c r="A119" s="14" t="s">
        <v>29</v>
      </c>
      <c r="B119" s="14"/>
      <c r="C119" s="16"/>
      <c r="D119" s="24"/>
      <c r="E119" s="24"/>
      <c r="F119" s="24"/>
      <c r="G119" s="24"/>
      <c r="H119" s="24"/>
      <c r="I119" s="24"/>
      <c r="J119" s="24"/>
      <c r="K119" s="24"/>
      <c r="L119" s="24"/>
      <c r="M119" s="24"/>
      <c r="N119" s="24"/>
      <c r="O119" s="24"/>
    </row>
    <row r="120" spans="1:18" ht="14.4" x14ac:dyDescent="0.3">
      <c r="A120" s="18" t="s">
        <v>30</v>
      </c>
      <c r="B120" s="18"/>
      <c r="C120" s="16" t="s">
        <v>19</v>
      </c>
      <c r="D120" s="52" t="str">
        <f t="shared" ref="D120:O121" si="12">D70</f>
        <v>See Schedule 3</v>
      </c>
      <c r="E120" s="52" t="str">
        <f t="shared" si="12"/>
        <v>See Schedule 3</v>
      </c>
      <c r="F120" s="52" t="str">
        <f t="shared" si="12"/>
        <v>See Schedule 3</v>
      </c>
      <c r="G120" s="52" t="str">
        <f t="shared" si="12"/>
        <v>See Schedule 3</v>
      </c>
      <c r="H120" s="52" t="str">
        <f t="shared" si="12"/>
        <v>See Schedule 3</v>
      </c>
      <c r="I120" s="52" t="str">
        <f t="shared" si="12"/>
        <v>See Schedule 3</v>
      </c>
      <c r="J120" s="52" t="str">
        <f t="shared" si="12"/>
        <v>See Schedule 3</v>
      </c>
      <c r="K120" s="52" t="str">
        <f t="shared" si="12"/>
        <v>See Schedule 3</v>
      </c>
      <c r="L120" s="52" t="str">
        <f t="shared" si="12"/>
        <v>See Schedule 3</v>
      </c>
      <c r="M120" s="52" t="str">
        <f t="shared" si="12"/>
        <v>See Schedule 3</v>
      </c>
      <c r="N120" s="52" t="str">
        <f t="shared" si="12"/>
        <v>See Schedule 3</v>
      </c>
      <c r="O120" s="52" t="str">
        <f t="shared" si="12"/>
        <v>See Schedule 3</v>
      </c>
    </row>
    <row r="121" spans="1:18" ht="14.4" x14ac:dyDescent="0.3">
      <c r="A121" s="18" t="s">
        <v>31</v>
      </c>
      <c r="B121" s="18"/>
      <c r="C121" s="16" t="s">
        <v>32</v>
      </c>
      <c r="D121" s="52" t="str">
        <f t="shared" si="12"/>
        <v>See Schedule 4</v>
      </c>
      <c r="E121" s="52" t="str">
        <f t="shared" si="12"/>
        <v>See Schedule 4</v>
      </c>
      <c r="F121" s="52" t="str">
        <f t="shared" si="12"/>
        <v>See Schedule 4</v>
      </c>
      <c r="G121" s="52" t="str">
        <f t="shared" si="12"/>
        <v>See Schedule 4</v>
      </c>
      <c r="H121" s="52" t="str">
        <f t="shared" si="12"/>
        <v>See Schedule 4</v>
      </c>
      <c r="I121" s="52" t="str">
        <f t="shared" si="12"/>
        <v>See Schedule 4</v>
      </c>
      <c r="J121" s="52" t="str">
        <f t="shared" si="12"/>
        <v>See Schedule 4</v>
      </c>
      <c r="K121" s="52" t="str">
        <f t="shared" si="12"/>
        <v>See Schedule 4</v>
      </c>
      <c r="L121" s="52" t="str">
        <f t="shared" si="12"/>
        <v>See Schedule 4</v>
      </c>
      <c r="M121" s="52" t="str">
        <f t="shared" si="12"/>
        <v>See Schedule 4</v>
      </c>
      <c r="N121" s="52" t="str">
        <f t="shared" si="12"/>
        <v>See Schedule 4</v>
      </c>
      <c r="O121" s="52" t="str">
        <f t="shared" si="12"/>
        <v>See Schedule 4</v>
      </c>
    </row>
    <row r="122" spans="1:18" ht="14.4" x14ac:dyDescent="0.3">
      <c r="A122" s="14" t="s">
        <v>33</v>
      </c>
      <c r="B122" s="14"/>
      <c r="C122" s="16"/>
      <c r="D122" s="24"/>
      <c r="E122" s="24"/>
      <c r="F122" s="24"/>
      <c r="G122" s="24"/>
      <c r="H122" s="24"/>
      <c r="I122" s="24"/>
      <c r="J122" s="24"/>
      <c r="K122" s="24"/>
      <c r="L122" s="24"/>
      <c r="M122" s="24"/>
      <c r="N122" s="24"/>
      <c r="O122" s="24"/>
    </row>
    <row r="123" spans="1:18" ht="14.4" x14ac:dyDescent="0.3">
      <c r="A123" s="18" t="s">
        <v>34</v>
      </c>
      <c r="B123" s="18"/>
      <c r="C123" s="16" t="s">
        <v>19</v>
      </c>
      <c r="D123" s="20">
        <f t="shared" ref="D123:O124" si="13">D73</f>
        <v>0.3664</v>
      </c>
      <c r="E123" s="20">
        <f t="shared" si="13"/>
        <v>0.3664</v>
      </c>
      <c r="F123" s="20">
        <f t="shared" si="13"/>
        <v>0.3664</v>
      </c>
      <c r="G123" s="20">
        <f t="shared" si="13"/>
        <v>0.3664</v>
      </c>
      <c r="H123" s="20">
        <f t="shared" si="13"/>
        <v>0.3664</v>
      </c>
      <c r="I123" s="20">
        <f t="shared" si="13"/>
        <v>0.3664</v>
      </c>
      <c r="J123" s="20">
        <f t="shared" si="13"/>
        <v>0.40029999999999999</v>
      </c>
      <c r="K123" s="20">
        <f t="shared" si="13"/>
        <v>0.40029999999999999</v>
      </c>
      <c r="L123" s="20">
        <f t="shared" si="13"/>
        <v>0.40029999999999999</v>
      </c>
      <c r="M123" s="20">
        <f t="shared" si="13"/>
        <v>0.40029999999999999</v>
      </c>
      <c r="N123" s="20">
        <f t="shared" si="13"/>
        <v>0.40029999999999999</v>
      </c>
      <c r="O123" s="20">
        <f t="shared" si="13"/>
        <v>0.40029999999999999</v>
      </c>
    </row>
    <row r="124" spans="1:18" ht="14.4" x14ac:dyDescent="0.3">
      <c r="A124" s="18" t="s">
        <v>35</v>
      </c>
      <c r="B124" s="18"/>
      <c r="C124" s="16" t="s">
        <v>36</v>
      </c>
      <c r="D124" s="52" t="str">
        <f t="shared" si="13"/>
        <v>See Schedule 5</v>
      </c>
      <c r="E124" s="52" t="str">
        <f t="shared" si="13"/>
        <v>See Schedule 5</v>
      </c>
      <c r="F124" s="52" t="str">
        <f t="shared" si="13"/>
        <v>See Schedule 5</v>
      </c>
      <c r="G124" s="52" t="str">
        <f t="shared" si="13"/>
        <v>See Schedule 5</v>
      </c>
      <c r="H124" s="52" t="str">
        <f>H74</f>
        <v>See Schedule 5</v>
      </c>
      <c r="I124" s="52" t="str">
        <f t="shared" si="13"/>
        <v>See Schedule 5</v>
      </c>
      <c r="J124" s="52" t="str">
        <f t="shared" si="13"/>
        <v>See Schedule 5</v>
      </c>
      <c r="K124" s="52" t="str">
        <f t="shared" si="13"/>
        <v>See Schedule 5</v>
      </c>
      <c r="L124" s="52" t="str">
        <f t="shared" si="13"/>
        <v>See Schedule 5</v>
      </c>
      <c r="M124" s="52" t="str">
        <f t="shared" si="13"/>
        <v>See Schedule 5</v>
      </c>
      <c r="N124" s="52" t="str">
        <f t="shared" si="13"/>
        <v>See Schedule 5</v>
      </c>
      <c r="O124" s="52" t="str">
        <f t="shared" si="13"/>
        <v>See Schedule 5</v>
      </c>
    </row>
    <row r="125" spans="1:18" ht="14.4" x14ac:dyDescent="0.3">
      <c r="A125" s="14" t="s">
        <v>37</v>
      </c>
      <c r="B125" s="14"/>
      <c r="C125" s="16"/>
      <c r="D125" s="24"/>
      <c r="E125" s="24"/>
      <c r="F125" s="24"/>
      <c r="G125" s="24"/>
      <c r="H125" s="24"/>
      <c r="I125" s="24"/>
      <c r="J125" s="24"/>
      <c r="K125" s="24"/>
      <c r="L125" s="24"/>
      <c r="M125" s="24"/>
      <c r="N125" s="24"/>
      <c r="O125" s="24"/>
    </row>
    <row r="126" spans="1:18" ht="14.4" x14ac:dyDescent="0.3">
      <c r="A126" s="25" t="s">
        <v>38</v>
      </c>
      <c r="B126" s="18"/>
      <c r="C126" s="16" t="s">
        <v>19</v>
      </c>
      <c r="D126" s="20">
        <f t="shared" ref="D126:O126" si="14">D76</f>
        <v>0.1404</v>
      </c>
      <c r="E126" s="20">
        <f t="shared" si="14"/>
        <v>0.14729999999999999</v>
      </c>
      <c r="F126" s="20">
        <f t="shared" si="14"/>
        <v>0.13950000000000001</v>
      </c>
      <c r="G126" s="20">
        <f t="shared" si="14"/>
        <v>0.14099999999999999</v>
      </c>
      <c r="H126" s="20">
        <f t="shared" si="14"/>
        <v>0.1283</v>
      </c>
      <c r="I126" s="20">
        <f t="shared" si="14"/>
        <v>0.1103</v>
      </c>
      <c r="J126" s="20">
        <f t="shared" si="14"/>
        <v>0.11559999999999999</v>
      </c>
      <c r="K126" s="20">
        <f t="shared" si="14"/>
        <v>0.1419</v>
      </c>
      <c r="L126" s="20">
        <f t="shared" si="14"/>
        <v>0.15759999999999999</v>
      </c>
      <c r="M126" s="20">
        <f t="shared" si="14"/>
        <v>0.1288</v>
      </c>
      <c r="N126" s="20">
        <f t="shared" si="14"/>
        <v>0.1321</v>
      </c>
      <c r="O126" s="20">
        <f t="shared" si="14"/>
        <v>0.1331</v>
      </c>
    </row>
    <row r="127" spans="1:18" ht="14.4" x14ac:dyDescent="0.3">
      <c r="A127" s="25" t="s">
        <v>39</v>
      </c>
      <c r="B127" s="18"/>
      <c r="C127" s="16" t="s">
        <v>19</v>
      </c>
      <c r="D127" s="20">
        <v>0</v>
      </c>
      <c r="E127" s="20">
        <v>0</v>
      </c>
      <c r="F127" s="20">
        <v>0</v>
      </c>
      <c r="G127" s="20">
        <v>0</v>
      </c>
      <c r="H127" s="20">
        <v>0</v>
      </c>
      <c r="I127" s="20">
        <v>0</v>
      </c>
      <c r="J127" s="20">
        <v>0</v>
      </c>
      <c r="K127" s="20">
        <v>0</v>
      </c>
      <c r="L127" s="20">
        <v>0</v>
      </c>
      <c r="M127" s="20">
        <v>0</v>
      </c>
      <c r="N127" s="20">
        <v>0</v>
      </c>
      <c r="O127" s="20">
        <v>0</v>
      </c>
      <c r="P127" s="5"/>
      <c r="Q127" s="5"/>
      <c r="R127" s="5"/>
    </row>
    <row r="128" spans="1:18" ht="14.4" x14ac:dyDescent="0.3">
      <c r="A128" s="25" t="s">
        <v>180</v>
      </c>
      <c r="B128" s="18"/>
      <c r="C128" s="16" t="s">
        <v>19</v>
      </c>
      <c r="D128" s="20">
        <f>D78</f>
        <v>6.2E-2</v>
      </c>
      <c r="E128" s="20">
        <f t="shared" ref="E128:O131" si="15">E78</f>
        <v>6.2E-2</v>
      </c>
      <c r="F128" s="20">
        <f t="shared" si="15"/>
        <v>6.2E-2</v>
      </c>
      <c r="G128" s="20">
        <f t="shared" si="15"/>
        <v>6.2E-2</v>
      </c>
      <c r="H128" s="20">
        <f t="shared" si="15"/>
        <v>6.2E-2</v>
      </c>
      <c r="I128" s="20">
        <f t="shared" si="15"/>
        <v>6.2E-2</v>
      </c>
      <c r="J128" s="20">
        <f t="shared" si="15"/>
        <v>6.2E-2</v>
      </c>
      <c r="K128" s="20">
        <f t="shared" si="15"/>
        <v>6.2E-2</v>
      </c>
      <c r="L128" s="20">
        <f t="shared" si="15"/>
        <v>6.2E-2</v>
      </c>
      <c r="M128" s="20">
        <f t="shared" si="15"/>
        <v>6.2E-2</v>
      </c>
      <c r="N128" s="20">
        <f t="shared" si="15"/>
        <v>3.1399999999999997E-2</v>
      </c>
      <c r="O128" s="20">
        <f t="shared" si="15"/>
        <v>3.1399999999999997E-2</v>
      </c>
    </row>
    <row r="129" spans="1:18" ht="14.4" x14ac:dyDescent="0.3">
      <c r="A129" s="26" t="s">
        <v>40</v>
      </c>
      <c r="B129" s="18"/>
      <c r="C129" s="16" t="s">
        <v>19</v>
      </c>
      <c r="D129" s="20">
        <f>D79</f>
        <v>1E-4</v>
      </c>
      <c r="E129" s="20">
        <f t="shared" si="15"/>
        <v>1E-4</v>
      </c>
      <c r="F129" s="20">
        <f t="shared" si="15"/>
        <v>1E-4</v>
      </c>
      <c r="G129" s="20">
        <f t="shared" si="15"/>
        <v>1E-4</v>
      </c>
      <c r="H129" s="20">
        <f t="shared" si="15"/>
        <v>1E-4</v>
      </c>
      <c r="I129" s="20">
        <f t="shared" si="15"/>
        <v>1E-4</v>
      </c>
      <c r="J129" s="20">
        <f t="shared" si="15"/>
        <v>1E-4</v>
      </c>
      <c r="K129" s="20">
        <f t="shared" si="15"/>
        <v>1E-4</v>
      </c>
      <c r="L129" s="20">
        <f t="shared" si="15"/>
        <v>1E-4</v>
      </c>
      <c r="M129" s="20">
        <f t="shared" si="15"/>
        <v>1E-4</v>
      </c>
      <c r="N129" s="20">
        <f t="shared" si="15"/>
        <v>1E-4</v>
      </c>
      <c r="O129" s="20">
        <f t="shared" si="15"/>
        <v>1E-4</v>
      </c>
    </row>
    <row r="130" spans="1:18" ht="14.4" x14ac:dyDescent="0.3">
      <c r="A130" s="26" t="s">
        <v>41</v>
      </c>
      <c r="B130" s="18"/>
      <c r="C130" s="16" t="s">
        <v>19</v>
      </c>
      <c r="D130" s="20">
        <f>D80</f>
        <v>0</v>
      </c>
      <c r="E130" s="20">
        <f t="shared" si="15"/>
        <v>0</v>
      </c>
      <c r="F130" s="20">
        <f t="shared" si="15"/>
        <v>0</v>
      </c>
      <c r="G130" s="20">
        <f t="shared" si="15"/>
        <v>0</v>
      </c>
      <c r="H130" s="20">
        <f t="shared" si="15"/>
        <v>0</v>
      </c>
      <c r="I130" s="20">
        <f t="shared" si="15"/>
        <v>0</v>
      </c>
      <c r="J130" s="20">
        <f t="shared" si="15"/>
        <v>0</v>
      </c>
      <c r="K130" s="20">
        <f t="shared" si="15"/>
        <v>0</v>
      </c>
      <c r="L130" s="20">
        <f t="shared" si="15"/>
        <v>0</v>
      </c>
      <c r="M130" s="20">
        <f t="shared" si="15"/>
        <v>0</v>
      </c>
      <c r="N130" s="20">
        <f t="shared" si="15"/>
        <v>0</v>
      </c>
      <c r="O130" s="20">
        <f t="shared" si="15"/>
        <v>0</v>
      </c>
    </row>
    <row r="131" spans="1:18" ht="14.4" x14ac:dyDescent="0.3">
      <c r="A131" s="154" t="s">
        <v>181</v>
      </c>
      <c r="B131" s="155"/>
      <c r="C131" s="16" t="s">
        <v>19</v>
      </c>
      <c r="D131" s="20">
        <f>D81</f>
        <v>1.03E-2</v>
      </c>
      <c r="E131" s="20">
        <f t="shared" si="15"/>
        <v>1.03E-2</v>
      </c>
      <c r="F131" s="20">
        <f t="shared" si="15"/>
        <v>1.03E-2</v>
      </c>
      <c r="G131" s="20">
        <f t="shared" si="15"/>
        <v>1.03E-2</v>
      </c>
      <c r="H131" s="20">
        <f t="shared" si="15"/>
        <v>1.03E-2</v>
      </c>
      <c r="I131" s="20">
        <f t="shared" si="15"/>
        <v>1.03E-2</v>
      </c>
      <c r="J131" s="20">
        <f t="shared" si="15"/>
        <v>1.03E-2</v>
      </c>
      <c r="K131" s="20">
        <f t="shared" si="15"/>
        <v>1.03E-2</v>
      </c>
      <c r="L131" s="20">
        <f t="shared" si="15"/>
        <v>1.03E-2</v>
      </c>
      <c r="M131" s="20">
        <f t="shared" si="15"/>
        <v>1.03E-2</v>
      </c>
      <c r="N131" s="20">
        <f t="shared" si="15"/>
        <v>1.03E-2</v>
      </c>
      <c r="O131" s="20">
        <f t="shared" si="15"/>
        <v>1.03E-2</v>
      </c>
    </row>
    <row r="132" spans="1:18" ht="16.2" hidden="1" x14ac:dyDescent="0.3">
      <c r="A132" s="154" t="s">
        <v>182</v>
      </c>
      <c r="B132" s="155"/>
      <c r="C132" s="16" t="s">
        <v>19</v>
      </c>
      <c r="D132" s="20">
        <v>0</v>
      </c>
      <c r="E132" s="20">
        <v>0</v>
      </c>
      <c r="F132" s="20">
        <v>0</v>
      </c>
      <c r="G132" s="20">
        <v>0</v>
      </c>
      <c r="H132" s="20">
        <v>0</v>
      </c>
      <c r="I132" s="20">
        <v>0</v>
      </c>
      <c r="J132" s="20">
        <v>0</v>
      </c>
      <c r="K132" s="20">
        <v>0</v>
      </c>
      <c r="L132" s="20">
        <v>0</v>
      </c>
      <c r="M132" s="20">
        <v>0</v>
      </c>
      <c r="N132" s="20">
        <v>0</v>
      </c>
      <c r="O132" s="20">
        <v>0</v>
      </c>
    </row>
    <row r="133" spans="1:18" ht="16.2" hidden="1" x14ac:dyDescent="0.3">
      <c r="A133" s="154" t="s">
        <v>182</v>
      </c>
      <c r="B133" s="156"/>
      <c r="C133" s="16" t="s">
        <v>19</v>
      </c>
      <c r="D133" s="20">
        <v>0</v>
      </c>
      <c r="E133" s="20">
        <v>0</v>
      </c>
      <c r="F133" s="20">
        <v>0</v>
      </c>
      <c r="G133" s="20">
        <v>0</v>
      </c>
      <c r="H133" s="20">
        <v>0</v>
      </c>
      <c r="I133" s="20">
        <v>0</v>
      </c>
      <c r="J133" s="20">
        <v>0</v>
      </c>
      <c r="K133" s="20">
        <v>0</v>
      </c>
      <c r="L133" s="20">
        <v>0</v>
      </c>
      <c r="M133" s="20">
        <v>0</v>
      </c>
      <c r="N133" s="20">
        <v>0</v>
      </c>
      <c r="O133" s="20">
        <v>0</v>
      </c>
    </row>
    <row r="134" spans="1:18" ht="14.4" x14ac:dyDescent="0.3">
      <c r="A134" s="14" t="s">
        <v>42</v>
      </c>
      <c r="B134" s="14"/>
      <c r="C134" s="16"/>
      <c r="D134" s="24"/>
      <c r="E134" s="24"/>
      <c r="F134" s="24"/>
      <c r="G134" s="24"/>
      <c r="H134" s="24"/>
      <c r="I134" s="24"/>
      <c r="J134" s="24"/>
      <c r="K134" s="24"/>
      <c r="L134" s="24"/>
      <c r="M134" s="24"/>
      <c r="N134" s="24"/>
      <c r="O134" s="24"/>
    </row>
    <row r="135" spans="1:18" ht="14.4" x14ac:dyDescent="0.3">
      <c r="A135" s="14" t="s">
        <v>43</v>
      </c>
      <c r="B135" s="14"/>
      <c r="C135" s="16" t="s">
        <v>44</v>
      </c>
      <c r="D135" s="27"/>
      <c r="E135" s="27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5"/>
      <c r="Q135" s="5"/>
      <c r="R135" s="5"/>
    </row>
    <row r="136" spans="1:18" ht="14.4" hidden="1" x14ac:dyDescent="0.3">
      <c r="A136" s="14" t="s">
        <v>183</v>
      </c>
      <c r="B136" s="14"/>
      <c r="C136" s="16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</row>
    <row r="137" spans="1:18" ht="14.4" hidden="1" x14ac:dyDescent="0.3">
      <c r="A137" s="14" t="s">
        <v>184</v>
      </c>
      <c r="B137" s="14"/>
      <c r="C137" s="16" t="s">
        <v>19</v>
      </c>
      <c r="D137" s="20">
        <v>0</v>
      </c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</row>
    <row r="138" spans="1:18" ht="14.4" x14ac:dyDescent="0.3">
      <c r="A138" s="14" t="s">
        <v>45</v>
      </c>
      <c r="B138" s="14"/>
      <c r="C138" s="16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</row>
    <row r="139" spans="1:18" ht="14.4" x14ac:dyDescent="0.3">
      <c r="A139" s="14" t="s">
        <v>46</v>
      </c>
      <c r="B139" s="14"/>
      <c r="C139" s="16" t="s">
        <v>19</v>
      </c>
      <c r="D139" s="20">
        <v>0</v>
      </c>
      <c r="E139" s="20">
        <v>0</v>
      </c>
      <c r="F139" s="20">
        <v>0</v>
      </c>
      <c r="G139" s="20">
        <v>0</v>
      </c>
      <c r="H139" s="20">
        <v>0</v>
      </c>
      <c r="I139" s="20">
        <v>0</v>
      </c>
      <c r="J139" s="20">
        <v>0</v>
      </c>
      <c r="K139" s="20">
        <v>0</v>
      </c>
      <c r="L139" s="20">
        <v>0</v>
      </c>
      <c r="M139" s="20">
        <v>0</v>
      </c>
      <c r="N139" s="20">
        <v>0</v>
      </c>
      <c r="O139" s="20">
        <v>0</v>
      </c>
    </row>
    <row r="140" spans="1:18" ht="14.4" hidden="1" x14ac:dyDescent="0.3">
      <c r="A140" s="14" t="s">
        <v>185</v>
      </c>
      <c r="B140" s="14"/>
      <c r="C140" s="16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</row>
    <row r="141" spans="1:18" ht="14.4" hidden="1" x14ac:dyDescent="0.3">
      <c r="A141" s="14" t="s">
        <v>186</v>
      </c>
      <c r="B141" s="14"/>
      <c r="C141" s="16" t="s">
        <v>19</v>
      </c>
      <c r="D141" s="20">
        <v>0</v>
      </c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</row>
    <row r="142" spans="1:18" ht="14.4" x14ac:dyDescent="0.3">
      <c r="A142" s="14" t="s">
        <v>47</v>
      </c>
      <c r="B142" s="14"/>
      <c r="C142" s="16"/>
      <c r="D142" s="24"/>
      <c r="E142" s="24"/>
      <c r="F142" s="24"/>
      <c r="G142" s="24"/>
      <c r="H142" s="24"/>
      <c r="I142" s="24"/>
      <c r="J142" s="24"/>
      <c r="K142" s="24"/>
      <c r="L142" s="24"/>
      <c r="M142" s="24"/>
      <c r="N142" s="24"/>
      <c r="O142" s="24"/>
    </row>
    <row r="143" spans="1:18" ht="14.4" x14ac:dyDescent="0.3">
      <c r="A143" s="18" t="s">
        <v>48</v>
      </c>
      <c r="B143" s="18"/>
      <c r="C143" s="16" t="s">
        <v>19</v>
      </c>
      <c r="D143" s="20">
        <f t="shared" ref="D143:O144" si="16">D93</f>
        <v>0.1163</v>
      </c>
      <c r="E143" s="20">
        <f t="shared" si="16"/>
        <v>0.1163</v>
      </c>
      <c r="F143" s="20">
        <f t="shared" si="16"/>
        <v>0.1163</v>
      </c>
      <c r="G143" s="20">
        <f t="shared" si="16"/>
        <v>0.1163</v>
      </c>
      <c r="H143" s="20">
        <f t="shared" si="16"/>
        <v>0.1163</v>
      </c>
      <c r="I143" s="20">
        <f t="shared" si="16"/>
        <v>0.1163</v>
      </c>
      <c r="J143" s="20">
        <f t="shared" si="16"/>
        <v>0.1163</v>
      </c>
      <c r="K143" s="20">
        <f t="shared" si="16"/>
        <v>0.1163</v>
      </c>
      <c r="L143" s="20">
        <f t="shared" si="16"/>
        <v>0.1163</v>
      </c>
      <c r="M143" s="20">
        <f t="shared" si="16"/>
        <v>0.1163</v>
      </c>
      <c r="N143" s="20">
        <f t="shared" si="16"/>
        <v>0.1163</v>
      </c>
      <c r="O143" s="20">
        <f t="shared" si="16"/>
        <v>0.1163</v>
      </c>
    </row>
    <row r="144" spans="1:18" ht="14.4" x14ac:dyDescent="0.3">
      <c r="A144" s="18" t="s">
        <v>49</v>
      </c>
      <c r="B144" s="18"/>
      <c r="C144" s="16" t="s">
        <v>19</v>
      </c>
      <c r="D144" s="20">
        <f t="shared" si="16"/>
        <v>2.5000000000000001E-3</v>
      </c>
      <c r="E144" s="20">
        <f>E94</f>
        <v>2.5000000000000001E-3</v>
      </c>
      <c r="F144" s="20">
        <f>F94</f>
        <v>2.5000000000000001E-3</v>
      </c>
      <c r="G144" s="20">
        <f>G94</f>
        <v>2.5000000000000001E-3</v>
      </c>
      <c r="H144" s="20">
        <f>H94</f>
        <v>2.5000000000000001E-3</v>
      </c>
      <c r="I144" s="20">
        <f>I94</f>
        <v>2.5000000000000001E-3</v>
      </c>
      <c r="J144" s="20">
        <f t="shared" si="16"/>
        <v>2.5000000000000001E-3</v>
      </c>
      <c r="K144" s="20">
        <f t="shared" si="16"/>
        <v>2.5000000000000001E-3</v>
      </c>
      <c r="L144" s="20">
        <f t="shared" si="16"/>
        <v>2.5000000000000001E-3</v>
      </c>
      <c r="M144" s="20">
        <f t="shared" si="16"/>
        <v>2.5000000000000001E-3</v>
      </c>
      <c r="N144" s="20">
        <f t="shared" si="16"/>
        <v>2.5000000000000001E-3</v>
      </c>
      <c r="O144" s="20">
        <f t="shared" si="16"/>
        <v>2.5000000000000001E-3</v>
      </c>
    </row>
    <row r="145" spans="1:18" ht="14.4" x14ac:dyDescent="0.3">
      <c r="A145" s="14" t="s">
        <v>52</v>
      </c>
      <c r="B145" s="14"/>
      <c r="C145" s="29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</row>
    <row r="146" spans="1:18" ht="14.4" x14ac:dyDescent="0.3">
      <c r="A146" s="18" t="s">
        <v>53</v>
      </c>
      <c r="B146" s="18"/>
      <c r="C146" s="16" t="s">
        <v>44</v>
      </c>
      <c r="D146" s="52" t="str">
        <f t="shared" ref="D146:O152" si="17">D96</f>
        <v>See Schedule 8</v>
      </c>
      <c r="E146" s="52" t="str">
        <f t="shared" si="17"/>
        <v>See Schedule 8</v>
      </c>
      <c r="F146" s="52" t="str">
        <f t="shared" si="17"/>
        <v>See Schedule 8</v>
      </c>
      <c r="G146" s="52" t="str">
        <f t="shared" si="17"/>
        <v>See Schedule 8</v>
      </c>
      <c r="H146" s="52" t="str">
        <f t="shared" si="17"/>
        <v>See Schedule 8</v>
      </c>
      <c r="I146" s="52" t="str">
        <f t="shared" si="17"/>
        <v>See Schedule 8</v>
      </c>
      <c r="J146" s="52" t="str">
        <f t="shared" si="17"/>
        <v>See Schedule 8</v>
      </c>
      <c r="K146" s="52" t="str">
        <f t="shared" si="17"/>
        <v>See Schedule 8</v>
      </c>
      <c r="L146" s="52" t="str">
        <f t="shared" si="17"/>
        <v>See Schedule 8</v>
      </c>
      <c r="M146" s="52" t="str">
        <f t="shared" si="17"/>
        <v>See Schedule 8</v>
      </c>
      <c r="N146" s="52" t="str">
        <f t="shared" si="17"/>
        <v>See Schedule 8</v>
      </c>
      <c r="O146" s="52" t="str">
        <f t="shared" si="17"/>
        <v>See Schedule 8</v>
      </c>
    </row>
    <row r="147" spans="1:18" ht="14.4" x14ac:dyDescent="0.3">
      <c r="A147" s="18" t="s">
        <v>54</v>
      </c>
      <c r="B147" s="18"/>
      <c r="C147" s="16" t="s">
        <v>44</v>
      </c>
      <c r="D147" s="27">
        <f t="shared" si="17"/>
        <v>0</v>
      </c>
      <c r="E147" s="27">
        <f t="shared" si="17"/>
        <v>0</v>
      </c>
      <c r="F147" s="27">
        <f t="shared" si="17"/>
        <v>0</v>
      </c>
      <c r="G147" s="27">
        <f t="shared" si="17"/>
        <v>0</v>
      </c>
      <c r="H147" s="27">
        <f t="shared" si="17"/>
        <v>0</v>
      </c>
      <c r="I147" s="27">
        <f t="shared" si="17"/>
        <v>0</v>
      </c>
      <c r="J147" s="27">
        <f t="shared" si="17"/>
        <v>0</v>
      </c>
      <c r="K147" s="27">
        <f t="shared" si="17"/>
        <v>0</v>
      </c>
      <c r="L147" s="27">
        <f t="shared" si="17"/>
        <v>0</v>
      </c>
      <c r="M147" s="27">
        <f t="shared" si="17"/>
        <v>0</v>
      </c>
      <c r="N147" s="27">
        <f t="shared" si="17"/>
        <v>0</v>
      </c>
      <c r="O147" s="27">
        <f t="shared" si="17"/>
        <v>0</v>
      </c>
    </row>
    <row r="148" spans="1:18" ht="14.4" x14ac:dyDescent="0.3">
      <c r="A148" s="18" t="s">
        <v>55</v>
      </c>
      <c r="B148" s="18"/>
      <c r="C148" s="16" t="s">
        <v>44</v>
      </c>
      <c r="D148" s="27">
        <f t="shared" si="17"/>
        <v>8.9899999999999994E-2</v>
      </c>
      <c r="E148" s="27">
        <f t="shared" si="17"/>
        <v>9.3700000000000006E-2</v>
      </c>
      <c r="F148" s="27">
        <f t="shared" si="17"/>
        <v>9.4399999999999998E-2</v>
      </c>
      <c r="G148" s="27">
        <f t="shared" si="17"/>
        <v>9.6299999999999997E-2</v>
      </c>
      <c r="H148" s="27">
        <f t="shared" si="17"/>
        <v>9.7600000000000006E-2</v>
      </c>
      <c r="I148" s="27">
        <f t="shared" si="17"/>
        <v>9.7299999999999998E-2</v>
      </c>
      <c r="J148" s="27">
        <f t="shared" si="17"/>
        <v>9.5600000000000004E-2</v>
      </c>
      <c r="K148" s="27">
        <f t="shared" si="17"/>
        <v>8.9700000000000002E-2</v>
      </c>
      <c r="L148" s="27">
        <f t="shared" si="17"/>
        <v>9.8400000000000001E-2</v>
      </c>
      <c r="M148" s="27">
        <f t="shared" si="17"/>
        <v>9.4299999999999995E-2</v>
      </c>
      <c r="N148" s="27">
        <f t="shared" si="17"/>
        <v>9.3399999999999997E-2</v>
      </c>
      <c r="O148" s="27">
        <f t="shared" si="17"/>
        <v>9.5500000000000002E-2</v>
      </c>
    </row>
    <row r="149" spans="1:18" ht="14.4" x14ac:dyDescent="0.3">
      <c r="A149" s="18" t="s">
        <v>187</v>
      </c>
      <c r="B149" s="18"/>
      <c r="C149" s="16" t="s">
        <v>44</v>
      </c>
      <c r="D149" s="27">
        <f t="shared" si="17"/>
        <v>5.5858455631032497E-3</v>
      </c>
      <c r="E149" s="27">
        <f t="shared" si="17"/>
        <v>3.0650583850564523E-3</v>
      </c>
      <c r="F149" s="27">
        <f t="shared" si="17"/>
        <v>2.6939820012288874E-3</v>
      </c>
      <c r="G149" s="27">
        <f t="shared" si="17"/>
        <v>0</v>
      </c>
      <c r="H149" s="27">
        <f t="shared" si="17"/>
        <v>1.4227759048057112E-2</v>
      </c>
      <c r="I149" s="27">
        <f t="shared" si="17"/>
        <v>1.0851314063502437E-2</v>
      </c>
      <c r="J149" s="27">
        <f t="shared" si="17"/>
        <v>1.691896019316478E-2</v>
      </c>
      <c r="K149" s="27">
        <f t="shared" si="17"/>
        <v>4.451228191928034E-2</v>
      </c>
      <c r="L149" s="27">
        <f t="shared" si="17"/>
        <v>1.7462006912087345E-2</v>
      </c>
      <c r="M149" s="27">
        <f t="shared" si="17"/>
        <v>1.7899999999999999E-2</v>
      </c>
      <c r="N149" s="27">
        <f t="shared" si="17"/>
        <v>5.3E-3</v>
      </c>
      <c r="O149" s="27">
        <f t="shared" si="17"/>
        <v>5.5999999999999999E-3</v>
      </c>
    </row>
    <row r="150" spans="1:18" ht="14.4" x14ac:dyDescent="0.3">
      <c r="A150" s="18" t="s">
        <v>188</v>
      </c>
      <c r="B150" s="18"/>
      <c r="C150" s="16" t="s">
        <v>44</v>
      </c>
      <c r="D150" s="27">
        <f t="shared" si="17"/>
        <v>9.8799999999999999E-2</v>
      </c>
      <c r="E150" s="27">
        <f t="shared" si="17"/>
        <v>9.8799999999999999E-2</v>
      </c>
      <c r="F150" s="27">
        <f t="shared" si="17"/>
        <v>9.8799999999999999E-2</v>
      </c>
      <c r="G150" s="27">
        <f t="shared" si="17"/>
        <v>9.8799999999999999E-2</v>
      </c>
      <c r="H150" s="27">
        <f t="shared" si="17"/>
        <v>9.8799999999999999E-2</v>
      </c>
      <c r="I150" s="27">
        <f t="shared" si="17"/>
        <v>9.8799999999999999E-2</v>
      </c>
      <c r="J150" s="27">
        <f t="shared" si="17"/>
        <v>9.8799999999999999E-2</v>
      </c>
      <c r="K150" s="27">
        <f t="shared" si="17"/>
        <v>9.8799999999999999E-2</v>
      </c>
      <c r="L150" s="27">
        <f t="shared" si="17"/>
        <v>9.8799999999999999E-2</v>
      </c>
      <c r="M150" s="27">
        <f t="shared" si="17"/>
        <v>9.8799999999999999E-2</v>
      </c>
      <c r="N150" s="27">
        <f t="shared" si="17"/>
        <v>9.8799999999999999E-2</v>
      </c>
      <c r="O150" s="27">
        <f t="shared" si="17"/>
        <v>9.8799999999999999E-2</v>
      </c>
    </row>
    <row r="151" spans="1:18" ht="14.4" x14ac:dyDescent="0.3">
      <c r="A151" s="18" t="s">
        <v>56</v>
      </c>
      <c r="B151" s="18"/>
      <c r="C151" s="16" t="s">
        <v>44</v>
      </c>
      <c r="D151" s="27">
        <f t="shared" si="17"/>
        <v>0.12</v>
      </c>
      <c r="E151" s="27">
        <f t="shared" si="17"/>
        <v>0.12</v>
      </c>
      <c r="F151" s="27">
        <f t="shared" si="17"/>
        <v>0.12</v>
      </c>
      <c r="G151" s="27">
        <f t="shared" si="17"/>
        <v>0.12</v>
      </c>
      <c r="H151" s="27">
        <f t="shared" si="17"/>
        <v>0.12</v>
      </c>
      <c r="I151" s="27">
        <f t="shared" si="17"/>
        <v>0.12</v>
      </c>
      <c r="J151" s="27">
        <f t="shared" si="17"/>
        <v>0.12</v>
      </c>
      <c r="K151" s="27">
        <f t="shared" si="17"/>
        <v>0.12</v>
      </c>
      <c r="L151" s="27">
        <f t="shared" si="17"/>
        <v>0.12</v>
      </c>
      <c r="M151" s="27">
        <f t="shared" si="17"/>
        <v>0.12</v>
      </c>
      <c r="N151" s="27">
        <f t="shared" si="17"/>
        <v>0.12</v>
      </c>
      <c r="O151" s="27">
        <f t="shared" si="17"/>
        <v>0.12</v>
      </c>
    </row>
    <row r="152" spans="1:18" ht="14.4" x14ac:dyDescent="0.3">
      <c r="A152" s="18" t="s">
        <v>57</v>
      </c>
      <c r="B152" s="18"/>
      <c r="C152" s="16" t="s">
        <v>44</v>
      </c>
      <c r="D152" s="27">
        <f t="shared" si="17"/>
        <v>0.12</v>
      </c>
      <c r="E152" s="27">
        <f t="shared" si="17"/>
        <v>0.12</v>
      </c>
      <c r="F152" s="27">
        <f t="shared" si="17"/>
        <v>0.12</v>
      </c>
      <c r="G152" s="27">
        <f t="shared" si="17"/>
        <v>0.12</v>
      </c>
      <c r="H152" s="27">
        <f t="shared" si="17"/>
        <v>0.12</v>
      </c>
      <c r="I152" s="27">
        <f t="shared" si="17"/>
        <v>0.12</v>
      </c>
      <c r="J152" s="27">
        <f t="shared" si="17"/>
        <v>0.12</v>
      </c>
      <c r="K152" s="27">
        <f t="shared" si="17"/>
        <v>0.12</v>
      </c>
      <c r="L152" s="27">
        <f t="shared" si="17"/>
        <v>0.12</v>
      </c>
      <c r="M152" s="27">
        <f t="shared" si="17"/>
        <v>0.12</v>
      </c>
      <c r="N152" s="27">
        <f t="shared" si="17"/>
        <v>0.12</v>
      </c>
      <c r="O152" s="27">
        <f t="shared" si="17"/>
        <v>0.12</v>
      </c>
    </row>
    <row r="154" spans="1:18" x14ac:dyDescent="0.3">
      <c r="A154" s="33" t="s">
        <v>58</v>
      </c>
    </row>
    <row r="155" spans="1:18" x14ac:dyDescent="0.3">
      <c r="A155" s="33"/>
    </row>
    <row r="156" spans="1:18" ht="18" x14ac:dyDescent="0.35">
      <c r="A156" s="9" t="str">
        <f>'[40]Statistical data'!A187</f>
        <v>GHMSCI</v>
      </c>
      <c r="B156" s="9"/>
      <c r="C156" s="5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</row>
    <row r="157" spans="1:18" s="13" customFormat="1" ht="14.4" x14ac:dyDescent="0.3">
      <c r="A157" s="11" t="s">
        <v>3</v>
      </c>
      <c r="B157" s="11"/>
      <c r="C157" s="11" t="s">
        <v>4</v>
      </c>
      <c r="D157" s="12" t="s">
        <v>5</v>
      </c>
      <c r="E157" s="12" t="s">
        <v>6</v>
      </c>
      <c r="F157" s="12" t="s">
        <v>7</v>
      </c>
      <c r="G157" s="12" t="s">
        <v>8</v>
      </c>
      <c r="H157" s="12" t="s">
        <v>9</v>
      </c>
      <c r="I157" s="12" t="s">
        <v>10</v>
      </c>
      <c r="J157" s="12" t="s">
        <v>11</v>
      </c>
      <c r="K157" s="12" t="s">
        <v>12</v>
      </c>
      <c r="L157" s="12" t="s">
        <v>13</v>
      </c>
      <c r="M157" s="12" t="s">
        <v>14</v>
      </c>
      <c r="N157" s="12" t="s">
        <v>15</v>
      </c>
      <c r="O157" s="12" t="s">
        <v>16</v>
      </c>
      <c r="P157" s="153"/>
      <c r="Q157" s="153"/>
      <c r="R157" s="153"/>
    </row>
    <row r="158" spans="1:18" ht="14.4" x14ac:dyDescent="0.3">
      <c r="A158" s="14" t="s">
        <v>17</v>
      </c>
      <c r="B158" s="15"/>
      <c r="C158" s="16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</row>
    <row r="159" spans="1:18" ht="14.4" x14ac:dyDescent="0.3">
      <c r="A159" s="18" t="s">
        <v>18</v>
      </c>
      <c r="B159" s="19"/>
      <c r="C159" s="16" t="s">
        <v>19</v>
      </c>
      <c r="D159" s="20">
        <f t="shared" ref="D159:O159" si="18">D989</f>
        <v>5.4642999999999997</v>
      </c>
      <c r="E159" s="20">
        <f t="shared" si="18"/>
        <v>5.5773999999999999</v>
      </c>
      <c r="F159" s="20">
        <f t="shared" si="18"/>
        <v>5.3348000000000004</v>
      </c>
      <c r="G159" s="20">
        <f t="shared" si="18"/>
        <v>5.6620999999999997</v>
      </c>
      <c r="H159" s="20">
        <f t="shared" si="18"/>
        <v>5.5983000000000001</v>
      </c>
      <c r="I159" s="20">
        <f t="shared" si="18"/>
        <v>6.1375000000000002</v>
      </c>
      <c r="J159" s="20">
        <f t="shared" si="18"/>
        <v>6.4549000000000003</v>
      </c>
      <c r="K159" s="20">
        <f t="shared" si="18"/>
        <v>6.7397</v>
      </c>
      <c r="L159" s="20">
        <f t="shared" si="18"/>
        <v>5.3964999999999996</v>
      </c>
      <c r="M159" s="20">
        <f t="shared" si="18"/>
        <v>5.4978999999999996</v>
      </c>
      <c r="N159" s="20">
        <f t="shared" si="18"/>
        <v>5.6330999999999998</v>
      </c>
      <c r="O159" s="20">
        <f t="shared" si="18"/>
        <v>5.4817</v>
      </c>
    </row>
    <row r="160" spans="1:18" ht="14.4" x14ac:dyDescent="0.3">
      <c r="A160" s="18" t="s">
        <v>66</v>
      </c>
      <c r="B160" s="19"/>
      <c r="C160" s="16" t="s">
        <v>19</v>
      </c>
      <c r="D160" s="20">
        <v>0</v>
      </c>
      <c r="E160" s="20">
        <v>0</v>
      </c>
      <c r="F160" s="20">
        <v>0</v>
      </c>
      <c r="G160" s="20">
        <v>0</v>
      </c>
      <c r="H160" s="20">
        <v>0</v>
      </c>
      <c r="I160" s="20">
        <v>0</v>
      </c>
      <c r="J160" s="20">
        <v>0</v>
      </c>
      <c r="K160" s="20">
        <v>0</v>
      </c>
      <c r="L160" s="20">
        <v>0</v>
      </c>
      <c r="M160" s="20">
        <v>0</v>
      </c>
      <c r="N160" s="20">
        <v>0</v>
      </c>
      <c r="O160" s="20">
        <v>0</v>
      </c>
      <c r="P160" s="5"/>
      <c r="Q160" s="5"/>
      <c r="R160" s="5"/>
    </row>
    <row r="161" spans="1:18" ht="14.4" x14ac:dyDescent="0.3">
      <c r="A161" s="14" t="s">
        <v>20</v>
      </c>
      <c r="B161" s="15"/>
      <c r="C161" s="16"/>
      <c r="D161" s="21"/>
      <c r="E161" s="21"/>
      <c r="F161" s="53"/>
      <c r="G161" s="53"/>
      <c r="H161" s="53"/>
      <c r="I161" s="53"/>
      <c r="J161" s="53"/>
      <c r="K161" s="53"/>
      <c r="L161" s="53"/>
      <c r="M161" s="53"/>
      <c r="N161" s="53"/>
      <c r="O161" s="53"/>
    </row>
    <row r="162" spans="1:18" ht="14.4" x14ac:dyDescent="0.3">
      <c r="A162" s="18" t="s">
        <v>21</v>
      </c>
      <c r="B162" s="19"/>
      <c r="C162" s="16" t="s">
        <v>19</v>
      </c>
      <c r="D162" s="20">
        <f>[40]TR!D82</f>
        <v>1.3726</v>
      </c>
      <c r="E162" s="20">
        <f>[40]TR!E82</f>
        <v>1.1686000000000001</v>
      </c>
      <c r="F162" s="20">
        <f>[40]TR!F82</f>
        <v>1.0686</v>
      </c>
      <c r="G162" s="20">
        <f>[40]TR!G82</f>
        <v>1.159</v>
      </c>
      <c r="H162" s="20">
        <f>[40]TR!H82</f>
        <v>1.1286</v>
      </c>
      <c r="I162" s="20">
        <f>[40]TR!I82</f>
        <v>1.1859999999999999</v>
      </c>
      <c r="J162" s="20">
        <f>[40]TR!J82</f>
        <v>1.0936999999999999</v>
      </c>
      <c r="K162" s="20">
        <f>[40]TR!K82</f>
        <v>1.1249</v>
      </c>
      <c r="L162" s="20">
        <f>[40]TR!L82</f>
        <v>0.9798</v>
      </c>
      <c r="M162" s="20">
        <f>[40]TR!M82</f>
        <v>0.98070000000000002</v>
      </c>
      <c r="N162" s="20">
        <f>[40]TR!N82</f>
        <v>1.1138999999999999</v>
      </c>
      <c r="O162" s="20">
        <f>[40]TR!O82</f>
        <v>0.97030000000000005</v>
      </c>
    </row>
    <row r="163" spans="1:18" ht="14.4" x14ac:dyDescent="0.3">
      <c r="A163" s="18" t="s">
        <v>22</v>
      </c>
      <c r="B163" s="19"/>
      <c r="C163" s="16" t="s">
        <v>23</v>
      </c>
      <c r="D163" s="23">
        <v>0</v>
      </c>
      <c r="E163" s="23">
        <v>0</v>
      </c>
      <c r="F163" s="23">
        <v>0</v>
      </c>
      <c r="G163" s="23">
        <v>0</v>
      </c>
      <c r="H163" s="23">
        <v>0</v>
      </c>
      <c r="I163" s="23">
        <v>0</v>
      </c>
      <c r="J163" s="23">
        <v>0</v>
      </c>
      <c r="K163" s="23">
        <v>0</v>
      </c>
      <c r="L163" s="23">
        <v>0</v>
      </c>
      <c r="M163" s="23">
        <v>0</v>
      </c>
      <c r="N163" s="23">
        <v>0</v>
      </c>
      <c r="O163" s="23">
        <v>0</v>
      </c>
      <c r="P163" s="5"/>
      <c r="Q163" s="5"/>
      <c r="R163" s="5"/>
    </row>
    <row r="164" spans="1:18" ht="14.4" x14ac:dyDescent="0.3">
      <c r="A164" s="14" t="s">
        <v>24</v>
      </c>
      <c r="B164" s="15"/>
      <c r="C164" s="16"/>
      <c r="D164" s="21"/>
      <c r="E164" s="21"/>
      <c r="F164" s="53"/>
      <c r="G164" s="53"/>
      <c r="H164" s="53"/>
      <c r="I164" s="53"/>
      <c r="J164" s="53"/>
      <c r="K164" s="53"/>
      <c r="L164" s="53"/>
      <c r="M164" s="53"/>
      <c r="N164" s="53"/>
      <c r="O164" s="53"/>
    </row>
    <row r="165" spans="1:18" ht="14.4" x14ac:dyDescent="0.3">
      <c r="A165" s="18" t="s">
        <v>25</v>
      </c>
      <c r="B165" s="19"/>
      <c r="C165" s="16" t="s">
        <v>19</v>
      </c>
      <c r="D165" s="20">
        <f t="shared" ref="D165:O165" si="19">D115</f>
        <v>0.65939999999999999</v>
      </c>
      <c r="E165" s="20">
        <f t="shared" si="19"/>
        <v>0.65849999999999997</v>
      </c>
      <c r="F165" s="20">
        <f t="shared" si="19"/>
        <v>0.624</v>
      </c>
      <c r="G165" s="20">
        <f t="shared" si="19"/>
        <v>0.66700000000000004</v>
      </c>
      <c r="H165" s="20">
        <f t="shared" si="19"/>
        <v>0.69189999999999996</v>
      </c>
      <c r="I165" s="20">
        <f t="shared" si="19"/>
        <v>0.73960000000000004</v>
      </c>
      <c r="J165" s="20">
        <f t="shared" si="19"/>
        <v>0.76259999999999994</v>
      </c>
      <c r="K165" s="20">
        <f t="shared" si="19"/>
        <v>0.77769999999999995</v>
      </c>
      <c r="L165" s="20">
        <f t="shared" si="19"/>
        <v>0.61739999999999995</v>
      </c>
      <c r="M165" s="20">
        <f t="shared" si="19"/>
        <v>0.63919999999999999</v>
      </c>
      <c r="N165" s="20">
        <f t="shared" si="19"/>
        <v>0.66279999999999994</v>
      </c>
      <c r="O165" s="20">
        <f t="shared" si="19"/>
        <v>0.62280000000000002</v>
      </c>
    </row>
    <row r="166" spans="1:18" ht="14.4" x14ac:dyDescent="0.3">
      <c r="A166" s="14" t="s">
        <v>26</v>
      </c>
      <c r="B166" s="14"/>
      <c r="C166" s="16"/>
      <c r="D166" s="22"/>
      <c r="E166" s="22"/>
      <c r="F166" s="54"/>
      <c r="G166" s="54"/>
      <c r="H166" s="54"/>
      <c r="I166" s="54"/>
      <c r="J166" s="54"/>
      <c r="K166" s="54"/>
      <c r="L166" s="54"/>
      <c r="M166" s="54"/>
      <c r="N166" s="54"/>
      <c r="O166" s="54"/>
    </row>
    <row r="167" spans="1:18" ht="14.4" x14ac:dyDescent="0.3">
      <c r="A167" s="18" t="s">
        <v>27</v>
      </c>
      <c r="B167" s="18"/>
      <c r="C167" s="16" t="s">
        <v>19</v>
      </c>
      <c r="D167" s="20">
        <v>0.92</v>
      </c>
      <c r="E167" s="20">
        <v>0.92</v>
      </c>
      <c r="F167" s="20">
        <v>0.92</v>
      </c>
      <c r="G167" s="20">
        <v>0.92</v>
      </c>
      <c r="H167" s="20">
        <v>0.92</v>
      </c>
      <c r="I167" s="20">
        <v>0.92</v>
      </c>
      <c r="J167" s="20">
        <v>1.0143</v>
      </c>
      <c r="K167" s="20">
        <v>1.0143</v>
      </c>
      <c r="L167" s="20">
        <v>1.0143</v>
      </c>
      <c r="M167" s="20">
        <v>1.0143</v>
      </c>
      <c r="N167" s="20">
        <v>1.0143</v>
      </c>
      <c r="O167" s="20">
        <v>1.0143</v>
      </c>
    </row>
    <row r="168" spans="1:18" ht="14.4" x14ac:dyDescent="0.3">
      <c r="A168" s="18" t="s">
        <v>28</v>
      </c>
      <c r="B168" s="18"/>
      <c r="C168" s="16" t="s">
        <v>23</v>
      </c>
      <c r="D168" s="23">
        <v>0</v>
      </c>
      <c r="E168" s="23">
        <v>0</v>
      </c>
      <c r="F168" s="23">
        <v>0</v>
      </c>
      <c r="G168" s="23">
        <v>0</v>
      </c>
      <c r="H168" s="23">
        <v>0</v>
      </c>
      <c r="I168" s="23">
        <v>0</v>
      </c>
      <c r="J168" s="23">
        <v>0</v>
      </c>
      <c r="K168" s="23">
        <v>0</v>
      </c>
      <c r="L168" s="23">
        <v>0</v>
      </c>
      <c r="M168" s="23">
        <v>0</v>
      </c>
      <c r="N168" s="23">
        <v>0</v>
      </c>
      <c r="O168" s="23">
        <v>0</v>
      </c>
    </row>
    <row r="169" spans="1:18" ht="14.4" x14ac:dyDescent="0.3">
      <c r="A169" s="14" t="s">
        <v>29</v>
      </c>
      <c r="B169" s="14"/>
      <c r="C169" s="16"/>
      <c r="D169" s="24"/>
      <c r="E169" s="24"/>
      <c r="F169" s="24"/>
      <c r="G169" s="24"/>
      <c r="H169" s="24"/>
      <c r="I169" s="24"/>
      <c r="J169" s="24"/>
      <c r="K169" s="24"/>
      <c r="L169" s="24"/>
      <c r="M169" s="24"/>
      <c r="N169" s="24"/>
      <c r="O169" s="24"/>
    </row>
    <row r="170" spans="1:18" ht="14.4" x14ac:dyDescent="0.3">
      <c r="A170" s="18" t="s">
        <v>30</v>
      </c>
      <c r="B170" s="18"/>
      <c r="C170" s="16" t="s">
        <v>19</v>
      </c>
      <c r="D170" s="20">
        <v>0</v>
      </c>
      <c r="E170" s="20">
        <v>0</v>
      </c>
      <c r="F170" s="20">
        <v>0</v>
      </c>
      <c r="G170" s="20">
        <v>0</v>
      </c>
      <c r="H170" s="20">
        <v>0</v>
      </c>
      <c r="I170" s="20">
        <v>0</v>
      </c>
      <c r="J170" s="20">
        <v>0</v>
      </c>
      <c r="K170" s="20">
        <v>0</v>
      </c>
      <c r="L170" s="20">
        <v>0</v>
      </c>
      <c r="M170" s="20">
        <v>0</v>
      </c>
      <c r="N170" s="20">
        <v>0</v>
      </c>
      <c r="O170" s="20">
        <v>0</v>
      </c>
    </row>
    <row r="171" spans="1:18" ht="14.4" x14ac:dyDescent="0.3">
      <c r="A171" s="18" t="s">
        <v>31</v>
      </c>
      <c r="B171" s="18"/>
      <c r="C171" s="16" t="s">
        <v>32</v>
      </c>
      <c r="D171" s="23">
        <v>300</v>
      </c>
      <c r="E171" s="23">
        <v>300</v>
      </c>
      <c r="F171" s="23">
        <v>300</v>
      </c>
      <c r="G171" s="23">
        <v>300</v>
      </c>
      <c r="H171" s="23">
        <v>300</v>
      </c>
      <c r="I171" s="23">
        <v>300</v>
      </c>
      <c r="J171" s="23">
        <v>326</v>
      </c>
      <c r="K171" s="23">
        <v>326</v>
      </c>
      <c r="L171" s="23">
        <v>326</v>
      </c>
      <c r="M171" s="23">
        <v>326</v>
      </c>
      <c r="N171" s="23">
        <v>326</v>
      </c>
      <c r="O171" s="23">
        <v>326</v>
      </c>
    </row>
    <row r="172" spans="1:18" ht="14.4" x14ac:dyDescent="0.3">
      <c r="A172" s="14" t="s">
        <v>33</v>
      </c>
      <c r="B172" s="14"/>
      <c r="C172" s="16"/>
      <c r="D172" s="24"/>
      <c r="E172" s="24"/>
      <c r="F172" s="24"/>
      <c r="G172" s="24"/>
      <c r="H172" s="24"/>
      <c r="I172" s="24"/>
      <c r="J172" s="24"/>
      <c r="K172" s="24"/>
      <c r="L172" s="24"/>
      <c r="M172" s="24"/>
      <c r="N172" s="24"/>
      <c r="O172" s="24"/>
    </row>
    <row r="173" spans="1:18" ht="14.4" x14ac:dyDescent="0.3">
      <c r="A173" s="18" t="s">
        <v>34</v>
      </c>
      <c r="B173" s="18"/>
      <c r="C173" s="16" t="s">
        <v>19</v>
      </c>
      <c r="D173" s="20">
        <v>0</v>
      </c>
      <c r="E173" s="20">
        <v>0</v>
      </c>
      <c r="F173" s="20">
        <v>0</v>
      </c>
      <c r="G173" s="20">
        <v>0</v>
      </c>
      <c r="H173" s="20">
        <v>0</v>
      </c>
      <c r="I173" s="20">
        <v>0</v>
      </c>
      <c r="J173" s="20">
        <v>0</v>
      </c>
      <c r="K173" s="20">
        <v>0</v>
      </c>
      <c r="L173" s="20">
        <v>0</v>
      </c>
      <c r="M173" s="20">
        <v>0</v>
      </c>
      <c r="N173" s="20">
        <v>0</v>
      </c>
      <c r="O173" s="20">
        <v>0</v>
      </c>
    </row>
    <row r="174" spans="1:18" ht="14.4" x14ac:dyDescent="0.3">
      <c r="A174" s="18" t="s">
        <v>35</v>
      </c>
      <c r="B174" s="18"/>
      <c r="C174" s="16" t="s">
        <v>36</v>
      </c>
      <c r="D174" s="23">
        <v>300</v>
      </c>
      <c r="E174" s="23">
        <v>300</v>
      </c>
      <c r="F174" s="23">
        <v>300</v>
      </c>
      <c r="G174" s="23">
        <v>300</v>
      </c>
      <c r="H174" s="23">
        <v>300</v>
      </c>
      <c r="I174" s="23">
        <v>300</v>
      </c>
      <c r="J174" s="23">
        <v>325.83999999999997</v>
      </c>
      <c r="K174" s="23">
        <v>325.83999999999997</v>
      </c>
      <c r="L174" s="23">
        <v>325.83999999999997</v>
      </c>
      <c r="M174" s="23">
        <v>325.83999999999997</v>
      </c>
      <c r="N174" s="23">
        <v>325.83999999999997</v>
      </c>
      <c r="O174" s="23">
        <v>325.83999999999997</v>
      </c>
    </row>
    <row r="175" spans="1:18" ht="14.4" x14ac:dyDescent="0.3">
      <c r="A175" s="14" t="s">
        <v>37</v>
      </c>
      <c r="B175" s="14"/>
      <c r="C175" s="16"/>
      <c r="D175" s="24"/>
      <c r="E175" s="24"/>
      <c r="F175" s="24"/>
      <c r="G175" s="24"/>
      <c r="H175" s="24"/>
      <c r="I175" s="24"/>
      <c r="J175" s="24"/>
      <c r="K175" s="24"/>
      <c r="L175" s="24"/>
      <c r="M175" s="24"/>
      <c r="N175" s="24"/>
      <c r="O175" s="24"/>
    </row>
    <row r="176" spans="1:18" ht="14.4" x14ac:dyDescent="0.3">
      <c r="A176" s="25" t="s">
        <v>38</v>
      </c>
      <c r="B176" s="18"/>
      <c r="C176" s="16" t="s">
        <v>19</v>
      </c>
      <c r="D176" s="20">
        <f t="shared" ref="D176:O176" si="20">D126</f>
        <v>0.1404</v>
      </c>
      <c r="E176" s="20">
        <f t="shared" si="20"/>
        <v>0.14729999999999999</v>
      </c>
      <c r="F176" s="20">
        <f t="shared" si="20"/>
        <v>0.13950000000000001</v>
      </c>
      <c r="G176" s="20">
        <f t="shared" si="20"/>
        <v>0.14099999999999999</v>
      </c>
      <c r="H176" s="20">
        <f t="shared" si="20"/>
        <v>0.1283</v>
      </c>
      <c r="I176" s="20">
        <f t="shared" si="20"/>
        <v>0.1103</v>
      </c>
      <c r="J176" s="20">
        <f t="shared" si="20"/>
        <v>0.11559999999999999</v>
      </c>
      <c r="K176" s="20">
        <f t="shared" si="20"/>
        <v>0.1419</v>
      </c>
      <c r="L176" s="20">
        <f t="shared" si="20"/>
        <v>0.15759999999999999</v>
      </c>
      <c r="M176" s="20">
        <f t="shared" si="20"/>
        <v>0.1288</v>
      </c>
      <c r="N176" s="20">
        <f t="shared" si="20"/>
        <v>0.1321</v>
      </c>
      <c r="O176" s="20">
        <f t="shared" si="20"/>
        <v>0.1331</v>
      </c>
    </row>
    <row r="177" spans="1:18" ht="14.4" x14ac:dyDescent="0.3">
      <c r="A177" s="25" t="s">
        <v>39</v>
      </c>
      <c r="B177" s="18"/>
      <c r="C177" s="16" t="s">
        <v>19</v>
      </c>
      <c r="D177" s="20">
        <v>0</v>
      </c>
      <c r="E177" s="20">
        <v>0</v>
      </c>
      <c r="F177" s="20">
        <v>0</v>
      </c>
      <c r="G177" s="20">
        <v>0</v>
      </c>
      <c r="H177" s="20">
        <v>0</v>
      </c>
      <c r="I177" s="20">
        <v>0</v>
      </c>
      <c r="J177" s="20">
        <v>0</v>
      </c>
      <c r="K177" s="20">
        <v>0</v>
      </c>
      <c r="L177" s="20">
        <v>0</v>
      </c>
      <c r="M177" s="20">
        <v>0</v>
      </c>
      <c r="N177" s="20">
        <v>0</v>
      </c>
      <c r="O177" s="20">
        <v>0</v>
      </c>
      <c r="P177" s="5"/>
      <c r="Q177" s="5"/>
      <c r="R177" s="5"/>
    </row>
    <row r="178" spans="1:18" ht="14.4" x14ac:dyDescent="0.3">
      <c r="A178" s="25" t="s">
        <v>180</v>
      </c>
      <c r="B178" s="18"/>
      <c r="C178" s="16" t="s">
        <v>19</v>
      </c>
      <c r="D178" s="20">
        <f>D128</f>
        <v>6.2E-2</v>
      </c>
      <c r="E178" s="20">
        <f t="shared" ref="E178:O181" si="21">E128</f>
        <v>6.2E-2</v>
      </c>
      <c r="F178" s="20">
        <f t="shared" si="21"/>
        <v>6.2E-2</v>
      </c>
      <c r="G178" s="20">
        <f t="shared" si="21"/>
        <v>6.2E-2</v>
      </c>
      <c r="H178" s="20">
        <f t="shared" si="21"/>
        <v>6.2E-2</v>
      </c>
      <c r="I178" s="20">
        <f t="shared" si="21"/>
        <v>6.2E-2</v>
      </c>
      <c r="J178" s="20">
        <f t="shared" si="21"/>
        <v>6.2E-2</v>
      </c>
      <c r="K178" s="20">
        <f t="shared" si="21"/>
        <v>6.2E-2</v>
      </c>
      <c r="L178" s="20">
        <f t="shared" si="21"/>
        <v>6.2E-2</v>
      </c>
      <c r="M178" s="20">
        <f t="shared" si="21"/>
        <v>6.2E-2</v>
      </c>
      <c r="N178" s="20">
        <f t="shared" si="21"/>
        <v>3.1399999999999997E-2</v>
      </c>
      <c r="O178" s="20">
        <f t="shared" si="21"/>
        <v>3.1399999999999997E-2</v>
      </c>
    </row>
    <row r="179" spans="1:18" ht="14.4" x14ac:dyDescent="0.3">
      <c r="A179" s="26" t="s">
        <v>40</v>
      </c>
      <c r="B179" s="18"/>
      <c r="C179" s="16" t="s">
        <v>19</v>
      </c>
      <c r="D179" s="20">
        <f>D129</f>
        <v>1E-4</v>
      </c>
      <c r="E179" s="20">
        <f t="shared" si="21"/>
        <v>1E-4</v>
      </c>
      <c r="F179" s="20">
        <f t="shared" si="21"/>
        <v>1E-4</v>
      </c>
      <c r="G179" s="20">
        <f t="shared" si="21"/>
        <v>1E-4</v>
      </c>
      <c r="H179" s="20">
        <f t="shared" si="21"/>
        <v>1E-4</v>
      </c>
      <c r="I179" s="20">
        <f t="shared" si="21"/>
        <v>1E-4</v>
      </c>
      <c r="J179" s="20">
        <f t="shared" si="21"/>
        <v>1E-4</v>
      </c>
      <c r="K179" s="20">
        <f t="shared" si="21"/>
        <v>1E-4</v>
      </c>
      <c r="L179" s="20">
        <f t="shared" si="21"/>
        <v>1E-4</v>
      </c>
      <c r="M179" s="20">
        <f t="shared" si="21"/>
        <v>1E-4</v>
      </c>
      <c r="N179" s="20">
        <f t="shared" si="21"/>
        <v>1E-4</v>
      </c>
      <c r="O179" s="20">
        <f t="shared" si="21"/>
        <v>1E-4</v>
      </c>
    </row>
    <row r="180" spans="1:18" ht="14.4" x14ac:dyDescent="0.3">
      <c r="A180" s="26" t="s">
        <v>41</v>
      </c>
      <c r="B180" s="18"/>
      <c r="C180" s="16" t="s">
        <v>19</v>
      </c>
      <c r="D180" s="20">
        <f>D130</f>
        <v>0</v>
      </c>
      <c r="E180" s="20">
        <f t="shared" si="21"/>
        <v>0</v>
      </c>
      <c r="F180" s="20">
        <f t="shared" si="21"/>
        <v>0</v>
      </c>
      <c r="G180" s="20">
        <f t="shared" si="21"/>
        <v>0</v>
      </c>
      <c r="H180" s="20">
        <f t="shared" si="21"/>
        <v>0</v>
      </c>
      <c r="I180" s="20">
        <f t="shared" si="21"/>
        <v>0</v>
      </c>
      <c r="J180" s="20">
        <f t="shared" si="21"/>
        <v>0</v>
      </c>
      <c r="K180" s="20">
        <f t="shared" si="21"/>
        <v>0</v>
      </c>
      <c r="L180" s="20">
        <f t="shared" si="21"/>
        <v>0</v>
      </c>
      <c r="M180" s="20">
        <f t="shared" si="21"/>
        <v>0</v>
      </c>
      <c r="N180" s="20">
        <f t="shared" si="21"/>
        <v>0</v>
      </c>
      <c r="O180" s="20">
        <f t="shared" si="21"/>
        <v>0</v>
      </c>
    </row>
    <row r="181" spans="1:18" ht="14.4" x14ac:dyDescent="0.3">
      <c r="A181" s="154" t="s">
        <v>181</v>
      </c>
      <c r="B181" s="155"/>
      <c r="C181" s="16" t="s">
        <v>19</v>
      </c>
      <c r="D181" s="20">
        <f>D131</f>
        <v>1.03E-2</v>
      </c>
      <c r="E181" s="20">
        <f t="shared" si="21"/>
        <v>1.03E-2</v>
      </c>
      <c r="F181" s="20">
        <f t="shared" si="21"/>
        <v>1.03E-2</v>
      </c>
      <c r="G181" s="20">
        <f t="shared" si="21"/>
        <v>1.03E-2</v>
      </c>
      <c r="H181" s="20">
        <f t="shared" si="21"/>
        <v>1.03E-2</v>
      </c>
      <c r="I181" s="20">
        <f t="shared" si="21"/>
        <v>1.03E-2</v>
      </c>
      <c r="J181" s="20">
        <f t="shared" si="21"/>
        <v>1.03E-2</v>
      </c>
      <c r="K181" s="20">
        <f t="shared" si="21"/>
        <v>1.03E-2</v>
      </c>
      <c r="L181" s="20">
        <f t="shared" si="21"/>
        <v>1.03E-2</v>
      </c>
      <c r="M181" s="20">
        <f t="shared" si="21"/>
        <v>1.03E-2</v>
      </c>
      <c r="N181" s="20">
        <f t="shared" si="21"/>
        <v>1.03E-2</v>
      </c>
      <c r="O181" s="20">
        <f t="shared" si="21"/>
        <v>1.03E-2</v>
      </c>
    </row>
    <row r="182" spans="1:18" ht="16.2" hidden="1" x14ac:dyDescent="0.3">
      <c r="A182" s="154" t="s">
        <v>182</v>
      </c>
      <c r="B182" s="155"/>
      <c r="C182" s="16" t="s">
        <v>19</v>
      </c>
      <c r="D182" s="20">
        <v>0</v>
      </c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</row>
    <row r="183" spans="1:18" ht="16.2" hidden="1" x14ac:dyDescent="0.3">
      <c r="A183" s="154" t="s">
        <v>182</v>
      </c>
      <c r="B183" s="156"/>
      <c r="C183" s="16" t="s">
        <v>19</v>
      </c>
      <c r="D183" s="20">
        <v>0</v>
      </c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</row>
    <row r="184" spans="1:18" ht="14.4" x14ac:dyDescent="0.3">
      <c r="A184" s="14" t="s">
        <v>42</v>
      </c>
      <c r="B184" s="14"/>
      <c r="C184" s="16"/>
      <c r="D184" s="24"/>
      <c r="E184" s="24"/>
      <c r="F184" s="24"/>
      <c r="G184" s="24"/>
      <c r="H184" s="24"/>
      <c r="I184" s="24"/>
      <c r="J184" s="24"/>
      <c r="K184" s="24"/>
      <c r="L184" s="24"/>
      <c r="M184" s="24"/>
      <c r="N184" s="24"/>
      <c r="O184" s="24"/>
    </row>
    <row r="185" spans="1:18" ht="14.4" x14ac:dyDescent="0.3">
      <c r="A185" s="14" t="s">
        <v>43</v>
      </c>
      <c r="B185" s="14"/>
      <c r="C185" s="16" t="s">
        <v>44</v>
      </c>
      <c r="D185" s="27"/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5"/>
      <c r="Q185" s="5"/>
      <c r="R185" s="5"/>
    </row>
    <row r="186" spans="1:18" ht="14.4" hidden="1" x14ac:dyDescent="0.3">
      <c r="A186" s="14" t="s">
        <v>183</v>
      </c>
      <c r="B186" s="14"/>
      <c r="C186" s="16"/>
      <c r="D186" s="28"/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28"/>
    </row>
    <row r="187" spans="1:18" ht="14.4" hidden="1" x14ac:dyDescent="0.3">
      <c r="A187" s="14" t="s">
        <v>184</v>
      </c>
      <c r="B187" s="14"/>
      <c r="C187" s="16" t="s">
        <v>19</v>
      </c>
      <c r="D187" s="20">
        <v>0</v>
      </c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</row>
    <row r="188" spans="1:18" ht="14.4" x14ac:dyDescent="0.3">
      <c r="A188" s="14" t="s">
        <v>45</v>
      </c>
      <c r="B188" s="14"/>
      <c r="C188" s="16"/>
      <c r="D188" s="28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28"/>
    </row>
    <row r="189" spans="1:18" ht="14.4" x14ac:dyDescent="0.3">
      <c r="A189" s="14" t="s">
        <v>46</v>
      </c>
      <c r="B189" s="14"/>
      <c r="C189" s="16" t="s">
        <v>19</v>
      </c>
      <c r="D189" s="20">
        <v>0</v>
      </c>
      <c r="E189" s="20">
        <v>0</v>
      </c>
      <c r="F189" s="20">
        <v>0</v>
      </c>
      <c r="G189" s="20">
        <v>0</v>
      </c>
      <c r="H189" s="20">
        <v>0</v>
      </c>
      <c r="I189" s="20">
        <v>0</v>
      </c>
      <c r="J189" s="20">
        <v>0</v>
      </c>
      <c r="K189" s="20">
        <v>0</v>
      </c>
      <c r="L189" s="20">
        <v>0</v>
      </c>
      <c r="M189" s="20">
        <v>0</v>
      </c>
      <c r="N189" s="20">
        <v>0</v>
      </c>
      <c r="O189" s="20">
        <v>0</v>
      </c>
    </row>
    <row r="190" spans="1:18" ht="14.4" hidden="1" x14ac:dyDescent="0.3">
      <c r="A190" s="14" t="s">
        <v>185</v>
      </c>
      <c r="B190" s="14"/>
      <c r="C190" s="16"/>
      <c r="D190" s="28"/>
      <c r="E190" s="28"/>
      <c r="F190" s="16"/>
      <c r="G190" s="16"/>
      <c r="H190" s="16"/>
      <c r="I190" s="16"/>
      <c r="J190" s="16"/>
      <c r="K190" s="16"/>
      <c r="L190" s="16"/>
      <c r="M190" s="16"/>
      <c r="N190" s="16"/>
      <c r="O190" s="16"/>
    </row>
    <row r="191" spans="1:18" ht="14.4" hidden="1" x14ac:dyDescent="0.3">
      <c r="A191" s="14" t="s">
        <v>186</v>
      </c>
      <c r="B191" s="14"/>
      <c r="C191" s="16" t="s">
        <v>19</v>
      </c>
      <c r="D191" s="20">
        <v>0</v>
      </c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</row>
    <row r="192" spans="1:18" ht="14.4" x14ac:dyDescent="0.3">
      <c r="A192" s="14" t="s">
        <v>47</v>
      </c>
      <c r="B192" s="14"/>
      <c r="C192" s="16"/>
      <c r="D192" s="24"/>
      <c r="E192" s="24"/>
      <c r="F192" s="24"/>
      <c r="G192" s="24"/>
      <c r="H192" s="24"/>
      <c r="I192" s="24"/>
      <c r="J192" s="24"/>
      <c r="K192" s="24"/>
      <c r="L192" s="24"/>
      <c r="M192" s="24"/>
      <c r="N192" s="24"/>
      <c r="O192" s="24"/>
    </row>
    <row r="193" spans="1:15" ht="14.4" x14ac:dyDescent="0.3">
      <c r="A193" s="18" t="s">
        <v>48</v>
      </c>
      <c r="B193" s="18"/>
      <c r="C193" s="16" t="s">
        <v>19</v>
      </c>
      <c r="D193" s="20">
        <f>D143</f>
        <v>0.1163</v>
      </c>
      <c r="E193" s="20">
        <f t="shared" ref="E193:O194" si="22">E143</f>
        <v>0.1163</v>
      </c>
      <c r="F193" s="20">
        <f t="shared" si="22"/>
        <v>0.1163</v>
      </c>
      <c r="G193" s="20">
        <f t="shared" si="22"/>
        <v>0.1163</v>
      </c>
      <c r="H193" s="20">
        <f t="shared" si="22"/>
        <v>0.1163</v>
      </c>
      <c r="I193" s="20">
        <f t="shared" si="22"/>
        <v>0.1163</v>
      </c>
      <c r="J193" s="20">
        <f t="shared" si="22"/>
        <v>0.1163</v>
      </c>
      <c r="K193" s="20">
        <f t="shared" si="22"/>
        <v>0.1163</v>
      </c>
      <c r="L193" s="20">
        <f t="shared" si="22"/>
        <v>0.1163</v>
      </c>
      <c r="M193" s="20">
        <f t="shared" si="22"/>
        <v>0.1163</v>
      </c>
      <c r="N193" s="20">
        <f t="shared" si="22"/>
        <v>0.1163</v>
      </c>
      <c r="O193" s="20">
        <f t="shared" si="22"/>
        <v>0.1163</v>
      </c>
    </row>
    <row r="194" spans="1:15" ht="14.4" x14ac:dyDescent="0.3">
      <c r="A194" s="18" t="s">
        <v>49</v>
      </c>
      <c r="B194" s="18"/>
      <c r="C194" s="16" t="s">
        <v>19</v>
      </c>
      <c r="D194" s="20">
        <f>D144</f>
        <v>2.5000000000000001E-3</v>
      </c>
      <c r="E194" s="20">
        <f t="shared" si="22"/>
        <v>2.5000000000000001E-3</v>
      </c>
      <c r="F194" s="20">
        <f t="shared" si="22"/>
        <v>2.5000000000000001E-3</v>
      </c>
      <c r="G194" s="20">
        <f t="shared" si="22"/>
        <v>2.5000000000000001E-3</v>
      </c>
      <c r="H194" s="20">
        <f t="shared" si="22"/>
        <v>2.5000000000000001E-3</v>
      </c>
      <c r="I194" s="20">
        <f t="shared" si="22"/>
        <v>2.5000000000000001E-3</v>
      </c>
      <c r="J194" s="20">
        <f t="shared" si="22"/>
        <v>2.5000000000000001E-3</v>
      </c>
      <c r="K194" s="20">
        <f t="shared" si="22"/>
        <v>2.5000000000000001E-3</v>
      </c>
      <c r="L194" s="20">
        <f t="shared" si="22"/>
        <v>2.5000000000000001E-3</v>
      </c>
      <c r="M194" s="20">
        <f t="shared" si="22"/>
        <v>2.5000000000000001E-3</v>
      </c>
      <c r="N194" s="20">
        <f t="shared" si="22"/>
        <v>2.5000000000000001E-3</v>
      </c>
      <c r="O194" s="20">
        <f t="shared" si="22"/>
        <v>2.5000000000000001E-3</v>
      </c>
    </row>
    <row r="195" spans="1:15" ht="14.4" x14ac:dyDescent="0.3">
      <c r="A195" s="14" t="s">
        <v>52</v>
      </c>
      <c r="B195" s="14"/>
      <c r="C195" s="29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</row>
    <row r="196" spans="1:15" ht="14.4" x14ac:dyDescent="0.3">
      <c r="A196" s="18" t="s">
        <v>53</v>
      </c>
      <c r="B196" s="18"/>
      <c r="C196" s="16" t="s">
        <v>44</v>
      </c>
      <c r="D196" s="30">
        <f>D1070</f>
        <v>0.1095</v>
      </c>
      <c r="E196" s="30">
        <f t="shared" ref="E196:O196" si="23">E1070</f>
        <v>0.1114</v>
      </c>
      <c r="F196" s="30">
        <f t="shared" si="23"/>
        <v>0.1114</v>
      </c>
      <c r="G196" s="30">
        <f t="shared" si="23"/>
        <v>0.1135</v>
      </c>
      <c r="H196" s="30">
        <f t="shared" si="23"/>
        <v>0.1147</v>
      </c>
      <c r="I196" s="30">
        <f t="shared" si="23"/>
        <v>0.11409999999999999</v>
      </c>
      <c r="J196" s="30">
        <f t="shared" si="23"/>
        <v>0.11020000000000001</v>
      </c>
      <c r="K196" s="30">
        <f t="shared" si="23"/>
        <v>0.10290000000000001</v>
      </c>
      <c r="L196" s="30">
        <f t="shared" si="23"/>
        <v>0.114</v>
      </c>
      <c r="M196" s="30">
        <f t="shared" si="23"/>
        <v>0.10929999999999999</v>
      </c>
      <c r="N196" s="30">
        <f t="shared" si="23"/>
        <v>0.10970000000000001</v>
      </c>
      <c r="O196" s="30">
        <f t="shared" si="23"/>
        <v>0.1105</v>
      </c>
    </row>
    <row r="197" spans="1:15" ht="14.4" x14ac:dyDescent="0.3">
      <c r="A197" s="18" t="s">
        <v>54</v>
      </c>
      <c r="B197" s="18"/>
      <c r="C197" s="16" t="s">
        <v>44</v>
      </c>
      <c r="D197" s="30">
        <f t="shared" ref="D197:O202" si="24">D147</f>
        <v>0</v>
      </c>
      <c r="E197" s="30">
        <f t="shared" si="24"/>
        <v>0</v>
      </c>
      <c r="F197" s="30">
        <f t="shared" si="24"/>
        <v>0</v>
      </c>
      <c r="G197" s="30">
        <f t="shared" si="24"/>
        <v>0</v>
      </c>
      <c r="H197" s="30">
        <f t="shared" si="24"/>
        <v>0</v>
      </c>
      <c r="I197" s="30">
        <f t="shared" si="24"/>
        <v>0</v>
      </c>
      <c r="J197" s="30">
        <f t="shared" si="24"/>
        <v>0</v>
      </c>
      <c r="K197" s="30">
        <f t="shared" si="24"/>
        <v>0</v>
      </c>
      <c r="L197" s="30">
        <f t="shared" si="24"/>
        <v>0</v>
      </c>
      <c r="M197" s="30">
        <f t="shared" si="24"/>
        <v>0</v>
      </c>
      <c r="N197" s="30">
        <f t="shared" si="24"/>
        <v>0</v>
      </c>
      <c r="O197" s="30">
        <f t="shared" si="24"/>
        <v>0</v>
      </c>
    </row>
    <row r="198" spans="1:15" ht="14.4" x14ac:dyDescent="0.3">
      <c r="A198" s="18" t="s">
        <v>55</v>
      </c>
      <c r="B198" s="18"/>
      <c r="C198" s="16" t="s">
        <v>44</v>
      </c>
      <c r="D198" s="30">
        <f t="shared" si="24"/>
        <v>8.9899999999999994E-2</v>
      </c>
      <c r="E198" s="30">
        <f t="shared" si="24"/>
        <v>9.3700000000000006E-2</v>
      </c>
      <c r="F198" s="30">
        <f t="shared" si="24"/>
        <v>9.4399999999999998E-2</v>
      </c>
      <c r="G198" s="30">
        <f t="shared" si="24"/>
        <v>9.6299999999999997E-2</v>
      </c>
      <c r="H198" s="30">
        <f t="shared" si="24"/>
        <v>9.7600000000000006E-2</v>
      </c>
      <c r="I198" s="30">
        <f t="shared" si="24"/>
        <v>9.7299999999999998E-2</v>
      </c>
      <c r="J198" s="30">
        <f t="shared" si="24"/>
        <v>9.5600000000000004E-2</v>
      </c>
      <c r="K198" s="30">
        <f t="shared" si="24"/>
        <v>8.9700000000000002E-2</v>
      </c>
      <c r="L198" s="30">
        <f t="shared" si="24"/>
        <v>9.8400000000000001E-2</v>
      </c>
      <c r="M198" s="30">
        <f t="shared" si="24"/>
        <v>9.4299999999999995E-2</v>
      </c>
      <c r="N198" s="30">
        <f t="shared" si="24"/>
        <v>9.3399999999999997E-2</v>
      </c>
      <c r="O198" s="30">
        <f t="shared" si="24"/>
        <v>9.5500000000000002E-2</v>
      </c>
    </row>
    <row r="199" spans="1:15" ht="14.4" x14ac:dyDescent="0.3">
      <c r="A199" s="18" t="s">
        <v>187</v>
      </c>
      <c r="B199" s="18"/>
      <c r="C199" s="16" t="s">
        <v>44</v>
      </c>
      <c r="D199" s="30">
        <f t="shared" si="24"/>
        <v>5.5858455631032497E-3</v>
      </c>
      <c r="E199" s="30">
        <f t="shared" si="24"/>
        <v>3.0650583850564523E-3</v>
      </c>
      <c r="F199" s="30">
        <f t="shared" si="24"/>
        <v>2.6939820012288874E-3</v>
      </c>
      <c r="G199" s="30">
        <f t="shared" si="24"/>
        <v>0</v>
      </c>
      <c r="H199" s="30">
        <f t="shared" si="24"/>
        <v>1.4227759048057112E-2</v>
      </c>
      <c r="I199" s="30">
        <f t="shared" si="24"/>
        <v>1.0851314063502437E-2</v>
      </c>
      <c r="J199" s="30">
        <f t="shared" si="24"/>
        <v>1.691896019316478E-2</v>
      </c>
      <c r="K199" s="30">
        <f t="shared" si="24"/>
        <v>4.451228191928034E-2</v>
      </c>
      <c r="L199" s="30">
        <f t="shared" si="24"/>
        <v>1.7462006912087345E-2</v>
      </c>
      <c r="M199" s="30">
        <f t="shared" si="24"/>
        <v>1.7899999999999999E-2</v>
      </c>
      <c r="N199" s="30">
        <f t="shared" si="24"/>
        <v>5.3E-3</v>
      </c>
      <c r="O199" s="30">
        <f t="shared" si="24"/>
        <v>5.5999999999999999E-3</v>
      </c>
    </row>
    <row r="200" spans="1:15" ht="14.4" x14ac:dyDescent="0.3">
      <c r="A200" s="18" t="s">
        <v>188</v>
      </c>
      <c r="B200" s="18"/>
      <c r="C200" s="16" t="s">
        <v>44</v>
      </c>
      <c r="D200" s="30">
        <f t="shared" si="24"/>
        <v>9.8799999999999999E-2</v>
      </c>
      <c r="E200" s="30">
        <f t="shared" si="24"/>
        <v>9.8799999999999999E-2</v>
      </c>
      <c r="F200" s="30">
        <f t="shared" si="24"/>
        <v>9.8799999999999999E-2</v>
      </c>
      <c r="G200" s="30">
        <f t="shared" si="24"/>
        <v>9.8799999999999999E-2</v>
      </c>
      <c r="H200" s="30">
        <f t="shared" si="24"/>
        <v>9.8799999999999999E-2</v>
      </c>
      <c r="I200" s="30">
        <f t="shared" si="24"/>
        <v>9.8799999999999999E-2</v>
      </c>
      <c r="J200" s="30">
        <f t="shared" si="24"/>
        <v>9.8799999999999999E-2</v>
      </c>
      <c r="K200" s="30">
        <f t="shared" si="24"/>
        <v>9.8799999999999999E-2</v>
      </c>
      <c r="L200" s="30">
        <f t="shared" si="24"/>
        <v>9.8799999999999999E-2</v>
      </c>
      <c r="M200" s="30">
        <f t="shared" si="24"/>
        <v>9.8799999999999999E-2</v>
      </c>
      <c r="N200" s="30">
        <f t="shared" si="24"/>
        <v>9.8799999999999999E-2</v>
      </c>
      <c r="O200" s="30">
        <f t="shared" si="24"/>
        <v>9.8799999999999999E-2</v>
      </c>
    </row>
    <row r="201" spans="1:15" ht="14.4" x14ac:dyDescent="0.3">
      <c r="A201" s="18" t="s">
        <v>56</v>
      </c>
      <c r="B201" s="18"/>
      <c r="C201" s="16" t="s">
        <v>44</v>
      </c>
      <c r="D201" s="30">
        <f t="shared" si="24"/>
        <v>0.12</v>
      </c>
      <c r="E201" s="30">
        <f t="shared" si="24"/>
        <v>0.12</v>
      </c>
      <c r="F201" s="30">
        <f t="shared" si="24"/>
        <v>0.12</v>
      </c>
      <c r="G201" s="30">
        <f t="shared" si="24"/>
        <v>0.12</v>
      </c>
      <c r="H201" s="30">
        <f t="shared" si="24"/>
        <v>0.12</v>
      </c>
      <c r="I201" s="30">
        <f t="shared" si="24"/>
        <v>0.12</v>
      </c>
      <c r="J201" s="30">
        <f t="shared" si="24"/>
        <v>0.12</v>
      </c>
      <c r="K201" s="30">
        <f t="shared" si="24"/>
        <v>0.12</v>
      </c>
      <c r="L201" s="30">
        <f t="shared" si="24"/>
        <v>0.12</v>
      </c>
      <c r="M201" s="30">
        <f t="shared" si="24"/>
        <v>0.12</v>
      </c>
      <c r="N201" s="30">
        <f t="shared" si="24"/>
        <v>0.12</v>
      </c>
      <c r="O201" s="30">
        <f t="shared" si="24"/>
        <v>0.12</v>
      </c>
    </row>
    <row r="202" spans="1:15" ht="14.4" x14ac:dyDescent="0.3">
      <c r="A202" s="18" t="s">
        <v>57</v>
      </c>
      <c r="B202" s="18"/>
      <c r="C202" s="16" t="s">
        <v>44</v>
      </c>
      <c r="D202" s="30">
        <f t="shared" si="24"/>
        <v>0.12</v>
      </c>
      <c r="E202" s="30">
        <f t="shared" si="24"/>
        <v>0.12</v>
      </c>
      <c r="F202" s="30">
        <f t="shared" si="24"/>
        <v>0.12</v>
      </c>
      <c r="G202" s="30">
        <f t="shared" si="24"/>
        <v>0.12</v>
      </c>
      <c r="H202" s="30">
        <f t="shared" si="24"/>
        <v>0.12</v>
      </c>
      <c r="I202" s="30">
        <f t="shared" si="24"/>
        <v>0.12</v>
      </c>
      <c r="J202" s="30">
        <f t="shared" si="24"/>
        <v>0.12</v>
      </c>
      <c r="K202" s="30">
        <f t="shared" si="24"/>
        <v>0.12</v>
      </c>
      <c r="L202" s="30">
        <f t="shared" si="24"/>
        <v>0.12</v>
      </c>
      <c r="M202" s="30">
        <f t="shared" si="24"/>
        <v>0.12</v>
      </c>
      <c r="N202" s="30">
        <f t="shared" si="24"/>
        <v>0.12</v>
      </c>
      <c r="O202" s="30">
        <f t="shared" si="24"/>
        <v>0.12</v>
      </c>
    </row>
    <row r="203" spans="1:15" s="5" customFormat="1" ht="14.4" x14ac:dyDescent="0.3">
      <c r="A203" s="55"/>
      <c r="B203" s="55"/>
      <c r="C203" s="56"/>
      <c r="D203" s="57"/>
      <c r="E203" s="57"/>
      <c r="F203" s="57"/>
      <c r="G203" s="57"/>
      <c r="H203" s="57"/>
      <c r="I203" s="57"/>
      <c r="J203" s="57"/>
      <c r="K203" s="57"/>
      <c r="L203" s="57"/>
      <c r="M203" s="57"/>
      <c r="N203" s="57"/>
      <c r="O203" s="57"/>
    </row>
    <row r="204" spans="1:15" x14ac:dyDescent="0.3">
      <c r="A204" s="33" t="s">
        <v>58</v>
      </c>
    </row>
    <row r="205" spans="1:15" x14ac:dyDescent="0.3">
      <c r="A205" s="33"/>
    </row>
    <row r="206" spans="1:15" ht="18" hidden="1" x14ac:dyDescent="0.35">
      <c r="A206" s="9" t="str">
        <f>'[40]Statistical data'!A188</f>
        <v>Customer Class3</v>
      </c>
      <c r="B206" s="9"/>
      <c r="C206" s="5" t="s">
        <v>190</v>
      </c>
      <c r="D206" s="160"/>
      <c r="E206" s="160"/>
      <c r="F206" s="160"/>
      <c r="G206" s="160"/>
      <c r="H206" s="160"/>
      <c r="I206" s="160"/>
      <c r="J206" s="160"/>
      <c r="K206" s="160"/>
      <c r="L206" s="160"/>
      <c r="M206" s="160"/>
      <c r="N206" s="160"/>
      <c r="O206" s="160"/>
    </row>
    <row r="207" spans="1:15" ht="31.5" hidden="1" customHeight="1" x14ac:dyDescent="0.3">
      <c r="A207" s="161" t="s">
        <v>3</v>
      </c>
      <c r="B207" s="161"/>
      <c r="C207" s="161" t="s">
        <v>4</v>
      </c>
      <c r="D207" s="161" t="s">
        <v>5</v>
      </c>
      <c r="E207" s="161" t="s">
        <v>6</v>
      </c>
      <c r="F207" s="161" t="s">
        <v>7</v>
      </c>
      <c r="G207" s="161" t="s">
        <v>8</v>
      </c>
      <c r="H207" s="161" t="s">
        <v>9</v>
      </c>
      <c r="I207" s="161" t="s">
        <v>9</v>
      </c>
      <c r="J207" s="161" t="s">
        <v>10</v>
      </c>
      <c r="K207" s="161" t="s">
        <v>11</v>
      </c>
      <c r="L207" s="161" t="s">
        <v>12</v>
      </c>
      <c r="M207" s="161" t="s">
        <v>13</v>
      </c>
      <c r="N207" s="161" t="s">
        <v>14</v>
      </c>
      <c r="O207" s="161" t="s">
        <v>15</v>
      </c>
    </row>
    <row r="208" spans="1:15" ht="14.4" hidden="1" x14ac:dyDescent="0.3">
      <c r="A208" s="162" t="s">
        <v>17</v>
      </c>
      <c r="B208" s="163"/>
      <c r="C208" s="56"/>
      <c r="D208" s="164"/>
      <c r="E208" s="164"/>
      <c r="F208" s="164"/>
      <c r="G208" s="164"/>
      <c r="H208" s="164"/>
      <c r="I208" s="164"/>
      <c r="J208" s="164"/>
      <c r="K208" s="164"/>
      <c r="L208" s="164"/>
      <c r="M208" s="164"/>
      <c r="N208" s="164"/>
      <c r="O208" s="164"/>
    </row>
    <row r="209" spans="1:15" ht="14.4" hidden="1" x14ac:dyDescent="0.3">
      <c r="A209" s="55" t="s">
        <v>18</v>
      </c>
      <c r="B209" s="165"/>
      <c r="C209" s="56" t="s">
        <v>19</v>
      </c>
      <c r="D209" s="166"/>
      <c r="E209" s="166"/>
      <c r="F209" s="166"/>
      <c r="G209" s="166"/>
      <c r="H209" s="166"/>
      <c r="I209" s="166"/>
      <c r="J209" s="166"/>
      <c r="K209" s="166"/>
      <c r="L209" s="166"/>
      <c r="M209" s="166"/>
      <c r="N209" s="166"/>
      <c r="O209" s="166"/>
    </row>
    <row r="210" spans="1:15" ht="14.4" hidden="1" x14ac:dyDescent="0.3">
      <c r="A210" s="55" t="s">
        <v>66</v>
      </c>
      <c r="B210" s="165"/>
      <c r="C210" s="56" t="s">
        <v>19</v>
      </c>
      <c r="D210" s="167">
        <v>0</v>
      </c>
      <c r="E210" s="167"/>
      <c r="F210" s="166"/>
      <c r="G210" s="166"/>
      <c r="H210" s="166"/>
      <c r="I210" s="166"/>
      <c r="J210" s="166"/>
      <c r="K210" s="166"/>
      <c r="L210" s="166"/>
      <c r="M210" s="166"/>
      <c r="N210" s="166"/>
      <c r="O210" s="166"/>
    </row>
    <row r="211" spans="1:15" ht="14.4" hidden="1" x14ac:dyDescent="0.3">
      <c r="A211" s="162" t="s">
        <v>20</v>
      </c>
      <c r="B211" s="163"/>
      <c r="C211" s="56"/>
      <c r="D211" s="168"/>
      <c r="E211" s="168"/>
      <c r="F211" s="168"/>
      <c r="G211" s="168"/>
      <c r="H211" s="168"/>
      <c r="I211" s="168"/>
      <c r="J211" s="168"/>
      <c r="K211" s="168"/>
      <c r="L211" s="168"/>
      <c r="M211" s="168"/>
      <c r="N211" s="168"/>
      <c r="O211" s="168"/>
    </row>
    <row r="212" spans="1:15" ht="14.4" hidden="1" x14ac:dyDescent="0.3">
      <c r="A212" s="55" t="s">
        <v>21</v>
      </c>
      <c r="B212" s="165"/>
      <c r="C212" s="56" t="s">
        <v>19</v>
      </c>
      <c r="D212" s="167">
        <v>0</v>
      </c>
      <c r="E212" s="167"/>
      <c r="F212" s="166"/>
      <c r="G212" s="166"/>
      <c r="H212" s="166"/>
      <c r="I212" s="166"/>
      <c r="J212" s="166"/>
      <c r="K212" s="166"/>
      <c r="L212" s="166"/>
      <c r="M212" s="166"/>
      <c r="N212" s="166"/>
      <c r="O212" s="166"/>
    </row>
    <row r="213" spans="1:15" ht="14.4" hidden="1" x14ac:dyDescent="0.3">
      <c r="A213" s="55" t="s">
        <v>22</v>
      </c>
      <c r="B213" s="165"/>
      <c r="C213" s="56" t="s">
        <v>23</v>
      </c>
      <c r="D213" s="169">
        <v>0</v>
      </c>
      <c r="E213" s="169"/>
      <c r="F213" s="166"/>
      <c r="G213" s="166"/>
      <c r="H213" s="166"/>
      <c r="I213" s="166"/>
      <c r="J213" s="166"/>
      <c r="K213" s="166"/>
      <c r="L213" s="166"/>
      <c r="M213" s="166"/>
      <c r="N213" s="166"/>
      <c r="O213" s="166"/>
    </row>
    <row r="214" spans="1:15" ht="14.4" hidden="1" x14ac:dyDescent="0.3">
      <c r="A214" s="162" t="s">
        <v>24</v>
      </c>
      <c r="B214" s="163"/>
      <c r="C214" s="56"/>
      <c r="D214" s="168"/>
      <c r="E214" s="168"/>
      <c r="F214" s="168"/>
      <c r="G214" s="168"/>
      <c r="H214" s="168"/>
      <c r="I214" s="168"/>
      <c r="J214" s="168"/>
      <c r="K214" s="168"/>
      <c r="L214" s="168"/>
      <c r="M214" s="168"/>
      <c r="N214" s="168"/>
      <c r="O214" s="168"/>
    </row>
    <row r="215" spans="1:15" ht="14.4" hidden="1" x14ac:dyDescent="0.3">
      <c r="A215" s="55" t="s">
        <v>25</v>
      </c>
      <c r="B215" s="165"/>
      <c r="C215" s="56" t="s">
        <v>19</v>
      </c>
      <c r="D215" s="167">
        <v>0</v>
      </c>
      <c r="E215" s="167"/>
      <c r="F215" s="166"/>
      <c r="G215" s="166"/>
      <c r="H215" s="166"/>
      <c r="I215" s="166"/>
      <c r="J215" s="166"/>
      <c r="K215" s="166"/>
      <c r="L215" s="166"/>
      <c r="M215" s="166"/>
      <c r="N215" s="166"/>
      <c r="O215" s="166"/>
    </row>
    <row r="216" spans="1:15" ht="14.4" hidden="1" x14ac:dyDescent="0.3">
      <c r="A216" s="162" t="s">
        <v>26</v>
      </c>
      <c r="B216" s="162"/>
      <c r="C216" s="56"/>
      <c r="D216" s="170"/>
      <c r="E216" s="170"/>
      <c r="F216" s="170"/>
      <c r="G216" s="170"/>
      <c r="H216" s="170"/>
      <c r="I216" s="170"/>
      <c r="J216" s="170"/>
      <c r="K216" s="170"/>
      <c r="L216" s="170"/>
      <c r="M216" s="170"/>
      <c r="N216" s="170"/>
      <c r="O216" s="170"/>
    </row>
    <row r="217" spans="1:15" ht="14.4" hidden="1" x14ac:dyDescent="0.3">
      <c r="A217" s="55" t="s">
        <v>27</v>
      </c>
      <c r="B217" s="55"/>
      <c r="C217" s="56" t="s">
        <v>19</v>
      </c>
      <c r="D217" s="167">
        <v>0</v>
      </c>
      <c r="E217" s="167"/>
      <c r="F217" s="167"/>
      <c r="G217" s="167"/>
      <c r="H217" s="167"/>
      <c r="I217" s="167"/>
      <c r="J217" s="167"/>
      <c r="K217" s="167"/>
      <c r="L217" s="167"/>
      <c r="M217" s="167"/>
      <c r="N217" s="167"/>
      <c r="O217" s="167"/>
    </row>
    <row r="218" spans="1:15" ht="14.4" hidden="1" x14ac:dyDescent="0.3">
      <c r="A218" s="55" t="s">
        <v>28</v>
      </c>
      <c r="B218" s="55"/>
      <c r="C218" s="56" t="s">
        <v>23</v>
      </c>
      <c r="D218" s="169">
        <v>0</v>
      </c>
      <c r="E218" s="169"/>
      <c r="F218" s="167"/>
      <c r="G218" s="167"/>
      <c r="H218" s="167"/>
      <c r="I218" s="167"/>
      <c r="J218" s="167"/>
      <c r="K218" s="167"/>
      <c r="L218" s="167"/>
      <c r="M218" s="167"/>
      <c r="N218" s="167"/>
      <c r="O218" s="167"/>
    </row>
    <row r="219" spans="1:15" ht="14.4" hidden="1" x14ac:dyDescent="0.3">
      <c r="A219" s="162" t="s">
        <v>29</v>
      </c>
      <c r="B219" s="162"/>
      <c r="C219" s="56"/>
      <c r="D219" s="171"/>
      <c r="E219" s="171"/>
      <c r="F219" s="171"/>
      <c r="G219" s="171"/>
      <c r="H219" s="171"/>
      <c r="I219" s="171"/>
      <c r="J219" s="171"/>
      <c r="K219" s="171"/>
      <c r="L219" s="171"/>
      <c r="M219" s="171"/>
      <c r="N219" s="171"/>
      <c r="O219" s="171"/>
    </row>
    <row r="220" spans="1:15" ht="14.4" hidden="1" x14ac:dyDescent="0.3">
      <c r="A220" s="55" t="s">
        <v>30</v>
      </c>
      <c r="B220" s="55"/>
      <c r="C220" s="56" t="s">
        <v>19</v>
      </c>
      <c r="D220" s="167">
        <v>0</v>
      </c>
      <c r="E220" s="167"/>
      <c r="F220" s="167"/>
      <c r="G220" s="167"/>
      <c r="H220" s="167"/>
      <c r="I220" s="167"/>
      <c r="J220" s="167"/>
      <c r="K220" s="167"/>
      <c r="L220" s="167"/>
      <c r="M220" s="167"/>
      <c r="N220" s="167"/>
      <c r="O220" s="167"/>
    </row>
    <row r="221" spans="1:15" ht="14.4" hidden="1" x14ac:dyDescent="0.3">
      <c r="A221" s="55" t="s">
        <v>31</v>
      </c>
      <c r="B221" s="55"/>
      <c r="C221" s="56" t="s">
        <v>32</v>
      </c>
      <c r="D221" s="169">
        <v>0</v>
      </c>
      <c r="E221" s="169"/>
      <c r="F221" s="167"/>
      <c r="G221" s="167"/>
      <c r="H221" s="167"/>
      <c r="I221" s="167"/>
      <c r="J221" s="167"/>
      <c r="K221" s="167"/>
      <c r="L221" s="167"/>
      <c r="M221" s="167"/>
      <c r="N221" s="167"/>
      <c r="O221" s="167"/>
    </row>
    <row r="222" spans="1:15" ht="14.4" hidden="1" x14ac:dyDescent="0.3">
      <c r="A222" s="162" t="s">
        <v>33</v>
      </c>
      <c r="B222" s="162"/>
      <c r="C222" s="56"/>
      <c r="D222" s="171"/>
      <c r="E222" s="171"/>
      <c r="F222" s="171"/>
      <c r="G222" s="171"/>
      <c r="H222" s="171"/>
      <c r="I222" s="171"/>
      <c r="J222" s="171"/>
      <c r="K222" s="171"/>
      <c r="L222" s="171"/>
      <c r="M222" s="171"/>
      <c r="N222" s="171"/>
      <c r="O222" s="171"/>
    </row>
    <row r="223" spans="1:15" ht="14.4" hidden="1" x14ac:dyDescent="0.3">
      <c r="A223" s="55" t="s">
        <v>34</v>
      </c>
      <c r="B223" s="55"/>
      <c r="C223" s="56" t="s">
        <v>19</v>
      </c>
      <c r="D223" s="167">
        <v>0</v>
      </c>
      <c r="E223" s="167"/>
      <c r="F223" s="167"/>
      <c r="G223" s="167"/>
      <c r="H223" s="167"/>
      <c r="I223" s="167"/>
      <c r="J223" s="167"/>
      <c r="K223" s="167"/>
      <c r="L223" s="167"/>
      <c r="M223" s="167"/>
      <c r="N223" s="167"/>
      <c r="O223" s="167"/>
    </row>
    <row r="224" spans="1:15" ht="14.4" hidden="1" x14ac:dyDescent="0.3">
      <c r="A224" s="55" t="s">
        <v>35</v>
      </c>
      <c r="B224" s="55"/>
      <c r="C224" s="56" t="s">
        <v>36</v>
      </c>
      <c r="D224" s="169">
        <v>0</v>
      </c>
      <c r="E224" s="169"/>
      <c r="F224" s="167"/>
      <c r="G224" s="167"/>
      <c r="H224" s="167"/>
      <c r="I224" s="167"/>
      <c r="J224" s="167"/>
      <c r="K224" s="167"/>
      <c r="L224" s="167"/>
      <c r="M224" s="167"/>
      <c r="N224" s="167"/>
      <c r="O224" s="167"/>
    </row>
    <row r="225" spans="1:15" ht="14.4" hidden="1" x14ac:dyDescent="0.3">
      <c r="A225" s="162" t="s">
        <v>37</v>
      </c>
      <c r="B225" s="162"/>
      <c r="C225" s="56"/>
      <c r="D225" s="171"/>
      <c r="E225" s="171"/>
      <c r="F225" s="171"/>
      <c r="G225" s="171"/>
      <c r="H225" s="171"/>
      <c r="I225" s="171"/>
      <c r="J225" s="171"/>
      <c r="K225" s="171"/>
      <c r="L225" s="171"/>
      <c r="M225" s="171"/>
      <c r="N225" s="171"/>
      <c r="O225" s="171"/>
    </row>
    <row r="226" spans="1:15" ht="14.4" hidden="1" x14ac:dyDescent="0.3">
      <c r="A226" s="172" t="s">
        <v>38</v>
      </c>
      <c r="B226" s="55"/>
      <c r="C226" s="56" t="s">
        <v>19</v>
      </c>
      <c r="D226" s="167">
        <v>0</v>
      </c>
      <c r="E226" s="167"/>
      <c r="F226" s="167"/>
      <c r="G226" s="167"/>
      <c r="H226" s="167"/>
      <c r="I226" s="167"/>
      <c r="J226" s="167"/>
      <c r="K226" s="167"/>
      <c r="L226" s="167"/>
      <c r="M226" s="167"/>
      <c r="N226" s="167"/>
      <c r="O226" s="167"/>
    </row>
    <row r="227" spans="1:15" ht="14.4" hidden="1" x14ac:dyDescent="0.3">
      <c r="A227" s="172" t="s">
        <v>39</v>
      </c>
      <c r="B227" s="55"/>
      <c r="C227" s="56" t="s">
        <v>19</v>
      </c>
      <c r="D227" s="167">
        <v>0</v>
      </c>
      <c r="E227" s="167"/>
      <c r="F227" s="167"/>
      <c r="G227" s="167"/>
      <c r="H227" s="167"/>
      <c r="I227" s="167"/>
      <c r="J227" s="167"/>
      <c r="K227" s="167"/>
      <c r="L227" s="167"/>
      <c r="M227" s="167"/>
      <c r="N227" s="167"/>
      <c r="O227" s="167"/>
    </row>
    <row r="228" spans="1:15" ht="14.4" hidden="1" x14ac:dyDescent="0.3">
      <c r="A228" s="172" t="s">
        <v>180</v>
      </c>
      <c r="B228" s="55"/>
      <c r="C228" s="56" t="s">
        <v>19</v>
      </c>
      <c r="D228" s="167">
        <v>0</v>
      </c>
      <c r="E228" s="167"/>
      <c r="F228" s="167"/>
      <c r="G228" s="167"/>
      <c r="H228" s="167"/>
      <c r="I228" s="167"/>
      <c r="J228" s="167"/>
      <c r="K228" s="167"/>
      <c r="L228" s="167"/>
      <c r="M228" s="167"/>
      <c r="N228" s="167"/>
      <c r="O228" s="167"/>
    </row>
    <row r="229" spans="1:15" ht="14.4" hidden="1" x14ac:dyDescent="0.3">
      <c r="A229" s="173" t="s">
        <v>40</v>
      </c>
      <c r="B229" s="55"/>
      <c r="C229" s="56" t="s">
        <v>19</v>
      </c>
      <c r="D229" s="167">
        <v>0</v>
      </c>
      <c r="E229" s="167"/>
      <c r="F229" s="167"/>
      <c r="G229" s="167"/>
      <c r="H229" s="167"/>
      <c r="I229" s="167"/>
      <c r="J229" s="167"/>
      <c r="K229" s="167"/>
      <c r="L229" s="167"/>
      <c r="M229" s="167"/>
      <c r="N229" s="167"/>
      <c r="O229" s="167"/>
    </row>
    <row r="230" spans="1:15" ht="14.4" hidden="1" x14ac:dyDescent="0.3">
      <c r="A230" s="173" t="s">
        <v>41</v>
      </c>
      <c r="B230" s="55"/>
      <c r="C230" s="56" t="s">
        <v>19</v>
      </c>
      <c r="D230" s="167">
        <v>0</v>
      </c>
      <c r="E230" s="167"/>
      <c r="F230" s="167"/>
      <c r="G230" s="167"/>
      <c r="H230" s="167"/>
      <c r="I230" s="167"/>
      <c r="J230" s="167"/>
      <c r="K230" s="167"/>
      <c r="L230" s="167"/>
      <c r="M230" s="167"/>
      <c r="N230" s="167"/>
      <c r="O230" s="167"/>
    </row>
    <row r="231" spans="1:15" ht="16.2" hidden="1" x14ac:dyDescent="0.3">
      <c r="A231" s="174" t="s">
        <v>182</v>
      </c>
      <c r="B231" s="175"/>
      <c r="C231" s="56" t="s">
        <v>19</v>
      </c>
      <c r="D231" s="167">
        <v>0</v>
      </c>
      <c r="E231" s="167"/>
      <c r="F231" s="167"/>
      <c r="G231" s="167"/>
      <c r="H231" s="167"/>
      <c r="I231" s="167"/>
      <c r="J231" s="167"/>
      <c r="K231" s="167"/>
      <c r="L231" s="167"/>
      <c r="M231" s="167"/>
      <c r="N231" s="167"/>
      <c r="O231" s="167"/>
    </row>
    <row r="232" spans="1:15" ht="16.2" hidden="1" x14ac:dyDescent="0.3">
      <c r="A232" s="174" t="s">
        <v>182</v>
      </c>
      <c r="B232" s="175"/>
      <c r="C232" s="56" t="s">
        <v>19</v>
      </c>
      <c r="D232" s="167">
        <v>0</v>
      </c>
      <c r="E232" s="167"/>
      <c r="F232" s="167"/>
      <c r="G232" s="167"/>
      <c r="H232" s="167"/>
      <c r="I232" s="167"/>
      <c r="J232" s="167"/>
      <c r="K232" s="167"/>
      <c r="L232" s="167"/>
      <c r="M232" s="167"/>
      <c r="N232" s="167"/>
      <c r="O232" s="167"/>
    </row>
    <row r="233" spans="1:15" ht="16.2" hidden="1" x14ac:dyDescent="0.3">
      <c r="A233" s="174" t="s">
        <v>182</v>
      </c>
      <c r="B233" s="176"/>
      <c r="C233" s="56" t="s">
        <v>19</v>
      </c>
      <c r="D233" s="167">
        <v>0</v>
      </c>
      <c r="E233" s="167"/>
      <c r="F233" s="167"/>
      <c r="G233" s="167"/>
      <c r="H233" s="167"/>
      <c r="I233" s="167"/>
      <c r="J233" s="167"/>
      <c r="K233" s="167"/>
      <c r="L233" s="167"/>
      <c r="M233" s="167"/>
      <c r="N233" s="167"/>
      <c r="O233" s="167"/>
    </row>
    <row r="234" spans="1:15" ht="14.4" hidden="1" x14ac:dyDescent="0.3">
      <c r="A234" s="162" t="s">
        <v>42</v>
      </c>
      <c r="B234" s="162"/>
      <c r="C234" s="56"/>
      <c r="D234" s="171"/>
      <c r="E234" s="171"/>
      <c r="F234" s="171"/>
      <c r="G234" s="171"/>
      <c r="H234" s="171"/>
      <c r="I234" s="171"/>
      <c r="J234" s="171"/>
      <c r="K234" s="171"/>
      <c r="L234" s="171"/>
      <c r="M234" s="171"/>
      <c r="N234" s="171"/>
      <c r="O234" s="171"/>
    </row>
    <row r="235" spans="1:15" ht="14.4" hidden="1" x14ac:dyDescent="0.3">
      <c r="A235" s="162" t="s">
        <v>191</v>
      </c>
      <c r="B235" s="162"/>
      <c r="C235" s="56" t="s">
        <v>44</v>
      </c>
      <c r="D235" s="177">
        <v>0</v>
      </c>
      <c r="E235" s="177"/>
      <c r="F235" s="177"/>
      <c r="G235" s="177"/>
      <c r="H235" s="177"/>
      <c r="I235" s="177"/>
      <c r="J235" s="177"/>
      <c r="K235" s="177"/>
      <c r="L235" s="177"/>
      <c r="M235" s="177"/>
      <c r="N235" s="177"/>
      <c r="O235" s="177"/>
    </row>
    <row r="236" spans="1:15" ht="14.4" hidden="1" x14ac:dyDescent="0.3">
      <c r="A236" s="162" t="s">
        <v>183</v>
      </c>
      <c r="B236" s="162"/>
      <c r="C236" s="56"/>
      <c r="D236" s="178"/>
      <c r="E236" s="178"/>
      <c r="F236" s="178"/>
      <c r="G236" s="178"/>
      <c r="H236" s="178"/>
      <c r="I236" s="178"/>
      <c r="J236" s="178"/>
      <c r="K236" s="178"/>
      <c r="L236" s="178"/>
      <c r="M236" s="178"/>
      <c r="N236" s="178"/>
      <c r="O236" s="178"/>
    </row>
    <row r="237" spans="1:15" ht="14.4" hidden="1" x14ac:dyDescent="0.3">
      <c r="A237" s="162" t="s">
        <v>184</v>
      </c>
      <c r="B237" s="162"/>
      <c r="C237" s="56" t="s">
        <v>19</v>
      </c>
      <c r="D237" s="167">
        <v>0</v>
      </c>
      <c r="E237" s="167"/>
      <c r="F237" s="167"/>
      <c r="G237" s="167"/>
      <c r="H237" s="167"/>
      <c r="I237" s="167"/>
      <c r="J237" s="167"/>
      <c r="K237" s="167"/>
      <c r="L237" s="167"/>
      <c r="M237" s="167"/>
      <c r="N237" s="167"/>
      <c r="O237" s="167"/>
    </row>
    <row r="238" spans="1:15" ht="14.4" hidden="1" x14ac:dyDescent="0.3">
      <c r="A238" s="162" t="s">
        <v>45</v>
      </c>
      <c r="B238" s="162"/>
      <c r="C238" s="56"/>
      <c r="D238" s="178"/>
      <c r="E238" s="178"/>
      <c r="F238" s="178"/>
      <c r="G238" s="178"/>
      <c r="H238" s="178"/>
      <c r="I238" s="178"/>
      <c r="J238" s="178"/>
      <c r="K238" s="178"/>
      <c r="L238" s="178"/>
      <c r="M238" s="178"/>
      <c r="N238" s="178"/>
      <c r="O238" s="178"/>
    </row>
    <row r="239" spans="1:15" ht="14.4" hidden="1" x14ac:dyDescent="0.3">
      <c r="A239" s="162" t="s">
        <v>46</v>
      </c>
      <c r="B239" s="162"/>
      <c r="C239" s="56" t="s">
        <v>19</v>
      </c>
      <c r="D239" s="167">
        <v>0</v>
      </c>
      <c r="E239" s="167"/>
      <c r="F239" s="167"/>
      <c r="G239" s="167"/>
      <c r="H239" s="167"/>
      <c r="I239" s="167"/>
      <c r="J239" s="167"/>
      <c r="K239" s="167"/>
      <c r="L239" s="167"/>
      <c r="M239" s="167"/>
      <c r="N239" s="167"/>
      <c r="O239" s="167"/>
    </row>
    <row r="240" spans="1:15" ht="14.4" hidden="1" x14ac:dyDescent="0.3">
      <c r="A240" s="162" t="s">
        <v>185</v>
      </c>
      <c r="B240" s="162"/>
      <c r="C240" s="56"/>
      <c r="D240" s="178"/>
      <c r="E240" s="178"/>
      <c r="F240" s="56"/>
      <c r="G240" s="56"/>
      <c r="H240" s="56"/>
      <c r="I240" s="56"/>
      <c r="J240" s="56"/>
      <c r="K240" s="56"/>
      <c r="L240" s="56"/>
      <c r="M240" s="56"/>
      <c r="N240" s="56"/>
      <c r="O240" s="56"/>
    </row>
    <row r="241" spans="1:15" ht="14.4" hidden="1" x14ac:dyDescent="0.3">
      <c r="A241" s="162" t="s">
        <v>186</v>
      </c>
      <c r="B241" s="162"/>
      <c r="C241" s="56" t="s">
        <v>19</v>
      </c>
      <c r="D241" s="167">
        <v>0</v>
      </c>
      <c r="E241" s="167"/>
      <c r="F241" s="167"/>
      <c r="G241" s="167"/>
      <c r="H241" s="167"/>
      <c r="I241" s="167"/>
      <c r="J241" s="167"/>
      <c r="K241" s="167"/>
      <c r="L241" s="167"/>
      <c r="M241" s="167"/>
      <c r="N241" s="167"/>
      <c r="O241" s="167"/>
    </row>
    <row r="242" spans="1:15" ht="14.4" hidden="1" x14ac:dyDescent="0.3">
      <c r="A242" s="162" t="s">
        <v>47</v>
      </c>
      <c r="B242" s="162"/>
      <c r="C242" s="56"/>
      <c r="D242" s="171"/>
      <c r="E242" s="171"/>
      <c r="F242" s="171"/>
      <c r="G242" s="171"/>
      <c r="H242" s="171"/>
      <c r="I242" s="171"/>
      <c r="J242" s="171"/>
      <c r="K242" s="171"/>
      <c r="L242" s="171"/>
      <c r="M242" s="171"/>
      <c r="N242" s="171"/>
      <c r="O242" s="171"/>
    </row>
    <row r="243" spans="1:15" ht="14.4" hidden="1" x14ac:dyDescent="0.3">
      <c r="A243" s="55" t="s">
        <v>48</v>
      </c>
      <c r="B243" s="55"/>
      <c r="C243" s="56" t="s">
        <v>19</v>
      </c>
      <c r="D243" s="167">
        <v>0</v>
      </c>
      <c r="E243" s="167"/>
      <c r="F243" s="167"/>
      <c r="G243" s="167"/>
      <c r="H243" s="167"/>
      <c r="I243" s="167"/>
      <c r="J243" s="167"/>
      <c r="K243" s="167"/>
      <c r="L243" s="167"/>
      <c r="M243" s="167"/>
      <c r="N243" s="167"/>
      <c r="O243" s="167"/>
    </row>
    <row r="244" spans="1:15" ht="14.4" hidden="1" x14ac:dyDescent="0.3">
      <c r="A244" s="55" t="s">
        <v>49</v>
      </c>
      <c r="B244" s="55"/>
      <c r="C244" s="56" t="s">
        <v>19</v>
      </c>
      <c r="D244" s="167">
        <v>0</v>
      </c>
      <c r="E244" s="167"/>
      <c r="F244" s="167"/>
      <c r="G244" s="167"/>
      <c r="H244" s="167"/>
      <c r="I244" s="167"/>
      <c r="J244" s="167"/>
      <c r="K244" s="167"/>
      <c r="L244" s="167"/>
      <c r="M244" s="167"/>
      <c r="N244" s="167"/>
      <c r="O244" s="167"/>
    </row>
    <row r="245" spans="1:15" ht="14.4" hidden="1" x14ac:dyDescent="0.3">
      <c r="A245" s="162" t="s">
        <v>52</v>
      </c>
      <c r="B245" s="162"/>
      <c r="C245" s="179"/>
      <c r="D245" s="170"/>
      <c r="E245" s="170"/>
      <c r="F245" s="170"/>
      <c r="G245" s="170"/>
      <c r="H245" s="170"/>
      <c r="I245" s="170"/>
      <c r="J245" s="170"/>
      <c r="K245" s="170"/>
      <c r="L245" s="170"/>
      <c r="M245" s="170"/>
      <c r="N245" s="170"/>
      <c r="O245" s="170"/>
    </row>
    <row r="246" spans="1:15" ht="14.4" hidden="1" x14ac:dyDescent="0.3">
      <c r="A246" s="55" t="s">
        <v>53</v>
      </c>
      <c r="B246" s="55"/>
      <c r="C246" s="56" t="s">
        <v>44</v>
      </c>
      <c r="D246" s="180">
        <v>0</v>
      </c>
      <c r="E246" s="180"/>
      <c r="F246" s="167"/>
      <c r="G246" s="167"/>
      <c r="H246" s="167"/>
      <c r="I246" s="167"/>
      <c r="J246" s="167"/>
      <c r="K246" s="167"/>
      <c r="L246" s="167"/>
      <c r="M246" s="167"/>
      <c r="N246" s="167"/>
      <c r="O246" s="167"/>
    </row>
    <row r="247" spans="1:15" ht="14.4" hidden="1" x14ac:dyDescent="0.3">
      <c r="A247" s="55" t="s">
        <v>54</v>
      </c>
      <c r="B247" s="55"/>
      <c r="C247" s="56" t="s">
        <v>44</v>
      </c>
      <c r="D247" s="180">
        <v>0</v>
      </c>
      <c r="E247" s="180"/>
      <c r="F247" s="167"/>
      <c r="G247" s="167"/>
      <c r="H247" s="167"/>
      <c r="I247" s="167"/>
      <c r="J247" s="167"/>
      <c r="K247" s="167"/>
      <c r="L247" s="167"/>
      <c r="M247" s="167"/>
      <c r="N247" s="167"/>
      <c r="O247" s="167"/>
    </row>
    <row r="248" spans="1:15" ht="14.4" hidden="1" x14ac:dyDescent="0.3">
      <c r="A248" s="55" t="s">
        <v>55</v>
      </c>
      <c r="B248" s="55"/>
      <c r="C248" s="56" t="s">
        <v>44</v>
      </c>
      <c r="D248" s="180">
        <v>0</v>
      </c>
      <c r="E248" s="180"/>
      <c r="F248" s="167"/>
      <c r="G248" s="167"/>
      <c r="H248" s="167"/>
      <c r="I248" s="167"/>
      <c r="J248" s="167"/>
      <c r="K248" s="167"/>
      <c r="L248" s="167"/>
      <c r="M248" s="167"/>
      <c r="N248" s="167"/>
      <c r="O248" s="167"/>
    </row>
    <row r="249" spans="1:15" ht="14.4" hidden="1" x14ac:dyDescent="0.3">
      <c r="A249" s="55" t="s">
        <v>187</v>
      </c>
      <c r="B249" s="55"/>
      <c r="C249" s="56" t="s">
        <v>44</v>
      </c>
      <c r="D249" s="180">
        <v>0</v>
      </c>
      <c r="E249" s="180"/>
      <c r="F249" s="167"/>
      <c r="G249" s="167"/>
      <c r="H249" s="167"/>
      <c r="I249" s="167"/>
      <c r="J249" s="167"/>
      <c r="K249" s="167"/>
      <c r="L249" s="167"/>
      <c r="M249" s="167"/>
      <c r="N249" s="167"/>
      <c r="O249" s="167"/>
    </row>
    <row r="250" spans="1:15" ht="14.4" hidden="1" x14ac:dyDescent="0.3">
      <c r="A250" s="55" t="s">
        <v>188</v>
      </c>
      <c r="B250" s="55"/>
      <c r="C250" s="56" t="s">
        <v>44</v>
      </c>
      <c r="D250" s="180">
        <v>0</v>
      </c>
      <c r="E250" s="180"/>
      <c r="F250" s="167"/>
      <c r="G250" s="167"/>
      <c r="H250" s="167"/>
      <c r="I250" s="167"/>
      <c r="J250" s="167"/>
      <c r="K250" s="167"/>
      <c r="L250" s="167"/>
      <c r="M250" s="167"/>
      <c r="N250" s="167"/>
      <c r="O250" s="167"/>
    </row>
    <row r="251" spans="1:15" ht="14.4" hidden="1" x14ac:dyDescent="0.3">
      <c r="A251" s="55" t="s">
        <v>56</v>
      </c>
      <c r="B251" s="55"/>
      <c r="C251" s="56" t="s">
        <v>44</v>
      </c>
      <c r="D251" s="180">
        <v>0</v>
      </c>
      <c r="E251" s="180"/>
      <c r="F251" s="180"/>
      <c r="G251" s="180"/>
      <c r="H251" s="180"/>
      <c r="I251" s="180"/>
      <c r="J251" s="180"/>
      <c r="K251" s="180"/>
      <c r="L251" s="180"/>
      <c r="M251" s="180"/>
      <c r="N251" s="180"/>
      <c r="O251" s="180"/>
    </row>
    <row r="252" spans="1:15" ht="14.4" hidden="1" x14ac:dyDescent="0.3">
      <c r="A252" s="55" t="s">
        <v>57</v>
      </c>
      <c r="B252" s="55"/>
      <c r="C252" s="56" t="s">
        <v>44</v>
      </c>
      <c r="D252" s="180">
        <v>0</v>
      </c>
      <c r="E252" s="180"/>
      <c r="F252" s="180"/>
      <c r="G252" s="180"/>
      <c r="H252" s="180"/>
      <c r="I252" s="180"/>
      <c r="J252" s="180"/>
      <c r="K252" s="180"/>
      <c r="L252" s="180"/>
      <c r="M252" s="180"/>
      <c r="N252" s="180"/>
      <c r="O252" s="180"/>
    </row>
    <row r="253" spans="1:15" hidden="1" x14ac:dyDescent="0.3"/>
    <row r="254" spans="1:15" ht="18" hidden="1" x14ac:dyDescent="0.35">
      <c r="A254" s="9" t="str">
        <f>'[40]Statistical data'!A189</f>
        <v>Customer Class4</v>
      </c>
      <c r="B254" s="9"/>
      <c r="C254" s="5" t="s">
        <v>190</v>
      </c>
      <c r="D254" s="160"/>
      <c r="E254" s="160"/>
      <c r="F254" s="160"/>
      <c r="G254" s="160"/>
      <c r="H254" s="160"/>
      <c r="I254" s="160"/>
      <c r="J254" s="160"/>
      <c r="K254" s="160"/>
      <c r="L254" s="160"/>
      <c r="M254" s="160"/>
      <c r="N254" s="160"/>
      <c r="O254" s="160"/>
    </row>
    <row r="255" spans="1:15" ht="14.4" hidden="1" x14ac:dyDescent="0.3">
      <c r="A255" s="161" t="s">
        <v>3</v>
      </c>
      <c r="B255" s="161"/>
      <c r="C255" s="161" t="s">
        <v>4</v>
      </c>
      <c r="D255" s="161" t="s">
        <v>5</v>
      </c>
      <c r="E255" s="161" t="s">
        <v>6</v>
      </c>
      <c r="F255" s="161" t="s">
        <v>7</v>
      </c>
      <c r="G255" s="161" t="s">
        <v>8</v>
      </c>
      <c r="H255" s="161" t="s">
        <v>9</v>
      </c>
      <c r="I255" s="161" t="s">
        <v>9</v>
      </c>
      <c r="J255" s="161" t="s">
        <v>10</v>
      </c>
      <c r="K255" s="161" t="s">
        <v>11</v>
      </c>
      <c r="L255" s="161" t="s">
        <v>12</v>
      </c>
      <c r="M255" s="161" t="s">
        <v>13</v>
      </c>
      <c r="N255" s="161" t="s">
        <v>14</v>
      </c>
      <c r="O255" s="161" t="s">
        <v>15</v>
      </c>
    </row>
    <row r="256" spans="1:15" ht="14.4" hidden="1" x14ac:dyDescent="0.3">
      <c r="A256" s="162" t="s">
        <v>17</v>
      </c>
      <c r="B256" s="163"/>
      <c r="C256" s="56"/>
      <c r="D256" s="164"/>
      <c r="E256" s="164"/>
      <c r="F256" s="164"/>
      <c r="G256" s="164"/>
      <c r="H256" s="164"/>
      <c r="I256" s="164"/>
      <c r="J256" s="164"/>
      <c r="K256" s="164"/>
      <c r="L256" s="164"/>
      <c r="M256" s="164"/>
      <c r="N256" s="164"/>
      <c r="O256" s="164"/>
    </row>
    <row r="257" spans="1:15" ht="14.4" hidden="1" x14ac:dyDescent="0.3">
      <c r="A257" s="55" t="s">
        <v>18</v>
      </c>
      <c r="B257" s="165"/>
      <c r="C257" s="56" t="s">
        <v>19</v>
      </c>
      <c r="D257" s="166"/>
      <c r="E257" s="166"/>
      <c r="F257" s="166"/>
      <c r="G257" s="166"/>
      <c r="H257" s="166"/>
      <c r="I257" s="166"/>
      <c r="J257" s="166"/>
      <c r="K257" s="166"/>
      <c r="L257" s="166"/>
      <c r="M257" s="166"/>
      <c r="N257" s="166"/>
      <c r="O257" s="166"/>
    </row>
    <row r="258" spans="1:15" ht="14.4" hidden="1" x14ac:dyDescent="0.3">
      <c r="A258" s="55" t="s">
        <v>66</v>
      </c>
      <c r="B258" s="165"/>
      <c r="C258" s="56" t="s">
        <v>19</v>
      </c>
      <c r="D258" s="167">
        <v>0</v>
      </c>
      <c r="E258" s="167"/>
      <c r="F258" s="166"/>
      <c r="G258" s="166"/>
      <c r="H258" s="166"/>
      <c r="I258" s="166"/>
      <c r="J258" s="166"/>
      <c r="K258" s="166"/>
      <c r="L258" s="166"/>
      <c r="M258" s="166"/>
      <c r="N258" s="166"/>
      <c r="O258" s="166"/>
    </row>
    <row r="259" spans="1:15" ht="14.4" hidden="1" x14ac:dyDescent="0.3">
      <c r="A259" s="162" t="s">
        <v>20</v>
      </c>
      <c r="B259" s="163"/>
      <c r="C259" s="56"/>
      <c r="D259" s="168"/>
      <c r="E259" s="168"/>
      <c r="F259" s="168"/>
      <c r="G259" s="168"/>
      <c r="H259" s="168"/>
      <c r="I259" s="168"/>
      <c r="J259" s="168"/>
      <c r="K259" s="168"/>
      <c r="L259" s="168"/>
      <c r="M259" s="168"/>
      <c r="N259" s="168"/>
      <c r="O259" s="168"/>
    </row>
    <row r="260" spans="1:15" ht="14.4" hidden="1" x14ac:dyDescent="0.3">
      <c r="A260" s="55" t="s">
        <v>21</v>
      </c>
      <c r="B260" s="165"/>
      <c r="C260" s="56" t="s">
        <v>19</v>
      </c>
      <c r="D260" s="167">
        <v>0</v>
      </c>
      <c r="E260" s="167"/>
      <c r="F260" s="166"/>
      <c r="G260" s="166"/>
      <c r="H260" s="166"/>
      <c r="I260" s="166"/>
      <c r="J260" s="166"/>
      <c r="K260" s="166"/>
      <c r="L260" s="166"/>
      <c r="M260" s="166"/>
      <c r="N260" s="166"/>
      <c r="O260" s="166"/>
    </row>
    <row r="261" spans="1:15" ht="14.4" hidden="1" x14ac:dyDescent="0.3">
      <c r="A261" s="55" t="s">
        <v>22</v>
      </c>
      <c r="B261" s="165"/>
      <c r="C261" s="56" t="s">
        <v>23</v>
      </c>
      <c r="D261" s="169">
        <v>0</v>
      </c>
      <c r="E261" s="169"/>
      <c r="F261" s="166"/>
      <c r="G261" s="166"/>
      <c r="H261" s="166"/>
      <c r="I261" s="166"/>
      <c r="J261" s="166"/>
      <c r="K261" s="166"/>
      <c r="L261" s="166"/>
      <c r="M261" s="166"/>
      <c r="N261" s="166"/>
      <c r="O261" s="166"/>
    </row>
    <row r="262" spans="1:15" ht="14.4" hidden="1" x14ac:dyDescent="0.3">
      <c r="A262" s="162" t="s">
        <v>24</v>
      </c>
      <c r="B262" s="163"/>
      <c r="C262" s="56"/>
      <c r="D262" s="168"/>
      <c r="E262" s="168"/>
      <c r="F262" s="168"/>
      <c r="G262" s="168"/>
      <c r="H262" s="168"/>
      <c r="I262" s="168"/>
      <c r="J262" s="168"/>
      <c r="K262" s="168"/>
      <c r="L262" s="168"/>
      <c r="M262" s="168"/>
      <c r="N262" s="168"/>
      <c r="O262" s="168"/>
    </row>
    <row r="263" spans="1:15" ht="14.4" hidden="1" x14ac:dyDescent="0.3">
      <c r="A263" s="55" t="s">
        <v>25</v>
      </c>
      <c r="B263" s="165"/>
      <c r="C263" s="56" t="s">
        <v>19</v>
      </c>
      <c r="D263" s="167">
        <v>0</v>
      </c>
      <c r="E263" s="167"/>
      <c r="F263" s="166"/>
      <c r="G263" s="166"/>
      <c r="H263" s="166"/>
      <c r="I263" s="166"/>
      <c r="J263" s="166"/>
      <c r="K263" s="166"/>
      <c r="L263" s="166"/>
      <c r="M263" s="166"/>
      <c r="N263" s="166"/>
      <c r="O263" s="166"/>
    </row>
    <row r="264" spans="1:15" ht="14.4" hidden="1" x14ac:dyDescent="0.3">
      <c r="A264" s="162" t="s">
        <v>26</v>
      </c>
      <c r="B264" s="162"/>
      <c r="C264" s="56"/>
      <c r="D264" s="170"/>
      <c r="E264" s="170"/>
      <c r="F264" s="170"/>
      <c r="G264" s="170"/>
      <c r="H264" s="170"/>
      <c r="I264" s="170"/>
      <c r="J264" s="170"/>
      <c r="K264" s="170"/>
      <c r="L264" s="170"/>
      <c r="M264" s="170"/>
      <c r="N264" s="170"/>
      <c r="O264" s="170"/>
    </row>
    <row r="265" spans="1:15" ht="14.4" hidden="1" x14ac:dyDescent="0.3">
      <c r="A265" s="55" t="s">
        <v>27</v>
      </c>
      <c r="B265" s="55"/>
      <c r="C265" s="56" t="s">
        <v>19</v>
      </c>
      <c r="D265" s="167">
        <v>0</v>
      </c>
      <c r="E265" s="167"/>
      <c r="F265" s="167"/>
      <c r="G265" s="167"/>
      <c r="H265" s="167"/>
      <c r="I265" s="167"/>
      <c r="J265" s="167"/>
      <c r="K265" s="167"/>
      <c r="L265" s="167"/>
      <c r="M265" s="167"/>
      <c r="N265" s="167"/>
      <c r="O265" s="167"/>
    </row>
    <row r="266" spans="1:15" ht="14.4" hidden="1" x14ac:dyDescent="0.3">
      <c r="A266" s="55" t="s">
        <v>28</v>
      </c>
      <c r="B266" s="55"/>
      <c r="C266" s="56" t="s">
        <v>23</v>
      </c>
      <c r="D266" s="169">
        <v>0</v>
      </c>
      <c r="E266" s="169"/>
      <c r="F266" s="167"/>
      <c r="G266" s="167"/>
      <c r="H266" s="167"/>
      <c r="I266" s="167"/>
      <c r="J266" s="167"/>
      <c r="K266" s="167"/>
      <c r="L266" s="167"/>
      <c r="M266" s="167"/>
      <c r="N266" s="167"/>
      <c r="O266" s="167"/>
    </row>
    <row r="267" spans="1:15" ht="14.4" hidden="1" x14ac:dyDescent="0.3">
      <c r="A267" s="162" t="s">
        <v>29</v>
      </c>
      <c r="B267" s="162"/>
      <c r="C267" s="56"/>
      <c r="D267" s="171"/>
      <c r="E267" s="171"/>
      <c r="F267" s="171"/>
      <c r="G267" s="171"/>
      <c r="H267" s="171"/>
      <c r="I267" s="171"/>
      <c r="J267" s="171"/>
      <c r="K267" s="171"/>
      <c r="L267" s="171"/>
      <c r="M267" s="171"/>
      <c r="N267" s="171"/>
      <c r="O267" s="171"/>
    </row>
    <row r="268" spans="1:15" ht="14.4" hidden="1" x14ac:dyDescent="0.3">
      <c r="A268" s="55" t="s">
        <v>30</v>
      </c>
      <c r="B268" s="55"/>
      <c r="C268" s="56" t="s">
        <v>19</v>
      </c>
      <c r="D268" s="167">
        <v>0</v>
      </c>
      <c r="E268" s="167"/>
      <c r="F268" s="167"/>
      <c r="G268" s="167"/>
      <c r="H268" s="167"/>
      <c r="I268" s="167"/>
      <c r="J268" s="167"/>
      <c r="K268" s="167"/>
      <c r="L268" s="167"/>
      <c r="M268" s="167"/>
      <c r="N268" s="167"/>
      <c r="O268" s="167"/>
    </row>
    <row r="269" spans="1:15" ht="14.4" hidden="1" x14ac:dyDescent="0.3">
      <c r="A269" s="55" t="s">
        <v>31</v>
      </c>
      <c r="B269" s="55"/>
      <c r="C269" s="56" t="s">
        <v>32</v>
      </c>
      <c r="D269" s="169">
        <v>0</v>
      </c>
      <c r="E269" s="169"/>
      <c r="F269" s="167"/>
      <c r="G269" s="167"/>
      <c r="H269" s="167"/>
      <c r="I269" s="167"/>
      <c r="J269" s="167"/>
      <c r="K269" s="167"/>
      <c r="L269" s="167"/>
      <c r="M269" s="167"/>
      <c r="N269" s="167"/>
      <c r="O269" s="167"/>
    </row>
    <row r="270" spans="1:15" ht="14.4" hidden="1" x14ac:dyDescent="0.3">
      <c r="A270" s="162" t="s">
        <v>33</v>
      </c>
      <c r="B270" s="162"/>
      <c r="C270" s="56"/>
      <c r="D270" s="171"/>
      <c r="E270" s="171"/>
      <c r="F270" s="171"/>
      <c r="G270" s="171"/>
      <c r="H270" s="171"/>
      <c r="I270" s="171"/>
      <c r="J270" s="171"/>
      <c r="K270" s="171"/>
      <c r="L270" s="171"/>
      <c r="M270" s="171"/>
      <c r="N270" s="171"/>
      <c r="O270" s="171"/>
    </row>
    <row r="271" spans="1:15" ht="14.4" hidden="1" x14ac:dyDescent="0.3">
      <c r="A271" s="55" t="s">
        <v>34</v>
      </c>
      <c r="B271" s="55"/>
      <c r="C271" s="56" t="s">
        <v>19</v>
      </c>
      <c r="D271" s="167">
        <v>0</v>
      </c>
      <c r="E271" s="167"/>
      <c r="F271" s="167"/>
      <c r="G271" s="167"/>
      <c r="H271" s="167"/>
      <c r="I271" s="167"/>
      <c r="J271" s="167"/>
      <c r="K271" s="167"/>
      <c r="L271" s="167"/>
      <c r="M271" s="167"/>
      <c r="N271" s="167"/>
      <c r="O271" s="167"/>
    </row>
    <row r="272" spans="1:15" ht="14.4" hidden="1" x14ac:dyDescent="0.3">
      <c r="A272" s="55" t="s">
        <v>35</v>
      </c>
      <c r="B272" s="55"/>
      <c r="C272" s="56" t="s">
        <v>36</v>
      </c>
      <c r="D272" s="169">
        <v>0</v>
      </c>
      <c r="E272" s="169"/>
      <c r="F272" s="167"/>
      <c r="G272" s="167"/>
      <c r="H272" s="167"/>
      <c r="I272" s="167"/>
      <c r="J272" s="167"/>
      <c r="K272" s="167"/>
      <c r="L272" s="167"/>
      <c r="M272" s="167"/>
      <c r="N272" s="167"/>
      <c r="O272" s="167"/>
    </row>
    <row r="273" spans="1:15" ht="14.4" hidden="1" x14ac:dyDescent="0.3">
      <c r="A273" s="162" t="s">
        <v>37</v>
      </c>
      <c r="B273" s="162"/>
      <c r="C273" s="56"/>
      <c r="D273" s="171"/>
      <c r="E273" s="171"/>
      <c r="F273" s="171"/>
      <c r="G273" s="171"/>
      <c r="H273" s="171"/>
      <c r="I273" s="171"/>
      <c r="J273" s="171"/>
      <c r="K273" s="171"/>
      <c r="L273" s="171"/>
      <c r="M273" s="171"/>
      <c r="N273" s="171"/>
      <c r="O273" s="171"/>
    </row>
    <row r="274" spans="1:15" ht="14.4" hidden="1" x14ac:dyDescent="0.3">
      <c r="A274" s="172" t="s">
        <v>38</v>
      </c>
      <c r="B274" s="55"/>
      <c r="C274" s="56" t="s">
        <v>19</v>
      </c>
      <c r="D274" s="167">
        <v>0</v>
      </c>
      <c r="E274" s="167"/>
      <c r="F274" s="167"/>
      <c r="G274" s="167"/>
      <c r="H274" s="167"/>
      <c r="I274" s="167"/>
      <c r="J274" s="167"/>
      <c r="K274" s="167"/>
      <c r="L274" s="167"/>
      <c r="M274" s="167"/>
      <c r="N274" s="167"/>
      <c r="O274" s="167"/>
    </row>
    <row r="275" spans="1:15" ht="14.4" hidden="1" x14ac:dyDescent="0.3">
      <c r="A275" s="172" t="s">
        <v>39</v>
      </c>
      <c r="B275" s="55"/>
      <c r="C275" s="56" t="s">
        <v>19</v>
      </c>
      <c r="D275" s="167">
        <v>0</v>
      </c>
      <c r="E275" s="167"/>
      <c r="F275" s="167"/>
      <c r="G275" s="167"/>
      <c r="H275" s="167"/>
      <c r="I275" s="167"/>
      <c r="J275" s="167"/>
      <c r="K275" s="167"/>
      <c r="L275" s="167"/>
      <c r="M275" s="167"/>
      <c r="N275" s="167"/>
      <c r="O275" s="167"/>
    </row>
    <row r="276" spans="1:15" ht="14.4" hidden="1" x14ac:dyDescent="0.3">
      <c r="A276" s="172" t="s">
        <v>180</v>
      </c>
      <c r="B276" s="55"/>
      <c r="C276" s="56" t="s">
        <v>19</v>
      </c>
      <c r="D276" s="167">
        <v>0</v>
      </c>
      <c r="E276" s="167"/>
      <c r="F276" s="167"/>
      <c r="G276" s="167"/>
      <c r="H276" s="167"/>
      <c r="I276" s="167"/>
      <c r="J276" s="167"/>
      <c r="K276" s="167"/>
      <c r="L276" s="167"/>
      <c r="M276" s="167"/>
      <c r="N276" s="167"/>
      <c r="O276" s="167"/>
    </row>
    <row r="277" spans="1:15" ht="14.4" hidden="1" x14ac:dyDescent="0.3">
      <c r="A277" s="173" t="s">
        <v>40</v>
      </c>
      <c r="B277" s="55"/>
      <c r="C277" s="56" t="s">
        <v>19</v>
      </c>
      <c r="D277" s="167">
        <v>0</v>
      </c>
      <c r="E277" s="167"/>
      <c r="F277" s="167"/>
      <c r="G277" s="167"/>
      <c r="H277" s="167"/>
      <c r="I277" s="167"/>
      <c r="J277" s="167"/>
      <c r="K277" s="167"/>
      <c r="L277" s="167"/>
      <c r="M277" s="167"/>
      <c r="N277" s="167"/>
      <c r="O277" s="167"/>
    </row>
    <row r="278" spans="1:15" ht="14.4" hidden="1" x14ac:dyDescent="0.3">
      <c r="A278" s="173" t="s">
        <v>41</v>
      </c>
      <c r="B278" s="55"/>
      <c r="C278" s="56" t="s">
        <v>19</v>
      </c>
      <c r="D278" s="167">
        <v>0</v>
      </c>
      <c r="E278" s="167"/>
      <c r="F278" s="167"/>
      <c r="G278" s="167"/>
      <c r="H278" s="167"/>
      <c r="I278" s="167"/>
      <c r="J278" s="167"/>
      <c r="K278" s="167"/>
      <c r="L278" s="167"/>
      <c r="M278" s="167"/>
      <c r="N278" s="167"/>
      <c r="O278" s="167"/>
    </row>
    <row r="279" spans="1:15" ht="16.2" hidden="1" x14ac:dyDescent="0.3">
      <c r="A279" s="174" t="s">
        <v>182</v>
      </c>
      <c r="B279" s="175"/>
      <c r="C279" s="56" t="s">
        <v>19</v>
      </c>
      <c r="D279" s="167">
        <v>0</v>
      </c>
      <c r="E279" s="167"/>
      <c r="F279" s="167"/>
      <c r="G279" s="167"/>
      <c r="H279" s="167"/>
      <c r="I279" s="167"/>
      <c r="J279" s="167"/>
      <c r="K279" s="167"/>
      <c r="L279" s="167"/>
      <c r="M279" s="167"/>
      <c r="N279" s="167"/>
      <c r="O279" s="167"/>
    </row>
    <row r="280" spans="1:15" ht="16.2" hidden="1" x14ac:dyDescent="0.3">
      <c r="A280" s="174" t="s">
        <v>182</v>
      </c>
      <c r="B280" s="175"/>
      <c r="C280" s="56" t="s">
        <v>19</v>
      </c>
      <c r="D280" s="167">
        <v>0</v>
      </c>
      <c r="E280" s="167"/>
      <c r="F280" s="167"/>
      <c r="G280" s="167"/>
      <c r="H280" s="167"/>
      <c r="I280" s="167"/>
      <c r="J280" s="167"/>
      <c r="K280" s="167"/>
      <c r="L280" s="167"/>
      <c r="M280" s="167"/>
      <c r="N280" s="167"/>
      <c r="O280" s="167"/>
    </row>
    <row r="281" spans="1:15" ht="16.2" hidden="1" x14ac:dyDescent="0.3">
      <c r="A281" s="174" t="s">
        <v>182</v>
      </c>
      <c r="B281" s="176"/>
      <c r="C281" s="56" t="s">
        <v>19</v>
      </c>
      <c r="D281" s="167">
        <v>0</v>
      </c>
      <c r="E281" s="167"/>
      <c r="F281" s="167"/>
      <c r="G281" s="167"/>
      <c r="H281" s="167"/>
      <c r="I281" s="167"/>
      <c r="J281" s="167"/>
      <c r="K281" s="167"/>
      <c r="L281" s="167"/>
      <c r="M281" s="167"/>
      <c r="N281" s="167"/>
      <c r="O281" s="167"/>
    </row>
    <row r="282" spans="1:15" ht="14.4" hidden="1" x14ac:dyDescent="0.3">
      <c r="A282" s="162" t="s">
        <v>42</v>
      </c>
      <c r="B282" s="162"/>
      <c r="C282" s="56"/>
      <c r="D282" s="171"/>
      <c r="E282" s="171"/>
      <c r="F282" s="171"/>
      <c r="G282" s="171"/>
      <c r="H282" s="171"/>
      <c r="I282" s="171"/>
      <c r="J282" s="171"/>
      <c r="K282" s="171"/>
      <c r="L282" s="171"/>
      <c r="M282" s="171"/>
      <c r="N282" s="171"/>
      <c r="O282" s="171"/>
    </row>
    <row r="283" spans="1:15" ht="14.4" hidden="1" x14ac:dyDescent="0.3">
      <c r="A283" s="162" t="s">
        <v>191</v>
      </c>
      <c r="B283" s="162"/>
      <c r="C283" s="56" t="s">
        <v>44</v>
      </c>
      <c r="D283" s="177">
        <v>0</v>
      </c>
      <c r="E283" s="177"/>
      <c r="F283" s="177"/>
      <c r="G283" s="177"/>
      <c r="H283" s="177"/>
      <c r="I283" s="177"/>
      <c r="J283" s="177"/>
      <c r="K283" s="177"/>
      <c r="L283" s="177"/>
      <c r="M283" s="177"/>
      <c r="N283" s="177"/>
      <c r="O283" s="177"/>
    </row>
    <row r="284" spans="1:15" ht="14.4" hidden="1" x14ac:dyDescent="0.3">
      <c r="A284" s="162" t="s">
        <v>183</v>
      </c>
      <c r="B284" s="162"/>
      <c r="C284" s="56"/>
      <c r="D284" s="178"/>
      <c r="E284" s="178"/>
      <c r="F284" s="178"/>
      <c r="G284" s="178"/>
      <c r="H284" s="178"/>
      <c r="I284" s="178"/>
      <c r="J284" s="178"/>
      <c r="K284" s="178"/>
      <c r="L284" s="178"/>
      <c r="M284" s="178"/>
      <c r="N284" s="178"/>
      <c r="O284" s="178"/>
    </row>
    <row r="285" spans="1:15" ht="14.4" hidden="1" x14ac:dyDescent="0.3">
      <c r="A285" s="162" t="s">
        <v>184</v>
      </c>
      <c r="B285" s="162"/>
      <c r="C285" s="56" t="s">
        <v>19</v>
      </c>
      <c r="D285" s="167">
        <v>0</v>
      </c>
      <c r="E285" s="167"/>
      <c r="F285" s="167"/>
      <c r="G285" s="167"/>
      <c r="H285" s="167"/>
      <c r="I285" s="167"/>
      <c r="J285" s="167"/>
      <c r="K285" s="167"/>
      <c r="L285" s="167"/>
      <c r="M285" s="167"/>
      <c r="N285" s="167"/>
      <c r="O285" s="167"/>
    </row>
    <row r="286" spans="1:15" ht="14.4" hidden="1" x14ac:dyDescent="0.3">
      <c r="A286" s="162" t="s">
        <v>45</v>
      </c>
      <c r="B286" s="162"/>
      <c r="C286" s="56"/>
      <c r="D286" s="178"/>
      <c r="E286" s="178"/>
      <c r="F286" s="178"/>
      <c r="G286" s="178"/>
      <c r="H286" s="178"/>
      <c r="I286" s="178"/>
      <c r="J286" s="178"/>
      <c r="K286" s="178"/>
      <c r="L286" s="178"/>
      <c r="M286" s="178"/>
      <c r="N286" s="178"/>
      <c r="O286" s="178"/>
    </row>
    <row r="287" spans="1:15" ht="14.4" hidden="1" x14ac:dyDescent="0.3">
      <c r="A287" s="162" t="s">
        <v>46</v>
      </c>
      <c r="B287" s="162"/>
      <c r="C287" s="56" t="s">
        <v>19</v>
      </c>
      <c r="D287" s="167">
        <v>0</v>
      </c>
      <c r="E287" s="167"/>
      <c r="F287" s="167"/>
      <c r="G287" s="167"/>
      <c r="H287" s="167"/>
      <c r="I287" s="167"/>
      <c r="J287" s="167"/>
      <c r="K287" s="167"/>
      <c r="L287" s="167"/>
      <c r="M287" s="167"/>
      <c r="N287" s="167"/>
      <c r="O287" s="167"/>
    </row>
    <row r="288" spans="1:15" ht="14.4" hidden="1" x14ac:dyDescent="0.3">
      <c r="A288" s="162" t="s">
        <v>185</v>
      </c>
      <c r="B288" s="162"/>
      <c r="C288" s="56"/>
      <c r="D288" s="178"/>
      <c r="E288" s="178"/>
      <c r="F288" s="178"/>
      <c r="G288" s="178"/>
      <c r="H288" s="178"/>
      <c r="I288" s="178"/>
      <c r="J288" s="178"/>
      <c r="K288" s="178"/>
      <c r="L288" s="178"/>
      <c r="M288" s="178"/>
      <c r="N288" s="178"/>
      <c r="O288" s="178"/>
    </row>
    <row r="289" spans="1:15" ht="14.4" hidden="1" x14ac:dyDescent="0.3">
      <c r="A289" s="162" t="s">
        <v>186</v>
      </c>
      <c r="B289" s="162"/>
      <c r="C289" s="56" t="s">
        <v>19</v>
      </c>
      <c r="D289" s="167">
        <v>0</v>
      </c>
      <c r="E289" s="167"/>
      <c r="F289" s="167"/>
      <c r="G289" s="167"/>
      <c r="H289" s="167"/>
      <c r="I289" s="167"/>
      <c r="J289" s="167"/>
      <c r="K289" s="167"/>
      <c r="L289" s="167"/>
      <c r="M289" s="167"/>
      <c r="N289" s="167"/>
      <c r="O289" s="167"/>
    </row>
    <row r="290" spans="1:15" ht="14.4" hidden="1" x14ac:dyDescent="0.3">
      <c r="A290" s="162" t="s">
        <v>47</v>
      </c>
      <c r="B290" s="162"/>
      <c r="C290" s="56"/>
      <c r="D290" s="171"/>
      <c r="E290" s="171"/>
      <c r="F290" s="171"/>
      <c r="G290" s="171"/>
      <c r="H290" s="171"/>
      <c r="I290" s="171"/>
      <c r="J290" s="171"/>
      <c r="K290" s="171"/>
      <c r="L290" s="171"/>
      <c r="M290" s="171"/>
      <c r="N290" s="171"/>
      <c r="O290" s="171"/>
    </row>
    <row r="291" spans="1:15" ht="14.4" hidden="1" x14ac:dyDescent="0.3">
      <c r="A291" s="55" t="s">
        <v>48</v>
      </c>
      <c r="B291" s="55"/>
      <c r="C291" s="56" t="s">
        <v>19</v>
      </c>
      <c r="D291" s="167">
        <v>0</v>
      </c>
      <c r="E291" s="167"/>
      <c r="F291" s="167"/>
      <c r="G291" s="167"/>
      <c r="H291" s="167"/>
      <c r="I291" s="167"/>
      <c r="J291" s="167"/>
      <c r="K291" s="167"/>
      <c r="L291" s="167"/>
      <c r="M291" s="167"/>
      <c r="N291" s="167"/>
      <c r="O291" s="167"/>
    </row>
    <row r="292" spans="1:15" ht="14.4" hidden="1" x14ac:dyDescent="0.3">
      <c r="A292" s="55" t="s">
        <v>49</v>
      </c>
      <c r="B292" s="55"/>
      <c r="C292" s="56" t="s">
        <v>19</v>
      </c>
      <c r="D292" s="167">
        <v>0</v>
      </c>
      <c r="E292" s="167"/>
      <c r="F292" s="167"/>
      <c r="G292" s="167"/>
      <c r="H292" s="167"/>
      <c r="I292" s="167"/>
      <c r="J292" s="167"/>
      <c r="K292" s="167"/>
      <c r="L292" s="167"/>
      <c r="M292" s="167"/>
      <c r="N292" s="167"/>
      <c r="O292" s="167"/>
    </row>
    <row r="293" spans="1:15" ht="14.4" hidden="1" x14ac:dyDescent="0.3">
      <c r="A293" s="162" t="s">
        <v>52</v>
      </c>
      <c r="B293" s="162"/>
      <c r="C293" s="179"/>
      <c r="D293" s="170"/>
      <c r="E293" s="170"/>
      <c r="F293" s="170"/>
      <c r="G293" s="170"/>
      <c r="H293" s="170"/>
      <c r="I293" s="170"/>
      <c r="J293" s="170"/>
      <c r="K293" s="170"/>
      <c r="L293" s="170"/>
      <c r="M293" s="170"/>
      <c r="N293" s="170"/>
      <c r="O293" s="170"/>
    </row>
    <row r="294" spans="1:15" ht="14.4" hidden="1" x14ac:dyDescent="0.3">
      <c r="A294" s="55" t="s">
        <v>53</v>
      </c>
      <c r="B294" s="55"/>
      <c r="C294" s="56" t="s">
        <v>44</v>
      </c>
      <c r="D294" s="180">
        <v>0</v>
      </c>
      <c r="E294" s="180"/>
      <c r="F294" s="167"/>
      <c r="G294" s="167"/>
      <c r="H294" s="167"/>
      <c r="I294" s="167"/>
      <c r="J294" s="167"/>
      <c r="K294" s="167"/>
      <c r="L294" s="167"/>
      <c r="M294" s="167"/>
      <c r="N294" s="167"/>
      <c r="O294" s="167"/>
    </row>
    <row r="295" spans="1:15" ht="14.4" hidden="1" x14ac:dyDescent="0.3">
      <c r="A295" s="55" t="s">
        <v>54</v>
      </c>
      <c r="B295" s="55"/>
      <c r="C295" s="56" t="s">
        <v>44</v>
      </c>
      <c r="D295" s="180">
        <v>0</v>
      </c>
      <c r="E295" s="180"/>
      <c r="F295" s="167"/>
      <c r="G295" s="167"/>
      <c r="H295" s="167"/>
      <c r="I295" s="167"/>
      <c r="J295" s="167"/>
      <c r="K295" s="167"/>
      <c r="L295" s="167"/>
      <c r="M295" s="167"/>
      <c r="N295" s="167"/>
      <c r="O295" s="167"/>
    </row>
    <row r="296" spans="1:15" ht="14.4" hidden="1" x14ac:dyDescent="0.3">
      <c r="A296" s="55" t="s">
        <v>55</v>
      </c>
      <c r="B296" s="55"/>
      <c r="C296" s="56" t="s">
        <v>44</v>
      </c>
      <c r="D296" s="180">
        <v>0</v>
      </c>
      <c r="E296" s="180"/>
      <c r="F296" s="167"/>
      <c r="G296" s="167"/>
      <c r="H296" s="167"/>
      <c r="I296" s="167"/>
      <c r="J296" s="167"/>
      <c r="K296" s="167"/>
      <c r="L296" s="167"/>
      <c r="M296" s="167"/>
      <c r="N296" s="167"/>
      <c r="O296" s="167"/>
    </row>
    <row r="297" spans="1:15" ht="14.4" hidden="1" x14ac:dyDescent="0.3">
      <c r="A297" s="55" t="s">
        <v>187</v>
      </c>
      <c r="B297" s="55"/>
      <c r="C297" s="56" t="s">
        <v>44</v>
      </c>
      <c r="D297" s="180">
        <v>0</v>
      </c>
      <c r="E297" s="180"/>
      <c r="F297" s="167"/>
      <c r="G297" s="167"/>
      <c r="H297" s="167"/>
      <c r="I297" s="167"/>
      <c r="J297" s="167"/>
      <c r="K297" s="167"/>
      <c r="L297" s="167"/>
      <c r="M297" s="167"/>
      <c r="N297" s="167"/>
      <c r="O297" s="167"/>
    </row>
    <row r="298" spans="1:15" ht="14.4" hidden="1" x14ac:dyDescent="0.3">
      <c r="A298" s="55" t="s">
        <v>188</v>
      </c>
      <c r="B298" s="55"/>
      <c r="C298" s="56" t="s">
        <v>44</v>
      </c>
      <c r="D298" s="180">
        <v>0</v>
      </c>
      <c r="E298" s="180"/>
      <c r="F298" s="167"/>
      <c r="G298" s="167"/>
      <c r="H298" s="167"/>
      <c r="I298" s="167"/>
      <c r="J298" s="167"/>
      <c r="K298" s="167"/>
      <c r="L298" s="167"/>
      <c r="M298" s="167"/>
      <c r="N298" s="167"/>
      <c r="O298" s="167"/>
    </row>
    <row r="299" spans="1:15" ht="14.4" hidden="1" x14ac:dyDescent="0.3">
      <c r="A299" s="55" t="s">
        <v>56</v>
      </c>
      <c r="B299" s="55"/>
      <c r="C299" s="56" t="s">
        <v>44</v>
      </c>
      <c r="D299" s="180">
        <v>0</v>
      </c>
      <c r="E299" s="180"/>
      <c r="F299" s="180"/>
      <c r="G299" s="180"/>
      <c r="H299" s="180"/>
      <c r="I299" s="180"/>
      <c r="J299" s="180"/>
      <c r="K299" s="180"/>
      <c r="L299" s="180"/>
      <c r="M299" s="180"/>
      <c r="N299" s="180"/>
      <c r="O299" s="180"/>
    </row>
    <row r="300" spans="1:15" ht="14.4" hidden="1" x14ac:dyDescent="0.3">
      <c r="A300" s="55" t="s">
        <v>57</v>
      </c>
      <c r="B300" s="55"/>
      <c r="C300" s="56" t="s">
        <v>44</v>
      </c>
      <c r="D300" s="180">
        <v>0</v>
      </c>
      <c r="E300" s="180"/>
      <c r="F300" s="180"/>
      <c r="G300" s="180"/>
      <c r="H300" s="180"/>
      <c r="I300" s="180"/>
      <c r="J300" s="180"/>
      <c r="K300" s="180"/>
      <c r="L300" s="180"/>
      <c r="M300" s="180"/>
      <c r="N300" s="180"/>
      <c r="O300" s="180"/>
    </row>
    <row r="301" spans="1:15" hidden="1" x14ac:dyDescent="0.3"/>
    <row r="302" spans="1:15" ht="18" hidden="1" x14ac:dyDescent="0.35">
      <c r="A302" s="9" t="str">
        <f>'[40]Statistical data'!A190</f>
        <v>Customer Class5</v>
      </c>
      <c r="B302" s="9"/>
      <c r="C302" s="5" t="s">
        <v>190</v>
      </c>
      <c r="D302" s="160"/>
      <c r="E302" s="160"/>
      <c r="F302" s="160"/>
      <c r="G302" s="160"/>
      <c r="H302" s="160"/>
      <c r="I302" s="160"/>
      <c r="J302" s="160"/>
      <c r="K302" s="160"/>
      <c r="L302" s="160"/>
      <c r="M302" s="160"/>
      <c r="N302" s="160"/>
      <c r="O302" s="160"/>
    </row>
    <row r="303" spans="1:15" ht="14.4" hidden="1" x14ac:dyDescent="0.3">
      <c r="A303" s="161" t="s">
        <v>3</v>
      </c>
      <c r="B303" s="161"/>
      <c r="C303" s="161" t="s">
        <v>4</v>
      </c>
      <c r="D303" s="161" t="s">
        <v>5</v>
      </c>
      <c r="E303" s="161" t="s">
        <v>6</v>
      </c>
      <c r="F303" s="161" t="s">
        <v>7</v>
      </c>
      <c r="G303" s="161" t="s">
        <v>8</v>
      </c>
      <c r="H303" s="161" t="s">
        <v>9</v>
      </c>
      <c r="I303" s="161" t="s">
        <v>9</v>
      </c>
      <c r="J303" s="161" t="s">
        <v>10</v>
      </c>
      <c r="K303" s="161" t="s">
        <v>11</v>
      </c>
      <c r="L303" s="161" t="s">
        <v>12</v>
      </c>
      <c r="M303" s="161" t="s">
        <v>13</v>
      </c>
      <c r="N303" s="161" t="s">
        <v>14</v>
      </c>
      <c r="O303" s="161" t="s">
        <v>15</v>
      </c>
    </row>
    <row r="304" spans="1:15" ht="14.4" hidden="1" x14ac:dyDescent="0.3">
      <c r="A304" s="162" t="s">
        <v>17</v>
      </c>
      <c r="B304" s="163"/>
      <c r="C304" s="56"/>
      <c r="D304" s="164"/>
      <c r="E304" s="164"/>
      <c r="F304" s="164"/>
      <c r="G304" s="164"/>
      <c r="H304" s="164"/>
      <c r="I304" s="164"/>
      <c r="J304" s="164"/>
      <c r="K304" s="164"/>
      <c r="L304" s="164"/>
      <c r="M304" s="164"/>
      <c r="N304" s="164"/>
      <c r="O304" s="164"/>
    </row>
    <row r="305" spans="1:15" ht="14.4" hidden="1" x14ac:dyDescent="0.3">
      <c r="A305" s="55" t="s">
        <v>18</v>
      </c>
      <c r="B305" s="165"/>
      <c r="C305" s="56" t="s">
        <v>19</v>
      </c>
      <c r="D305" s="166"/>
      <c r="E305" s="166"/>
      <c r="F305" s="166"/>
      <c r="G305" s="166"/>
      <c r="H305" s="166"/>
      <c r="I305" s="166"/>
      <c r="J305" s="166"/>
      <c r="K305" s="166"/>
      <c r="L305" s="166"/>
      <c r="M305" s="166"/>
      <c r="N305" s="166"/>
      <c r="O305" s="166"/>
    </row>
    <row r="306" spans="1:15" ht="14.4" hidden="1" x14ac:dyDescent="0.3">
      <c r="A306" s="55" t="s">
        <v>66</v>
      </c>
      <c r="B306" s="165"/>
      <c r="C306" s="56" t="s">
        <v>19</v>
      </c>
      <c r="D306" s="167">
        <v>0</v>
      </c>
      <c r="E306" s="167"/>
      <c r="F306" s="166"/>
      <c r="G306" s="166"/>
      <c r="H306" s="166"/>
      <c r="I306" s="166"/>
      <c r="J306" s="166"/>
      <c r="K306" s="166"/>
      <c r="L306" s="166"/>
      <c r="M306" s="166"/>
      <c r="N306" s="166"/>
      <c r="O306" s="166"/>
    </row>
    <row r="307" spans="1:15" ht="14.4" hidden="1" x14ac:dyDescent="0.3">
      <c r="A307" s="162" t="s">
        <v>20</v>
      </c>
      <c r="B307" s="163"/>
      <c r="C307" s="56"/>
      <c r="D307" s="168"/>
      <c r="E307" s="168"/>
      <c r="F307" s="168"/>
      <c r="G307" s="168"/>
      <c r="H307" s="168"/>
      <c r="I307" s="168"/>
      <c r="J307" s="168"/>
      <c r="K307" s="168"/>
      <c r="L307" s="168"/>
      <c r="M307" s="168"/>
      <c r="N307" s="168"/>
      <c r="O307" s="168"/>
    </row>
    <row r="308" spans="1:15" ht="14.4" hidden="1" x14ac:dyDescent="0.3">
      <c r="A308" s="55" t="s">
        <v>21</v>
      </c>
      <c r="B308" s="165"/>
      <c r="C308" s="56" t="s">
        <v>19</v>
      </c>
      <c r="D308" s="167">
        <v>0</v>
      </c>
      <c r="E308" s="167"/>
      <c r="F308" s="166"/>
      <c r="G308" s="166"/>
      <c r="H308" s="166"/>
      <c r="I308" s="166"/>
      <c r="J308" s="166"/>
      <c r="K308" s="166"/>
      <c r="L308" s="166"/>
      <c r="M308" s="166"/>
      <c r="N308" s="166"/>
      <c r="O308" s="166"/>
    </row>
    <row r="309" spans="1:15" ht="14.4" hidden="1" x14ac:dyDescent="0.3">
      <c r="A309" s="55" t="s">
        <v>22</v>
      </c>
      <c r="B309" s="165"/>
      <c r="C309" s="56" t="s">
        <v>23</v>
      </c>
      <c r="D309" s="169">
        <v>0</v>
      </c>
      <c r="E309" s="169"/>
      <c r="F309" s="166"/>
      <c r="G309" s="166"/>
      <c r="H309" s="166"/>
      <c r="I309" s="166"/>
      <c r="J309" s="166"/>
      <c r="K309" s="166"/>
      <c r="L309" s="166"/>
      <c r="M309" s="166"/>
      <c r="N309" s="166"/>
      <c r="O309" s="166"/>
    </row>
    <row r="310" spans="1:15" ht="14.4" hidden="1" x14ac:dyDescent="0.3">
      <c r="A310" s="162" t="s">
        <v>24</v>
      </c>
      <c r="B310" s="163"/>
      <c r="C310" s="56"/>
      <c r="D310" s="168"/>
      <c r="E310" s="168"/>
      <c r="F310" s="168"/>
      <c r="G310" s="168"/>
      <c r="H310" s="168"/>
      <c r="I310" s="168"/>
      <c r="J310" s="168"/>
      <c r="K310" s="168"/>
      <c r="L310" s="168"/>
      <c r="M310" s="168"/>
      <c r="N310" s="168"/>
      <c r="O310" s="168"/>
    </row>
    <row r="311" spans="1:15" ht="14.4" hidden="1" x14ac:dyDescent="0.3">
      <c r="A311" s="55" t="s">
        <v>25</v>
      </c>
      <c r="B311" s="165"/>
      <c r="C311" s="56" t="s">
        <v>19</v>
      </c>
      <c r="D311" s="167">
        <v>0</v>
      </c>
      <c r="E311" s="167"/>
      <c r="F311" s="166"/>
      <c r="G311" s="166"/>
      <c r="H311" s="166"/>
      <c r="I311" s="166"/>
      <c r="J311" s="166"/>
      <c r="K311" s="166"/>
      <c r="L311" s="166"/>
      <c r="M311" s="166"/>
      <c r="N311" s="166"/>
      <c r="O311" s="166"/>
    </row>
    <row r="312" spans="1:15" ht="14.4" hidden="1" x14ac:dyDescent="0.3">
      <c r="A312" s="162" t="s">
        <v>26</v>
      </c>
      <c r="B312" s="162"/>
      <c r="C312" s="56"/>
      <c r="D312" s="170"/>
      <c r="E312" s="170"/>
      <c r="F312" s="170"/>
      <c r="G312" s="170"/>
      <c r="H312" s="170"/>
      <c r="I312" s="170"/>
      <c r="J312" s="170"/>
      <c r="K312" s="170"/>
      <c r="L312" s="170"/>
      <c r="M312" s="170"/>
      <c r="N312" s="170"/>
      <c r="O312" s="170"/>
    </row>
    <row r="313" spans="1:15" ht="14.4" hidden="1" x14ac:dyDescent="0.3">
      <c r="A313" s="55" t="s">
        <v>27</v>
      </c>
      <c r="B313" s="55"/>
      <c r="C313" s="56" t="s">
        <v>19</v>
      </c>
      <c r="D313" s="167">
        <v>0</v>
      </c>
      <c r="E313" s="167"/>
      <c r="F313" s="167"/>
      <c r="G313" s="167"/>
      <c r="H313" s="167"/>
      <c r="I313" s="167"/>
      <c r="J313" s="167"/>
      <c r="K313" s="167"/>
      <c r="L313" s="167"/>
      <c r="M313" s="167"/>
      <c r="N313" s="167"/>
      <c r="O313" s="167"/>
    </row>
    <row r="314" spans="1:15" ht="14.4" hidden="1" x14ac:dyDescent="0.3">
      <c r="A314" s="55" t="s">
        <v>28</v>
      </c>
      <c r="B314" s="55"/>
      <c r="C314" s="56" t="s">
        <v>23</v>
      </c>
      <c r="D314" s="169">
        <v>0</v>
      </c>
      <c r="E314" s="169"/>
      <c r="F314" s="167"/>
      <c r="G314" s="167"/>
      <c r="H314" s="167"/>
      <c r="I314" s="167"/>
      <c r="J314" s="167"/>
      <c r="K314" s="167"/>
      <c r="L314" s="167"/>
      <c r="M314" s="167"/>
      <c r="N314" s="167"/>
      <c r="O314" s="167"/>
    </row>
    <row r="315" spans="1:15" ht="14.4" hidden="1" x14ac:dyDescent="0.3">
      <c r="A315" s="162" t="s">
        <v>29</v>
      </c>
      <c r="B315" s="162"/>
      <c r="C315" s="56"/>
      <c r="D315" s="171"/>
      <c r="E315" s="171"/>
      <c r="F315" s="171"/>
      <c r="G315" s="171"/>
      <c r="H315" s="171"/>
      <c r="I315" s="171"/>
      <c r="J315" s="171"/>
      <c r="K315" s="171"/>
      <c r="L315" s="171"/>
      <c r="M315" s="171"/>
      <c r="N315" s="171"/>
      <c r="O315" s="171"/>
    </row>
    <row r="316" spans="1:15" ht="14.4" hidden="1" x14ac:dyDescent="0.3">
      <c r="A316" s="55" t="s">
        <v>30</v>
      </c>
      <c r="B316" s="55"/>
      <c r="C316" s="56" t="s">
        <v>19</v>
      </c>
      <c r="D316" s="167">
        <v>0</v>
      </c>
      <c r="E316" s="167"/>
      <c r="F316" s="167"/>
      <c r="G316" s="167"/>
      <c r="H316" s="167"/>
      <c r="I316" s="167"/>
      <c r="J316" s="167"/>
      <c r="K316" s="167"/>
      <c r="L316" s="167"/>
      <c r="M316" s="167"/>
      <c r="N316" s="167"/>
      <c r="O316" s="167"/>
    </row>
    <row r="317" spans="1:15" ht="14.4" hidden="1" x14ac:dyDescent="0.3">
      <c r="A317" s="55" t="s">
        <v>31</v>
      </c>
      <c r="B317" s="55"/>
      <c r="C317" s="56" t="s">
        <v>32</v>
      </c>
      <c r="D317" s="169">
        <v>0</v>
      </c>
      <c r="E317" s="169"/>
      <c r="F317" s="167"/>
      <c r="G317" s="167"/>
      <c r="H317" s="167"/>
      <c r="I317" s="167"/>
      <c r="J317" s="167"/>
      <c r="K317" s="167"/>
      <c r="L317" s="167"/>
      <c r="M317" s="167"/>
      <c r="N317" s="167"/>
      <c r="O317" s="167"/>
    </row>
    <row r="318" spans="1:15" ht="14.4" hidden="1" x14ac:dyDescent="0.3">
      <c r="A318" s="162" t="s">
        <v>33</v>
      </c>
      <c r="B318" s="162"/>
      <c r="C318" s="56"/>
      <c r="D318" s="171"/>
      <c r="E318" s="171"/>
      <c r="F318" s="171"/>
      <c r="G318" s="171"/>
      <c r="H318" s="171"/>
      <c r="I318" s="171"/>
      <c r="J318" s="171"/>
      <c r="K318" s="171"/>
      <c r="L318" s="171"/>
      <c r="M318" s="171"/>
      <c r="N318" s="171"/>
      <c r="O318" s="171"/>
    </row>
    <row r="319" spans="1:15" ht="14.4" hidden="1" x14ac:dyDescent="0.3">
      <c r="A319" s="55" t="s">
        <v>34</v>
      </c>
      <c r="B319" s="55"/>
      <c r="C319" s="56" t="s">
        <v>19</v>
      </c>
      <c r="D319" s="167">
        <v>0</v>
      </c>
      <c r="E319" s="167"/>
      <c r="F319" s="167"/>
      <c r="G319" s="167"/>
      <c r="H319" s="167"/>
      <c r="I319" s="167"/>
      <c r="J319" s="167"/>
      <c r="K319" s="167"/>
      <c r="L319" s="167"/>
      <c r="M319" s="167"/>
      <c r="N319" s="167"/>
      <c r="O319" s="167"/>
    </row>
    <row r="320" spans="1:15" ht="14.4" hidden="1" x14ac:dyDescent="0.3">
      <c r="A320" s="55" t="s">
        <v>35</v>
      </c>
      <c r="B320" s="55"/>
      <c r="C320" s="56" t="s">
        <v>36</v>
      </c>
      <c r="D320" s="169">
        <v>0</v>
      </c>
      <c r="E320" s="169"/>
      <c r="F320" s="167"/>
      <c r="G320" s="167"/>
      <c r="H320" s="167"/>
      <c r="I320" s="167"/>
      <c r="J320" s="167"/>
      <c r="K320" s="167"/>
      <c r="L320" s="167"/>
      <c r="M320" s="167"/>
      <c r="N320" s="167"/>
      <c r="O320" s="167"/>
    </row>
    <row r="321" spans="1:15" ht="14.4" hidden="1" x14ac:dyDescent="0.3">
      <c r="A321" s="162" t="s">
        <v>37</v>
      </c>
      <c r="B321" s="162"/>
      <c r="C321" s="56"/>
      <c r="D321" s="171"/>
      <c r="E321" s="171"/>
      <c r="F321" s="171"/>
      <c r="G321" s="171"/>
      <c r="H321" s="171"/>
      <c r="I321" s="171"/>
      <c r="J321" s="171"/>
      <c r="K321" s="171"/>
      <c r="L321" s="171"/>
      <c r="M321" s="171"/>
      <c r="N321" s="171"/>
      <c r="O321" s="171"/>
    </row>
    <row r="322" spans="1:15" ht="14.4" hidden="1" x14ac:dyDescent="0.3">
      <c r="A322" s="172" t="s">
        <v>38</v>
      </c>
      <c r="B322" s="55"/>
      <c r="C322" s="56" t="s">
        <v>19</v>
      </c>
      <c r="D322" s="167">
        <v>0</v>
      </c>
      <c r="E322" s="167"/>
      <c r="F322" s="167"/>
      <c r="G322" s="167"/>
      <c r="H322" s="167"/>
      <c r="I322" s="167"/>
      <c r="J322" s="167"/>
      <c r="K322" s="167"/>
      <c r="L322" s="167"/>
      <c r="M322" s="167"/>
      <c r="N322" s="167"/>
      <c r="O322" s="167"/>
    </row>
    <row r="323" spans="1:15" ht="14.4" hidden="1" x14ac:dyDescent="0.3">
      <c r="A323" s="172" t="s">
        <v>39</v>
      </c>
      <c r="B323" s="55"/>
      <c r="C323" s="56" t="s">
        <v>19</v>
      </c>
      <c r="D323" s="167">
        <v>0</v>
      </c>
      <c r="E323" s="167"/>
      <c r="F323" s="167"/>
      <c r="G323" s="167"/>
      <c r="H323" s="167"/>
      <c r="I323" s="167"/>
      <c r="J323" s="167"/>
      <c r="K323" s="167"/>
      <c r="L323" s="167"/>
      <c r="M323" s="167"/>
      <c r="N323" s="167"/>
      <c r="O323" s="167"/>
    </row>
    <row r="324" spans="1:15" ht="14.4" hidden="1" x14ac:dyDescent="0.3">
      <c r="A324" s="172" t="s">
        <v>180</v>
      </c>
      <c r="B324" s="55"/>
      <c r="C324" s="56" t="s">
        <v>19</v>
      </c>
      <c r="D324" s="167">
        <v>0</v>
      </c>
      <c r="E324" s="167"/>
      <c r="F324" s="167"/>
      <c r="G324" s="167"/>
      <c r="H324" s="167"/>
      <c r="I324" s="167"/>
      <c r="J324" s="167"/>
      <c r="K324" s="167"/>
      <c r="L324" s="167"/>
      <c r="M324" s="167"/>
      <c r="N324" s="167"/>
      <c r="O324" s="167"/>
    </row>
    <row r="325" spans="1:15" ht="14.4" hidden="1" x14ac:dyDescent="0.3">
      <c r="A325" s="173" t="s">
        <v>40</v>
      </c>
      <c r="B325" s="55"/>
      <c r="C325" s="56" t="s">
        <v>19</v>
      </c>
      <c r="D325" s="167">
        <v>0</v>
      </c>
      <c r="E325" s="167"/>
      <c r="F325" s="167"/>
      <c r="G325" s="167"/>
      <c r="H325" s="167"/>
      <c r="I325" s="167"/>
      <c r="J325" s="167"/>
      <c r="K325" s="167"/>
      <c r="L325" s="167"/>
      <c r="M325" s="167"/>
      <c r="N325" s="167"/>
      <c r="O325" s="167"/>
    </row>
    <row r="326" spans="1:15" ht="14.4" hidden="1" x14ac:dyDescent="0.3">
      <c r="A326" s="173" t="s">
        <v>41</v>
      </c>
      <c r="B326" s="55"/>
      <c r="C326" s="56" t="s">
        <v>19</v>
      </c>
      <c r="D326" s="167">
        <v>0</v>
      </c>
      <c r="E326" s="167"/>
      <c r="F326" s="167"/>
      <c r="G326" s="167"/>
      <c r="H326" s="167"/>
      <c r="I326" s="167"/>
      <c r="J326" s="167"/>
      <c r="K326" s="167"/>
      <c r="L326" s="167"/>
      <c r="M326" s="167"/>
      <c r="N326" s="167"/>
      <c r="O326" s="167"/>
    </row>
    <row r="327" spans="1:15" ht="16.2" hidden="1" x14ac:dyDescent="0.3">
      <c r="A327" s="174" t="s">
        <v>182</v>
      </c>
      <c r="B327" s="175"/>
      <c r="C327" s="56" t="s">
        <v>19</v>
      </c>
      <c r="D327" s="167">
        <v>0</v>
      </c>
      <c r="E327" s="167"/>
      <c r="F327" s="167"/>
      <c r="G327" s="167"/>
      <c r="H327" s="167"/>
      <c r="I327" s="167"/>
      <c r="J327" s="167"/>
      <c r="K327" s="167"/>
      <c r="L327" s="167"/>
      <c r="M327" s="167"/>
      <c r="N327" s="167"/>
      <c r="O327" s="167"/>
    </row>
    <row r="328" spans="1:15" ht="16.2" hidden="1" x14ac:dyDescent="0.3">
      <c r="A328" s="174" t="s">
        <v>182</v>
      </c>
      <c r="B328" s="175"/>
      <c r="C328" s="56" t="s">
        <v>19</v>
      </c>
      <c r="D328" s="167">
        <v>0</v>
      </c>
      <c r="E328" s="167"/>
      <c r="F328" s="167"/>
      <c r="G328" s="167"/>
      <c r="H328" s="167"/>
      <c r="I328" s="167"/>
      <c r="J328" s="167"/>
      <c r="K328" s="167"/>
      <c r="L328" s="167"/>
      <c r="M328" s="167"/>
      <c r="N328" s="167"/>
      <c r="O328" s="167"/>
    </row>
    <row r="329" spans="1:15" ht="16.2" hidden="1" x14ac:dyDescent="0.3">
      <c r="A329" s="174" t="s">
        <v>182</v>
      </c>
      <c r="B329" s="176"/>
      <c r="C329" s="56" t="s">
        <v>19</v>
      </c>
      <c r="D329" s="167">
        <v>0</v>
      </c>
      <c r="E329" s="167"/>
      <c r="F329" s="167"/>
      <c r="G329" s="167"/>
      <c r="H329" s="167"/>
      <c r="I329" s="167"/>
      <c r="J329" s="167"/>
      <c r="K329" s="167"/>
      <c r="L329" s="167"/>
      <c r="M329" s="167"/>
      <c r="N329" s="167"/>
      <c r="O329" s="167"/>
    </row>
    <row r="330" spans="1:15" ht="14.4" hidden="1" x14ac:dyDescent="0.3">
      <c r="A330" s="162" t="s">
        <v>42</v>
      </c>
      <c r="B330" s="162"/>
      <c r="C330" s="56"/>
      <c r="D330" s="171"/>
      <c r="E330" s="171"/>
      <c r="F330" s="171"/>
      <c r="G330" s="171"/>
      <c r="H330" s="171"/>
      <c r="I330" s="171"/>
      <c r="J330" s="171"/>
      <c r="K330" s="171"/>
      <c r="L330" s="171"/>
      <c r="M330" s="171"/>
      <c r="N330" s="171"/>
      <c r="O330" s="171"/>
    </row>
    <row r="331" spans="1:15" ht="14.4" hidden="1" x14ac:dyDescent="0.3">
      <c r="A331" s="162" t="s">
        <v>191</v>
      </c>
      <c r="B331" s="162"/>
      <c r="C331" s="56" t="s">
        <v>44</v>
      </c>
      <c r="D331" s="177">
        <v>0</v>
      </c>
      <c r="E331" s="177"/>
      <c r="F331" s="177"/>
      <c r="G331" s="177"/>
      <c r="H331" s="177"/>
      <c r="I331" s="177"/>
      <c r="J331" s="177"/>
      <c r="K331" s="177"/>
      <c r="L331" s="177"/>
      <c r="M331" s="177"/>
      <c r="N331" s="177"/>
      <c r="O331" s="177"/>
    </row>
    <row r="332" spans="1:15" ht="14.4" hidden="1" x14ac:dyDescent="0.3">
      <c r="A332" s="162" t="s">
        <v>183</v>
      </c>
      <c r="B332" s="162"/>
      <c r="C332" s="56"/>
      <c r="D332" s="178"/>
      <c r="E332" s="178"/>
      <c r="F332" s="178"/>
      <c r="G332" s="178"/>
      <c r="H332" s="178"/>
      <c r="I332" s="178"/>
      <c r="J332" s="178"/>
      <c r="K332" s="178"/>
      <c r="L332" s="178"/>
      <c r="M332" s="178"/>
      <c r="N332" s="178"/>
      <c r="O332" s="178"/>
    </row>
    <row r="333" spans="1:15" ht="14.4" hidden="1" x14ac:dyDescent="0.3">
      <c r="A333" s="162" t="s">
        <v>184</v>
      </c>
      <c r="B333" s="162"/>
      <c r="C333" s="56" t="s">
        <v>19</v>
      </c>
      <c r="D333" s="167">
        <v>0</v>
      </c>
      <c r="E333" s="167"/>
      <c r="F333" s="167"/>
      <c r="G333" s="167"/>
      <c r="H333" s="167"/>
      <c r="I333" s="167"/>
      <c r="J333" s="167"/>
      <c r="K333" s="167"/>
      <c r="L333" s="167"/>
      <c r="M333" s="167"/>
      <c r="N333" s="167"/>
      <c r="O333" s="167"/>
    </row>
    <row r="334" spans="1:15" ht="14.4" hidden="1" x14ac:dyDescent="0.3">
      <c r="A334" s="162" t="s">
        <v>45</v>
      </c>
      <c r="B334" s="162"/>
      <c r="C334" s="56"/>
      <c r="D334" s="178"/>
      <c r="E334" s="178"/>
      <c r="F334" s="178"/>
      <c r="G334" s="178"/>
      <c r="H334" s="178"/>
      <c r="I334" s="178"/>
      <c r="J334" s="178"/>
      <c r="K334" s="178"/>
      <c r="L334" s="178"/>
      <c r="M334" s="178"/>
      <c r="N334" s="178"/>
      <c r="O334" s="178"/>
    </row>
    <row r="335" spans="1:15" ht="14.4" hidden="1" x14ac:dyDescent="0.3">
      <c r="A335" s="162" t="s">
        <v>46</v>
      </c>
      <c r="B335" s="162"/>
      <c r="C335" s="56" t="s">
        <v>19</v>
      </c>
      <c r="D335" s="167">
        <v>0</v>
      </c>
      <c r="E335" s="167"/>
      <c r="F335" s="167"/>
      <c r="G335" s="167"/>
      <c r="H335" s="167"/>
      <c r="I335" s="167"/>
      <c r="J335" s="167"/>
      <c r="K335" s="167"/>
      <c r="L335" s="167"/>
      <c r="M335" s="167"/>
      <c r="N335" s="167"/>
      <c r="O335" s="167"/>
    </row>
    <row r="336" spans="1:15" ht="14.4" hidden="1" x14ac:dyDescent="0.3">
      <c r="A336" s="162" t="s">
        <v>185</v>
      </c>
      <c r="B336" s="162"/>
      <c r="C336" s="56"/>
      <c r="D336" s="178"/>
      <c r="E336" s="178"/>
      <c r="F336" s="167"/>
      <c r="G336" s="167"/>
      <c r="H336" s="167"/>
      <c r="I336" s="167"/>
      <c r="J336" s="167"/>
      <c r="K336" s="167"/>
      <c r="L336" s="167"/>
      <c r="M336" s="167"/>
      <c r="N336" s="167"/>
      <c r="O336" s="167"/>
    </row>
    <row r="337" spans="1:15" ht="14.4" hidden="1" x14ac:dyDescent="0.3">
      <c r="A337" s="162" t="s">
        <v>186</v>
      </c>
      <c r="B337" s="162"/>
      <c r="C337" s="56" t="s">
        <v>19</v>
      </c>
      <c r="D337" s="167">
        <v>0</v>
      </c>
      <c r="E337" s="167"/>
      <c r="F337" s="167"/>
      <c r="G337" s="167"/>
      <c r="H337" s="167"/>
      <c r="I337" s="167"/>
      <c r="J337" s="167"/>
      <c r="K337" s="167"/>
      <c r="L337" s="167"/>
      <c r="M337" s="167"/>
      <c r="N337" s="167"/>
      <c r="O337" s="167"/>
    </row>
    <row r="338" spans="1:15" ht="14.4" hidden="1" x14ac:dyDescent="0.3">
      <c r="A338" s="162" t="s">
        <v>47</v>
      </c>
      <c r="B338" s="162"/>
      <c r="C338" s="56"/>
      <c r="D338" s="171"/>
      <c r="E338" s="171"/>
      <c r="F338" s="171"/>
      <c r="G338" s="171"/>
      <c r="H338" s="171"/>
      <c r="I338" s="171"/>
      <c r="J338" s="171"/>
      <c r="K338" s="171"/>
      <c r="L338" s="171"/>
      <c r="M338" s="171"/>
      <c r="N338" s="171"/>
      <c r="O338" s="171"/>
    </row>
    <row r="339" spans="1:15" ht="14.4" hidden="1" x14ac:dyDescent="0.3">
      <c r="A339" s="55" t="s">
        <v>48</v>
      </c>
      <c r="B339" s="55"/>
      <c r="C339" s="56" t="s">
        <v>19</v>
      </c>
      <c r="D339" s="167">
        <v>0</v>
      </c>
      <c r="E339" s="167"/>
      <c r="F339" s="167"/>
      <c r="G339" s="167"/>
      <c r="H339" s="167"/>
      <c r="I339" s="167"/>
      <c r="J339" s="167"/>
      <c r="K339" s="167"/>
      <c r="L339" s="167"/>
      <c r="M339" s="167"/>
      <c r="N339" s="167"/>
      <c r="O339" s="167"/>
    </row>
    <row r="340" spans="1:15" ht="14.4" hidden="1" x14ac:dyDescent="0.3">
      <c r="A340" s="55" t="s">
        <v>49</v>
      </c>
      <c r="B340" s="55"/>
      <c r="C340" s="56" t="s">
        <v>19</v>
      </c>
      <c r="D340" s="167">
        <v>0</v>
      </c>
      <c r="E340" s="167"/>
      <c r="F340" s="167"/>
      <c r="G340" s="167"/>
      <c r="H340" s="167"/>
      <c r="I340" s="167"/>
      <c r="J340" s="167"/>
      <c r="K340" s="167"/>
      <c r="L340" s="167"/>
      <c r="M340" s="167"/>
      <c r="N340" s="167"/>
      <c r="O340" s="167"/>
    </row>
    <row r="341" spans="1:15" ht="14.4" hidden="1" x14ac:dyDescent="0.3">
      <c r="A341" s="162" t="s">
        <v>52</v>
      </c>
      <c r="B341" s="162"/>
      <c r="C341" s="179"/>
      <c r="D341" s="170"/>
      <c r="E341" s="170"/>
      <c r="F341" s="170"/>
      <c r="G341" s="170"/>
      <c r="H341" s="170"/>
      <c r="I341" s="170"/>
      <c r="J341" s="170"/>
      <c r="K341" s="170"/>
      <c r="L341" s="170"/>
      <c r="M341" s="170"/>
      <c r="N341" s="170"/>
      <c r="O341" s="170"/>
    </row>
    <row r="342" spans="1:15" ht="14.4" hidden="1" x14ac:dyDescent="0.3">
      <c r="A342" s="55" t="s">
        <v>53</v>
      </c>
      <c r="B342" s="55"/>
      <c r="C342" s="56" t="s">
        <v>44</v>
      </c>
      <c r="D342" s="180">
        <v>0</v>
      </c>
      <c r="E342" s="180"/>
      <c r="F342" s="167"/>
      <c r="G342" s="167"/>
      <c r="H342" s="167"/>
      <c r="I342" s="167"/>
      <c r="J342" s="167"/>
      <c r="K342" s="167"/>
      <c r="L342" s="167"/>
      <c r="M342" s="167"/>
      <c r="N342" s="167"/>
      <c r="O342" s="167"/>
    </row>
    <row r="343" spans="1:15" ht="14.4" hidden="1" x14ac:dyDescent="0.3">
      <c r="A343" s="55" t="s">
        <v>54</v>
      </c>
      <c r="B343" s="55"/>
      <c r="C343" s="56" t="s">
        <v>44</v>
      </c>
      <c r="D343" s="180">
        <v>0</v>
      </c>
      <c r="E343" s="180"/>
      <c r="F343" s="167"/>
      <c r="G343" s="167"/>
      <c r="H343" s="167"/>
      <c r="I343" s="167"/>
      <c r="J343" s="167"/>
      <c r="K343" s="167"/>
      <c r="L343" s="167"/>
      <c r="M343" s="167"/>
      <c r="N343" s="167"/>
      <c r="O343" s="167"/>
    </row>
    <row r="344" spans="1:15" ht="14.4" hidden="1" x14ac:dyDescent="0.3">
      <c r="A344" s="55" t="s">
        <v>55</v>
      </c>
      <c r="B344" s="55"/>
      <c r="C344" s="56" t="s">
        <v>44</v>
      </c>
      <c r="D344" s="180">
        <v>0</v>
      </c>
      <c r="E344" s="180"/>
      <c r="F344" s="167"/>
      <c r="G344" s="167"/>
      <c r="H344" s="167"/>
      <c r="I344" s="167"/>
      <c r="J344" s="167"/>
      <c r="K344" s="167"/>
      <c r="L344" s="167"/>
      <c r="M344" s="167"/>
      <c r="N344" s="167"/>
      <c r="O344" s="167"/>
    </row>
    <row r="345" spans="1:15" ht="14.4" hidden="1" x14ac:dyDescent="0.3">
      <c r="A345" s="55" t="s">
        <v>187</v>
      </c>
      <c r="B345" s="55"/>
      <c r="C345" s="56" t="s">
        <v>44</v>
      </c>
      <c r="D345" s="180">
        <v>0</v>
      </c>
      <c r="E345" s="180"/>
      <c r="F345" s="167"/>
      <c r="G345" s="167"/>
      <c r="H345" s="167"/>
      <c r="I345" s="167"/>
      <c r="J345" s="167"/>
      <c r="K345" s="167"/>
      <c r="L345" s="167"/>
      <c r="M345" s="167"/>
      <c r="N345" s="167"/>
      <c r="O345" s="167"/>
    </row>
    <row r="346" spans="1:15" ht="14.4" hidden="1" x14ac:dyDescent="0.3">
      <c r="A346" s="55" t="s">
        <v>188</v>
      </c>
      <c r="B346" s="55"/>
      <c r="C346" s="56" t="s">
        <v>44</v>
      </c>
      <c r="D346" s="180">
        <v>0</v>
      </c>
      <c r="E346" s="180"/>
      <c r="F346" s="167"/>
      <c r="G346" s="167"/>
      <c r="H346" s="167"/>
      <c r="I346" s="167"/>
      <c r="J346" s="167"/>
      <c r="K346" s="167"/>
      <c r="L346" s="167"/>
      <c r="M346" s="167"/>
      <c r="N346" s="167"/>
      <c r="O346" s="167"/>
    </row>
    <row r="347" spans="1:15" ht="14.4" hidden="1" x14ac:dyDescent="0.3">
      <c r="A347" s="55" t="s">
        <v>56</v>
      </c>
      <c r="B347" s="55"/>
      <c r="C347" s="56" t="s">
        <v>44</v>
      </c>
      <c r="D347" s="180">
        <v>0</v>
      </c>
      <c r="E347" s="180"/>
      <c r="F347" s="180"/>
      <c r="G347" s="180"/>
      <c r="H347" s="180"/>
      <c r="I347" s="180"/>
      <c r="J347" s="180"/>
      <c r="K347" s="180"/>
      <c r="L347" s="180"/>
      <c r="M347" s="180"/>
      <c r="N347" s="180"/>
      <c r="O347" s="180"/>
    </row>
    <row r="348" spans="1:15" ht="14.4" hidden="1" x14ac:dyDescent="0.3">
      <c r="A348" s="55" t="s">
        <v>57</v>
      </c>
      <c r="B348" s="55"/>
      <c r="C348" s="56" t="s">
        <v>44</v>
      </c>
      <c r="D348" s="180">
        <v>0</v>
      </c>
      <c r="E348" s="180"/>
      <c r="F348" s="180"/>
      <c r="G348" s="180"/>
      <c r="H348" s="180"/>
      <c r="I348" s="180"/>
      <c r="J348" s="180"/>
      <c r="K348" s="180"/>
      <c r="L348" s="180"/>
      <c r="M348" s="180"/>
      <c r="N348" s="180"/>
      <c r="O348" s="180"/>
    </row>
    <row r="349" spans="1:15" hidden="1" x14ac:dyDescent="0.3"/>
    <row r="350" spans="1:15" ht="18" hidden="1" x14ac:dyDescent="0.35">
      <c r="A350" s="59" t="str">
        <f>'[40]Statistical data'!A191</f>
        <v>Customer Class with mix rate1</v>
      </c>
      <c r="B350" s="59"/>
      <c r="C350" s="5" t="s">
        <v>190</v>
      </c>
      <c r="D350" s="160"/>
      <c r="E350" s="160"/>
      <c r="F350" s="160"/>
      <c r="G350" s="160"/>
      <c r="H350" s="160"/>
      <c r="I350" s="160"/>
      <c r="J350" s="160"/>
      <c r="K350" s="160"/>
      <c r="L350" s="160"/>
      <c r="M350" s="160"/>
      <c r="N350" s="160"/>
      <c r="O350" s="160"/>
    </row>
    <row r="351" spans="1:15" ht="27" hidden="1" customHeight="1" x14ac:dyDescent="0.3">
      <c r="A351" s="161" t="s">
        <v>3</v>
      </c>
      <c r="B351" s="161"/>
      <c r="C351" s="161" t="s">
        <v>4</v>
      </c>
      <c r="D351" s="161" t="s">
        <v>5</v>
      </c>
      <c r="E351" s="161" t="s">
        <v>6</v>
      </c>
      <c r="F351" s="161" t="s">
        <v>7</v>
      </c>
      <c r="G351" s="161" t="s">
        <v>8</v>
      </c>
      <c r="H351" s="161" t="s">
        <v>9</v>
      </c>
      <c r="I351" s="161" t="s">
        <v>9</v>
      </c>
      <c r="J351" s="161" t="s">
        <v>10</v>
      </c>
      <c r="K351" s="161" t="s">
        <v>11</v>
      </c>
      <c r="L351" s="161" t="s">
        <v>12</v>
      </c>
      <c r="M351" s="161" t="s">
        <v>13</v>
      </c>
      <c r="N351" s="161" t="s">
        <v>14</v>
      </c>
      <c r="O351" s="161" t="s">
        <v>15</v>
      </c>
    </row>
    <row r="352" spans="1:15" ht="14.4" hidden="1" x14ac:dyDescent="0.3">
      <c r="A352" s="162" t="s">
        <v>17</v>
      </c>
      <c r="B352" s="163"/>
      <c r="C352" s="56"/>
      <c r="D352" s="164"/>
      <c r="E352" s="164"/>
      <c r="F352" s="164"/>
      <c r="G352" s="164"/>
      <c r="H352" s="164"/>
      <c r="I352" s="164"/>
      <c r="J352" s="164"/>
      <c r="K352" s="164"/>
      <c r="L352" s="164"/>
      <c r="M352" s="164"/>
      <c r="N352" s="164"/>
      <c r="O352" s="164"/>
    </row>
    <row r="353" spans="1:15" ht="14.4" hidden="1" x14ac:dyDescent="0.3">
      <c r="A353" s="55" t="s">
        <v>18</v>
      </c>
      <c r="B353" s="165"/>
      <c r="C353" s="56" t="s">
        <v>19</v>
      </c>
      <c r="D353" s="166"/>
      <c r="E353" s="166"/>
      <c r="F353" s="166"/>
      <c r="G353" s="166"/>
      <c r="H353" s="166"/>
      <c r="I353" s="166"/>
      <c r="J353" s="166"/>
      <c r="K353" s="166"/>
      <c r="L353" s="166"/>
      <c r="M353" s="166"/>
      <c r="N353" s="166"/>
      <c r="O353" s="166"/>
    </row>
    <row r="354" spans="1:15" ht="14.4" hidden="1" x14ac:dyDescent="0.3">
      <c r="A354" s="55" t="s">
        <v>66</v>
      </c>
      <c r="B354" s="165"/>
      <c r="C354" s="56" t="s">
        <v>19</v>
      </c>
      <c r="D354" s="167">
        <v>0</v>
      </c>
      <c r="E354" s="167"/>
      <c r="F354" s="166"/>
      <c r="G354" s="166"/>
      <c r="H354" s="166"/>
      <c r="I354" s="166"/>
      <c r="J354" s="166"/>
      <c r="K354" s="166"/>
      <c r="L354" s="166"/>
      <c r="M354" s="166"/>
      <c r="N354" s="166"/>
      <c r="O354" s="166"/>
    </row>
    <row r="355" spans="1:15" ht="14.4" hidden="1" x14ac:dyDescent="0.3">
      <c r="A355" s="162" t="s">
        <v>20</v>
      </c>
      <c r="B355" s="163"/>
      <c r="C355" s="56"/>
      <c r="D355" s="168"/>
      <c r="E355" s="168"/>
      <c r="F355" s="168"/>
      <c r="G355" s="168"/>
      <c r="H355" s="168"/>
      <c r="I355" s="168"/>
      <c r="J355" s="168"/>
      <c r="K355" s="168"/>
      <c r="L355" s="168"/>
      <c r="M355" s="168"/>
      <c r="N355" s="168"/>
      <c r="O355" s="168"/>
    </row>
    <row r="356" spans="1:15" ht="14.4" hidden="1" x14ac:dyDescent="0.3">
      <c r="A356" s="55" t="s">
        <v>21</v>
      </c>
      <c r="B356" s="165"/>
      <c r="C356" s="56" t="s">
        <v>19</v>
      </c>
      <c r="D356" s="167">
        <v>0</v>
      </c>
      <c r="E356" s="167"/>
      <c r="F356" s="166"/>
      <c r="G356" s="166"/>
      <c r="H356" s="166"/>
      <c r="I356" s="166"/>
      <c r="J356" s="166"/>
      <c r="K356" s="166"/>
      <c r="L356" s="166"/>
      <c r="M356" s="166"/>
      <c r="N356" s="166"/>
      <c r="O356" s="166"/>
    </row>
    <row r="357" spans="1:15" ht="14.4" hidden="1" x14ac:dyDescent="0.3">
      <c r="A357" s="55" t="s">
        <v>22</v>
      </c>
      <c r="B357" s="165"/>
      <c r="C357" s="56" t="s">
        <v>23</v>
      </c>
      <c r="D357" s="169">
        <v>0</v>
      </c>
      <c r="E357" s="169"/>
      <c r="F357" s="166"/>
      <c r="G357" s="166"/>
      <c r="H357" s="166"/>
      <c r="I357" s="166"/>
      <c r="J357" s="166"/>
      <c r="K357" s="166"/>
      <c r="L357" s="166"/>
      <c r="M357" s="166"/>
      <c r="N357" s="166"/>
      <c r="O357" s="166"/>
    </row>
    <row r="358" spans="1:15" ht="14.4" hidden="1" x14ac:dyDescent="0.3">
      <c r="A358" s="162" t="s">
        <v>24</v>
      </c>
      <c r="B358" s="163"/>
      <c r="C358" s="56"/>
      <c r="D358" s="168"/>
      <c r="E358" s="168"/>
      <c r="F358" s="168"/>
      <c r="G358" s="168"/>
      <c r="H358" s="168"/>
      <c r="I358" s="168"/>
      <c r="J358" s="168"/>
      <c r="K358" s="168"/>
      <c r="L358" s="168"/>
      <c r="M358" s="168"/>
      <c r="N358" s="168"/>
      <c r="O358" s="168"/>
    </row>
    <row r="359" spans="1:15" ht="14.4" hidden="1" x14ac:dyDescent="0.3">
      <c r="A359" s="55" t="s">
        <v>25</v>
      </c>
      <c r="B359" s="165"/>
      <c r="C359" s="56" t="s">
        <v>19</v>
      </c>
      <c r="D359" s="167">
        <v>0</v>
      </c>
      <c r="E359" s="167"/>
      <c r="F359" s="166"/>
      <c r="G359" s="166"/>
      <c r="H359" s="166"/>
      <c r="I359" s="166"/>
      <c r="J359" s="166"/>
      <c r="K359" s="166"/>
      <c r="L359" s="166"/>
      <c r="M359" s="166"/>
      <c r="N359" s="166"/>
      <c r="O359" s="166"/>
    </row>
    <row r="360" spans="1:15" ht="14.4" hidden="1" x14ac:dyDescent="0.3">
      <c r="A360" s="162" t="s">
        <v>26</v>
      </c>
      <c r="B360" s="162"/>
      <c r="C360" s="56"/>
      <c r="D360" s="170"/>
      <c r="E360" s="170"/>
      <c r="F360" s="170"/>
      <c r="G360" s="170"/>
      <c r="H360" s="170"/>
      <c r="I360" s="170"/>
      <c r="J360" s="170"/>
      <c r="K360" s="170"/>
      <c r="L360" s="170"/>
      <c r="M360" s="170"/>
      <c r="N360" s="170"/>
      <c r="O360" s="170"/>
    </row>
    <row r="361" spans="1:15" ht="14.4" hidden="1" x14ac:dyDescent="0.3">
      <c r="A361" s="55" t="s">
        <v>27</v>
      </c>
      <c r="B361" s="55"/>
      <c r="C361" s="56" t="s">
        <v>19</v>
      </c>
      <c r="D361" s="167">
        <v>0</v>
      </c>
      <c r="E361" s="167"/>
      <c r="F361" s="167"/>
      <c r="G361" s="167"/>
      <c r="H361" s="167"/>
      <c r="I361" s="167"/>
      <c r="J361" s="167"/>
      <c r="K361" s="167"/>
      <c r="L361" s="167"/>
      <c r="M361" s="167"/>
      <c r="N361" s="167"/>
      <c r="O361" s="167"/>
    </row>
    <row r="362" spans="1:15" ht="14.4" hidden="1" x14ac:dyDescent="0.3">
      <c r="A362" s="55" t="s">
        <v>28</v>
      </c>
      <c r="B362" s="55"/>
      <c r="C362" s="56" t="s">
        <v>23</v>
      </c>
      <c r="D362" s="169">
        <v>0</v>
      </c>
      <c r="E362" s="169"/>
      <c r="F362" s="167"/>
      <c r="G362" s="167"/>
      <c r="H362" s="167"/>
      <c r="I362" s="167"/>
      <c r="J362" s="167"/>
      <c r="K362" s="167"/>
      <c r="L362" s="167"/>
      <c r="M362" s="167"/>
      <c r="N362" s="167"/>
      <c r="O362" s="167"/>
    </row>
    <row r="363" spans="1:15" ht="14.4" hidden="1" x14ac:dyDescent="0.3">
      <c r="A363" s="162" t="s">
        <v>29</v>
      </c>
      <c r="B363" s="162"/>
      <c r="C363" s="56"/>
      <c r="D363" s="171"/>
      <c r="E363" s="171"/>
      <c r="F363" s="171"/>
      <c r="G363" s="171"/>
      <c r="H363" s="171"/>
      <c r="I363" s="171"/>
      <c r="J363" s="171"/>
      <c r="K363" s="171"/>
      <c r="L363" s="171"/>
      <c r="M363" s="171"/>
      <c r="N363" s="171"/>
      <c r="O363" s="171"/>
    </row>
    <row r="364" spans="1:15" ht="14.4" hidden="1" x14ac:dyDescent="0.3">
      <c r="A364" s="55" t="s">
        <v>30</v>
      </c>
      <c r="B364" s="55"/>
      <c r="C364" s="56" t="s">
        <v>19</v>
      </c>
      <c r="D364" s="167">
        <v>0</v>
      </c>
      <c r="E364" s="167"/>
      <c r="F364" s="167"/>
      <c r="G364" s="167"/>
      <c r="H364" s="167"/>
      <c r="I364" s="167"/>
      <c r="J364" s="167"/>
      <c r="K364" s="167"/>
      <c r="L364" s="167"/>
      <c r="M364" s="167"/>
      <c r="N364" s="167"/>
      <c r="O364" s="167"/>
    </row>
    <row r="365" spans="1:15" ht="14.4" hidden="1" x14ac:dyDescent="0.3">
      <c r="A365" s="55" t="s">
        <v>31</v>
      </c>
      <c r="B365" s="55"/>
      <c r="C365" s="56" t="s">
        <v>32</v>
      </c>
      <c r="D365" s="169">
        <v>0</v>
      </c>
      <c r="E365" s="169"/>
      <c r="F365" s="167"/>
      <c r="G365" s="167"/>
      <c r="H365" s="167"/>
      <c r="I365" s="167"/>
      <c r="J365" s="167"/>
      <c r="K365" s="167"/>
      <c r="L365" s="167"/>
      <c r="M365" s="167"/>
      <c r="N365" s="167"/>
      <c r="O365" s="167"/>
    </row>
    <row r="366" spans="1:15" ht="14.4" hidden="1" x14ac:dyDescent="0.3">
      <c r="A366" s="162" t="s">
        <v>33</v>
      </c>
      <c r="B366" s="162"/>
      <c r="C366" s="56"/>
      <c r="D366" s="171"/>
      <c r="E366" s="171"/>
      <c r="F366" s="171"/>
      <c r="G366" s="171"/>
      <c r="H366" s="171"/>
      <c r="I366" s="171"/>
      <c r="J366" s="171"/>
      <c r="K366" s="171"/>
      <c r="L366" s="171"/>
      <c r="M366" s="171"/>
      <c r="N366" s="171"/>
      <c r="O366" s="171"/>
    </row>
    <row r="367" spans="1:15" ht="14.4" hidden="1" x14ac:dyDescent="0.3">
      <c r="A367" s="55" t="s">
        <v>34</v>
      </c>
      <c r="B367" s="55"/>
      <c r="C367" s="56" t="s">
        <v>19</v>
      </c>
      <c r="D367" s="167">
        <v>0</v>
      </c>
      <c r="E367" s="167"/>
      <c r="F367" s="167"/>
      <c r="G367" s="167"/>
      <c r="H367" s="167"/>
      <c r="I367" s="167"/>
      <c r="J367" s="167"/>
      <c r="K367" s="167"/>
      <c r="L367" s="167"/>
      <c r="M367" s="167"/>
      <c r="N367" s="167"/>
      <c r="O367" s="167"/>
    </row>
    <row r="368" spans="1:15" ht="14.4" hidden="1" x14ac:dyDescent="0.3">
      <c r="A368" s="55" t="s">
        <v>35</v>
      </c>
      <c r="B368" s="55"/>
      <c r="C368" s="56" t="s">
        <v>36</v>
      </c>
      <c r="D368" s="169">
        <v>0</v>
      </c>
      <c r="E368" s="169"/>
      <c r="F368" s="167"/>
      <c r="G368" s="167"/>
      <c r="H368" s="167"/>
      <c r="I368" s="167"/>
      <c r="J368" s="167"/>
      <c r="K368" s="167"/>
      <c r="L368" s="167"/>
      <c r="M368" s="167"/>
      <c r="N368" s="167"/>
      <c r="O368" s="167"/>
    </row>
    <row r="369" spans="1:15" ht="14.4" hidden="1" x14ac:dyDescent="0.3">
      <c r="A369" s="162" t="s">
        <v>37</v>
      </c>
      <c r="B369" s="162"/>
      <c r="C369" s="56"/>
      <c r="D369" s="171"/>
      <c r="E369" s="171"/>
      <c r="F369" s="171"/>
      <c r="G369" s="171"/>
      <c r="H369" s="171"/>
      <c r="I369" s="171"/>
      <c r="J369" s="171"/>
      <c r="K369" s="171"/>
      <c r="L369" s="171"/>
      <c r="M369" s="171"/>
      <c r="N369" s="171"/>
      <c r="O369" s="171"/>
    </row>
    <row r="370" spans="1:15" ht="14.4" hidden="1" x14ac:dyDescent="0.3">
      <c r="A370" s="172" t="s">
        <v>38</v>
      </c>
      <c r="B370" s="55"/>
      <c r="C370" s="56" t="s">
        <v>19</v>
      </c>
      <c r="D370" s="167">
        <v>0</v>
      </c>
      <c r="E370" s="167"/>
      <c r="F370" s="167"/>
      <c r="G370" s="167"/>
      <c r="H370" s="167"/>
      <c r="I370" s="167"/>
      <c r="J370" s="167"/>
      <c r="K370" s="167"/>
      <c r="L370" s="167"/>
      <c r="M370" s="167"/>
      <c r="N370" s="167"/>
      <c r="O370" s="167"/>
    </row>
    <row r="371" spans="1:15" ht="14.4" hidden="1" x14ac:dyDescent="0.3">
      <c r="A371" s="172" t="s">
        <v>39</v>
      </c>
      <c r="B371" s="55"/>
      <c r="C371" s="56" t="s">
        <v>19</v>
      </c>
      <c r="D371" s="167">
        <v>0</v>
      </c>
      <c r="E371" s="167"/>
      <c r="F371" s="167"/>
      <c r="G371" s="167"/>
      <c r="H371" s="167"/>
      <c r="I371" s="167"/>
      <c r="J371" s="167"/>
      <c r="K371" s="167"/>
      <c r="L371" s="167"/>
      <c r="M371" s="167"/>
      <c r="N371" s="167"/>
      <c r="O371" s="167"/>
    </row>
    <row r="372" spans="1:15" ht="14.4" hidden="1" x14ac:dyDescent="0.3">
      <c r="A372" s="172" t="s">
        <v>180</v>
      </c>
      <c r="B372" s="55"/>
      <c r="C372" s="56" t="s">
        <v>19</v>
      </c>
      <c r="D372" s="167">
        <v>0</v>
      </c>
      <c r="E372" s="167"/>
      <c r="F372" s="167"/>
      <c r="G372" s="167"/>
      <c r="H372" s="167"/>
      <c r="I372" s="167"/>
      <c r="J372" s="167"/>
      <c r="K372" s="167"/>
      <c r="L372" s="167"/>
      <c r="M372" s="167"/>
      <c r="N372" s="167"/>
      <c r="O372" s="167"/>
    </row>
    <row r="373" spans="1:15" ht="14.4" hidden="1" x14ac:dyDescent="0.3">
      <c r="A373" s="173" t="s">
        <v>40</v>
      </c>
      <c r="B373" s="55"/>
      <c r="C373" s="56" t="s">
        <v>19</v>
      </c>
      <c r="D373" s="167">
        <v>0</v>
      </c>
      <c r="E373" s="167"/>
      <c r="F373" s="167"/>
      <c r="G373" s="167"/>
      <c r="H373" s="167"/>
      <c r="I373" s="167"/>
      <c r="J373" s="167"/>
      <c r="K373" s="167"/>
      <c r="L373" s="167"/>
      <c r="M373" s="167"/>
      <c r="N373" s="167"/>
      <c r="O373" s="167"/>
    </row>
    <row r="374" spans="1:15" ht="14.4" hidden="1" x14ac:dyDescent="0.3">
      <c r="A374" s="173" t="s">
        <v>41</v>
      </c>
      <c r="B374" s="55"/>
      <c r="C374" s="56" t="s">
        <v>19</v>
      </c>
      <c r="D374" s="167">
        <v>0</v>
      </c>
      <c r="E374" s="167"/>
      <c r="F374" s="167"/>
      <c r="G374" s="167"/>
      <c r="H374" s="167"/>
      <c r="I374" s="167"/>
      <c r="J374" s="167"/>
      <c r="K374" s="167"/>
      <c r="L374" s="167"/>
      <c r="M374" s="167"/>
      <c r="N374" s="167"/>
      <c r="O374" s="167"/>
    </row>
    <row r="375" spans="1:15" ht="16.2" hidden="1" x14ac:dyDescent="0.3">
      <c r="A375" s="174" t="s">
        <v>182</v>
      </c>
      <c r="B375" s="175"/>
      <c r="C375" s="56" t="s">
        <v>19</v>
      </c>
      <c r="D375" s="167">
        <v>0</v>
      </c>
      <c r="E375" s="167"/>
      <c r="F375" s="167"/>
      <c r="G375" s="167"/>
      <c r="H375" s="167"/>
      <c r="I375" s="167"/>
      <c r="J375" s="167"/>
      <c r="K375" s="167"/>
      <c r="L375" s="167"/>
      <c r="M375" s="167"/>
      <c r="N375" s="167"/>
      <c r="O375" s="167"/>
    </row>
    <row r="376" spans="1:15" ht="16.2" hidden="1" x14ac:dyDescent="0.3">
      <c r="A376" s="174" t="s">
        <v>182</v>
      </c>
      <c r="B376" s="175"/>
      <c r="C376" s="56" t="s">
        <v>19</v>
      </c>
      <c r="D376" s="167">
        <v>0</v>
      </c>
      <c r="E376" s="167"/>
      <c r="F376" s="167"/>
      <c r="G376" s="167"/>
      <c r="H376" s="167"/>
      <c r="I376" s="167"/>
      <c r="J376" s="167"/>
      <c r="K376" s="167"/>
      <c r="L376" s="167"/>
      <c r="M376" s="167"/>
      <c r="N376" s="167"/>
      <c r="O376" s="167"/>
    </row>
    <row r="377" spans="1:15" ht="16.2" hidden="1" x14ac:dyDescent="0.3">
      <c r="A377" s="174" t="s">
        <v>182</v>
      </c>
      <c r="B377" s="176"/>
      <c r="C377" s="56" t="s">
        <v>19</v>
      </c>
      <c r="D377" s="167">
        <v>0</v>
      </c>
      <c r="E377" s="167"/>
      <c r="F377" s="167"/>
      <c r="G377" s="167"/>
      <c r="H377" s="167"/>
      <c r="I377" s="167"/>
      <c r="J377" s="167"/>
      <c r="K377" s="167"/>
      <c r="L377" s="167"/>
      <c r="M377" s="167"/>
      <c r="N377" s="167"/>
      <c r="O377" s="167"/>
    </row>
    <row r="378" spans="1:15" ht="14.4" hidden="1" x14ac:dyDescent="0.3">
      <c r="A378" s="162" t="s">
        <v>42</v>
      </c>
      <c r="B378" s="162"/>
      <c r="C378" s="56"/>
      <c r="D378" s="171"/>
      <c r="E378" s="171"/>
      <c r="F378" s="171"/>
      <c r="G378" s="171"/>
      <c r="H378" s="171"/>
      <c r="I378" s="171"/>
      <c r="J378" s="171"/>
      <c r="K378" s="171"/>
      <c r="L378" s="171"/>
      <c r="M378" s="171"/>
      <c r="N378" s="171"/>
      <c r="O378" s="171"/>
    </row>
    <row r="379" spans="1:15" ht="14.4" hidden="1" x14ac:dyDescent="0.3">
      <c r="A379" s="162" t="s">
        <v>191</v>
      </c>
      <c r="B379" s="162"/>
      <c r="C379" s="56" t="s">
        <v>44</v>
      </c>
      <c r="D379" s="177">
        <v>0</v>
      </c>
      <c r="E379" s="177"/>
      <c r="F379" s="177"/>
      <c r="G379" s="177"/>
      <c r="H379" s="177"/>
      <c r="I379" s="177"/>
      <c r="J379" s="177"/>
      <c r="K379" s="177"/>
      <c r="L379" s="177"/>
      <c r="M379" s="177"/>
      <c r="N379" s="177"/>
      <c r="O379" s="177"/>
    </row>
    <row r="380" spans="1:15" ht="14.4" hidden="1" x14ac:dyDescent="0.3">
      <c r="A380" s="162" t="s">
        <v>183</v>
      </c>
      <c r="B380" s="162"/>
      <c r="C380" s="56"/>
      <c r="D380" s="178"/>
      <c r="E380" s="178"/>
      <c r="F380" s="178"/>
      <c r="G380" s="178"/>
      <c r="H380" s="178"/>
      <c r="I380" s="178"/>
      <c r="J380" s="178"/>
      <c r="K380" s="178"/>
      <c r="L380" s="178"/>
      <c r="M380" s="178"/>
      <c r="N380" s="178"/>
      <c r="O380" s="178"/>
    </row>
    <row r="381" spans="1:15" ht="14.4" hidden="1" x14ac:dyDescent="0.3">
      <c r="A381" s="162" t="s">
        <v>184</v>
      </c>
      <c r="B381" s="162"/>
      <c r="C381" s="56" t="s">
        <v>19</v>
      </c>
      <c r="D381" s="167">
        <v>0</v>
      </c>
      <c r="E381" s="167"/>
      <c r="F381" s="167"/>
      <c r="G381" s="167"/>
      <c r="H381" s="167"/>
      <c r="I381" s="167"/>
      <c r="J381" s="167"/>
      <c r="K381" s="167"/>
      <c r="L381" s="167"/>
      <c r="M381" s="167"/>
      <c r="N381" s="167"/>
      <c r="O381" s="167"/>
    </row>
    <row r="382" spans="1:15" ht="14.4" hidden="1" x14ac:dyDescent="0.3">
      <c r="A382" s="162" t="s">
        <v>45</v>
      </c>
      <c r="B382" s="162"/>
      <c r="C382" s="56"/>
      <c r="D382" s="178"/>
      <c r="E382" s="178"/>
      <c r="F382" s="178"/>
      <c r="G382" s="178"/>
      <c r="H382" s="178"/>
      <c r="I382" s="178"/>
      <c r="J382" s="178"/>
      <c r="K382" s="178"/>
      <c r="L382" s="178"/>
      <c r="M382" s="178"/>
      <c r="N382" s="178"/>
      <c r="O382" s="178"/>
    </row>
    <row r="383" spans="1:15" ht="14.4" hidden="1" x14ac:dyDescent="0.3">
      <c r="A383" s="162" t="s">
        <v>46</v>
      </c>
      <c r="B383" s="162"/>
      <c r="C383" s="56" t="s">
        <v>19</v>
      </c>
      <c r="D383" s="167">
        <v>0</v>
      </c>
      <c r="E383" s="167"/>
      <c r="F383" s="167"/>
      <c r="G383" s="167"/>
      <c r="H383" s="167"/>
      <c r="I383" s="167"/>
      <c r="J383" s="167"/>
      <c r="K383" s="167"/>
      <c r="L383" s="167"/>
      <c r="M383" s="167"/>
      <c r="N383" s="167"/>
      <c r="O383" s="167"/>
    </row>
    <row r="384" spans="1:15" ht="14.4" hidden="1" x14ac:dyDescent="0.3">
      <c r="A384" s="162" t="s">
        <v>185</v>
      </c>
      <c r="B384" s="162"/>
      <c r="C384" s="56"/>
      <c r="D384" s="178"/>
      <c r="E384" s="178"/>
      <c r="F384" s="178"/>
      <c r="G384" s="178"/>
      <c r="H384" s="178"/>
      <c r="I384" s="178"/>
      <c r="J384" s="178"/>
      <c r="K384" s="178"/>
      <c r="L384" s="178"/>
      <c r="M384" s="178"/>
      <c r="N384" s="178"/>
      <c r="O384" s="178"/>
    </row>
    <row r="385" spans="1:15" ht="14.4" hidden="1" x14ac:dyDescent="0.3">
      <c r="A385" s="162" t="s">
        <v>186</v>
      </c>
      <c r="B385" s="162"/>
      <c r="C385" s="56" t="s">
        <v>19</v>
      </c>
      <c r="D385" s="167">
        <v>0</v>
      </c>
      <c r="E385" s="167"/>
      <c r="F385" s="167"/>
      <c r="G385" s="167"/>
      <c r="H385" s="167"/>
      <c r="I385" s="167"/>
      <c r="J385" s="167"/>
      <c r="K385" s="167"/>
      <c r="L385" s="167"/>
      <c r="M385" s="167"/>
      <c r="N385" s="167"/>
      <c r="O385" s="167"/>
    </row>
    <row r="386" spans="1:15" ht="14.4" hidden="1" x14ac:dyDescent="0.3">
      <c r="A386" s="162" t="s">
        <v>47</v>
      </c>
      <c r="B386" s="162"/>
      <c r="C386" s="56"/>
      <c r="D386" s="171"/>
      <c r="E386" s="171"/>
      <c r="F386" s="171"/>
      <c r="G386" s="171"/>
      <c r="H386" s="171"/>
      <c r="I386" s="171"/>
      <c r="J386" s="171"/>
      <c r="K386" s="171"/>
      <c r="L386" s="171"/>
      <c r="M386" s="171"/>
      <c r="N386" s="171"/>
      <c r="O386" s="171"/>
    </row>
    <row r="387" spans="1:15" ht="14.4" hidden="1" x14ac:dyDescent="0.3">
      <c r="A387" s="55" t="s">
        <v>48</v>
      </c>
      <c r="B387" s="55"/>
      <c r="C387" s="56" t="s">
        <v>19</v>
      </c>
      <c r="D387" s="167">
        <v>0</v>
      </c>
      <c r="E387" s="167"/>
      <c r="F387" s="167"/>
      <c r="G387" s="167"/>
      <c r="H387" s="167"/>
      <c r="I387" s="167"/>
      <c r="J387" s="167"/>
      <c r="K387" s="167"/>
      <c r="L387" s="167"/>
      <c r="M387" s="167"/>
      <c r="N387" s="167"/>
      <c r="O387" s="167"/>
    </row>
    <row r="388" spans="1:15" ht="14.4" hidden="1" x14ac:dyDescent="0.3">
      <c r="A388" s="55" t="s">
        <v>49</v>
      </c>
      <c r="B388" s="55"/>
      <c r="C388" s="56" t="s">
        <v>19</v>
      </c>
      <c r="D388" s="167">
        <v>0</v>
      </c>
      <c r="E388" s="167"/>
      <c r="F388" s="167"/>
      <c r="G388" s="167"/>
      <c r="H388" s="167"/>
      <c r="I388" s="167"/>
      <c r="J388" s="167"/>
      <c r="K388" s="167"/>
      <c r="L388" s="167"/>
      <c r="M388" s="167"/>
      <c r="N388" s="167"/>
      <c r="O388" s="167"/>
    </row>
    <row r="389" spans="1:15" ht="14.4" hidden="1" x14ac:dyDescent="0.3">
      <c r="A389" s="162" t="s">
        <v>52</v>
      </c>
      <c r="B389" s="162"/>
      <c r="C389" s="179"/>
      <c r="D389" s="170"/>
      <c r="E389" s="170"/>
      <c r="F389" s="170"/>
      <c r="G389" s="170"/>
      <c r="H389" s="170"/>
      <c r="I389" s="170"/>
      <c r="J389" s="170"/>
      <c r="K389" s="170"/>
      <c r="L389" s="170"/>
      <c r="M389" s="170"/>
      <c r="N389" s="170"/>
      <c r="O389" s="170"/>
    </row>
    <row r="390" spans="1:15" ht="14.4" hidden="1" x14ac:dyDescent="0.3">
      <c r="A390" s="55" t="s">
        <v>53</v>
      </c>
      <c r="B390" s="55"/>
      <c r="C390" s="56" t="s">
        <v>44</v>
      </c>
      <c r="D390" s="180">
        <v>0</v>
      </c>
      <c r="E390" s="180"/>
      <c r="F390" s="167"/>
      <c r="G390" s="167"/>
      <c r="H390" s="167"/>
      <c r="I390" s="167"/>
      <c r="J390" s="167"/>
      <c r="K390" s="167"/>
      <c r="L390" s="167"/>
      <c r="M390" s="167"/>
      <c r="N390" s="167"/>
      <c r="O390" s="167"/>
    </row>
    <row r="391" spans="1:15" ht="14.4" hidden="1" x14ac:dyDescent="0.3">
      <c r="A391" s="55" t="s">
        <v>54</v>
      </c>
      <c r="B391" s="55"/>
      <c r="C391" s="56" t="s">
        <v>44</v>
      </c>
      <c r="D391" s="180">
        <v>0</v>
      </c>
      <c r="E391" s="180"/>
      <c r="F391" s="167"/>
      <c r="G391" s="167"/>
      <c r="H391" s="167"/>
      <c r="I391" s="167"/>
      <c r="J391" s="167"/>
      <c r="K391" s="167"/>
      <c r="L391" s="167"/>
      <c r="M391" s="167"/>
      <c r="N391" s="167"/>
      <c r="O391" s="167"/>
    </row>
    <row r="392" spans="1:15" ht="14.4" hidden="1" x14ac:dyDescent="0.3">
      <c r="A392" s="55" t="s">
        <v>55</v>
      </c>
      <c r="B392" s="55"/>
      <c r="C392" s="56" t="s">
        <v>44</v>
      </c>
      <c r="D392" s="180">
        <v>0</v>
      </c>
      <c r="E392" s="180"/>
      <c r="F392" s="167"/>
      <c r="G392" s="167"/>
      <c r="H392" s="167"/>
      <c r="I392" s="167"/>
      <c r="J392" s="167"/>
      <c r="K392" s="167"/>
      <c r="L392" s="167"/>
      <c r="M392" s="167"/>
      <c r="N392" s="167"/>
      <c r="O392" s="167"/>
    </row>
    <row r="393" spans="1:15" ht="14.4" hidden="1" x14ac:dyDescent="0.3">
      <c r="A393" s="55" t="s">
        <v>187</v>
      </c>
      <c r="B393" s="55"/>
      <c r="C393" s="56" t="s">
        <v>44</v>
      </c>
      <c r="D393" s="180">
        <v>0</v>
      </c>
      <c r="E393" s="180"/>
      <c r="F393" s="167"/>
      <c r="G393" s="167"/>
      <c r="H393" s="167"/>
      <c r="I393" s="167"/>
      <c r="J393" s="167"/>
      <c r="K393" s="167"/>
      <c r="L393" s="167"/>
      <c r="M393" s="167"/>
      <c r="N393" s="167"/>
      <c r="O393" s="167"/>
    </row>
    <row r="394" spans="1:15" ht="14.4" hidden="1" x14ac:dyDescent="0.3">
      <c r="A394" s="55" t="s">
        <v>188</v>
      </c>
      <c r="B394" s="55"/>
      <c r="C394" s="56" t="s">
        <v>44</v>
      </c>
      <c r="D394" s="180">
        <v>0</v>
      </c>
      <c r="E394" s="180"/>
      <c r="F394" s="167"/>
      <c r="G394" s="167"/>
      <c r="H394" s="167"/>
      <c r="I394" s="167"/>
      <c r="J394" s="167"/>
      <c r="K394" s="167"/>
      <c r="L394" s="167"/>
      <c r="M394" s="167"/>
      <c r="N394" s="167"/>
      <c r="O394" s="167"/>
    </row>
    <row r="395" spans="1:15" ht="14.4" hidden="1" x14ac:dyDescent="0.3">
      <c r="A395" s="55" t="s">
        <v>56</v>
      </c>
      <c r="B395" s="55"/>
      <c r="C395" s="56" t="s">
        <v>44</v>
      </c>
      <c r="D395" s="180">
        <v>0</v>
      </c>
      <c r="E395" s="180"/>
      <c r="F395" s="177"/>
      <c r="G395" s="177"/>
      <c r="H395" s="177"/>
      <c r="I395" s="177"/>
      <c r="J395" s="177"/>
      <c r="K395" s="177"/>
      <c r="L395" s="177"/>
      <c r="M395" s="177"/>
      <c r="N395" s="177"/>
      <c r="O395" s="177"/>
    </row>
    <row r="396" spans="1:15" ht="14.4" hidden="1" x14ac:dyDescent="0.3">
      <c r="A396" s="55" t="s">
        <v>57</v>
      </c>
      <c r="B396" s="55"/>
      <c r="C396" s="56" t="s">
        <v>44</v>
      </c>
      <c r="D396" s="180">
        <v>0</v>
      </c>
      <c r="E396" s="180"/>
      <c r="F396" s="177"/>
      <c r="G396" s="177"/>
      <c r="H396" s="177"/>
      <c r="I396" s="177"/>
      <c r="J396" s="177"/>
      <c r="K396" s="177"/>
      <c r="L396" s="177"/>
      <c r="M396" s="177"/>
      <c r="N396" s="177"/>
      <c r="O396" s="177"/>
    </row>
    <row r="397" spans="1:15" hidden="1" x14ac:dyDescent="0.3"/>
    <row r="398" spans="1:15" ht="18" hidden="1" x14ac:dyDescent="0.35">
      <c r="A398" s="59" t="str">
        <f>'[40]Statistical data'!A192</f>
        <v>Customer Class with mix rate2</v>
      </c>
      <c r="B398" s="59"/>
      <c r="C398" s="5" t="s">
        <v>190</v>
      </c>
      <c r="D398" s="160"/>
      <c r="E398" s="160"/>
      <c r="F398" s="160"/>
      <c r="G398" s="160"/>
      <c r="H398" s="160"/>
      <c r="I398" s="160"/>
      <c r="J398" s="160"/>
      <c r="K398" s="160"/>
      <c r="L398" s="160"/>
      <c r="M398" s="160"/>
      <c r="N398" s="160"/>
      <c r="O398" s="160"/>
    </row>
    <row r="399" spans="1:15" ht="22.5" hidden="1" customHeight="1" x14ac:dyDescent="0.3">
      <c r="A399" s="161" t="s">
        <v>3</v>
      </c>
      <c r="B399" s="161"/>
      <c r="C399" s="161" t="s">
        <v>4</v>
      </c>
      <c r="D399" s="161" t="s">
        <v>5</v>
      </c>
      <c r="E399" s="161" t="s">
        <v>6</v>
      </c>
      <c r="F399" s="161" t="s">
        <v>7</v>
      </c>
      <c r="G399" s="161" t="s">
        <v>8</v>
      </c>
      <c r="H399" s="161" t="s">
        <v>9</v>
      </c>
      <c r="I399" s="161" t="s">
        <v>9</v>
      </c>
      <c r="J399" s="161" t="s">
        <v>10</v>
      </c>
      <c r="K399" s="161" t="s">
        <v>11</v>
      </c>
      <c r="L399" s="161" t="s">
        <v>12</v>
      </c>
      <c r="M399" s="161" t="s">
        <v>13</v>
      </c>
      <c r="N399" s="161" t="s">
        <v>14</v>
      </c>
      <c r="O399" s="161" t="s">
        <v>15</v>
      </c>
    </row>
    <row r="400" spans="1:15" ht="14.4" hidden="1" x14ac:dyDescent="0.3">
      <c r="A400" s="162" t="s">
        <v>17</v>
      </c>
      <c r="B400" s="163"/>
      <c r="C400" s="56"/>
      <c r="D400" s="164"/>
      <c r="E400" s="164"/>
      <c r="F400" s="164"/>
      <c r="G400" s="164"/>
      <c r="H400" s="164"/>
      <c r="I400" s="164"/>
      <c r="J400" s="164"/>
      <c r="K400" s="164"/>
      <c r="L400" s="164"/>
      <c r="M400" s="164"/>
      <c r="N400" s="164"/>
      <c r="O400" s="164"/>
    </row>
    <row r="401" spans="1:15" ht="14.4" hidden="1" x14ac:dyDescent="0.3">
      <c r="A401" s="55" t="s">
        <v>18</v>
      </c>
      <c r="B401" s="165"/>
      <c r="C401" s="56" t="s">
        <v>19</v>
      </c>
      <c r="D401" s="166"/>
      <c r="E401" s="166"/>
      <c r="F401" s="166"/>
      <c r="G401" s="166"/>
      <c r="H401" s="166"/>
      <c r="I401" s="166"/>
      <c r="J401" s="166"/>
      <c r="K401" s="166"/>
      <c r="L401" s="166"/>
      <c r="M401" s="166"/>
      <c r="N401" s="166"/>
      <c r="O401" s="166"/>
    </row>
    <row r="402" spans="1:15" ht="14.4" hidden="1" x14ac:dyDescent="0.3">
      <c r="A402" s="55" t="s">
        <v>66</v>
      </c>
      <c r="B402" s="165"/>
      <c r="C402" s="56" t="s">
        <v>19</v>
      </c>
      <c r="D402" s="167">
        <v>0</v>
      </c>
      <c r="E402" s="167"/>
      <c r="F402" s="166"/>
      <c r="G402" s="166"/>
      <c r="H402" s="166"/>
      <c r="I402" s="166"/>
      <c r="J402" s="166"/>
      <c r="K402" s="166"/>
      <c r="L402" s="166"/>
      <c r="M402" s="166"/>
      <c r="N402" s="166"/>
      <c r="O402" s="166"/>
    </row>
    <row r="403" spans="1:15" ht="14.4" hidden="1" x14ac:dyDescent="0.3">
      <c r="A403" s="162" t="s">
        <v>20</v>
      </c>
      <c r="B403" s="163"/>
      <c r="C403" s="56"/>
      <c r="D403" s="168"/>
      <c r="E403" s="168"/>
      <c r="F403" s="168"/>
      <c r="G403" s="168"/>
      <c r="H403" s="168"/>
      <c r="I403" s="168"/>
      <c r="J403" s="168"/>
      <c r="K403" s="168"/>
      <c r="L403" s="168"/>
      <c r="M403" s="168"/>
      <c r="N403" s="168"/>
      <c r="O403" s="168"/>
    </row>
    <row r="404" spans="1:15" ht="14.4" hidden="1" x14ac:dyDescent="0.3">
      <c r="A404" s="55" t="s">
        <v>21</v>
      </c>
      <c r="B404" s="165"/>
      <c r="C404" s="56" t="s">
        <v>19</v>
      </c>
      <c r="D404" s="167">
        <v>0</v>
      </c>
      <c r="E404" s="167"/>
      <c r="F404" s="166"/>
      <c r="G404" s="166"/>
      <c r="H404" s="166"/>
      <c r="I404" s="166"/>
      <c r="J404" s="166"/>
      <c r="K404" s="166"/>
      <c r="L404" s="166"/>
      <c r="M404" s="166"/>
      <c r="N404" s="166"/>
      <c r="O404" s="166"/>
    </row>
    <row r="405" spans="1:15" ht="14.4" hidden="1" x14ac:dyDescent="0.3">
      <c r="A405" s="55" t="s">
        <v>22</v>
      </c>
      <c r="B405" s="165"/>
      <c r="C405" s="56" t="s">
        <v>23</v>
      </c>
      <c r="D405" s="169">
        <v>0</v>
      </c>
      <c r="E405" s="169"/>
      <c r="F405" s="166"/>
      <c r="G405" s="166"/>
      <c r="H405" s="166"/>
      <c r="I405" s="166"/>
      <c r="J405" s="166"/>
      <c r="K405" s="166"/>
      <c r="L405" s="166"/>
      <c r="M405" s="166"/>
      <c r="N405" s="166"/>
      <c r="O405" s="166"/>
    </row>
    <row r="406" spans="1:15" ht="14.4" hidden="1" x14ac:dyDescent="0.3">
      <c r="A406" s="162" t="s">
        <v>24</v>
      </c>
      <c r="B406" s="163"/>
      <c r="C406" s="56"/>
      <c r="D406" s="168"/>
      <c r="E406" s="168"/>
      <c r="F406" s="168"/>
      <c r="G406" s="168"/>
      <c r="H406" s="168"/>
      <c r="I406" s="168"/>
      <c r="J406" s="168"/>
      <c r="K406" s="168"/>
      <c r="L406" s="168"/>
      <c r="M406" s="168"/>
      <c r="N406" s="168"/>
      <c r="O406" s="168"/>
    </row>
    <row r="407" spans="1:15" ht="14.4" hidden="1" x14ac:dyDescent="0.3">
      <c r="A407" s="55" t="s">
        <v>25</v>
      </c>
      <c r="B407" s="165"/>
      <c r="C407" s="56" t="s">
        <v>19</v>
      </c>
      <c r="D407" s="167">
        <v>0</v>
      </c>
      <c r="E407" s="167"/>
      <c r="F407" s="166"/>
      <c r="G407" s="166"/>
      <c r="H407" s="166"/>
      <c r="I407" s="166"/>
      <c r="J407" s="166"/>
      <c r="K407" s="166"/>
      <c r="L407" s="166"/>
      <c r="M407" s="166"/>
      <c r="N407" s="166"/>
      <c r="O407" s="166"/>
    </row>
    <row r="408" spans="1:15" ht="14.4" hidden="1" x14ac:dyDescent="0.3">
      <c r="A408" s="162" t="s">
        <v>26</v>
      </c>
      <c r="B408" s="162"/>
      <c r="C408" s="56"/>
      <c r="D408" s="170"/>
      <c r="E408" s="170"/>
      <c r="F408" s="170"/>
      <c r="G408" s="170"/>
      <c r="H408" s="170"/>
      <c r="I408" s="170"/>
      <c r="J408" s="170"/>
      <c r="K408" s="170"/>
      <c r="L408" s="170"/>
      <c r="M408" s="170"/>
      <c r="N408" s="170"/>
      <c r="O408" s="170"/>
    </row>
    <row r="409" spans="1:15" ht="14.4" hidden="1" x14ac:dyDescent="0.3">
      <c r="A409" s="55" t="s">
        <v>27</v>
      </c>
      <c r="B409" s="55"/>
      <c r="C409" s="56" t="s">
        <v>19</v>
      </c>
      <c r="D409" s="167">
        <v>0</v>
      </c>
      <c r="E409" s="167"/>
      <c r="F409" s="167"/>
      <c r="G409" s="167"/>
      <c r="H409" s="167"/>
      <c r="I409" s="167"/>
      <c r="J409" s="167"/>
      <c r="K409" s="167"/>
      <c r="L409" s="167"/>
      <c r="M409" s="167"/>
      <c r="N409" s="167"/>
      <c r="O409" s="167"/>
    </row>
    <row r="410" spans="1:15" ht="14.4" hidden="1" x14ac:dyDescent="0.3">
      <c r="A410" s="55" t="s">
        <v>28</v>
      </c>
      <c r="B410" s="55"/>
      <c r="C410" s="56" t="s">
        <v>23</v>
      </c>
      <c r="D410" s="169">
        <v>0</v>
      </c>
      <c r="E410" s="169"/>
      <c r="F410" s="167"/>
      <c r="G410" s="167"/>
      <c r="H410" s="167"/>
      <c r="I410" s="167"/>
      <c r="J410" s="167"/>
      <c r="K410" s="167"/>
      <c r="L410" s="167"/>
      <c r="M410" s="167"/>
      <c r="N410" s="167"/>
      <c r="O410" s="167"/>
    </row>
    <row r="411" spans="1:15" ht="14.4" hidden="1" x14ac:dyDescent="0.3">
      <c r="A411" s="162" t="s">
        <v>29</v>
      </c>
      <c r="B411" s="162"/>
      <c r="C411" s="56"/>
      <c r="D411" s="171"/>
      <c r="E411" s="171"/>
      <c r="F411" s="171"/>
      <c r="G411" s="171"/>
      <c r="H411" s="171"/>
      <c r="I411" s="171"/>
      <c r="J411" s="171"/>
      <c r="K411" s="171"/>
      <c r="L411" s="171"/>
      <c r="M411" s="171"/>
      <c r="N411" s="171"/>
      <c r="O411" s="171"/>
    </row>
    <row r="412" spans="1:15" ht="14.4" hidden="1" x14ac:dyDescent="0.3">
      <c r="A412" s="55" t="s">
        <v>30</v>
      </c>
      <c r="B412" s="55"/>
      <c r="C412" s="56" t="s">
        <v>19</v>
      </c>
      <c r="D412" s="167">
        <v>0</v>
      </c>
      <c r="E412" s="167"/>
      <c r="F412" s="167"/>
      <c r="G412" s="167"/>
      <c r="H412" s="167"/>
      <c r="I412" s="167"/>
      <c r="J412" s="167"/>
      <c r="K412" s="167"/>
      <c r="L412" s="167"/>
      <c r="M412" s="167"/>
      <c r="N412" s="167"/>
      <c r="O412" s="167"/>
    </row>
    <row r="413" spans="1:15" ht="14.4" hidden="1" x14ac:dyDescent="0.3">
      <c r="A413" s="55" t="s">
        <v>31</v>
      </c>
      <c r="B413" s="55"/>
      <c r="C413" s="56" t="s">
        <v>32</v>
      </c>
      <c r="D413" s="169">
        <v>0</v>
      </c>
      <c r="E413" s="169"/>
      <c r="F413" s="167"/>
      <c r="G413" s="167"/>
      <c r="H413" s="167"/>
      <c r="I413" s="167"/>
      <c r="J413" s="167"/>
      <c r="K413" s="167"/>
      <c r="L413" s="167"/>
      <c r="M413" s="167"/>
      <c r="N413" s="167"/>
      <c r="O413" s="167"/>
    </row>
    <row r="414" spans="1:15" ht="14.4" hidden="1" x14ac:dyDescent="0.3">
      <c r="A414" s="162" t="s">
        <v>33</v>
      </c>
      <c r="B414" s="162"/>
      <c r="C414" s="56"/>
      <c r="D414" s="171"/>
      <c r="E414" s="171"/>
      <c r="F414" s="171"/>
      <c r="G414" s="171"/>
      <c r="H414" s="171"/>
      <c r="I414" s="171"/>
      <c r="J414" s="171"/>
      <c r="K414" s="171"/>
      <c r="L414" s="171"/>
      <c r="M414" s="171"/>
      <c r="N414" s="171"/>
      <c r="O414" s="171"/>
    </row>
    <row r="415" spans="1:15" ht="14.4" hidden="1" x14ac:dyDescent="0.3">
      <c r="A415" s="55" t="s">
        <v>34</v>
      </c>
      <c r="B415" s="55"/>
      <c r="C415" s="56" t="s">
        <v>19</v>
      </c>
      <c r="D415" s="167">
        <v>0</v>
      </c>
      <c r="E415" s="167"/>
      <c r="F415" s="167"/>
      <c r="G415" s="167"/>
      <c r="H415" s="167"/>
      <c r="I415" s="167"/>
      <c r="J415" s="167"/>
      <c r="K415" s="167"/>
      <c r="L415" s="167"/>
      <c r="M415" s="167"/>
      <c r="N415" s="167"/>
      <c r="O415" s="167"/>
    </row>
    <row r="416" spans="1:15" ht="14.4" hidden="1" x14ac:dyDescent="0.3">
      <c r="A416" s="55" t="s">
        <v>35</v>
      </c>
      <c r="B416" s="55"/>
      <c r="C416" s="56" t="s">
        <v>36</v>
      </c>
      <c r="D416" s="169">
        <v>0</v>
      </c>
      <c r="E416" s="169"/>
      <c r="F416" s="167"/>
      <c r="G416" s="167"/>
      <c r="H416" s="167"/>
      <c r="I416" s="167"/>
      <c r="J416" s="167"/>
      <c r="K416" s="167"/>
      <c r="L416" s="167"/>
      <c r="M416" s="167"/>
      <c r="N416" s="167"/>
      <c r="O416" s="167"/>
    </row>
    <row r="417" spans="1:15" ht="14.4" hidden="1" x14ac:dyDescent="0.3">
      <c r="A417" s="162" t="s">
        <v>37</v>
      </c>
      <c r="B417" s="162"/>
      <c r="C417" s="56"/>
      <c r="D417" s="171"/>
      <c r="E417" s="171"/>
      <c r="F417" s="171"/>
      <c r="G417" s="171"/>
      <c r="H417" s="171"/>
      <c r="I417" s="171"/>
      <c r="J417" s="171"/>
      <c r="K417" s="171"/>
      <c r="L417" s="171"/>
      <c r="M417" s="171"/>
      <c r="N417" s="171"/>
      <c r="O417" s="171"/>
    </row>
    <row r="418" spans="1:15" ht="14.4" hidden="1" x14ac:dyDescent="0.3">
      <c r="A418" s="172" t="s">
        <v>38</v>
      </c>
      <c r="B418" s="55"/>
      <c r="C418" s="56" t="s">
        <v>19</v>
      </c>
      <c r="D418" s="167">
        <v>0</v>
      </c>
      <c r="E418" s="167"/>
      <c r="F418" s="167"/>
      <c r="G418" s="167"/>
      <c r="H418" s="167"/>
      <c r="I418" s="167"/>
      <c r="J418" s="167"/>
      <c r="K418" s="167"/>
      <c r="L418" s="167"/>
      <c r="M418" s="167"/>
      <c r="N418" s="167"/>
      <c r="O418" s="167"/>
    </row>
    <row r="419" spans="1:15" ht="14.4" hidden="1" x14ac:dyDescent="0.3">
      <c r="A419" s="172" t="s">
        <v>39</v>
      </c>
      <c r="B419" s="55"/>
      <c r="C419" s="56" t="s">
        <v>19</v>
      </c>
      <c r="D419" s="167">
        <v>0</v>
      </c>
      <c r="E419" s="167"/>
      <c r="F419" s="167"/>
      <c r="G419" s="167"/>
      <c r="H419" s="167"/>
      <c r="I419" s="167"/>
      <c r="J419" s="167"/>
      <c r="K419" s="167"/>
      <c r="L419" s="167"/>
      <c r="M419" s="167"/>
      <c r="N419" s="167"/>
      <c r="O419" s="167"/>
    </row>
    <row r="420" spans="1:15" ht="14.4" hidden="1" x14ac:dyDescent="0.3">
      <c r="A420" s="172" t="s">
        <v>180</v>
      </c>
      <c r="B420" s="55"/>
      <c r="C420" s="56" t="s">
        <v>19</v>
      </c>
      <c r="D420" s="167">
        <v>0</v>
      </c>
      <c r="E420" s="167"/>
      <c r="F420" s="167"/>
      <c r="G420" s="167"/>
      <c r="H420" s="167"/>
      <c r="I420" s="167"/>
      <c r="J420" s="167"/>
      <c r="K420" s="167"/>
      <c r="L420" s="167"/>
      <c r="M420" s="167"/>
      <c r="N420" s="167"/>
      <c r="O420" s="167"/>
    </row>
    <row r="421" spans="1:15" ht="14.4" hidden="1" x14ac:dyDescent="0.3">
      <c r="A421" s="173" t="s">
        <v>40</v>
      </c>
      <c r="B421" s="55"/>
      <c r="C421" s="56" t="s">
        <v>19</v>
      </c>
      <c r="D421" s="167">
        <v>0</v>
      </c>
      <c r="E421" s="167"/>
      <c r="F421" s="167"/>
      <c r="G421" s="167"/>
      <c r="H421" s="167"/>
      <c r="I421" s="167"/>
      <c r="J421" s="167"/>
      <c r="K421" s="167"/>
      <c r="L421" s="167"/>
      <c r="M421" s="167"/>
      <c r="N421" s="167"/>
      <c r="O421" s="167"/>
    </row>
    <row r="422" spans="1:15" ht="14.4" hidden="1" x14ac:dyDescent="0.3">
      <c r="A422" s="173" t="s">
        <v>41</v>
      </c>
      <c r="B422" s="55"/>
      <c r="C422" s="56" t="s">
        <v>19</v>
      </c>
      <c r="D422" s="167">
        <v>0</v>
      </c>
      <c r="E422" s="167"/>
      <c r="F422" s="167"/>
      <c r="G422" s="167"/>
      <c r="H422" s="167"/>
      <c r="I422" s="167"/>
      <c r="J422" s="167"/>
      <c r="K422" s="167"/>
      <c r="L422" s="167"/>
      <c r="M422" s="167"/>
      <c r="N422" s="167"/>
      <c r="O422" s="167"/>
    </row>
    <row r="423" spans="1:15" ht="16.2" hidden="1" x14ac:dyDescent="0.3">
      <c r="A423" s="174" t="s">
        <v>182</v>
      </c>
      <c r="B423" s="175"/>
      <c r="C423" s="56" t="s">
        <v>19</v>
      </c>
      <c r="D423" s="167">
        <v>0</v>
      </c>
      <c r="E423" s="167"/>
      <c r="F423" s="167"/>
      <c r="G423" s="167"/>
      <c r="H423" s="167"/>
      <c r="I423" s="167"/>
      <c r="J423" s="167"/>
      <c r="K423" s="167"/>
      <c r="L423" s="167"/>
      <c r="M423" s="167"/>
      <c r="N423" s="167"/>
      <c r="O423" s="167"/>
    </row>
    <row r="424" spans="1:15" ht="16.2" hidden="1" x14ac:dyDescent="0.3">
      <c r="A424" s="174" t="s">
        <v>182</v>
      </c>
      <c r="B424" s="175"/>
      <c r="C424" s="56" t="s">
        <v>19</v>
      </c>
      <c r="D424" s="167">
        <v>0</v>
      </c>
      <c r="E424" s="167"/>
      <c r="F424" s="167"/>
      <c r="G424" s="167"/>
      <c r="H424" s="167"/>
      <c r="I424" s="167"/>
      <c r="J424" s="167"/>
      <c r="K424" s="167"/>
      <c r="L424" s="167"/>
      <c r="M424" s="167"/>
      <c r="N424" s="167"/>
      <c r="O424" s="167"/>
    </row>
    <row r="425" spans="1:15" ht="16.2" hidden="1" x14ac:dyDescent="0.3">
      <c r="A425" s="174" t="s">
        <v>182</v>
      </c>
      <c r="B425" s="176"/>
      <c r="C425" s="56" t="s">
        <v>19</v>
      </c>
      <c r="D425" s="167">
        <v>0</v>
      </c>
      <c r="E425" s="167"/>
      <c r="F425" s="167"/>
      <c r="G425" s="167"/>
      <c r="H425" s="167"/>
      <c r="I425" s="167"/>
      <c r="J425" s="167"/>
      <c r="K425" s="167"/>
      <c r="L425" s="167"/>
      <c r="M425" s="167"/>
      <c r="N425" s="167"/>
      <c r="O425" s="167"/>
    </row>
    <row r="426" spans="1:15" ht="14.4" hidden="1" x14ac:dyDescent="0.3">
      <c r="A426" s="162" t="s">
        <v>42</v>
      </c>
      <c r="B426" s="162"/>
      <c r="C426" s="56"/>
      <c r="D426" s="171"/>
      <c r="E426" s="171"/>
      <c r="F426" s="171"/>
      <c r="G426" s="171"/>
      <c r="H426" s="171"/>
      <c r="I426" s="171"/>
      <c r="J426" s="171"/>
      <c r="K426" s="171"/>
      <c r="L426" s="171"/>
      <c r="M426" s="171"/>
      <c r="N426" s="171"/>
      <c r="O426" s="171"/>
    </row>
    <row r="427" spans="1:15" ht="14.4" hidden="1" x14ac:dyDescent="0.3">
      <c r="A427" s="162" t="s">
        <v>191</v>
      </c>
      <c r="B427" s="162"/>
      <c r="C427" s="56" t="s">
        <v>44</v>
      </c>
      <c r="D427" s="177">
        <v>0</v>
      </c>
      <c r="E427" s="177"/>
      <c r="F427" s="177"/>
      <c r="G427" s="177"/>
      <c r="H427" s="177"/>
      <c r="I427" s="177"/>
      <c r="J427" s="177"/>
      <c r="K427" s="177"/>
      <c r="L427" s="177"/>
      <c r="M427" s="177"/>
      <c r="N427" s="177"/>
      <c r="O427" s="177"/>
    </row>
    <row r="428" spans="1:15" ht="14.4" hidden="1" x14ac:dyDescent="0.3">
      <c r="A428" s="162" t="s">
        <v>183</v>
      </c>
      <c r="B428" s="162"/>
      <c r="C428" s="56"/>
      <c r="D428" s="178"/>
      <c r="E428" s="178"/>
      <c r="F428" s="178"/>
      <c r="G428" s="178"/>
      <c r="H428" s="178"/>
      <c r="I428" s="178"/>
      <c r="J428" s="178"/>
      <c r="K428" s="178"/>
      <c r="L428" s="178"/>
      <c r="M428" s="178"/>
      <c r="N428" s="178"/>
      <c r="O428" s="178"/>
    </row>
    <row r="429" spans="1:15" ht="14.4" hidden="1" x14ac:dyDescent="0.3">
      <c r="A429" s="162" t="s">
        <v>184</v>
      </c>
      <c r="B429" s="162"/>
      <c r="C429" s="56" t="s">
        <v>19</v>
      </c>
      <c r="D429" s="167">
        <v>0</v>
      </c>
      <c r="E429" s="167"/>
      <c r="F429" s="167"/>
      <c r="G429" s="167"/>
      <c r="H429" s="167"/>
      <c r="I429" s="167"/>
      <c r="J429" s="167"/>
      <c r="K429" s="167"/>
      <c r="L429" s="167"/>
      <c r="M429" s="167"/>
      <c r="N429" s="167"/>
      <c r="O429" s="167"/>
    </row>
    <row r="430" spans="1:15" ht="14.4" hidden="1" x14ac:dyDescent="0.3">
      <c r="A430" s="162" t="s">
        <v>45</v>
      </c>
      <c r="B430" s="162"/>
      <c r="C430" s="56"/>
      <c r="D430" s="178"/>
      <c r="E430" s="178"/>
      <c r="F430" s="178"/>
      <c r="G430" s="178"/>
      <c r="H430" s="178"/>
      <c r="I430" s="178"/>
      <c r="J430" s="178"/>
      <c r="K430" s="178"/>
      <c r="L430" s="178"/>
      <c r="M430" s="178"/>
      <c r="N430" s="178"/>
      <c r="O430" s="178"/>
    </row>
    <row r="431" spans="1:15" ht="14.4" hidden="1" x14ac:dyDescent="0.3">
      <c r="A431" s="162" t="s">
        <v>46</v>
      </c>
      <c r="B431" s="162"/>
      <c r="C431" s="56" t="s">
        <v>19</v>
      </c>
      <c r="D431" s="167">
        <v>0</v>
      </c>
      <c r="E431" s="167"/>
      <c r="F431" s="167"/>
      <c r="G431" s="167"/>
      <c r="H431" s="167"/>
      <c r="I431" s="167"/>
      <c r="J431" s="167"/>
      <c r="K431" s="167"/>
      <c r="L431" s="167"/>
      <c r="M431" s="167"/>
      <c r="N431" s="167"/>
      <c r="O431" s="167"/>
    </row>
    <row r="432" spans="1:15" ht="14.4" hidden="1" x14ac:dyDescent="0.3">
      <c r="A432" s="162" t="s">
        <v>185</v>
      </c>
      <c r="B432" s="162"/>
      <c r="C432" s="56"/>
      <c r="D432" s="178"/>
      <c r="E432" s="178"/>
      <c r="F432" s="178"/>
      <c r="G432" s="178"/>
      <c r="H432" s="178"/>
      <c r="I432" s="178"/>
      <c r="J432" s="178"/>
      <c r="K432" s="178"/>
      <c r="L432" s="178"/>
      <c r="M432" s="178"/>
      <c r="N432" s="178"/>
      <c r="O432" s="178"/>
    </row>
    <row r="433" spans="1:15" ht="14.4" hidden="1" x14ac:dyDescent="0.3">
      <c r="A433" s="162" t="s">
        <v>186</v>
      </c>
      <c r="B433" s="162"/>
      <c r="C433" s="56" t="s">
        <v>19</v>
      </c>
      <c r="D433" s="167">
        <v>0</v>
      </c>
      <c r="E433" s="167"/>
      <c r="F433" s="167"/>
      <c r="G433" s="167"/>
      <c r="H433" s="167"/>
      <c r="I433" s="167"/>
      <c r="J433" s="167"/>
      <c r="K433" s="167"/>
      <c r="L433" s="167"/>
      <c r="M433" s="167"/>
      <c r="N433" s="167"/>
      <c r="O433" s="167"/>
    </row>
    <row r="434" spans="1:15" ht="14.4" hidden="1" x14ac:dyDescent="0.3">
      <c r="A434" s="162" t="s">
        <v>47</v>
      </c>
      <c r="B434" s="162"/>
      <c r="C434" s="56"/>
      <c r="D434" s="171"/>
      <c r="E434" s="171"/>
      <c r="F434" s="171"/>
      <c r="G434" s="171"/>
      <c r="H434" s="171"/>
      <c r="I434" s="171"/>
      <c r="J434" s="171"/>
      <c r="K434" s="171"/>
      <c r="L434" s="171"/>
      <c r="M434" s="171"/>
      <c r="N434" s="171"/>
      <c r="O434" s="171"/>
    </row>
    <row r="435" spans="1:15" ht="14.4" hidden="1" x14ac:dyDescent="0.3">
      <c r="A435" s="55" t="s">
        <v>48</v>
      </c>
      <c r="B435" s="55"/>
      <c r="C435" s="56" t="s">
        <v>19</v>
      </c>
      <c r="D435" s="167">
        <v>0</v>
      </c>
      <c r="E435" s="167"/>
      <c r="F435" s="167"/>
      <c r="G435" s="167"/>
      <c r="H435" s="167"/>
      <c r="I435" s="167"/>
      <c r="J435" s="167"/>
      <c r="K435" s="167"/>
      <c r="L435" s="167"/>
      <c r="M435" s="167"/>
      <c r="N435" s="167"/>
      <c r="O435" s="167"/>
    </row>
    <row r="436" spans="1:15" ht="14.4" hidden="1" x14ac:dyDescent="0.3">
      <c r="A436" s="55" t="s">
        <v>49</v>
      </c>
      <c r="B436" s="55"/>
      <c r="C436" s="56" t="s">
        <v>19</v>
      </c>
      <c r="D436" s="167">
        <v>0</v>
      </c>
      <c r="E436" s="167"/>
      <c r="F436" s="167"/>
      <c r="G436" s="167"/>
      <c r="H436" s="167"/>
      <c r="I436" s="167"/>
      <c r="J436" s="167"/>
      <c r="K436" s="167"/>
      <c r="L436" s="167"/>
      <c r="M436" s="167"/>
      <c r="N436" s="167"/>
      <c r="O436" s="167"/>
    </row>
    <row r="437" spans="1:15" ht="14.4" hidden="1" x14ac:dyDescent="0.3">
      <c r="A437" s="162" t="s">
        <v>52</v>
      </c>
      <c r="B437" s="162"/>
      <c r="C437" s="179"/>
      <c r="D437" s="170"/>
      <c r="E437" s="170"/>
      <c r="F437" s="170"/>
      <c r="G437" s="170"/>
      <c r="H437" s="170"/>
      <c r="I437" s="170"/>
      <c r="J437" s="170"/>
      <c r="K437" s="170"/>
      <c r="L437" s="170"/>
      <c r="M437" s="170"/>
      <c r="N437" s="170"/>
      <c r="O437" s="170"/>
    </row>
    <row r="438" spans="1:15" ht="14.4" hidden="1" x14ac:dyDescent="0.3">
      <c r="A438" s="55" t="s">
        <v>53</v>
      </c>
      <c r="B438" s="55"/>
      <c r="C438" s="56" t="s">
        <v>44</v>
      </c>
      <c r="D438" s="180">
        <v>0</v>
      </c>
      <c r="E438" s="180"/>
      <c r="F438" s="167"/>
      <c r="G438" s="167"/>
      <c r="H438" s="167"/>
      <c r="I438" s="167"/>
      <c r="J438" s="167"/>
      <c r="K438" s="167"/>
      <c r="L438" s="167"/>
      <c r="M438" s="167"/>
      <c r="N438" s="167"/>
      <c r="O438" s="167"/>
    </row>
    <row r="439" spans="1:15" ht="14.4" hidden="1" x14ac:dyDescent="0.3">
      <c r="A439" s="55" t="s">
        <v>54</v>
      </c>
      <c r="B439" s="55"/>
      <c r="C439" s="56" t="s">
        <v>44</v>
      </c>
      <c r="D439" s="180">
        <v>0</v>
      </c>
      <c r="E439" s="180"/>
      <c r="F439" s="167"/>
      <c r="G439" s="167"/>
      <c r="H439" s="167"/>
      <c r="I439" s="167"/>
      <c r="J439" s="167"/>
      <c r="K439" s="167"/>
      <c r="L439" s="167"/>
      <c r="M439" s="167"/>
      <c r="N439" s="167"/>
      <c r="O439" s="167"/>
    </row>
    <row r="440" spans="1:15" ht="14.4" hidden="1" x14ac:dyDescent="0.3">
      <c r="A440" s="55" t="s">
        <v>55</v>
      </c>
      <c r="B440" s="55"/>
      <c r="C440" s="56" t="s">
        <v>44</v>
      </c>
      <c r="D440" s="180">
        <v>0</v>
      </c>
      <c r="E440" s="180"/>
      <c r="F440" s="167"/>
      <c r="G440" s="167"/>
      <c r="H440" s="167"/>
      <c r="I440" s="167"/>
      <c r="J440" s="167"/>
      <c r="K440" s="167"/>
      <c r="L440" s="167"/>
      <c r="M440" s="167"/>
      <c r="N440" s="167"/>
      <c r="O440" s="167"/>
    </row>
    <row r="441" spans="1:15" ht="14.4" hidden="1" x14ac:dyDescent="0.3">
      <c r="A441" s="55" t="s">
        <v>187</v>
      </c>
      <c r="B441" s="55"/>
      <c r="C441" s="56" t="s">
        <v>44</v>
      </c>
      <c r="D441" s="180">
        <v>0</v>
      </c>
      <c r="E441" s="180"/>
      <c r="F441" s="167"/>
      <c r="G441" s="167"/>
      <c r="H441" s="167"/>
      <c r="I441" s="167"/>
      <c r="J441" s="167"/>
      <c r="K441" s="167"/>
      <c r="L441" s="167"/>
      <c r="M441" s="167"/>
      <c r="N441" s="167"/>
      <c r="O441" s="167"/>
    </row>
    <row r="442" spans="1:15" ht="14.4" hidden="1" x14ac:dyDescent="0.3">
      <c r="A442" s="55" t="s">
        <v>188</v>
      </c>
      <c r="B442" s="55"/>
      <c r="C442" s="56" t="s">
        <v>44</v>
      </c>
      <c r="D442" s="180">
        <v>0</v>
      </c>
      <c r="E442" s="180"/>
      <c r="F442" s="167"/>
      <c r="G442" s="167"/>
      <c r="H442" s="167"/>
      <c r="I442" s="167"/>
      <c r="J442" s="167"/>
      <c r="K442" s="167"/>
      <c r="L442" s="167"/>
      <c r="M442" s="167"/>
      <c r="N442" s="167"/>
      <c r="O442" s="167"/>
    </row>
    <row r="443" spans="1:15" ht="14.4" hidden="1" x14ac:dyDescent="0.3">
      <c r="A443" s="55" t="s">
        <v>56</v>
      </c>
      <c r="B443" s="55"/>
      <c r="C443" s="56" t="s">
        <v>44</v>
      </c>
      <c r="D443" s="180">
        <v>0</v>
      </c>
      <c r="E443" s="180"/>
      <c r="F443" s="180"/>
      <c r="G443" s="180"/>
      <c r="H443" s="180"/>
      <c r="I443" s="180"/>
      <c r="J443" s="180"/>
      <c r="K443" s="180"/>
      <c r="L443" s="180"/>
      <c r="M443" s="180"/>
      <c r="N443" s="180"/>
      <c r="O443" s="180"/>
    </row>
    <row r="444" spans="1:15" ht="14.4" hidden="1" x14ac:dyDescent="0.3">
      <c r="A444" s="55" t="s">
        <v>57</v>
      </c>
      <c r="B444" s="55"/>
      <c r="C444" s="56" t="s">
        <v>44</v>
      </c>
      <c r="D444" s="180">
        <v>0</v>
      </c>
      <c r="E444" s="180"/>
      <c r="F444" s="180"/>
      <c r="G444" s="180"/>
      <c r="H444" s="180"/>
      <c r="I444" s="180"/>
      <c r="J444" s="180"/>
      <c r="K444" s="180"/>
      <c r="L444" s="180"/>
      <c r="M444" s="180"/>
      <c r="N444" s="180"/>
      <c r="O444" s="180"/>
    </row>
    <row r="445" spans="1:15" hidden="1" x14ac:dyDescent="0.3"/>
    <row r="446" spans="1:15" ht="18" hidden="1" x14ac:dyDescent="0.35">
      <c r="A446" s="59" t="str">
        <f>'[40]Statistical data'!A193</f>
        <v>Customer Class with mix rate3</v>
      </c>
      <c r="B446" s="59"/>
      <c r="C446" s="5" t="s">
        <v>190</v>
      </c>
      <c r="D446" s="160"/>
      <c r="E446" s="160"/>
      <c r="F446" s="160"/>
      <c r="G446" s="160"/>
      <c r="H446" s="160"/>
      <c r="I446" s="160"/>
      <c r="J446" s="160"/>
      <c r="K446" s="160"/>
      <c r="L446" s="160"/>
      <c r="M446" s="160"/>
      <c r="N446" s="160"/>
      <c r="O446" s="160"/>
    </row>
    <row r="447" spans="1:15" ht="24" hidden="1" customHeight="1" x14ac:dyDescent="0.3">
      <c r="A447" s="161" t="s">
        <v>3</v>
      </c>
      <c r="B447" s="161"/>
      <c r="C447" s="161" t="s">
        <v>4</v>
      </c>
      <c r="D447" s="161" t="s">
        <v>5</v>
      </c>
      <c r="E447" s="161" t="s">
        <v>6</v>
      </c>
      <c r="F447" s="161" t="s">
        <v>7</v>
      </c>
      <c r="G447" s="161" t="s">
        <v>8</v>
      </c>
      <c r="H447" s="161" t="s">
        <v>9</v>
      </c>
      <c r="I447" s="161" t="s">
        <v>9</v>
      </c>
      <c r="J447" s="161" t="s">
        <v>10</v>
      </c>
      <c r="K447" s="161" t="s">
        <v>11</v>
      </c>
      <c r="L447" s="161" t="s">
        <v>12</v>
      </c>
      <c r="M447" s="161" t="s">
        <v>13</v>
      </c>
      <c r="N447" s="161" t="s">
        <v>14</v>
      </c>
      <c r="O447" s="161" t="s">
        <v>15</v>
      </c>
    </row>
    <row r="448" spans="1:15" ht="14.4" hidden="1" x14ac:dyDescent="0.3">
      <c r="A448" s="162" t="s">
        <v>17</v>
      </c>
      <c r="B448" s="163"/>
      <c r="C448" s="56"/>
      <c r="D448" s="164"/>
      <c r="E448" s="164"/>
      <c r="F448" s="164"/>
      <c r="G448" s="164"/>
      <c r="H448" s="164"/>
      <c r="I448" s="164"/>
      <c r="J448" s="164"/>
      <c r="K448" s="164"/>
      <c r="L448" s="164"/>
      <c r="M448" s="164"/>
      <c r="N448" s="164"/>
      <c r="O448" s="164"/>
    </row>
    <row r="449" spans="1:15" ht="14.4" hidden="1" x14ac:dyDescent="0.3">
      <c r="A449" s="55" t="s">
        <v>18</v>
      </c>
      <c r="B449" s="165"/>
      <c r="C449" s="56" t="s">
        <v>19</v>
      </c>
      <c r="D449" s="166"/>
      <c r="E449" s="166"/>
      <c r="F449" s="166"/>
      <c r="G449" s="166"/>
      <c r="H449" s="166"/>
      <c r="I449" s="166"/>
      <c r="J449" s="166"/>
      <c r="K449" s="166"/>
      <c r="L449" s="166"/>
      <c r="M449" s="166"/>
      <c r="N449" s="166"/>
      <c r="O449" s="166"/>
    </row>
    <row r="450" spans="1:15" ht="14.4" hidden="1" x14ac:dyDescent="0.3">
      <c r="A450" s="55" t="s">
        <v>66</v>
      </c>
      <c r="B450" s="165"/>
      <c r="C450" s="56" t="s">
        <v>19</v>
      </c>
      <c r="D450" s="167">
        <v>0</v>
      </c>
      <c r="E450" s="167"/>
      <c r="F450" s="166"/>
      <c r="G450" s="166"/>
      <c r="H450" s="166"/>
      <c r="I450" s="166"/>
      <c r="J450" s="166"/>
      <c r="K450" s="166"/>
      <c r="L450" s="166"/>
      <c r="M450" s="166"/>
      <c r="N450" s="166"/>
      <c r="O450" s="166"/>
    </row>
    <row r="451" spans="1:15" ht="14.4" hidden="1" x14ac:dyDescent="0.3">
      <c r="A451" s="162" t="s">
        <v>20</v>
      </c>
      <c r="B451" s="163"/>
      <c r="C451" s="56"/>
      <c r="D451" s="168"/>
      <c r="E451" s="168"/>
      <c r="F451" s="168"/>
      <c r="G451" s="168"/>
      <c r="H451" s="168"/>
      <c r="I451" s="168"/>
      <c r="J451" s="168"/>
      <c r="K451" s="168"/>
      <c r="L451" s="168"/>
      <c r="M451" s="168"/>
      <c r="N451" s="168"/>
      <c r="O451" s="168"/>
    </row>
    <row r="452" spans="1:15" ht="14.4" hidden="1" x14ac:dyDescent="0.3">
      <c r="A452" s="55" t="s">
        <v>21</v>
      </c>
      <c r="B452" s="165"/>
      <c r="C452" s="56" t="s">
        <v>19</v>
      </c>
      <c r="D452" s="167">
        <v>0</v>
      </c>
      <c r="E452" s="167"/>
      <c r="F452" s="166"/>
      <c r="G452" s="166"/>
      <c r="H452" s="166"/>
      <c r="I452" s="166"/>
      <c r="J452" s="166"/>
      <c r="K452" s="166"/>
      <c r="L452" s="166"/>
      <c r="M452" s="166"/>
      <c r="N452" s="166"/>
      <c r="O452" s="166"/>
    </row>
    <row r="453" spans="1:15" ht="14.4" hidden="1" x14ac:dyDescent="0.3">
      <c r="A453" s="55" t="s">
        <v>22</v>
      </c>
      <c r="B453" s="165"/>
      <c r="C453" s="56" t="s">
        <v>23</v>
      </c>
      <c r="D453" s="169">
        <v>0</v>
      </c>
      <c r="E453" s="169"/>
      <c r="F453" s="166"/>
      <c r="G453" s="166"/>
      <c r="H453" s="166"/>
      <c r="I453" s="166"/>
      <c r="J453" s="166"/>
      <c r="K453" s="166"/>
      <c r="L453" s="166"/>
      <c r="M453" s="166"/>
      <c r="N453" s="166"/>
      <c r="O453" s="166"/>
    </row>
    <row r="454" spans="1:15" ht="14.4" hidden="1" x14ac:dyDescent="0.3">
      <c r="A454" s="162" t="s">
        <v>24</v>
      </c>
      <c r="B454" s="163"/>
      <c r="C454" s="56"/>
      <c r="D454" s="168"/>
      <c r="E454" s="168"/>
      <c r="F454" s="168"/>
      <c r="G454" s="168"/>
      <c r="H454" s="168"/>
      <c r="I454" s="168"/>
      <c r="J454" s="168"/>
      <c r="K454" s="168"/>
      <c r="L454" s="168"/>
      <c r="M454" s="168"/>
      <c r="N454" s="168"/>
      <c r="O454" s="168"/>
    </row>
    <row r="455" spans="1:15" ht="14.4" hidden="1" x14ac:dyDescent="0.3">
      <c r="A455" s="55" t="s">
        <v>25</v>
      </c>
      <c r="B455" s="165"/>
      <c r="C455" s="56" t="s">
        <v>19</v>
      </c>
      <c r="D455" s="167">
        <v>0</v>
      </c>
      <c r="E455" s="167"/>
      <c r="F455" s="166"/>
      <c r="G455" s="166"/>
      <c r="H455" s="166"/>
      <c r="I455" s="166"/>
      <c r="J455" s="166"/>
      <c r="K455" s="166"/>
      <c r="L455" s="166"/>
      <c r="M455" s="166"/>
      <c r="N455" s="166"/>
      <c r="O455" s="166"/>
    </row>
    <row r="456" spans="1:15" ht="14.4" hidden="1" x14ac:dyDescent="0.3">
      <c r="A456" s="162" t="s">
        <v>26</v>
      </c>
      <c r="B456" s="162"/>
      <c r="C456" s="56"/>
      <c r="D456" s="170"/>
      <c r="E456" s="170"/>
      <c r="F456" s="170"/>
      <c r="G456" s="170"/>
      <c r="H456" s="170"/>
      <c r="I456" s="170"/>
      <c r="J456" s="170"/>
      <c r="K456" s="170"/>
      <c r="L456" s="170"/>
      <c r="M456" s="170"/>
      <c r="N456" s="170"/>
      <c r="O456" s="170"/>
    </row>
    <row r="457" spans="1:15" ht="14.4" hidden="1" x14ac:dyDescent="0.3">
      <c r="A457" s="55" t="s">
        <v>27</v>
      </c>
      <c r="B457" s="55"/>
      <c r="C457" s="56" t="s">
        <v>19</v>
      </c>
      <c r="D457" s="167">
        <v>0</v>
      </c>
      <c r="E457" s="167"/>
      <c r="F457" s="167"/>
      <c r="G457" s="167"/>
      <c r="H457" s="167"/>
      <c r="I457" s="167"/>
      <c r="J457" s="167"/>
      <c r="K457" s="167"/>
      <c r="L457" s="167"/>
      <c r="M457" s="167"/>
      <c r="N457" s="167"/>
      <c r="O457" s="167"/>
    </row>
    <row r="458" spans="1:15" ht="14.4" hidden="1" x14ac:dyDescent="0.3">
      <c r="A458" s="55" t="s">
        <v>28</v>
      </c>
      <c r="B458" s="55"/>
      <c r="C458" s="56" t="s">
        <v>23</v>
      </c>
      <c r="D458" s="169">
        <v>0</v>
      </c>
      <c r="E458" s="169"/>
      <c r="F458" s="167"/>
      <c r="G458" s="167"/>
      <c r="H458" s="167"/>
      <c r="I458" s="167"/>
      <c r="J458" s="167"/>
      <c r="K458" s="167"/>
      <c r="L458" s="167"/>
      <c r="M458" s="167"/>
      <c r="N458" s="167"/>
      <c r="O458" s="167"/>
    </row>
    <row r="459" spans="1:15" ht="14.4" hidden="1" x14ac:dyDescent="0.3">
      <c r="A459" s="162" t="s">
        <v>29</v>
      </c>
      <c r="B459" s="162"/>
      <c r="C459" s="56"/>
      <c r="D459" s="171"/>
      <c r="E459" s="171"/>
      <c r="F459" s="171"/>
      <c r="G459" s="171"/>
      <c r="H459" s="171"/>
      <c r="I459" s="171"/>
      <c r="J459" s="171"/>
      <c r="K459" s="171"/>
      <c r="L459" s="171"/>
      <c r="M459" s="171"/>
      <c r="N459" s="171"/>
      <c r="O459" s="171"/>
    </row>
    <row r="460" spans="1:15" ht="14.4" hidden="1" x14ac:dyDescent="0.3">
      <c r="A460" s="55" t="s">
        <v>30</v>
      </c>
      <c r="B460" s="55"/>
      <c r="C460" s="56" t="s">
        <v>19</v>
      </c>
      <c r="D460" s="167">
        <v>0</v>
      </c>
      <c r="E460" s="167"/>
      <c r="F460" s="167"/>
      <c r="G460" s="167"/>
      <c r="H460" s="167"/>
      <c r="I460" s="167"/>
      <c r="J460" s="167"/>
      <c r="K460" s="167"/>
      <c r="L460" s="167"/>
      <c r="M460" s="167"/>
      <c r="N460" s="167"/>
      <c r="O460" s="167"/>
    </row>
    <row r="461" spans="1:15" ht="14.4" hidden="1" x14ac:dyDescent="0.3">
      <c r="A461" s="55" t="s">
        <v>31</v>
      </c>
      <c r="B461" s="55"/>
      <c r="C461" s="56" t="s">
        <v>32</v>
      </c>
      <c r="D461" s="169">
        <v>0</v>
      </c>
      <c r="E461" s="169"/>
      <c r="F461" s="167"/>
      <c r="G461" s="167"/>
      <c r="H461" s="167"/>
      <c r="I461" s="167"/>
      <c r="J461" s="167"/>
      <c r="K461" s="167"/>
      <c r="L461" s="167"/>
      <c r="M461" s="167"/>
      <c r="N461" s="167"/>
      <c r="O461" s="167"/>
    </row>
    <row r="462" spans="1:15" ht="14.4" hidden="1" x14ac:dyDescent="0.3">
      <c r="A462" s="162" t="s">
        <v>33</v>
      </c>
      <c r="B462" s="162"/>
      <c r="C462" s="56"/>
      <c r="D462" s="171"/>
      <c r="E462" s="171"/>
      <c r="F462" s="171"/>
      <c r="G462" s="171"/>
      <c r="H462" s="171"/>
      <c r="I462" s="171"/>
      <c r="J462" s="171"/>
      <c r="K462" s="171"/>
      <c r="L462" s="171"/>
      <c r="M462" s="171"/>
      <c r="N462" s="171"/>
      <c r="O462" s="171"/>
    </row>
    <row r="463" spans="1:15" ht="14.4" hidden="1" x14ac:dyDescent="0.3">
      <c r="A463" s="55" t="s">
        <v>34</v>
      </c>
      <c r="B463" s="55"/>
      <c r="C463" s="56" t="s">
        <v>19</v>
      </c>
      <c r="D463" s="167">
        <v>0</v>
      </c>
      <c r="E463" s="167"/>
      <c r="F463" s="167"/>
      <c r="G463" s="167"/>
      <c r="H463" s="167"/>
      <c r="I463" s="167"/>
      <c r="J463" s="167"/>
      <c r="K463" s="167"/>
      <c r="L463" s="167"/>
      <c r="M463" s="167"/>
      <c r="N463" s="167"/>
      <c r="O463" s="167"/>
    </row>
    <row r="464" spans="1:15" ht="14.4" hidden="1" x14ac:dyDescent="0.3">
      <c r="A464" s="55" t="s">
        <v>35</v>
      </c>
      <c r="B464" s="55"/>
      <c r="C464" s="56" t="s">
        <v>36</v>
      </c>
      <c r="D464" s="169">
        <v>0</v>
      </c>
      <c r="E464" s="169"/>
      <c r="F464" s="167"/>
      <c r="G464" s="167"/>
      <c r="H464" s="167"/>
      <c r="I464" s="167"/>
      <c r="J464" s="167"/>
      <c r="K464" s="167"/>
      <c r="L464" s="167"/>
      <c r="M464" s="167"/>
      <c r="N464" s="167"/>
      <c r="O464" s="167"/>
    </row>
    <row r="465" spans="1:15" ht="14.4" hidden="1" x14ac:dyDescent="0.3">
      <c r="A465" s="162" t="s">
        <v>37</v>
      </c>
      <c r="B465" s="162"/>
      <c r="C465" s="56"/>
      <c r="D465" s="171"/>
      <c r="E465" s="171"/>
      <c r="F465" s="171"/>
      <c r="G465" s="171"/>
      <c r="H465" s="171"/>
      <c r="I465" s="171"/>
      <c r="J465" s="171"/>
      <c r="K465" s="171"/>
      <c r="L465" s="171"/>
      <c r="M465" s="171"/>
      <c r="N465" s="171"/>
      <c r="O465" s="171"/>
    </row>
    <row r="466" spans="1:15" ht="14.4" hidden="1" x14ac:dyDescent="0.3">
      <c r="A466" s="172" t="s">
        <v>38</v>
      </c>
      <c r="B466" s="55"/>
      <c r="C466" s="56" t="s">
        <v>19</v>
      </c>
      <c r="D466" s="167">
        <v>0</v>
      </c>
      <c r="E466" s="167"/>
      <c r="F466" s="167"/>
      <c r="G466" s="167"/>
      <c r="H466" s="167"/>
      <c r="I466" s="167"/>
      <c r="J466" s="167"/>
      <c r="K466" s="167"/>
      <c r="L466" s="167"/>
      <c r="M466" s="167"/>
      <c r="N466" s="167"/>
      <c r="O466" s="167"/>
    </row>
    <row r="467" spans="1:15" ht="14.4" hidden="1" x14ac:dyDescent="0.3">
      <c r="A467" s="172" t="s">
        <v>39</v>
      </c>
      <c r="B467" s="55"/>
      <c r="C467" s="56" t="s">
        <v>19</v>
      </c>
      <c r="D467" s="167">
        <v>0</v>
      </c>
      <c r="E467" s="167"/>
      <c r="F467" s="167"/>
      <c r="G467" s="167"/>
      <c r="H467" s="167"/>
      <c r="I467" s="167"/>
      <c r="J467" s="167"/>
      <c r="K467" s="167"/>
      <c r="L467" s="167"/>
      <c r="M467" s="167"/>
      <c r="N467" s="167"/>
      <c r="O467" s="167"/>
    </row>
    <row r="468" spans="1:15" ht="14.4" hidden="1" x14ac:dyDescent="0.3">
      <c r="A468" s="172" t="s">
        <v>180</v>
      </c>
      <c r="B468" s="55"/>
      <c r="C468" s="56" t="s">
        <v>19</v>
      </c>
      <c r="D468" s="167">
        <v>0</v>
      </c>
      <c r="E468" s="167"/>
      <c r="F468" s="167"/>
      <c r="G468" s="167"/>
      <c r="H468" s="167"/>
      <c r="I468" s="167"/>
      <c r="J468" s="167"/>
      <c r="K468" s="167"/>
      <c r="L468" s="167"/>
      <c r="M468" s="167"/>
      <c r="N468" s="167"/>
      <c r="O468" s="167"/>
    </row>
    <row r="469" spans="1:15" ht="14.4" hidden="1" x14ac:dyDescent="0.3">
      <c r="A469" s="173" t="s">
        <v>40</v>
      </c>
      <c r="B469" s="55"/>
      <c r="C469" s="56" t="s">
        <v>19</v>
      </c>
      <c r="D469" s="167">
        <v>0</v>
      </c>
      <c r="E469" s="167"/>
      <c r="F469" s="167"/>
      <c r="G469" s="167"/>
      <c r="H469" s="167"/>
      <c r="I469" s="167"/>
      <c r="J469" s="167"/>
      <c r="K469" s="167"/>
      <c r="L469" s="167"/>
      <c r="M469" s="167"/>
      <c r="N469" s="167"/>
      <c r="O469" s="167"/>
    </row>
    <row r="470" spans="1:15" ht="14.4" hidden="1" x14ac:dyDescent="0.3">
      <c r="A470" s="173" t="s">
        <v>41</v>
      </c>
      <c r="B470" s="55"/>
      <c r="C470" s="56" t="s">
        <v>19</v>
      </c>
      <c r="D470" s="167">
        <v>0</v>
      </c>
      <c r="E470" s="167"/>
      <c r="F470" s="167"/>
      <c r="G470" s="167"/>
      <c r="H470" s="167"/>
      <c r="I470" s="167"/>
      <c r="J470" s="167"/>
      <c r="K470" s="167"/>
      <c r="L470" s="167"/>
      <c r="M470" s="167"/>
      <c r="N470" s="167"/>
      <c r="O470" s="167"/>
    </row>
    <row r="471" spans="1:15" ht="16.2" hidden="1" x14ac:dyDescent="0.3">
      <c r="A471" s="174" t="s">
        <v>182</v>
      </c>
      <c r="B471" s="175"/>
      <c r="C471" s="56" t="s">
        <v>19</v>
      </c>
      <c r="D471" s="167">
        <v>0</v>
      </c>
      <c r="E471" s="167"/>
      <c r="F471" s="167"/>
      <c r="G471" s="167"/>
      <c r="H471" s="167"/>
      <c r="I471" s="167"/>
      <c r="J471" s="167"/>
      <c r="K471" s="167"/>
      <c r="L471" s="167"/>
      <c r="M471" s="167"/>
      <c r="N471" s="167"/>
      <c r="O471" s="167"/>
    </row>
    <row r="472" spans="1:15" ht="16.2" hidden="1" x14ac:dyDescent="0.3">
      <c r="A472" s="174" t="s">
        <v>182</v>
      </c>
      <c r="B472" s="175"/>
      <c r="C472" s="56" t="s">
        <v>19</v>
      </c>
      <c r="D472" s="167">
        <v>0</v>
      </c>
      <c r="E472" s="167"/>
      <c r="F472" s="167"/>
      <c r="G472" s="167"/>
      <c r="H472" s="167"/>
      <c r="I472" s="167"/>
      <c r="J472" s="167"/>
      <c r="K472" s="167"/>
      <c r="L472" s="167"/>
      <c r="M472" s="167"/>
      <c r="N472" s="167"/>
      <c r="O472" s="167"/>
    </row>
    <row r="473" spans="1:15" ht="16.2" hidden="1" x14ac:dyDescent="0.3">
      <c r="A473" s="174" t="s">
        <v>182</v>
      </c>
      <c r="B473" s="176"/>
      <c r="C473" s="56" t="s">
        <v>19</v>
      </c>
      <c r="D473" s="167">
        <v>0</v>
      </c>
      <c r="E473" s="167"/>
      <c r="F473" s="167"/>
      <c r="G473" s="167"/>
      <c r="H473" s="167"/>
      <c r="I473" s="167"/>
      <c r="J473" s="167"/>
      <c r="K473" s="167"/>
      <c r="L473" s="167"/>
      <c r="M473" s="167"/>
      <c r="N473" s="167"/>
      <c r="O473" s="167"/>
    </row>
    <row r="474" spans="1:15" ht="14.4" hidden="1" x14ac:dyDescent="0.3">
      <c r="A474" s="162" t="s">
        <v>42</v>
      </c>
      <c r="B474" s="162"/>
      <c r="C474" s="56"/>
      <c r="D474" s="171"/>
      <c r="E474" s="171"/>
      <c r="F474" s="171"/>
      <c r="G474" s="171"/>
      <c r="H474" s="171"/>
      <c r="I474" s="171"/>
      <c r="J474" s="171"/>
      <c r="K474" s="171"/>
      <c r="L474" s="171"/>
      <c r="M474" s="171"/>
      <c r="N474" s="171"/>
      <c r="O474" s="171"/>
    </row>
    <row r="475" spans="1:15" ht="14.4" hidden="1" x14ac:dyDescent="0.3">
      <c r="A475" s="162" t="s">
        <v>191</v>
      </c>
      <c r="B475" s="162"/>
      <c r="C475" s="56" t="s">
        <v>44</v>
      </c>
      <c r="D475" s="177">
        <v>0</v>
      </c>
      <c r="E475" s="177"/>
      <c r="F475" s="177"/>
      <c r="G475" s="177"/>
      <c r="H475" s="177"/>
      <c r="I475" s="177"/>
      <c r="J475" s="177"/>
      <c r="K475" s="177"/>
      <c r="L475" s="177"/>
      <c r="M475" s="177"/>
      <c r="N475" s="177"/>
      <c r="O475" s="177"/>
    </row>
    <row r="476" spans="1:15" ht="14.4" hidden="1" x14ac:dyDescent="0.3">
      <c r="A476" s="162" t="s">
        <v>183</v>
      </c>
      <c r="B476" s="162"/>
      <c r="C476" s="56"/>
      <c r="D476" s="178"/>
      <c r="E476" s="178"/>
      <c r="F476" s="178"/>
      <c r="G476" s="178"/>
      <c r="H476" s="178"/>
      <c r="I476" s="178"/>
      <c r="J476" s="178"/>
      <c r="K476" s="178"/>
      <c r="L476" s="178"/>
      <c r="M476" s="178"/>
      <c r="N476" s="178"/>
      <c r="O476" s="178"/>
    </row>
    <row r="477" spans="1:15" ht="14.4" hidden="1" x14ac:dyDescent="0.3">
      <c r="A477" s="162" t="s">
        <v>184</v>
      </c>
      <c r="B477" s="162"/>
      <c r="C477" s="56" t="s">
        <v>19</v>
      </c>
      <c r="D477" s="167">
        <v>0</v>
      </c>
      <c r="E477" s="167"/>
      <c r="F477" s="167"/>
      <c r="G477" s="167"/>
      <c r="H477" s="167"/>
      <c r="I477" s="167"/>
      <c r="J477" s="167"/>
      <c r="K477" s="167"/>
      <c r="L477" s="167"/>
      <c r="M477" s="167"/>
      <c r="N477" s="167"/>
      <c r="O477" s="167"/>
    </row>
    <row r="478" spans="1:15" ht="14.4" hidden="1" x14ac:dyDescent="0.3">
      <c r="A478" s="162" t="s">
        <v>45</v>
      </c>
      <c r="B478" s="162"/>
      <c r="C478" s="56"/>
      <c r="D478" s="178"/>
      <c r="E478" s="178"/>
      <c r="F478" s="178"/>
      <c r="G478" s="178"/>
      <c r="H478" s="178"/>
      <c r="I478" s="178"/>
      <c r="J478" s="178"/>
      <c r="K478" s="178"/>
      <c r="L478" s="178"/>
      <c r="M478" s="178"/>
      <c r="N478" s="178"/>
      <c r="O478" s="178"/>
    </row>
    <row r="479" spans="1:15" ht="14.4" hidden="1" x14ac:dyDescent="0.3">
      <c r="A479" s="162" t="s">
        <v>46</v>
      </c>
      <c r="B479" s="162"/>
      <c r="C479" s="56" t="s">
        <v>19</v>
      </c>
      <c r="D479" s="167">
        <v>0</v>
      </c>
      <c r="E479" s="167"/>
      <c r="F479" s="167"/>
      <c r="G479" s="167"/>
      <c r="H479" s="167"/>
      <c r="I479" s="167"/>
      <c r="J479" s="167"/>
      <c r="K479" s="167"/>
      <c r="L479" s="167"/>
      <c r="M479" s="167"/>
      <c r="N479" s="167"/>
      <c r="O479" s="167"/>
    </row>
    <row r="480" spans="1:15" ht="14.4" hidden="1" x14ac:dyDescent="0.3">
      <c r="A480" s="162" t="s">
        <v>185</v>
      </c>
      <c r="B480" s="162"/>
      <c r="C480" s="56"/>
      <c r="D480" s="178"/>
      <c r="E480" s="178"/>
      <c r="F480" s="178"/>
      <c r="G480" s="178"/>
      <c r="H480" s="178"/>
      <c r="I480" s="178"/>
      <c r="J480" s="178"/>
      <c r="K480" s="178"/>
      <c r="L480" s="178"/>
      <c r="M480" s="178"/>
      <c r="N480" s="178"/>
      <c r="O480" s="178"/>
    </row>
    <row r="481" spans="1:15" ht="14.4" hidden="1" x14ac:dyDescent="0.3">
      <c r="A481" s="162" t="s">
        <v>186</v>
      </c>
      <c r="B481" s="162"/>
      <c r="C481" s="56" t="s">
        <v>19</v>
      </c>
      <c r="D481" s="167">
        <v>0</v>
      </c>
      <c r="E481" s="167"/>
      <c r="F481" s="167"/>
      <c r="G481" s="167"/>
      <c r="H481" s="167"/>
      <c r="I481" s="167"/>
      <c r="J481" s="167"/>
      <c r="K481" s="167"/>
      <c r="L481" s="167"/>
      <c r="M481" s="167"/>
      <c r="N481" s="167"/>
      <c r="O481" s="167"/>
    </row>
    <row r="482" spans="1:15" ht="14.4" hidden="1" x14ac:dyDescent="0.3">
      <c r="A482" s="162" t="s">
        <v>47</v>
      </c>
      <c r="B482" s="162"/>
      <c r="C482" s="56"/>
      <c r="D482" s="171"/>
      <c r="E482" s="171"/>
      <c r="F482" s="171"/>
      <c r="G482" s="171"/>
      <c r="H482" s="171"/>
      <c r="I482" s="171"/>
      <c r="J482" s="171"/>
      <c r="K482" s="171"/>
      <c r="L482" s="171"/>
      <c r="M482" s="171"/>
      <c r="N482" s="171"/>
      <c r="O482" s="171"/>
    </row>
    <row r="483" spans="1:15" ht="14.4" hidden="1" x14ac:dyDescent="0.3">
      <c r="A483" s="55" t="s">
        <v>48</v>
      </c>
      <c r="B483" s="55"/>
      <c r="C483" s="56" t="s">
        <v>19</v>
      </c>
      <c r="D483" s="167">
        <v>0</v>
      </c>
      <c r="E483" s="167"/>
      <c r="F483" s="167"/>
      <c r="G483" s="167"/>
      <c r="H483" s="167"/>
      <c r="I483" s="167"/>
      <c r="J483" s="167"/>
      <c r="K483" s="167"/>
      <c r="L483" s="167"/>
      <c r="M483" s="167"/>
      <c r="N483" s="167"/>
      <c r="O483" s="167"/>
    </row>
    <row r="484" spans="1:15" ht="14.4" hidden="1" x14ac:dyDescent="0.3">
      <c r="A484" s="55" t="s">
        <v>49</v>
      </c>
      <c r="B484" s="55"/>
      <c r="C484" s="56" t="s">
        <v>19</v>
      </c>
      <c r="D484" s="167">
        <v>0</v>
      </c>
      <c r="E484" s="167"/>
      <c r="F484" s="167"/>
      <c r="G484" s="167"/>
      <c r="H484" s="167"/>
      <c r="I484" s="167"/>
      <c r="J484" s="167"/>
      <c r="K484" s="167"/>
      <c r="L484" s="167"/>
      <c r="M484" s="167"/>
      <c r="N484" s="167"/>
      <c r="O484" s="167"/>
    </row>
    <row r="485" spans="1:15" ht="14.4" hidden="1" x14ac:dyDescent="0.3">
      <c r="A485" s="162" t="s">
        <v>52</v>
      </c>
      <c r="B485" s="162"/>
      <c r="C485" s="179"/>
      <c r="D485" s="170"/>
      <c r="E485" s="170"/>
      <c r="F485" s="170"/>
      <c r="G485" s="170"/>
      <c r="H485" s="170"/>
      <c r="I485" s="170"/>
      <c r="J485" s="170"/>
      <c r="K485" s="170"/>
      <c r="L485" s="170"/>
      <c r="M485" s="170"/>
      <c r="N485" s="170"/>
      <c r="O485" s="170"/>
    </row>
    <row r="486" spans="1:15" ht="14.4" hidden="1" x14ac:dyDescent="0.3">
      <c r="A486" s="55" t="s">
        <v>53</v>
      </c>
      <c r="B486" s="55"/>
      <c r="C486" s="56" t="s">
        <v>44</v>
      </c>
      <c r="D486" s="180">
        <v>0</v>
      </c>
      <c r="E486" s="180"/>
      <c r="F486" s="167"/>
      <c r="G486" s="167"/>
      <c r="H486" s="167"/>
      <c r="I486" s="167"/>
      <c r="J486" s="167"/>
      <c r="K486" s="167"/>
      <c r="L486" s="167"/>
      <c r="M486" s="167"/>
      <c r="N486" s="167"/>
      <c r="O486" s="167"/>
    </row>
    <row r="487" spans="1:15" ht="14.4" hidden="1" x14ac:dyDescent="0.3">
      <c r="A487" s="55" t="s">
        <v>54</v>
      </c>
      <c r="B487" s="55"/>
      <c r="C487" s="56" t="s">
        <v>44</v>
      </c>
      <c r="D487" s="180">
        <v>0</v>
      </c>
      <c r="E487" s="180"/>
      <c r="F487" s="167"/>
      <c r="G487" s="167"/>
      <c r="H487" s="167"/>
      <c r="I487" s="167"/>
      <c r="J487" s="167"/>
      <c r="K487" s="167"/>
      <c r="L487" s="167"/>
      <c r="M487" s="167"/>
      <c r="N487" s="167"/>
      <c r="O487" s="167"/>
    </row>
    <row r="488" spans="1:15" ht="14.4" hidden="1" x14ac:dyDescent="0.3">
      <c r="A488" s="55" t="s">
        <v>55</v>
      </c>
      <c r="B488" s="55"/>
      <c r="C488" s="56" t="s">
        <v>44</v>
      </c>
      <c r="D488" s="180">
        <v>0</v>
      </c>
      <c r="E488" s="180"/>
      <c r="F488" s="167"/>
      <c r="G488" s="167"/>
      <c r="H488" s="167"/>
      <c r="I488" s="167"/>
      <c r="J488" s="167"/>
      <c r="K488" s="167"/>
      <c r="L488" s="167"/>
      <c r="M488" s="167"/>
      <c r="N488" s="167"/>
      <c r="O488" s="167"/>
    </row>
    <row r="489" spans="1:15" ht="14.4" hidden="1" x14ac:dyDescent="0.3">
      <c r="A489" s="55" t="s">
        <v>187</v>
      </c>
      <c r="B489" s="55"/>
      <c r="C489" s="56" t="s">
        <v>44</v>
      </c>
      <c r="D489" s="180">
        <v>0</v>
      </c>
      <c r="E489" s="180"/>
      <c r="F489" s="167"/>
      <c r="G489" s="167"/>
      <c r="H489" s="167"/>
      <c r="I489" s="167"/>
      <c r="J489" s="167"/>
      <c r="K489" s="167"/>
      <c r="L489" s="167"/>
      <c r="M489" s="167"/>
      <c r="N489" s="167"/>
      <c r="O489" s="167"/>
    </row>
    <row r="490" spans="1:15" ht="14.4" hidden="1" x14ac:dyDescent="0.3">
      <c r="A490" s="55" t="s">
        <v>188</v>
      </c>
      <c r="B490" s="55"/>
      <c r="C490" s="56" t="s">
        <v>44</v>
      </c>
      <c r="D490" s="180">
        <v>0</v>
      </c>
      <c r="E490" s="180"/>
      <c r="F490" s="167"/>
      <c r="G490" s="167"/>
      <c r="H490" s="167"/>
      <c r="I490" s="167"/>
      <c r="J490" s="167"/>
      <c r="K490" s="167"/>
      <c r="L490" s="167"/>
      <c r="M490" s="167"/>
      <c r="N490" s="167"/>
      <c r="O490" s="167"/>
    </row>
    <row r="491" spans="1:15" ht="14.4" hidden="1" x14ac:dyDescent="0.3">
      <c r="A491" s="55" t="s">
        <v>56</v>
      </c>
      <c r="B491" s="55"/>
      <c r="C491" s="56" t="s">
        <v>44</v>
      </c>
      <c r="D491" s="180">
        <v>0</v>
      </c>
      <c r="E491" s="180"/>
      <c r="F491" s="180"/>
      <c r="G491" s="180"/>
      <c r="H491" s="180"/>
      <c r="I491" s="180"/>
      <c r="J491" s="180"/>
      <c r="K491" s="180"/>
      <c r="L491" s="180"/>
      <c r="M491" s="180"/>
      <c r="N491" s="180"/>
      <c r="O491" s="180"/>
    </row>
    <row r="492" spans="1:15" ht="14.4" hidden="1" x14ac:dyDescent="0.3">
      <c r="A492" s="55" t="s">
        <v>57</v>
      </c>
      <c r="B492" s="55"/>
      <c r="C492" s="56" t="s">
        <v>44</v>
      </c>
      <c r="D492" s="180">
        <v>0</v>
      </c>
      <c r="E492" s="180"/>
      <c r="F492" s="180"/>
      <c r="G492" s="180"/>
      <c r="H492" s="180"/>
      <c r="I492" s="180"/>
      <c r="J492" s="180"/>
      <c r="K492" s="180"/>
      <c r="L492" s="180"/>
      <c r="M492" s="180"/>
      <c r="N492" s="180"/>
      <c r="O492" s="180"/>
    </row>
    <row r="493" spans="1:15" hidden="1" x14ac:dyDescent="0.3"/>
    <row r="494" spans="1:15" ht="18" hidden="1" x14ac:dyDescent="0.35">
      <c r="A494" s="59" t="str">
        <f>'[40]Statistical data'!A194</f>
        <v>Customer Class with mix rate4</v>
      </c>
      <c r="B494" s="59"/>
      <c r="C494" s="5" t="s">
        <v>190</v>
      </c>
      <c r="D494" s="160"/>
      <c r="E494" s="160"/>
      <c r="F494" s="160"/>
      <c r="G494" s="160"/>
      <c r="H494" s="160"/>
      <c r="I494" s="160"/>
      <c r="J494" s="160"/>
      <c r="K494" s="160"/>
      <c r="L494" s="160"/>
      <c r="M494" s="160"/>
      <c r="N494" s="160"/>
      <c r="O494" s="160"/>
    </row>
    <row r="495" spans="1:15" ht="24" hidden="1" customHeight="1" x14ac:dyDescent="0.3">
      <c r="A495" s="161" t="s">
        <v>3</v>
      </c>
      <c r="B495" s="161"/>
      <c r="C495" s="161" t="s">
        <v>4</v>
      </c>
      <c r="D495" s="161" t="s">
        <v>5</v>
      </c>
      <c r="E495" s="161" t="s">
        <v>6</v>
      </c>
      <c r="F495" s="161" t="s">
        <v>7</v>
      </c>
      <c r="G495" s="161" t="s">
        <v>8</v>
      </c>
      <c r="H495" s="161" t="s">
        <v>9</v>
      </c>
      <c r="I495" s="161" t="s">
        <v>9</v>
      </c>
      <c r="J495" s="161" t="s">
        <v>10</v>
      </c>
      <c r="K495" s="161" t="s">
        <v>11</v>
      </c>
      <c r="L495" s="161" t="s">
        <v>12</v>
      </c>
      <c r="M495" s="161" t="s">
        <v>13</v>
      </c>
      <c r="N495" s="161" t="s">
        <v>14</v>
      </c>
      <c r="O495" s="161" t="s">
        <v>15</v>
      </c>
    </row>
    <row r="496" spans="1:15" ht="14.4" hidden="1" x14ac:dyDescent="0.3">
      <c r="A496" s="162" t="s">
        <v>17</v>
      </c>
      <c r="B496" s="163"/>
      <c r="C496" s="56"/>
      <c r="D496" s="164"/>
      <c r="E496" s="164"/>
      <c r="F496" s="164"/>
      <c r="G496" s="164"/>
      <c r="H496" s="164"/>
      <c r="I496" s="164"/>
      <c r="J496" s="164"/>
      <c r="K496" s="164"/>
      <c r="L496" s="164"/>
      <c r="M496" s="164"/>
      <c r="N496" s="164"/>
      <c r="O496" s="164"/>
    </row>
    <row r="497" spans="1:15" ht="14.4" hidden="1" x14ac:dyDescent="0.3">
      <c r="A497" s="55" t="s">
        <v>18</v>
      </c>
      <c r="B497" s="165"/>
      <c r="C497" s="56" t="s">
        <v>19</v>
      </c>
      <c r="D497" s="166"/>
      <c r="E497" s="166"/>
      <c r="F497" s="166"/>
      <c r="G497" s="166"/>
      <c r="H497" s="166"/>
      <c r="I497" s="166"/>
      <c r="J497" s="166"/>
      <c r="K497" s="166"/>
      <c r="L497" s="166"/>
      <c r="M497" s="166"/>
      <c r="N497" s="166"/>
      <c r="O497" s="166"/>
    </row>
    <row r="498" spans="1:15" ht="14.4" hidden="1" x14ac:dyDescent="0.3">
      <c r="A498" s="55" t="s">
        <v>66</v>
      </c>
      <c r="B498" s="165"/>
      <c r="C498" s="56" t="s">
        <v>19</v>
      </c>
      <c r="D498" s="167">
        <v>0</v>
      </c>
      <c r="E498" s="167"/>
      <c r="F498" s="166"/>
      <c r="G498" s="166"/>
      <c r="H498" s="166"/>
      <c r="I498" s="166"/>
      <c r="J498" s="166"/>
      <c r="K498" s="166"/>
      <c r="L498" s="166"/>
      <c r="M498" s="166"/>
      <c r="N498" s="166"/>
      <c r="O498" s="166"/>
    </row>
    <row r="499" spans="1:15" ht="14.4" hidden="1" x14ac:dyDescent="0.3">
      <c r="A499" s="162" t="s">
        <v>20</v>
      </c>
      <c r="B499" s="163"/>
      <c r="C499" s="56"/>
      <c r="D499" s="168"/>
      <c r="E499" s="168"/>
      <c r="F499" s="168"/>
      <c r="G499" s="168"/>
      <c r="H499" s="168"/>
      <c r="I499" s="168"/>
      <c r="J499" s="168"/>
      <c r="K499" s="168"/>
      <c r="L499" s="168"/>
      <c r="M499" s="168"/>
      <c r="N499" s="168"/>
      <c r="O499" s="168"/>
    </row>
    <row r="500" spans="1:15" ht="14.4" hidden="1" x14ac:dyDescent="0.3">
      <c r="A500" s="55" t="s">
        <v>21</v>
      </c>
      <c r="B500" s="165"/>
      <c r="C500" s="56" t="s">
        <v>19</v>
      </c>
      <c r="D500" s="167">
        <v>0</v>
      </c>
      <c r="E500" s="167"/>
      <c r="F500" s="166"/>
      <c r="G500" s="166"/>
      <c r="H500" s="166"/>
      <c r="I500" s="166"/>
      <c r="J500" s="166"/>
      <c r="K500" s="166"/>
      <c r="L500" s="166"/>
      <c r="M500" s="166"/>
      <c r="N500" s="166"/>
      <c r="O500" s="166"/>
    </row>
    <row r="501" spans="1:15" ht="14.4" hidden="1" x14ac:dyDescent="0.3">
      <c r="A501" s="55" t="s">
        <v>22</v>
      </c>
      <c r="B501" s="165"/>
      <c r="C501" s="56" t="s">
        <v>23</v>
      </c>
      <c r="D501" s="169">
        <v>0</v>
      </c>
      <c r="E501" s="169"/>
      <c r="F501" s="166"/>
      <c r="G501" s="166"/>
      <c r="H501" s="166"/>
      <c r="I501" s="166"/>
      <c r="J501" s="166"/>
      <c r="K501" s="166"/>
      <c r="L501" s="166"/>
      <c r="M501" s="166"/>
      <c r="N501" s="166"/>
      <c r="O501" s="166"/>
    </row>
    <row r="502" spans="1:15" ht="14.4" hidden="1" x14ac:dyDescent="0.3">
      <c r="A502" s="162" t="s">
        <v>24</v>
      </c>
      <c r="B502" s="163"/>
      <c r="C502" s="56"/>
      <c r="D502" s="168"/>
      <c r="E502" s="168"/>
      <c r="F502" s="168"/>
      <c r="G502" s="168"/>
      <c r="H502" s="168"/>
      <c r="I502" s="168"/>
      <c r="J502" s="168"/>
      <c r="K502" s="168"/>
      <c r="L502" s="168"/>
      <c r="M502" s="168"/>
      <c r="N502" s="168"/>
      <c r="O502" s="168"/>
    </row>
    <row r="503" spans="1:15" ht="14.4" hidden="1" x14ac:dyDescent="0.3">
      <c r="A503" s="55" t="s">
        <v>25</v>
      </c>
      <c r="B503" s="165"/>
      <c r="C503" s="56" t="s">
        <v>19</v>
      </c>
      <c r="D503" s="167">
        <v>0</v>
      </c>
      <c r="E503" s="167"/>
      <c r="F503" s="166"/>
      <c r="G503" s="166"/>
      <c r="H503" s="166"/>
      <c r="I503" s="166"/>
      <c r="J503" s="166"/>
      <c r="K503" s="166"/>
      <c r="L503" s="166"/>
      <c r="M503" s="166"/>
      <c r="N503" s="166"/>
      <c r="O503" s="166"/>
    </row>
    <row r="504" spans="1:15" ht="14.4" hidden="1" x14ac:dyDescent="0.3">
      <c r="A504" s="162" t="s">
        <v>26</v>
      </c>
      <c r="B504" s="162"/>
      <c r="C504" s="56"/>
      <c r="D504" s="170"/>
      <c r="E504" s="170"/>
      <c r="F504" s="170"/>
      <c r="G504" s="170"/>
      <c r="H504" s="170"/>
      <c r="I504" s="170"/>
      <c r="J504" s="170"/>
      <c r="K504" s="170"/>
      <c r="L504" s="170"/>
      <c r="M504" s="170"/>
      <c r="N504" s="170"/>
      <c r="O504" s="170"/>
    </row>
    <row r="505" spans="1:15" ht="14.4" hidden="1" x14ac:dyDescent="0.3">
      <c r="A505" s="55" t="s">
        <v>27</v>
      </c>
      <c r="B505" s="55"/>
      <c r="C505" s="56" t="s">
        <v>19</v>
      </c>
      <c r="D505" s="167">
        <v>0</v>
      </c>
      <c r="E505" s="167"/>
      <c r="F505" s="167"/>
      <c r="G505" s="167"/>
      <c r="H505" s="167"/>
      <c r="I505" s="167"/>
      <c r="J505" s="167"/>
      <c r="K505" s="167"/>
      <c r="L505" s="167"/>
      <c r="M505" s="167"/>
      <c r="N505" s="167"/>
      <c r="O505" s="167"/>
    </row>
    <row r="506" spans="1:15" ht="14.4" hidden="1" x14ac:dyDescent="0.3">
      <c r="A506" s="55" t="s">
        <v>28</v>
      </c>
      <c r="B506" s="55"/>
      <c r="C506" s="56" t="s">
        <v>23</v>
      </c>
      <c r="D506" s="169">
        <v>0</v>
      </c>
      <c r="E506" s="169"/>
      <c r="F506" s="167"/>
      <c r="G506" s="167"/>
      <c r="H506" s="167"/>
      <c r="I506" s="167"/>
      <c r="J506" s="167"/>
      <c r="K506" s="167"/>
      <c r="L506" s="167"/>
      <c r="M506" s="167"/>
      <c r="N506" s="167"/>
      <c r="O506" s="167"/>
    </row>
    <row r="507" spans="1:15" ht="14.4" hidden="1" x14ac:dyDescent="0.3">
      <c r="A507" s="162" t="s">
        <v>29</v>
      </c>
      <c r="B507" s="162"/>
      <c r="C507" s="56"/>
      <c r="D507" s="171"/>
      <c r="E507" s="171"/>
      <c r="F507" s="171"/>
      <c r="G507" s="171"/>
      <c r="H507" s="171"/>
      <c r="I507" s="171"/>
      <c r="J507" s="171"/>
      <c r="K507" s="171"/>
      <c r="L507" s="171"/>
      <c r="M507" s="171"/>
      <c r="N507" s="171"/>
      <c r="O507" s="171"/>
    </row>
    <row r="508" spans="1:15" ht="14.4" hidden="1" x14ac:dyDescent="0.3">
      <c r="A508" s="55" t="s">
        <v>30</v>
      </c>
      <c r="B508" s="55"/>
      <c r="C508" s="56" t="s">
        <v>19</v>
      </c>
      <c r="D508" s="167">
        <v>0</v>
      </c>
      <c r="E508" s="167"/>
      <c r="F508" s="167"/>
      <c r="G508" s="167"/>
      <c r="H508" s="167"/>
      <c r="I508" s="167"/>
      <c r="J508" s="167"/>
      <c r="K508" s="167"/>
      <c r="L508" s="167"/>
      <c r="M508" s="167"/>
      <c r="N508" s="167"/>
      <c r="O508" s="167"/>
    </row>
    <row r="509" spans="1:15" ht="14.4" hidden="1" x14ac:dyDescent="0.3">
      <c r="A509" s="55" t="s">
        <v>31</v>
      </c>
      <c r="B509" s="55"/>
      <c r="C509" s="56" t="s">
        <v>32</v>
      </c>
      <c r="D509" s="169">
        <v>0</v>
      </c>
      <c r="E509" s="169"/>
      <c r="F509" s="167"/>
      <c r="G509" s="167"/>
      <c r="H509" s="167"/>
      <c r="I509" s="167"/>
      <c r="J509" s="167"/>
      <c r="K509" s="167"/>
      <c r="L509" s="167"/>
      <c r="M509" s="167"/>
      <c r="N509" s="167"/>
      <c r="O509" s="167"/>
    </row>
    <row r="510" spans="1:15" ht="14.4" hidden="1" x14ac:dyDescent="0.3">
      <c r="A510" s="162" t="s">
        <v>33</v>
      </c>
      <c r="B510" s="162"/>
      <c r="C510" s="56"/>
      <c r="D510" s="171"/>
      <c r="E510" s="171"/>
      <c r="F510" s="171"/>
      <c r="G510" s="171"/>
      <c r="H510" s="171"/>
      <c r="I510" s="171"/>
      <c r="J510" s="171"/>
      <c r="K510" s="171"/>
      <c r="L510" s="171"/>
      <c r="M510" s="171"/>
      <c r="N510" s="171"/>
      <c r="O510" s="171"/>
    </row>
    <row r="511" spans="1:15" ht="14.4" hidden="1" x14ac:dyDescent="0.3">
      <c r="A511" s="55" t="s">
        <v>34</v>
      </c>
      <c r="B511" s="55"/>
      <c r="C511" s="56" t="s">
        <v>19</v>
      </c>
      <c r="D511" s="167">
        <v>0</v>
      </c>
      <c r="E511" s="167"/>
      <c r="F511" s="167"/>
      <c r="G511" s="167"/>
      <c r="H511" s="167"/>
      <c r="I511" s="167"/>
      <c r="J511" s="167"/>
      <c r="K511" s="167"/>
      <c r="L511" s="167"/>
      <c r="M511" s="167"/>
      <c r="N511" s="167"/>
      <c r="O511" s="167"/>
    </row>
    <row r="512" spans="1:15" ht="14.4" hidden="1" x14ac:dyDescent="0.3">
      <c r="A512" s="55" t="s">
        <v>35</v>
      </c>
      <c r="B512" s="55"/>
      <c r="C512" s="56" t="s">
        <v>36</v>
      </c>
      <c r="D512" s="169">
        <v>0</v>
      </c>
      <c r="E512" s="169"/>
      <c r="F512" s="167"/>
      <c r="G512" s="167"/>
      <c r="H512" s="167"/>
      <c r="I512" s="167"/>
      <c r="J512" s="167"/>
      <c r="K512" s="167"/>
      <c r="L512" s="167"/>
      <c r="M512" s="167"/>
      <c r="N512" s="167"/>
      <c r="O512" s="167"/>
    </row>
    <row r="513" spans="1:15" ht="14.4" hidden="1" x14ac:dyDescent="0.3">
      <c r="A513" s="162" t="s">
        <v>37</v>
      </c>
      <c r="B513" s="162"/>
      <c r="C513" s="56"/>
      <c r="D513" s="171"/>
      <c r="E513" s="171"/>
      <c r="F513" s="171"/>
      <c r="G513" s="171"/>
      <c r="H513" s="171"/>
      <c r="I513" s="171"/>
      <c r="J513" s="171"/>
      <c r="K513" s="171"/>
      <c r="L513" s="171"/>
      <c r="M513" s="171"/>
      <c r="N513" s="171"/>
      <c r="O513" s="171"/>
    </row>
    <row r="514" spans="1:15" ht="14.4" hidden="1" x14ac:dyDescent="0.3">
      <c r="A514" s="172" t="s">
        <v>38</v>
      </c>
      <c r="B514" s="55"/>
      <c r="C514" s="56" t="s">
        <v>19</v>
      </c>
      <c r="D514" s="167">
        <v>0</v>
      </c>
      <c r="E514" s="167"/>
      <c r="F514" s="167"/>
      <c r="G514" s="167"/>
      <c r="H514" s="167"/>
      <c r="I514" s="167"/>
      <c r="J514" s="167"/>
      <c r="K514" s="167"/>
      <c r="L514" s="167"/>
      <c r="M514" s="167"/>
      <c r="N514" s="167"/>
      <c r="O514" s="167"/>
    </row>
    <row r="515" spans="1:15" ht="14.4" hidden="1" x14ac:dyDescent="0.3">
      <c r="A515" s="172" t="s">
        <v>39</v>
      </c>
      <c r="B515" s="55"/>
      <c r="C515" s="56" t="s">
        <v>19</v>
      </c>
      <c r="D515" s="167">
        <v>0</v>
      </c>
      <c r="E515" s="167"/>
      <c r="F515" s="167"/>
      <c r="G515" s="167"/>
      <c r="H515" s="167"/>
      <c r="I515" s="167"/>
      <c r="J515" s="167"/>
      <c r="K515" s="167"/>
      <c r="L515" s="167"/>
      <c r="M515" s="167"/>
      <c r="N515" s="167"/>
      <c r="O515" s="167"/>
    </row>
    <row r="516" spans="1:15" ht="14.4" hidden="1" x14ac:dyDescent="0.3">
      <c r="A516" s="172" t="s">
        <v>180</v>
      </c>
      <c r="B516" s="55"/>
      <c r="C516" s="56" t="s">
        <v>19</v>
      </c>
      <c r="D516" s="167">
        <v>0</v>
      </c>
      <c r="E516" s="167"/>
      <c r="F516" s="167"/>
      <c r="G516" s="167"/>
      <c r="H516" s="167"/>
      <c r="I516" s="167"/>
      <c r="J516" s="167"/>
      <c r="K516" s="167"/>
      <c r="L516" s="167"/>
      <c r="M516" s="167"/>
      <c r="N516" s="167"/>
      <c r="O516" s="167"/>
    </row>
    <row r="517" spans="1:15" ht="14.4" hidden="1" x14ac:dyDescent="0.3">
      <c r="A517" s="173" t="s">
        <v>40</v>
      </c>
      <c r="B517" s="55"/>
      <c r="C517" s="56" t="s">
        <v>19</v>
      </c>
      <c r="D517" s="167">
        <v>0</v>
      </c>
      <c r="E517" s="167"/>
      <c r="F517" s="167"/>
      <c r="G517" s="167"/>
      <c r="H517" s="167"/>
      <c r="I517" s="167"/>
      <c r="J517" s="167"/>
      <c r="K517" s="167"/>
      <c r="L517" s="167"/>
      <c r="M517" s="167"/>
      <c r="N517" s="167"/>
      <c r="O517" s="167"/>
    </row>
    <row r="518" spans="1:15" ht="14.4" hidden="1" x14ac:dyDescent="0.3">
      <c r="A518" s="173" t="s">
        <v>41</v>
      </c>
      <c r="B518" s="55"/>
      <c r="C518" s="56" t="s">
        <v>19</v>
      </c>
      <c r="D518" s="167">
        <v>0</v>
      </c>
      <c r="E518" s="167"/>
      <c r="F518" s="167"/>
      <c r="G518" s="167"/>
      <c r="H518" s="167"/>
      <c r="I518" s="167"/>
      <c r="J518" s="167"/>
      <c r="K518" s="167"/>
      <c r="L518" s="167"/>
      <c r="M518" s="167"/>
      <c r="N518" s="167"/>
      <c r="O518" s="167"/>
    </row>
    <row r="519" spans="1:15" ht="16.2" hidden="1" x14ac:dyDescent="0.3">
      <c r="A519" s="174" t="s">
        <v>182</v>
      </c>
      <c r="B519" s="175"/>
      <c r="C519" s="56" t="s">
        <v>19</v>
      </c>
      <c r="D519" s="167">
        <v>0</v>
      </c>
      <c r="E519" s="167"/>
      <c r="F519" s="167"/>
      <c r="G519" s="167"/>
      <c r="H519" s="167"/>
      <c r="I519" s="167"/>
      <c r="J519" s="167"/>
      <c r="K519" s="167"/>
      <c r="L519" s="167"/>
      <c r="M519" s="167"/>
      <c r="N519" s="167"/>
      <c r="O519" s="167"/>
    </row>
    <row r="520" spans="1:15" ht="16.2" hidden="1" x14ac:dyDescent="0.3">
      <c r="A520" s="174" t="s">
        <v>182</v>
      </c>
      <c r="B520" s="175"/>
      <c r="C520" s="56" t="s">
        <v>19</v>
      </c>
      <c r="D520" s="167">
        <v>0</v>
      </c>
      <c r="E520" s="167"/>
      <c r="F520" s="167"/>
      <c r="G520" s="167"/>
      <c r="H520" s="167"/>
      <c r="I520" s="167"/>
      <c r="J520" s="167"/>
      <c r="K520" s="167"/>
      <c r="L520" s="167"/>
      <c r="M520" s="167"/>
      <c r="N520" s="167"/>
      <c r="O520" s="167"/>
    </row>
    <row r="521" spans="1:15" ht="16.2" hidden="1" x14ac:dyDescent="0.3">
      <c r="A521" s="174" t="s">
        <v>182</v>
      </c>
      <c r="B521" s="176"/>
      <c r="C521" s="56" t="s">
        <v>19</v>
      </c>
      <c r="D521" s="167">
        <v>0</v>
      </c>
      <c r="E521" s="167"/>
      <c r="F521" s="167"/>
      <c r="G521" s="167"/>
      <c r="H521" s="167"/>
      <c r="I521" s="167"/>
      <c r="J521" s="167"/>
      <c r="K521" s="167"/>
      <c r="L521" s="167"/>
      <c r="M521" s="167"/>
      <c r="N521" s="167"/>
      <c r="O521" s="167"/>
    </row>
    <row r="522" spans="1:15" ht="14.4" hidden="1" x14ac:dyDescent="0.3">
      <c r="A522" s="162" t="s">
        <v>42</v>
      </c>
      <c r="B522" s="162"/>
      <c r="C522" s="56"/>
      <c r="D522" s="171"/>
      <c r="E522" s="171"/>
      <c r="F522" s="171"/>
      <c r="G522" s="171"/>
      <c r="H522" s="171"/>
      <c r="I522" s="171"/>
      <c r="J522" s="171"/>
      <c r="K522" s="171"/>
      <c r="L522" s="171"/>
      <c r="M522" s="171"/>
      <c r="N522" s="171"/>
      <c r="O522" s="171"/>
    </row>
    <row r="523" spans="1:15" ht="14.4" hidden="1" x14ac:dyDescent="0.3">
      <c r="A523" s="162" t="s">
        <v>191</v>
      </c>
      <c r="B523" s="162"/>
      <c r="C523" s="56" t="s">
        <v>44</v>
      </c>
      <c r="D523" s="177">
        <v>0</v>
      </c>
      <c r="E523" s="177"/>
      <c r="F523" s="177"/>
      <c r="G523" s="177"/>
      <c r="H523" s="177"/>
      <c r="I523" s="177"/>
      <c r="J523" s="177"/>
      <c r="K523" s="177"/>
      <c r="L523" s="177"/>
      <c r="M523" s="177"/>
      <c r="N523" s="177"/>
      <c r="O523" s="177"/>
    </row>
    <row r="524" spans="1:15" ht="14.4" hidden="1" x14ac:dyDescent="0.3">
      <c r="A524" s="162" t="s">
        <v>183</v>
      </c>
      <c r="B524" s="162"/>
      <c r="C524" s="56"/>
      <c r="D524" s="178"/>
      <c r="E524" s="178"/>
      <c r="F524" s="178"/>
      <c r="G524" s="178"/>
      <c r="H524" s="178"/>
      <c r="I524" s="178"/>
      <c r="J524" s="178"/>
      <c r="K524" s="178"/>
      <c r="L524" s="178"/>
      <c r="M524" s="178"/>
      <c r="N524" s="178"/>
      <c r="O524" s="178"/>
    </row>
    <row r="525" spans="1:15" ht="14.4" hidden="1" x14ac:dyDescent="0.3">
      <c r="A525" s="162" t="s">
        <v>184</v>
      </c>
      <c r="B525" s="162"/>
      <c r="C525" s="56" t="s">
        <v>19</v>
      </c>
      <c r="D525" s="167">
        <v>0</v>
      </c>
      <c r="E525" s="167"/>
      <c r="F525" s="167"/>
      <c r="G525" s="167"/>
      <c r="H525" s="167"/>
      <c r="I525" s="167"/>
      <c r="J525" s="167"/>
      <c r="K525" s="167"/>
      <c r="L525" s="167"/>
      <c r="M525" s="167"/>
      <c r="N525" s="167"/>
      <c r="O525" s="167"/>
    </row>
    <row r="526" spans="1:15" ht="14.4" hidden="1" x14ac:dyDescent="0.3">
      <c r="A526" s="162" t="s">
        <v>45</v>
      </c>
      <c r="B526" s="162"/>
      <c r="C526" s="56"/>
      <c r="D526" s="178"/>
      <c r="E526" s="178"/>
      <c r="F526" s="178"/>
      <c r="G526" s="178"/>
      <c r="H526" s="178"/>
      <c r="I526" s="178"/>
      <c r="J526" s="178"/>
      <c r="K526" s="178"/>
      <c r="L526" s="178"/>
      <c r="M526" s="178"/>
      <c r="N526" s="178"/>
      <c r="O526" s="178"/>
    </row>
    <row r="527" spans="1:15" ht="14.4" hidden="1" x14ac:dyDescent="0.3">
      <c r="A527" s="162" t="s">
        <v>46</v>
      </c>
      <c r="B527" s="162"/>
      <c r="C527" s="56" t="s">
        <v>19</v>
      </c>
      <c r="D527" s="167">
        <v>0</v>
      </c>
      <c r="E527" s="167"/>
      <c r="F527" s="167"/>
      <c r="G527" s="167"/>
      <c r="H527" s="167"/>
      <c r="I527" s="167"/>
      <c r="J527" s="167"/>
      <c r="K527" s="167"/>
      <c r="L527" s="167"/>
      <c r="M527" s="167"/>
      <c r="N527" s="167"/>
      <c r="O527" s="167"/>
    </row>
    <row r="528" spans="1:15" ht="14.4" hidden="1" x14ac:dyDescent="0.3">
      <c r="A528" s="162" t="s">
        <v>185</v>
      </c>
      <c r="B528" s="162"/>
      <c r="C528" s="56"/>
      <c r="D528" s="178"/>
      <c r="E528" s="178"/>
      <c r="F528" s="178"/>
      <c r="G528" s="178"/>
      <c r="H528" s="178"/>
      <c r="I528" s="178"/>
      <c r="J528" s="178"/>
      <c r="K528" s="178"/>
      <c r="L528" s="178"/>
      <c r="M528" s="178"/>
      <c r="N528" s="178"/>
      <c r="O528" s="178"/>
    </row>
    <row r="529" spans="1:15" ht="14.4" hidden="1" x14ac:dyDescent="0.3">
      <c r="A529" s="162" t="s">
        <v>186</v>
      </c>
      <c r="B529" s="162"/>
      <c r="C529" s="56" t="s">
        <v>19</v>
      </c>
      <c r="D529" s="167">
        <v>0</v>
      </c>
      <c r="E529" s="167"/>
      <c r="F529" s="167"/>
      <c r="G529" s="167"/>
      <c r="H529" s="167"/>
      <c r="I529" s="167"/>
      <c r="J529" s="167"/>
      <c r="K529" s="167"/>
      <c r="L529" s="167"/>
      <c r="M529" s="167"/>
      <c r="N529" s="167"/>
      <c r="O529" s="167"/>
    </row>
    <row r="530" spans="1:15" ht="14.4" hidden="1" x14ac:dyDescent="0.3">
      <c r="A530" s="162" t="s">
        <v>47</v>
      </c>
      <c r="B530" s="162"/>
      <c r="C530" s="56"/>
      <c r="D530" s="171"/>
      <c r="E530" s="171"/>
      <c r="F530" s="171"/>
      <c r="G530" s="171"/>
      <c r="H530" s="171"/>
      <c r="I530" s="171"/>
      <c r="J530" s="171"/>
      <c r="K530" s="171"/>
      <c r="L530" s="171"/>
      <c r="M530" s="171"/>
      <c r="N530" s="171"/>
      <c r="O530" s="171"/>
    </row>
    <row r="531" spans="1:15" ht="14.4" hidden="1" x14ac:dyDescent="0.3">
      <c r="A531" s="55" t="s">
        <v>48</v>
      </c>
      <c r="B531" s="55"/>
      <c r="C531" s="56" t="s">
        <v>19</v>
      </c>
      <c r="D531" s="167">
        <v>0</v>
      </c>
      <c r="E531" s="167"/>
      <c r="F531" s="167"/>
      <c r="G531" s="167"/>
      <c r="H531" s="167"/>
      <c r="I531" s="167"/>
      <c r="J531" s="167"/>
      <c r="K531" s="167"/>
      <c r="L531" s="167"/>
      <c r="M531" s="167"/>
      <c r="N531" s="167"/>
      <c r="O531" s="167"/>
    </row>
    <row r="532" spans="1:15" ht="14.4" hidden="1" x14ac:dyDescent="0.3">
      <c r="A532" s="55" t="s">
        <v>49</v>
      </c>
      <c r="B532" s="55"/>
      <c r="C532" s="56" t="s">
        <v>19</v>
      </c>
      <c r="D532" s="167">
        <v>0</v>
      </c>
      <c r="E532" s="167"/>
      <c r="F532" s="167"/>
      <c r="G532" s="167"/>
      <c r="H532" s="167"/>
      <c r="I532" s="167"/>
      <c r="J532" s="167"/>
      <c r="K532" s="167"/>
      <c r="L532" s="167"/>
      <c r="M532" s="167"/>
      <c r="N532" s="167"/>
      <c r="O532" s="167"/>
    </row>
    <row r="533" spans="1:15" ht="14.4" hidden="1" x14ac:dyDescent="0.3">
      <c r="A533" s="162" t="s">
        <v>52</v>
      </c>
      <c r="B533" s="162"/>
      <c r="C533" s="179"/>
      <c r="D533" s="170"/>
      <c r="E533" s="170"/>
      <c r="F533" s="170"/>
      <c r="G533" s="170"/>
      <c r="H533" s="170"/>
      <c r="I533" s="170"/>
      <c r="J533" s="170"/>
      <c r="K533" s="170"/>
      <c r="L533" s="170"/>
      <c r="M533" s="170"/>
      <c r="N533" s="170"/>
      <c r="O533" s="170"/>
    </row>
    <row r="534" spans="1:15" ht="14.4" hidden="1" x14ac:dyDescent="0.3">
      <c r="A534" s="55" t="s">
        <v>53</v>
      </c>
      <c r="B534" s="55"/>
      <c r="C534" s="56" t="s">
        <v>44</v>
      </c>
      <c r="D534" s="180">
        <v>0</v>
      </c>
      <c r="E534" s="180"/>
      <c r="F534" s="167"/>
      <c r="G534" s="167"/>
      <c r="H534" s="167"/>
      <c r="I534" s="167"/>
      <c r="J534" s="167"/>
      <c r="K534" s="167"/>
      <c r="L534" s="167"/>
      <c r="M534" s="167"/>
      <c r="N534" s="167"/>
      <c r="O534" s="167"/>
    </row>
    <row r="535" spans="1:15" ht="14.4" hidden="1" x14ac:dyDescent="0.3">
      <c r="A535" s="55" t="s">
        <v>54</v>
      </c>
      <c r="B535" s="55"/>
      <c r="C535" s="56" t="s">
        <v>44</v>
      </c>
      <c r="D535" s="180">
        <v>0</v>
      </c>
      <c r="E535" s="180"/>
      <c r="F535" s="167"/>
      <c r="G535" s="167"/>
      <c r="H535" s="167"/>
      <c r="I535" s="167"/>
      <c r="J535" s="167"/>
      <c r="K535" s="167"/>
      <c r="L535" s="167"/>
      <c r="M535" s="167"/>
      <c r="N535" s="167"/>
      <c r="O535" s="167"/>
    </row>
    <row r="536" spans="1:15" ht="14.4" hidden="1" x14ac:dyDescent="0.3">
      <c r="A536" s="55" t="s">
        <v>55</v>
      </c>
      <c r="B536" s="55"/>
      <c r="C536" s="56" t="s">
        <v>44</v>
      </c>
      <c r="D536" s="180">
        <v>0</v>
      </c>
      <c r="E536" s="180"/>
      <c r="F536" s="167"/>
      <c r="G536" s="167"/>
      <c r="H536" s="167"/>
      <c r="I536" s="167"/>
      <c r="J536" s="167"/>
      <c r="K536" s="167"/>
      <c r="L536" s="167"/>
      <c r="M536" s="167"/>
      <c r="N536" s="167"/>
      <c r="O536" s="167"/>
    </row>
    <row r="537" spans="1:15" ht="14.4" hidden="1" x14ac:dyDescent="0.3">
      <c r="A537" s="55" t="s">
        <v>187</v>
      </c>
      <c r="B537" s="55"/>
      <c r="C537" s="56" t="s">
        <v>44</v>
      </c>
      <c r="D537" s="180">
        <v>0</v>
      </c>
      <c r="E537" s="180"/>
      <c r="F537" s="167"/>
      <c r="G537" s="167"/>
      <c r="H537" s="167"/>
      <c r="I537" s="167"/>
      <c r="J537" s="167"/>
      <c r="K537" s="167"/>
      <c r="L537" s="167"/>
      <c r="M537" s="167"/>
      <c r="N537" s="167"/>
      <c r="O537" s="167"/>
    </row>
    <row r="538" spans="1:15" ht="14.4" hidden="1" x14ac:dyDescent="0.3">
      <c r="A538" s="55" t="s">
        <v>188</v>
      </c>
      <c r="B538" s="55"/>
      <c r="C538" s="56" t="s">
        <v>44</v>
      </c>
      <c r="D538" s="180">
        <v>0</v>
      </c>
      <c r="E538" s="180"/>
      <c r="F538" s="167"/>
      <c r="G538" s="167"/>
      <c r="H538" s="167"/>
      <c r="I538" s="167"/>
      <c r="J538" s="167"/>
      <c r="K538" s="167"/>
      <c r="L538" s="167"/>
      <c r="M538" s="167"/>
      <c r="N538" s="167"/>
      <c r="O538" s="167"/>
    </row>
    <row r="539" spans="1:15" ht="14.4" hidden="1" x14ac:dyDescent="0.3">
      <c r="A539" s="55" t="s">
        <v>56</v>
      </c>
      <c r="B539" s="55"/>
      <c r="C539" s="56" t="s">
        <v>44</v>
      </c>
      <c r="D539" s="180">
        <v>0</v>
      </c>
      <c r="E539" s="180"/>
      <c r="F539" s="180"/>
      <c r="G539" s="180"/>
      <c r="H539" s="180"/>
      <c r="I539" s="180"/>
      <c r="J539" s="180"/>
      <c r="K539" s="180"/>
      <c r="L539" s="180"/>
      <c r="M539" s="180"/>
      <c r="N539" s="180"/>
      <c r="O539" s="180"/>
    </row>
    <row r="540" spans="1:15" ht="14.4" hidden="1" x14ac:dyDescent="0.3">
      <c r="A540" s="55" t="s">
        <v>57</v>
      </c>
      <c r="B540" s="55"/>
      <c r="C540" s="56" t="s">
        <v>44</v>
      </c>
      <c r="D540" s="180">
        <v>0</v>
      </c>
      <c r="E540" s="180"/>
      <c r="F540" s="180"/>
      <c r="G540" s="180"/>
      <c r="H540" s="180"/>
      <c r="I540" s="180"/>
      <c r="J540" s="180"/>
      <c r="K540" s="180"/>
      <c r="L540" s="180"/>
      <c r="M540" s="180"/>
      <c r="N540" s="180"/>
      <c r="O540" s="180"/>
    </row>
    <row r="541" spans="1:15" hidden="1" x14ac:dyDescent="0.3"/>
    <row r="542" spans="1:15" ht="18" hidden="1" x14ac:dyDescent="0.35">
      <c r="A542" s="60" t="str">
        <f>'[40]Statistical data'!A195</f>
        <v>Customer Class with mix rate5</v>
      </c>
      <c r="B542" s="59"/>
      <c r="C542" s="5" t="s">
        <v>190</v>
      </c>
      <c r="D542" s="160"/>
      <c r="E542" s="160"/>
      <c r="F542" s="160"/>
      <c r="G542" s="160"/>
      <c r="H542" s="160"/>
      <c r="I542" s="160"/>
      <c r="J542" s="160"/>
      <c r="K542" s="160"/>
      <c r="L542" s="160"/>
      <c r="M542" s="160"/>
      <c r="N542" s="160"/>
      <c r="O542" s="160"/>
    </row>
    <row r="543" spans="1:15" ht="25.5" hidden="1" customHeight="1" x14ac:dyDescent="0.3">
      <c r="A543" s="161" t="s">
        <v>3</v>
      </c>
      <c r="B543" s="161"/>
      <c r="C543" s="161" t="s">
        <v>4</v>
      </c>
      <c r="D543" s="161" t="s">
        <v>5</v>
      </c>
      <c r="E543" s="161" t="s">
        <v>6</v>
      </c>
      <c r="F543" s="161" t="s">
        <v>7</v>
      </c>
      <c r="G543" s="161" t="s">
        <v>8</v>
      </c>
      <c r="H543" s="161" t="s">
        <v>9</v>
      </c>
      <c r="I543" s="161" t="s">
        <v>9</v>
      </c>
      <c r="J543" s="161" t="s">
        <v>10</v>
      </c>
      <c r="K543" s="161" t="s">
        <v>11</v>
      </c>
      <c r="L543" s="161" t="s">
        <v>12</v>
      </c>
      <c r="M543" s="161" t="s">
        <v>13</v>
      </c>
      <c r="N543" s="161" t="s">
        <v>14</v>
      </c>
      <c r="O543" s="161" t="s">
        <v>15</v>
      </c>
    </row>
    <row r="544" spans="1:15" ht="14.4" hidden="1" x14ac:dyDescent="0.3">
      <c r="A544" s="162" t="s">
        <v>17</v>
      </c>
      <c r="B544" s="163"/>
      <c r="C544" s="56"/>
      <c r="D544" s="164"/>
      <c r="E544" s="164"/>
      <c r="F544" s="164"/>
      <c r="G544" s="164"/>
      <c r="H544" s="164"/>
      <c r="I544" s="164"/>
      <c r="J544" s="164"/>
      <c r="K544" s="164"/>
      <c r="L544" s="164"/>
      <c r="M544" s="164"/>
      <c r="N544" s="164"/>
      <c r="O544" s="164"/>
    </row>
    <row r="545" spans="1:15" ht="14.4" hidden="1" x14ac:dyDescent="0.3">
      <c r="A545" s="55" t="s">
        <v>18</v>
      </c>
      <c r="B545" s="165"/>
      <c r="C545" s="56" t="s">
        <v>19</v>
      </c>
      <c r="D545" s="166"/>
      <c r="E545" s="166"/>
      <c r="F545" s="166"/>
      <c r="G545" s="166"/>
      <c r="H545" s="166"/>
      <c r="I545" s="166"/>
      <c r="J545" s="166"/>
      <c r="K545" s="166"/>
      <c r="L545" s="166"/>
      <c r="M545" s="166"/>
      <c r="N545" s="166"/>
      <c r="O545" s="166"/>
    </row>
    <row r="546" spans="1:15" ht="14.4" hidden="1" x14ac:dyDescent="0.3">
      <c r="A546" s="55" t="s">
        <v>66</v>
      </c>
      <c r="B546" s="165"/>
      <c r="C546" s="56" t="s">
        <v>19</v>
      </c>
      <c r="D546" s="167">
        <v>0</v>
      </c>
      <c r="E546" s="167"/>
      <c r="F546" s="166"/>
      <c r="G546" s="166"/>
      <c r="H546" s="166"/>
      <c r="I546" s="166"/>
      <c r="J546" s="166"/>
      <c r="K546" s="166"/>
      <c r="L546" s="166"/>
      <c r="M546" s="166"/>
      <c r="N546" s="166"/>
      <c r="O546" s="166"/>
    </row>
    <row r="547" spans="1:15" ht="14.4" hidden="1" x14ac:dyDescent="0.3">
      <c r="A547" s="162" t="s">
        <v>20</v>
      </c>
      <c r="B547" s="163"/>
      <c r="C547" s="56"/>
      <c r="D547" s="168"/>
      <c r="E547" s="168"/>
      <c r="F547" s="168"/>
      <c r="G547" s="168"/>
      <c r="H547" s="168"/>
      <c r="I547" s="168"/>
      <c r="J547" s="168"/>
      <c r="K547" s="168"/>
      <c r="L547" s="168"/>
      <c r="M547" s="168"/>
      <c r="N547" s="168"/>
      <c r="O547" s="168"/>
    </row>
    <row r="548" spans="1:15" ht="14.4" hidden="1" x14ac:dyDescent="0.3">
      <c r="A548" s="55" t="s">
        <v>21</v>
      </c>
      <c r="B548" s="165"/>
      <c r="C548" s="56" t="s">
        <v>19</v>
      </c>
      <c r="D548" s="167">
        <v>0</v>
      </c>
      <c r="E548" s="167"/>
      <c r="F548" s="166"/>
      <c r="G548" s="166"/>
      <c r="H548" s="166"/>
      <c r="I548" s="166"/>
      <c r="J548" s="166"/>
      <c r="K548" s="166"/>
      <c r="L548" s="166"/>
      <c r="M548" s="166"/>
      <c r="N548" s="166"/>
      <c r="O548" s="166"/>
    </row>
    <row r="549" spans="1:15" ht="14.4" hidden="1" x14ac:dyDescent="0.3">
      <c r="A549" s="55" t="s">
        <v>22</v>
      </c>
      <c r="B549" s="165"/>
      <c r="C549" s="56" t="s">
        <v>23</v>
      </c>
      <c r="D549" s="169">
        <v>0</v>
      </c>
      <c r="E549" s="169"/>
      <c r="F549" s="166"/>
      <c r="G549" s="166"/>
      <c r="H549" s="166"/>
      <c r="I549" s="166"/>
      <c r="J549" s="166"/>
      <c r="K549" s="166"/>
      <c r="L549" s="166"/>
      <c r="M549" s="166"/>
      <c r="N549" s="166"/>
      <c r="O549" s="166"/>
    </row>
    <row r="550" spans="1:15" ht="14.4" hidden="1" x14ac:dyDescent="0.3">
      <c r="A550" s="162" t="s">
        <v>24</v>
      </c>
      <c r="B550" s="163"/>
      <c r="C550" s="56"/>
      <c r="D550" s="168"/>
      <c r="E550" s="168"/>
      <c r="F550" s="168"/>
      <c r="G550" s="168"/>
      <c r="H550" s="168"/>
      <c r="I550" s="168"/>
      <c r="J550" s="168"/>
      <c r="K550" s="168"/>
      <c r="L550" s="168"/>
      <c r="M550" s="168"/>
      <c r="N550" s="168"/>
      <c r="O550" s="168"/>
    </row>
    <row r="551" spans="1:15" ht="14.4" hidden="1" x14ac:dyDescent="0.3">
      <c r="A551" s="55" t="s">
        <v>25</v>
      </c>
      <c r="B551" s="165"/>
      <c r="C551" s="56" t="s">
        <v>19</v>
      </c>
      <c r="D551" s="167">
        <v>0</v>
      </c>
      <c r="E551" s="167"/>
      <c r="F551" s="166"/>
      <c r="G551" s="166"/>
      <c r="H551" s="166"/>
      <c r="I551" s="166"/>
      <c r="J551" s="166"/>
      <c r="K551" s="166"/>
      <c r="L551" s="166"/>
      <c r="M551" s="166"/>
      <c r="N551" s="166"/>
      <c r="O551" s="166"/>
    </row>
    <row r="552" spans="1:15" ht="14.4" hidden="1" x14ac:dyDescent="0.3">
      <c r="A552" s="162" t="s">
        <v>26</v>
      </c>
      <c r="B552" s="162"/>
      <c r="C552" s="56"/>
      <c r="D552" s="170"/>
      <c r="E552" s="170"/>
      <c r="F552" s="170"/>
      <c r="G552" s="170"/>
      <c r="H552" s="170"/>
      <c r="I552" s="170"/>
      <c r="J552" s="170"/>
      <c r="K552" s="170"/>
      <c r="L552" s="170"/>
      <c r="M552" s="170"/>
      <c r="N552" s="170"/>
      <c r="O552" s="170"/>
    </row>
    <row r="553" spans="1:15" ht="14.4" hidden="1" x14ac:dyDescent="0.3">
      <c r="A553" s="55" t="s">
        <v>27</v>
      </c>
      <c r="B553" s="55"/>
      <c r="C553" s="56" t="s">
        <v>19</v>
      </c>
      <c r="D553" s="167">
        <v>0</v>
      </c>
      <c r="E553" s="167"/>
      <c r="F553" s="167"/>
      <c r="G553" s="167"/>
      <c r="H553" s="167"/>
      <c r="I553" s="167"/>
      <c r="J553" s="167"/>
      <c r="K553" s="167"/>
      <c r="L553" s="167"/>
      <c r="M553" s="167"/>
      <c r="N553" s="167"/>
      <c r="O553" s="167"/>
    </row>
    <row r="554" spans="1:15" ht="14.4" hidden="1" x14ac:dyDescent="0.3">
      <c r="A554" s="55" t="s">
        <v>28</v>
      </c>
      <c r="B554" s="55"/>
      <c r="C554" s="56" t="s">
        <v>23</v>
      </c>
      <c r="D554" s="169">
        <v>0</v>
      </c>
      <c r="E554" s="169"/>
      <c r="F554" s="167"/>
      <c r="G554" s="167"/>
      <c r="H554" s="167"/>
      <c r="I554" s="167"/>
      <c r="J554" s="167"/>
      <c r="K554" s="167"/>
      <c r="L554" s="167"/>
      <c r="M554" s="167"/>
      <c r="N554" s="167"/>
      <c r="O554" s="167"/>
    </row>
    <row r="555" spans="1:15" ht="14.4" hidden="1" x14ac:dyDescent="0.3">
      <c r="A555" s="162" t="s">
        <v>29</v>
      </c>
      <c r="B555" s="162"/>
      <c r="C555" s="56"/>
      <c r="D555" s="171"/>
      <c r="E555" s="171"/>
      <c r="F555" s="171"/>
      <c r="G555" s="171"/>
      <c r="H555" s="171"/>
      <c r="I555" s="171"/>
      <c r="J555" s="171"/>
      <c r="K555" s="171"/>
      <c r="L555" s="171"/>
      <c r="M555" s="171"/>
      <c r="N555" s="171"/>
      <c r="O555" s="171"/>
    </row>
    <row r="556" spans="1:15" ht="14.4" hidden="1" x14ac:dyDescent="0.3">
      <c r="A556" s="55" t="s">
        <v>30</v>
      </c>
      <c r="B556" s="55"/>
      <c r="C556" s="56" t="s">
        <v>19</v>
      </c>
      <c r="D556" s="167">
        <v>0</v>
      </c>
      <c r="E556" s="167"/>
      <c r="F556" s="167"/>
      <c r="G556" s="167"/>
      <c r="H556" s="167"/>
      <c r="I556" s="167"/>
      <c r="J556" s="167"/>
      <c r="K556" s="167"/>
      <c r="L556" s="167"/>
      <c r="M556" s="167"/>
      <c r="N556" s="167"/>
      <c r="O556" s="167"/>
    </row>
    <row r="557" spans="1:15" ht="14.4" hidden="1" x14ac:dyDescent="0.3">
      <c r="A557" s="55" t="s">
        <v>31</v>
      </c>
      <c r="B557" s="55"/>
      <c r="C557" s="56" t="s">
        <v>32</v>
      </c>
      <c r="D557" s="169">
        <v>0</v>
      </c>
      <c r="E557" s="169"/>
      <c r="F557" s="167"/>
      <c r="G557" s="167"/>
      <c r="H557" s="167"/>
      <c r="I557" s="167"/>
      <c r="J557" s="167"/>
      <c r="K557" s="167"/>
      <c r="L557" s="167"/>
      <c r="M557" s="167"/>
      <c r="N557" s="167"/>
      <c r="O557" s="167"/>
    </row>
    <row r="558" spans="1:15" ht="14.4" hidden="1" x14ac:dyDescent="0.3">
      <c r="A558" s="162" t="s">
        <v>33</v>
      </c>
      <c r="B558" s="162"/>
      <c r="C558" s="56"/>
      <c r="D558" s="171"/>
      <c r="E558" s="171"/>
      <c r="F558" s="171"/>
      <c r="G558" s="171"/>
      <c r="H558" s="171"/>
      <c r="I558" s="171"/>
      <c r="J558" s="171"/>
      <c r="K558" s="171"/>
      <c r="L558" s="171"/>
      <c r="M558" s="171"/>
      <c r="N558" s="171"/>
      <c r="O558" s="171"/>
    </row>
    <row r="559" spans="1:15" ht="14.4" hidden="1" x14ac:dyDescent="0.3">
      <c r="A559" s="55" t="s">
        <v>34</v>
      </c>
      <c r="B559" s="55"/>
      <c r="C559" s="56" t="s">
        <v>19</v>
      </c>
      <c r="D559" s="167">
        <v>0</v>
      </c>
      <c r="E559" s="167"/>
      <c r="F559" s="167"/>
      <c r="G559" s="167"/>
      <c r="H559" s="167"/>
      <c r="I559" s="167"/>
      <c r="J559" s="167"/>
      <c r="K559" s="167"/>
      <c r="L559" s="167"/>
      <c r="M559" s="167"/>
      <c r="N559" s="167"/>
      <c r="O559" s="167"/>
    </row>
    <row r="560" spans="1:15" ht="14.4" hidden="1" x14ac:dyDescent="0.3">
      <c r="A560" s="55" t="s">
        <v>35</v>
      </c>
      <c r="B560" s="55"/>
      <c r="C560" s="56" t="s">
        <v>36</v>
      </c>
      <c r="D560" s="169">
        <v>0</v>
      </c>
      <c r="E560" s="169"/>
      <c r="F560" s="167"/>
      <c r="G560" s="167"/>
      <c r="H560" s="167"/>
      <c r="I560" s="167"/>
      <c r="J560" s="167"/>
      <c r="K560" s="167"/>
      <c r="L560" s="167"/>
      <c r="M560" s="167"/>
      <c r="N560" s="167"/>
      <c r="O560" s="167"/>
    </row>
    <row r="561" spans="1:15" ht="14.4" hidden="1" x14ac:dyDescent="0.3">
      <c r="A561" s="162" t="s">
        <v>37</v>
      </c>
      <c r="B561" s="162"/>
      <c r="C561" s="56"/>
      <c r="D561" s="171"/>
      <c r="E561" s="171"/>
      <c r="F561" s="171"/>
      <c r="G561" s="171"/>
      <c r="H561" s="171"/>
      <c r="I561" s="171"/>
      <c r="J561" s="171"/>
      <c r="K561" s="171"/>
      <c r="L561" s="171"/>
      <c r="M561" s="171"/>
      <c r="N561" s="171"/>
      <c r="O561" s="171"/>
    </row>
    <row r="562" spans="1:15" ht="14.4" hidden="1" x14ac:dyDescent="0.3">
      <c r="A562" s="172" t="s">
        <v>38</v>
      </c>
      <c r="B562" s="55"/>
      <c r="C562" s="56" t="s">
        <v>19</v>
      </c>
      <c r="D562" s="167">
        <v>0</v>
      </c>
      <c r="E562" s="167"/>
      <c r="F562" s="167"/>
      <c r="G562" s="167"/>
      <c r="H562" s="167"/>
      <c r="I562" s="167"/>
      <c r="J562" s="167"/>
      <c r="K562" s="167"/>
      <c r="L562" s="167"/>
      <c r="M562" s="167"/>
      <c r="N562" s="167"/>
      <c r="O562" s="167"/>
    </row>
    <row r="563" spans="1:15" ht="14.4" hidden="1" x14ac:dyDescent="0.3">
      <c r="A563" s="172" t="s">
        <v>39</v>
      </c>
      <c r="B563" s="55"/>
      <c r="C563" s="56" t="s">
        <v>19</v>
      </c>
      <c r="D563" s="167">
        <v>0</v>
      </c>
      <c r="E563" s="167"/>
      <c r="F563" s="167"/>
      <c r="G563" s="167"/>
      <c r="H563" s="167"/>
      <c r="I563" s="167"/>
      <c r="J563" s="167"/>
      <c r="K563" s="167"/>
      <c r="L563" s="167"/>
      <c r="M563" s="167"/>
      <c r="N563" s="167"/>
      <c r="O563" s="167"/>
    </row>
    <row r="564" spans="1:15" ht="14.4" hidden="1" x14ac:dyDescent="0.3">
      <c r="A564" s="172" t="s">
        <v>180</v>
      </c>
      <c r="B564" s="55"/>
      <c r="C564" s="56" t="s">
        <v>19</v>
      </c>
      <c r="D564" s="167">
        <v>0</v>
      </c>
      <c r="E564" s="167"/>
      <c r="F564" s="167"/>
      <c r="G564" s="167"/>
      <c r="H564" s="167"/>
      <c r="I564" s="167"/>
      <c r="J564" s="167"/>
      <c r="K564" s="167"/>
      <c r="L564" s="167"/>
      <c r="M564" s="167"/>
      <c r="N564" s="167"/>
      <c r="O564" s="167"/>
    </row>
    <row r="565" spans="1:15" ht="14.4" hidden="1" x14ac:dyDescent="0.3">
      <c r="A565" s="173" t="s">
        <v>40</v>
      </c>
      <c r="B565" s="55"/>
      <c r="C565" s="56" t="s">
        <v>19</v>
      </c>
      <c r="D565" s="167">
        <v>0</v>
      </c>
      <c r="E565" s="167"/>
      <c r="F565" s="167"/>
      <c r="G565" s="167"/>
      <c r="H565" s="167"/>
      <c r="I565" s="167"/>
      <c r="J565" s="167"/>
      <c r="K565" s="167"/>
      <c r="L565" s="167"/>
      <c r="M565" s="167"/>
      <c r="N565" s="167"/>
      <c r="O565" s="167"/>
    </row>
    <row r="566" spans="1:15" ht="14.4" hidden="1" x14ac:dyDescent="0.3">
      <c r="A566" s="173" t="s">
        <v>41</v>
      </c>
      <c r="B566" s="55"/>
      <c r="C566" s="56" t="s">
        <v>19</v>
      </c>
      <c r="D566" s="167">
        <v>0</v>
      </c>
      <c r="E566" s="167"/>
      <c r="F566" s="167"/>
      <c r="G566" s="167"/>
      <c r="H566" s="167"/>
      <c r="I566" s="167"/>
      <c r="J566" s="167"/>
      <c r="K566" s="167"/>
      <c r="L566" s="167"/>
      <c r="M566" s="167"/>
      <c r="N566" s="167"/>
      <c r="O566" s="167"/>
    </row>
    <row r="567" spans="1:15" ht="16.2" hidden="1" x14ac:dyDescent="0.3">
      <c r="A567" s="174" t="s">
        <v>182</v>
      </c>
      <c r="B567" s="175"/>
      <c r="C567" s="56" t="s">
        <v>19</v>
      </c>
      <c r="D567" s="167">
        <v>0</v>
      </c>
      <c r="E567" s="167"/>
      <c r="F567" s="167"/>
      <c r="G567" s="167"/>
      <c r="H567" s="167"/>
      <c r="I567" s="167"/>
      <c r="J567" s="167"/>
      <c r="K567" s="167"/>
      <c r="L567" s="167"/>
      <c r="M567" s="167"/>
      <c r="N567" s="167"/>
      <c r="O567" s="167"/>
    </row>
    <row r="568" spans="1:15" ht="16.2" hidden="1" x14ac:dyDescent="0.3">
      <c r="A568" s="174" t="s">
        <v>182</v>
      </c>
      <c r="B568" s="175"/>
      <c r="C568" s="56" t="s">
        <v>19</v>
      </c>
      <c r="D568" s="167">
        <v>0</v>
      </c>
      <c r="E568" s="167"/>
      <c r="F568" s="167"/>
      <c r="G568" s="167"/>
      <c r="H568" s="167"/>
      <c r="I568" s="167"/>
      <c r="J568" s="167"/>
      <c r="K568" s="167"/>
      <c r="L568" s="167"/>
      <c r="M568" s="167"/>
      <c r="N568" s="167"/>
      <c r="O568" s="167"/>
    </row>
    <row r="569" spans="1:15" ht="16.2" hidden="1" x14ac:dyDescent="0.3">
      <c r="A569" s="174" t="s">
        <v>182</v>
      </c>
      <c r="B569" s="176"/>
      <c r="C569" s="56" t="s">
        <v>19</v>
      </c>
      <c r="D569" s="167">
        <v>0</v>
      </c>
      <c r="E569" s="167"/>
      <c r="F569" s="167"/>
      <c r="G569" s="167"/>
      <c r="H569" s="167"/>
      <c r="I569" s="167"/>
      <c r="J569" s="167"/>
      <c r="K569" s="167"/>
      <c r="L569" s="167"/>
      <c r="M569" s="167"/>
      <c r="N569" s="167"/>
      <c r="O569" s="167"/>
    </row>
    <row r="570" spans="1:15" ht="14.4" hidden="1" x14ac:dyDescent="0.3">
      <c r="A570" s="162" t="s">
        <v>42</v>
      </c>
      <c r="B570" s="162"/>
      <c r="C570" s="56"/>
      <c r="D570" s="171"/>
      <c r="E570" s="171"/>
      <c r="F570" s="171"/>
      <c r="G570" s="171"/>
      <c r="H570" s="171"/>
      <c r="I570" s="171"/>
      <c r="J570" s="171"/>
      <c r="K570" s="171"/>
      <c r="L570" s="171"/>
      <c r="M570" s="171"/>
      <c r="N570" s="171"/>
      <c r="O570" s="171"/>
    </row>
    <row r="571" spans="1:15" ht="14.4" hidden="1" x14ac:dyDescent="0.3">
      <c r="A571" s="162" t="s">
        <v>191</v>
      </c>
      <c r="B571" s="162"/>
      <c r="C571" s="56" t="s">
        <v>44</v>
      </c>
      <c r="D571" s="177">
        <v>0</v>
      </c>
      <c r="E571" s="177"/>
      <c r="F571" s="177"/>
      <c r="G571" s="177"/>
      <c r="H571" s="177"/>
      <c r="I571" s="177"/>
      <c r="J571" s="177"/>
      <c r="K571" s="177"/>
      <c r="L571" s="177"/>
      <c r="M571" s="177"/>
      <c r="N571" s="177"/>
      <c r="O571" s="177"/>
    </row>
    <row r="572" spans="1:15" ht="14.4" hidden="1" x14ac:dyDescent="0.3">
      <c r="A572" s="162" t="s">
        <v>183</v>
      </c>
      <c r="B572" s="162"/>
      <c r="C572" s="56"/>
      <c r="D572" s="178"/>
      <c r="E572" s="178"/>
      <c r="F572" s="178"/>
      <c r="G572" s="178"/>
      <c r="H572" s="178"/>
      <c r="I572" s="178"/>
      <c r="J572" s="178"/>
      <c r="K572" s="178"/>
      <c r="L572" s="178"/>
      <c r="M572" s="178"/>
      <c r="N572" s="178"/>
      <c r="O572" s="178"/>
    </row>
    <row r="573" spans="1:15" ht="14.4" hidden="1" x14ac:dyDescent="0.3">
      <c r="A573" s="162" t="s">
        <v>184</v>
      </c>
      <c r="B573" s="162"/>
      <c r="C573" s="56" t="s">
        <v>19</v>
      </c>
      <c r="D573" s="167">
        <v>0</v>
      </c>
      <c r="E573" s="167"/>
      <c r="F573" s="167"/>
      <c r="G573" s="167"/>
      <c r="H573" s="167"/>
      <c r="I573" s="167"/>
      <c r="J573" s="167"/>
      <c r="K573" s="167"/>
      <c r="L573" s="167"/>
      <c r="M573" s="167"/>
      <c r="N573" s="167"/>
      <c r="O573" s="167"/>
    </row>
    <row r="574" spans="1:15" ht="14.4" hidden="1" x14ac:dyDescent="0.3">
      <c r="A574" s="162" t="s">
        <v>45</v>
      </c>
      <c r="B574" s="162"/>
      <c r="C574" s="56"/>
      <c r="D574" s="178"/>
      <c r="E574" s="178"/>
      <c r="F574" s="178"/>
      <c r="G574" s="178"/>
      <c r="H574" s="178"/>
      <c r="I574" s="178"/>
      <c r="J574" s="178"/>
      <c r="K574" s="178"/>
      <c r="L574" s="178"/>
      <c r="M574" s="178"/>
      <c r="N574" s="178"/>
      <c r="O574" s="178"/>
    </row>
    <row r="575" spans="1:15" ht="14.4" hidden="1" x14ac:dyDescent="0.3">
      <c r="A575" s="162" t="s">
        <v>46</v>
      </c>
      <c r="B575" s="162"/>
      <c r="C575" s="56" t="s">
        <v>19</v>
      </c>
      <c r="D575" s="167">
        <v>0</v>
      </c>
      <c r="E575" s="167"/>
      <c r="F575" s="167"/>
      <c r="G575" s="167"/>
      <c r="H575" s="167"/>
      <c r="I575" s="167"/>
      <c r="J575" s="167"/>
      <c r="K575" s="167"/>
      <c r="L575" s="167"/>
      <c r="M575" s="167"/>
      <c r="N575" s="167"/>
      <c r="O575" s="167"/>
    </row>
    <row r="576" spans="1:15" ht="14.4" hidden="1" x14ac:dyDescent="0.3">
      <c r="A576" s="162" t="s">
        <v>185</v>
      </c>
      <c r="B576" s="162"/>
      <c r="C576" s="56"/>
      <c r="D576" s="178"/>
      <c r="E576" s="178"/>
      <c r="F576" s="178"/>
      <c r="G576" s="178"/>
      <c r="H576" s="178"/>
      <c r="I576" s="178"/>
      <c r="J576" s="178"/>
      <c r="K576" s="178"/>
      <c r="L576" s="178"/>
      <c r="M576" s="178"/>
      <c r="N576" s="178"/>
      <c r="O576" s="178"/>
    </row>
    <row r="577" spans="1:15" ht="14.4" hidden="1" x14ac:dyDescent="0.3">
      <c r="A577" s="162" t="s">
        <v>186</v>
      </c>
      <c r="B577" s="162"/>
      <c r="C577" s="56" t="s">
        <v>19</v>
      </c>
      <c r="D577" s="167">
        <v>0</v>
      </c>
      <c r="E577" s="167"/>
      <c r="F577" s="167"/>
      <c r="G577" s="167"/>
      <c r="H577" s="167"/>
      <c r="I577" s="167"/>
      <c r="J577" s="167"/>
      <c r="K577" s="167"/>
      <c r="L577" s="167"/>
      <c r="M577" s="167"/>
      <c r="N577" s="167"/>
      <c r="O577" s="167"/>
    </row>
    <row r="578" spans="1:15" ht="14.4" hidden="1" x14ac:dyDescent="0.3">
      <c r="A578" s="162" t="s">
        <v>47</v>
      </c>
      <c r="B578" s="162"/>
      <c r="C578" s="56"/>
      <c r="D578" s="171"/>
      <c r="E578" s="171"/>
      <c r="F578" s="171"/>
      <c r="G578" s="171"/>
      <c r="H578" s="171"/>
      <c r="I578" s="171"/>
      <c r="J578" s="171"/>
      <c r="K578" s="171"/>
      <c r="L578" s="171"/>
      <c r="M578" s="171"/>
      <c r="N578" s="171"/>
      <c r="O578" s="171"/>
    </row>
    <row r="579" spans="1:15" ht="14.4" hidden="1" x14ac:dyDescent="0.3">
      <c r="A579" s="55" t="s">
        <v>48</v>
      </c>
      <c r="B579" s="55"/>
      <c r="C579" s="56" t="s">
        <v>19</v>
      </c>
      <c r="D579" s="167">
        <v>0</v>
      </c>
      <c r="E579" s="167"/>
      <c r="F579" s="167"/>
      <c r="G579" s="167"/>
      <c r="H579" s="167"/>
      <c r="I579" s="167"/>
      <c r="J579" s="167"/>
      <c r="K579" s="167"/>
      <c r="L579" s="167"/>
      <c r="M579" s="167"/>
      <c r="N579" s="167"/>
      <c r="O579" s="167"/>
    </row>
    <row r="580" spans="1:15" ht="14.4" hidden="1" x14ac:dyDescent="0.3">
      <c r="A580" s="55" t="s">
        <v>49</v>
      </c>
      <c r="B580" s="55"/>
      <c r="C580" s="56" t="s">
        <v>19</v>
      </c>
      <c r="D580" s="167">
        <v>0</v>
      </c>
      <c r="E580" s="167"/>
      <c r="F580" s="167"/>
      <c r="G580" s="167"/>
      <c r="H580" s="167"/>
      <c r="I580" s="167"/>
      <c r="J580" s="167"/>
      <c r="K580" s="167"/>
      <c r="L580" s="167"/>
      <c r="M580" s="167"/>
      <c r="N580" s="167"/>
      <c r="O580" s="167"/>
    </row>
    <row r="581" spans="1:15" ht="14.4" hidden="1" x14ac:dyDescent="0.3">
      <c r="A581" s="162" t="s">
        <v>52</v>
      </c>
      <c r="B581" s="162"/>
      <c r="C581" s="179"/>
      <c r="D581" s="170"/>
      <c r="E581" s="170"/>
      <c r="F581" s="170"/>
      <c r="G581" s="170"/>
      <c r="H581" s="170"/>
      <c r="I581" s="170"/>
      <c r="J581" s="170"/>
      <c r="K581" s="170"/>
      <c r="L581" s="170"/>
      <c r="M581" s="170"/>
      <c r="N581" s="170"/>
      <c r="O581" s="170"/>
    </row>
    <row r="582" spans="1:15" ht="14.4" hidden="1" x14ac:dyDescent="0.3">
      <c r="A582" s="55" t="s">
        <v>53</v>
      </c>
      <c r="B582" s="55"/>
      <c r="C582" s="56" t="s">
        <v>44</v>
      </c>
      <c r="D582" s="180">
        <v>0</v>
      </c>
      <c r="E582" s="180"/>
      <c r="F582" s="167"/>
      <c r="G582" s="167"/>
      <c r="H582" s="167"/>
      <c r="I582" s="167"/>
      <c r="J582" s="167"/>
      <c r="K582" s="167"/>
      <c r="L582" s="167"/>
      <c r="M582" s="167"/>
      <c r="N582" s="167"/>
      <c r="O582" s="167"/>
    </row>
    <row r="583" spans="1:15" ht="14.4" hidden="1" x14ac:dyDescent="0.3">
      <c r="A583" s="55" t="s">
        <v>54</v>
      </c>
      <c r="B583" s="55"/>
      <c r="C583" s="56" t="s">
        <v>44</v>
      </c>
      <c r="D583" s="180">
        <v>0</v>
      </c>
      <c r="E583" s="180"/>
      <c r="F583" s="167"/>
      <c r="G583" s="167"/>
      <c r="H583" s="167"/>
      <c r="I583" s="167"/>
      <c r="J583" s="167"/>
      <c r="K583" s="167"/>
      <c r="L583" s="167"/>
      <c r="M583" s="167"/>
      <c r="N583" s="167"/>
      <c r="O583" s="167"/>
    </row>
    <row r="584" spans="1:15" ht="14.4" hidden="1" x14ac:dyDescent="0.3">
      <c r="A584" s="55" t="s">
        <v>55</v>
      </c>
      <c r="B584" s="55"/>
      <c r="C584" s="56" t="s">
        <v>44</v>
      </c>
      <c r="D584" s="180">
        <v>0</v>
      </c>
      <c r="E584" s="180"/>
      <c r="F584" s="167"/>
      <c r="G584" s="167"/>
      <c r="H584" s="167"/>
      <c r="I584" s="167"/>
      <c r="J584" s="167"/>
      <c r="K584" s="167"/>
      <c r="L584" s="167"/>
      <c r="M584" s="167"/>
      <c r="N584" s="167"/>
      <c r="O584" s="167"/>
    </row>
    <row r="585" spans="1:15" ht="14.4" hidden="1" x14ac:dyDescent="0.3">
      <c r="A585" s="55" t="s">
        <v>187</v>
      </c>
      <c r="B585" s="55"/>
      <c r="C585" s="56" t="s">
        <v>44</v>
      </c>
      <c r="D585" s="180">
        <v>0</v>
      </c>
      <c r="E585" s="180"/>
      <c r="F585" s="167"/>
      <c r="G585" s="167"/>
      <c r="H585" s="167"/>
      <c r="I585" s="167"/>
      <c r="J585" s="167"/>
      <c r="K585" s="167"/>
      <c r="L585" s="167"/>
      <c r="M585" s="167"/>
      <c r="N585" s="167"/>
      <c r="O585" s="167"/>
    </row>
    <row r="586" spans="1:15" ht="14.4" hidden="1" x14ac:dyDescent="0.3">
      <c r="A586" s="55" t="s">
        <v>188</v>
      </c>
      <c r="B586" s="55"/>
      <c r="C586" s="56" t="s">
        <v>44</v>
      </c>
      <c r="D586" s="180">
        <v>0</v>
      </c>
      <c r="E586" s="180"/>
      <c r="F586" s="167"/>
      <c r="G586" s="167"/>
      <c r="H586" s="167"/>
      <c r="I586" s="167"/>
      <c r="J586" s="167"/>
      <c r="K586" s="167"/>
      <c r="L586" s="167"/>
      <c r="M586" s="167"/>
      <c r="N586" s="167"/>
      <c r="O586" s="167"/>
    </row>
    <row r="587" spans="1:15" ht="14.4" hidden="1" x14ac:dyDescent="0.3">
      <c r="A587" s="55" t="s">
        <v>56</v>
      </c>
      <c r="B587" s="55"/>
      <c r="C587" s="56" t="s">
        <v>44</v>
      </c>
      <c r="D587" s="180">
        <v>0</v>
      </c>
      <c r="E587" s="180"/>
      <c r="F587" s="180"/>
      <c r="G587" s="180"/>
      <c r="H587" s="180"/>
      <c r="I587" s="180"/>
      <c r="J587" s="180"/>
      <c r="K587" s="180"/>
      <c r="L587" s="180"/>
      <c r="M587" s="180"/>
      <c r="N587" s="180"/>
      <c r="O587" s="180"/>
    </row>
    <row r="588" spans="1:15" ht="14.4" hidden="1" x14ac:dyDescent="0.3">
      <c r="A588" s="55" t="s">
        <v>57</v>
      </c>
      <c r="B588" s="55"/>
      <c r="C588" s="56" t="s">
        <v>44</v>
      </c>
      <c r="D588" s="180">
        <v>0</v>
      </c>
      <c r="E588" s="180"/>
      <c r="F588" s="180"/>
      <c r="G588" s="180"/>
      <c r="H588" s="180"/>
      <c r="I588" s="180"/>
      <c r="J588" s="180"/>
      <c r="K588" s="180"/>
      <c r="L588" s="180"/>
      <c r="M588" s="180"/>
      <c r="N588" s="180"/>
      <c r="O588" s="180"/>
    </row>
    <row r="589" spans="1:15" ht="14.4" hidden="1" x14ac:dyDescent="0.3">
      <c r="D589" s="58"/>
      <c r="E589" s="58"/>
      <c r="F589" s="58"/>
      <c r="G589" s="58"/>
      <c r="H589" s="58"/>
      <c r="I589" s="58"/>
      <c r="J589" s="58"/>
      <c r="K589" s="58"/>
      <c r="L589" s="58"/>
      <c r="M589" s="58"/>
      <c r="N589" s="58"/>
      <c r="O589" s="58"/>
    </row>
    <row r="590" spans="1:15" ht="18" hidden="1" x14ac:dyDescent="0.35">
      <c r="A590" s="59" t="str">
        <f>'[40]Statistical data'!A196</f>
        <v>Customer Class with mix rate6</v>
      </c>
      <c r="C590" s="5" t="s">
        <v>190</v>
      </c>
      <c r="D590" s="160"/>
      <c r="E590" s="160"/>
      <c r="F590" s="160"/>
      <c r="G590" s="160"/>
      <c r="H590" s="160"/>
      <c r="I590" s="160"/>
      <c r="J590" s="160"/>
      <c r="K590" s="160"/>
      <c r="L590" s="160"/>
      <c r="M590" s="160"/>
      <c r="N590" s="160"/>
      <c r="O590" s="160"/>
    </row>
    <row r="591" spans="1:15" ht="14.4" hidden="1" x14ac:dyDescent="0.3">
      <c r="A591" s="161" t="s">
        <v>3</v>
      </c>
      <c r="B591" s="161"/>
      <c r="C591" s="161" t="s">
        <v>4</v>
      </c>
      <c r="D591" s="161" t="s">
        <v>5</v>
      </c>
      <c r="E591" s="161" t="s">
        <v>6</v>
      </c>
      <c r="F591" s="161" t="s">
        <v>7</v>
      </c>
      <c r="G591" s="161" t="s">
        <v>8</v>
      </c>
      <c r="H591" s="161" t="s">
        <v>9</v>
      </c>
      <c r="I591" s="161" t="s">
        <v>9</v>
      </c>
      <c r="J591" s="161" t="s">
        <v>10</v>
      </c>
      <c r="K591" s="161" t="s">
        <v>11</v>
      </c>
      <c r="L591" s="161" t="s">
        <v>12</v>
      </c>
      <c r="M591" s="161" t="s">
        <v>13</v>
      </c>
      <c r="N591" s="161" t="s">
        <v>14</v>
      </c>
      <c r="O591" s="161" t="s">
        <v>15</v>
      </c>
    </row>
    <row r="592" spans="1:15" ht="14.4" hidden="1" x14ac:dyDescent="0.3">
      <c r="A592" s="162" t="s">
        <v>17</v>
      </c>
      <c r="B592" s="163"/>
      <c r="C592" s="56"/>
      <c r="D592" s="164"/>
      <c r="E592" s="164"/>
      <c r="F592" s="164"/>
      <c r="G592" s="164"/>
      <c r="H592" s="164"/>
      <c r="I592" s="164"/>
      <c r="J592" s="164"/>
      <c r="K592" s="164"/>
      <c r="L592" s="164"/>
      <c r="M592" s="164"/>
      <c r="N592" s="164"/>
      <c r="O592" s="164"/>
    </row>
    <row r="593" spans="1:15" ht="14.4" hidden="1" x14ac:dyDescent="0.3">
      <c r="A593" s="55" t="s">
        <v>18</v>
      </c>
      <c r="B593" s="165"/>
      <c r="C593" s="56" t="s">
        <v>19</v>
      </c>
      <c r="D593" s="166"/>
      <c r="E593" s="166"/>
      <c r="F593" s="166"/>
      <c r="G593" s="166"/>
      <c r="H593" s="166"/>
      <c r="I593" s="166"/>
      <c r="J593" s="166"/>
      <c r="K593" s="166"/>
      <c r="L593" s="166"/>
      <c r="M593" s="166"/>
      <c r="N593" s="166"/>
      <c r="O593" s="166"/>
    </row>
    <row r="594" spans="1:15" ht="14.4" hidden="1" x14ac:dyDescent="0.3">
      <c r="A594" s="55" t="s">
        <v>66</v>
      </c>
      <c r="B594" s="165"/>
      <c r="C594" s="56" t="s">
        <v>19</v>
      </c>
      <c r="D594" s="167">
        <v>0</v>
      </c>
      <c r="E594" s="167"/>
      <c r="F594" s="166"/>
      <c r="G594" s="166"/>
      <c r="H594" s="166"/>
      <c r="I594" s="166"/>
      <c r="J594" s="166"/>
      <c r="K594" s="166"/>
      <c r="L594" s="166"/>
      <c r="M594" s="166"/>
      <c r="N594" s="166"/>
      <c r="O594" s="166"/>
    </row>
    <row r="595" spans="1:15" ht="14.4" hidden="1" x14ac:dyDescent="0.3">
      <c r="A595" s="162" t="s">
        <v>20</v>
      </c>
      <c r="B595" s="163"/>
      <c r="C595" s="56"/>
      <c r="D595" s="168"/>
      <c r="E595" s="168"/>
      <c r="F595" s="168"/>
      <c r="G595" s="168"/>
      <c r="H595" s="168"/>
      <c r="I595" s="168"/>
      <c r="J595" s="168"/>
      <c r="K595" s="168"/>
      <c r="L595" s="168"/>
      <c r="M595" s="168"/>
      <c r="N595" s="168"/>
      <c r="O595" s="168"/>
    </row>
    <row r="596" spans="1:15" ht="14.4" hidden="1" x14ac:dyDescent="0.3">
      <c r="A596" s="55" t="s">
        <v>21</v>
      </c>
      <c r="B596" s="165"/>
      <c r="C596" s="56" t="s">
        <v>19</v>
      </c>
      <c r="D596" s="167">
        <v>0</v>
      </c>
      <c r="E596" s="167"/>
      <c r="F596" s="166"/>
      <c r="G596" s="166"/>
      <c r="H596" s="166"/>
      <c r="I596" s="166"/>
      <c r="J596" s="166"/>
      <c r="K596" s="166"/>
      <c r="L596" s="166"/>
      <c r="M596" s="166"/>
      <c r="N596" s="166"/>
      <c r="O596" s="166"/>
    </row>
    <row r="597" spans="1:15" ht="14.4" hidden="1" x14ac:dyDescent="0.3">
      <c r="A597" s="55" t="s">
        <v>22</v>
      </c>
      <c r="B597" s="165"/>
      <c r="C597" s="56" t="s">
        <v>23</v>
      </c>
      <c r="D597" s="169">
        <v>0</v>
      </c>
      <c r="E597" s="169"/>
      <c r="F597" s="166"/>
      <c r="G597" s="166"/>
      <c r="H597" s="166"/>
      <c r="I597" s="166"/>
      <c r="J597" s="166"/>
      <c r="K597" s="166"/>
      <c r="L597" s="166"/>
      <c r="M597" s="166"/>
      <c r="N597" s="166"/>
      <c r="O597" s="166"/>
    </row>
    <row r="598" spans="1:15" ht="14.4" hidden="1" x14ac:dyDescent="0.3">
      <c r="A598" s="162" t="s">
        <v>24</v>
      </c>
      <c r="B598" s="163"/>
      <c r="C598" s="56"/>
      <c r="D598" s="168"/>
      <c r="E598" s="168"/>
      <c r="F598" s="168"/>
      <c r="G598" s="168"/>
      <c r="H598" s="168"/>
      <c r="I598" s="168"/>
      <c r="J598" s="168"/>
      <c r="K598" s="168"/>
      <c r="L598" s="168"/>
      <c r="M598" s="168"/>
      <c r="N598" s="168"/>
      <c r="O598" s="168"/>
    </row>
    <row r="599" spans="1:15" ht="14.4" hidden="1" x14ac:dyDescent="0.3">
      <c r="A599" s="55" t="s">
        <v>25</v>
      </c>
      <c r="B599" s="165"/>
      <c r="C599" s="56" t="s">
        <v>19</v>
      </c>
      <c r="D599" s="167">
        <v>0</v>
      </c>
      <c r="E599" s="167"/>
      <c r="F599" s="166"/>
      <c r="G599" s="166"/>
      <c r="H599" s="166"/>
      <c r="I599" s="166"/>
      <c r="J599" s="166"/>
      <c r="K599" s="166"/>
      <c r="L599" s="166"/>
      <c r="M599" s="166"/>
      <c r="N599" s="166"/>
      <c r="O599" s="166"/>
    </row>
    <row r="600" spans="1:15" ht="14.4" hidden="1" x14ac:dyDescent="0.3">
      <c r="A600" s="162" t="s">
        <v>26</v>
      </c>
      <c r="B600" s="162"/>
      <c r="C600" s="56"/>
      <c r="D600" s="170"/>
      <c r="E600" s="170"/>
      <c r="F600" s="170"/>
      <c r="G600" s="170"/>
      <c r="H600" s="170"/>
      <c r="I600" s="170"/>
      <c r="J600" s="170"/>
      <c r="K600" s="170"/>
      <c r="L600" s="170"/>
      <c r="M600" s="170"/>
      <c r="N600" s="170"/>
      <c r="O600" s="170"/>
    </row>
    <row r="601" spans="1:15" ht="14.4" hidden="1" x14ac:dyDescent="0.3">
      <c r="A601" s="55" t="s">
        <v>27</v>
      </c>
      <c r="B601" s="55"/>
      <c r="C601" s="56" t="s">
        <v>19</v>
      </c>
      <c r="D601" s="167">
        <v>0</v>
      </c>
      <c r="E601" s="167"/>
      <c r="F601" s="167"/>
      <c r="G601" s="167"/>
      <c r="H601" s="167"/>
      <c r="I601" s="167"/>
      <c r="J601" s="167"/>
      <c r="K601" s="167"/>
      <c r="L601" s="167"/>
      <c r="M601" s="167"/>
      <c r="N601" s="167"/>
      <c r="O601" s="167"/>
    </row>
    <row r="602" spans="1:15" ht="14.4" hidden="1" x14ac:dyDescent="0.3">
      <c r="A602" s="55" t="s">
        <v>28</v>
      </c>
      <c r="B602" s="55"/>
      <c r="C602" s="56" t="s">
        <v>23</v>
      </c>
      <c r="D602" s="169">
        <v>0</v>
      </c>
      <c r="E602" s="169"/>
      <c r="F602" s="167"/>
      <c r="G602" s="167"/>
      <c r="H602" s="167"/>
      <c r="I602" s="167"/>
      <c r="J602" s="167"/>
      <c r="K602" s="167"/>
      <c r="L602" s="167"/>
      <c r="M602" s="167"/>
      <c r="N602" s="167"/>
      <c r="O602" s="167"/>
    </row>
    <row r="603" spans="1:15" ht="14.4" hidden="1" x14ac:dyDescent="0.3">
      <c r="A603" s="162" t="s">
        <v>29</v>
      </c>
      <c r="B603" s="162"/>
      <c r="C603" s="56"/>
      <c r="D603" s="171"/>
      <c r="E603" s="171"/>
      <c r="F603" s="171"/>
      <c r="G603" s="171"/>
      <c r="H603" s="171"/>
      <c r="I603" s="171"/>
      <c r="J603" s="171"/>
      <c r="K603" s="171"/>
      <c r="L603" s="171"/>
      <c r="M603" s="171"/>
      <c r="N603" s="171"/>
      <c r="O603" s="171"/>
    </row>
    <row r="604" spans="1:15" ht="14.4" hidden="1" x14ac:dyDescent="0.3">
      <c r="A604" s="55" t="s">
        <v>30</v>
      </c>
      <c r="B604" s="55"/>
      <c r="C604" s="56" t="s">
        <v>19</v>
      </c>
      <c r="D604" s="167">
        <v>0</v>
      </c>
      <c r="E604" s="167"/>
      <c r="F604" s="167"/>
      <c r="G604" s="167"/>
      <c r="H604" s="167"/>
      <c r="I604" s="167"/>
      <c r="J604" s="167"/>
      <c r="K604" s="167"/>
      <c r="L604" s="167"/>
      <c r="M604" s="167"/>
      <c r="N604" s="167"/>
      <c r="O604" s="167"/>
    </row>
    <row r="605" spans="1:15" ht="14.4" hidden="1" x14ac:dyDescent="0.3">
      <c r="A605" s="55" t="s">
        <v>31</v>
      </c>
      <c r="B605" s="55"/>
      <c r="C605" s="56" t="s">
        <v>32</v>
      </c>
      <c r="D605" s="169">
        <v>0</v>
      </c>
      <c r="E605" s="169"/>
      <c r="F605" s="167"/>
      <c r="G605" s="167"/>
      <c r="H605" s="167"/>
      <c r="I605" s="167"/>
      <c r="J605" s="167"/>
      <c r="K605" s="167"/>
      <c r="L605" s="167"/>
      <c r="M605" s="167"/>
      <c r="N605" s="167"/>
      <c r="O605" s="167"/>
    </row>
    <row r="606" spans="1:15" ht="14.4" hidden="1" x14ac:dyDescent="0.3">
      <c r="A606" s="162" t="s">
        <v>33</v>
      </c>
      <c r="B606" s="162"/>
      <c r="C606" s="56"/>
      <c r="D606" s="171"/>
      <c r="E606" s="171"/>
      <c r="F606" s="171"/>
      <c r="G606" s="171"/>
      <c r="H606" s="171"/>
      <c r="I606" s="171"/>
      <c r="J606" s="171"/>
      <c r="K606" s="171"/>
      <c r="L606" s="171"/>
      <c r="M606" s="171"/>
      <c r="N606" s="171"/>
      <c r="O606" s="171"/>
    </row>
    <row r="607" spans="1:15" ht="14.4" hidden="1" x14ac:dyDescent="0.3">
      <c r="A607" s="55" t="s">
        <v>34</v>
      </c>
      <c r="B607" s="55"/>
      <c r="C607" s="56" t="s">
        <v>19</v>
      </c>
      <c r="D607" s="167">
        <v>0</v>
      </c>
      <c r="E607" s="167"/>
      <c r="F607" s="167"/>
      <c r="G607" s="167"/>
      <c r="H607" s="167"/>
      <c r="I607" s="167"/>
      <c r="J607" s="167"/>
      <c r="K607" s="167"/>
      <c r="L607" s="167"/>
      <c r="M607" s="167"/>
      <c r="N607" s="167"/>
      <c r="O607" s="167"/>
    </row>
    <row r="608" spans="1:15" ht="14.4" hidden="1" x14ac:dyDescent="0.3">
      <c r="A608" s="55" t="s">
        <v>35</v>
      </c>
      <c r="B608" s="55"/>
      <c r="C608" s="56" t="s">
        <v>36</v>
      </c>
      <c r="D608" s="169">
        <v>0</v>
      </c>
      <c r="E608" s="169"/>
      <c r="F608" s="167"/>
      <c r="G608" s="167"/>
      <c r="H608" s="167"/>
      <c r="I608" s="167"/>
      <c r="J608" s="167"/>
      <c r="K608" s="167"/>
      <c r="L608" s="167"/>
      <c r="M608" s="167"/>
      <c r="N608" s="167"/>
      <c r="O608" s="167"/>
    </row>
    <row r="609" spans="1:15" ht="14.4" hidden="1" x14ac:dyDescent="0.3">
      <c r="A609" s="162" t="s">
        <v>37</v>
      </c>
      <c r="B609" s="162"/>
      <c r="C609" s="56"/>
      <c r="D609" s="171"/>
      <c r="E609" s="171"/>
      <c r="F609" s="171"/>
      <c r="G609" s="171"/>
      <c r="H609" s="171"/>
      <c r="I609" s="171"/>
      <c r="J609" s="171"/>
      <c r="K609" s="171"/>
      <c r="L609" s="171"/>
      <c r="M609" s="171"/>
      <c r="N609" s="171"/>
      <c r="O609" s="171"/>
    </row>
    <row r="610" spans="1:15" ht="14.4" hidden="1" x14ac:dyDescent="0.3">
      <c r="A610" s="172" t="s">
        <v>38</v>
      </c>
      <c r="B610" s="55"/>
      <c r="C610" s="56" t="s">
        <v>19</v>
      </c>
      <c r="D610" s="167">
        <v>0</v>
      </c>
      <c r="E610" s="167"/>
      <c r="F610" s="167"/>
      <c r="G610" s="167"/>
      <c r="H610" s="167"/>
      <c r="I610" s="167"/>
      <c r="J610" s="167"/>
      <c r="K610" s="167"/>
      <c r="L610" s="167"/>
      <c r="M610" s="167"/>
      <c r="N610" s="167"/>
      <c r="O610" s="167"/>
    </row>
    <row r="611" spans="1:15" ht="14.4" hidden="1" x14ac:dyDescent="0.3">
      <c r="A611" s="172" t="s">
        <v>39</v>
      </c>
      <c r="B611" s="55"/>
      <c r="C611" s="56" t="s">
        <v>19</v>
      </c>
      <c r="D611" s="167">
        <v>0</v>
      </c>
      <c r="E611" s="167"/>
      <c r="F611" s="167"/>
      <c r="G611" s="167"/>
      <c r="H611" s="167"/>
      <c r="I611" s="167"/>
      <c r="J611" s="167"/>
      <c r="K611" s="167"/>
      <c r="L611" s="167"/>
      <c r="M611" s="167"/>
      <c r="N611" s="167"/>
      <c r="O611" s="167"/>
    </row>
    <row r="612" spans="1:15" ht="14.4" hidden="1" x14ac:dyDescent="0.3">
      <c r="A612" s="172" t="s">
        <v>180</v>
      </c>
      <c r="B612" s="55"/>
      <c r="C612" s="56" t="s">
        <v>19</v>
      </c>
      <c r="D612" s="167">
        <v>0</v>
      </c>
      <c r="E612" s="167"/>
      <c r="F612" s="167"/>
      <c r="G612" s="167"/>
      <c r="H612" s="167"/>
      <c r="I612" s="167"/>
      <c r="J612" s="167"/>
      <c r="K612" s="167"/>
      <c r="L612" s="167"/>
      <c r="M612" s="167"/>
      <c r="N612" s="167"/>
      <c r="O612" s="167"/>
    </row>
    <row r="613" spans="1:15" ht="14.4" hidden="1" x14ac:dyDescent="0.3">
      <c r="A613" s="173" t="s">
        <v>40</v>
      </c>
      <c r="B613" s="55"/>
      <c r="C613" s="56" t="s">
        <v>19</v>
      </c>
      <c r="D613" s="167">
        <v>0</v>
      </c>
      <c r="E613" s="167"/>
      <c r="F613" s="167"/>
      <c r="G613" s="167"/>
      <c r="H613" s="167"/>
      <c r="I613" s="167"/>
      <c r="J613" s="167"/>
      <c r="K613" s="167"/>
      <c r="L613" s="167"/>
      <c r="M613" s="167"/>
      <c r="N613" s="167"/>
      <c r="O613" s="167"/>
    </row>
    <row r="614" spans="1:15" ht="14.4" hidden="1" x14ac:dyDescent="0.3">
      <c r="A614" s="173" t="s">
        <v>41</v>
      </c>
      <c r="B614" s="55"/>
      <c r="C614" s="56" t="s">
        <v>19</v>
      </c>
      <c r="D614" s="167">
        <v>0</v>
      </c>
      <c r="E614" s="167"/>
      <c r="F614" s="167"/>
      <c r="G614" s="167"/>
      <c r="H614" s="167"/>
      <c r="I614" s="167"/>
      <c r="J614" s="167"/>
      <c r="K614" s="167"/>
      <c r="L614" s="167"/>
      <c r="M614" s="167"/>
      <c r="N614" s="167"/>
      <c r="O614" s="167"/>
    </row>
    <row r="615" spans="1:15" ht="16.2" hidden="1" x14ac:dyDescent="0.3">
      <c r="A615" s="174" t="s">
        <v>182</v>
      </c>
      <c r="B615" s="175"/>
      <c r="C615" s="56" t="s">
        <v>19</v>
      </c>
      <c r="D615" s="167">
        <v>0</v>
      </c>
      <c r="E615" s="167"/>
      <c r="F615" s="167"/>
      <c r="G615" s="167"/>
      <c r="H615" s="167"/>
      <c r="I615" s="167"/>
      <c r="J615" s="167"/>
      <c r="K615" s="167"/>
      <c r="L615" s="167"/>
      <c r="M615" s="167"/>
      <c r="N615" s="167"/>
      <c r="O615" s="167"/>
    </row>
    <row r="616" spans="1:15" ht="16.2" hidden="1" x14ac:dyDescent="0.3">
      <c r="A616" s="174" t="s">
        <v>182</v>
      </c>
      <c r="B616" s="175"/>
      <c r="C616" s="56" t="s">
        <v>19</v>
      </c>
      <c r="D616" s="167">
        <v>0</v>
      </c>
      <c r="E616" s="167"/>
      <c r="F616" s="167"/>
      <c r="G616" s="167"/>
      <c r="H616" s="167"/>
      <c r="I616" s="167"/>
      <c r="J616" s="167"/>
      <c r="K616" s="167"/>
      <c r="L616" s="167"/>
      <c r="M616" s="167"/>
      <c r="N616" s="167"/>
      <c r="O616" s="167"/>
    </row>
    <row r="617" spans="1:15" ht="16.2" hidden="1" x14ac:dyDescent="0.3">
      <c r="A617" s="174" t="s">
        <v>182</v>
      </c>
      <c r="B617" s="176"/>
      <c r="C617" s="56" t="s">
        <v>19</v>
      </c>
      <c r="D617" s="167">
        <v>0</v>
      </c>
      <c r="E617" s="167"/>
      <c r="F617" s="167"/>
      <c r="G617" s="167"/>
      <c r="H617" s="167"/>
      <c r="I617" s="167"/>
      <c r="J617" s="167"/>
      <c r="K617" s="167"/>
      <c r="L617" s="167"/>
      <c r="M617" s="167"/>
      <c r="N617" s="167"/>
      <c r="O617" s="167"/>
    </row>
    <row r="618" spans="1:15" ht="14.4" hidden="1" x14ac:dyDescent="0.3">
      <c r="A618" s="162" t="s">
        <v>42</v>
      </c>
      <c r="B618" s="162"/>
      <c r="C618" s="56"/>
      <c r="D618" s="171"/>
      <c r="E618" s="171"/>
      <c r="F618" s="171"/>
      <c r="G618" s="171"/>
      <c r="H618" s="171"/>
      <c r="I618" s="171"/>
      <c r="J618" s="171"/>
      <c r="K618" s="171"/>
      <c r="L618" s="171"/>
      <c r="M618" s="171"/>
      <c r="N618" s="171"/>
      <c r="O618" s="171"/>
    </row>
    <row r="619" spans="1:15" ht="14.4" hidden="1" x14ac:dyDescent="0.3">
      <c r="A619" s="162" t="s">
        <v>191</v>
      </c>
      <c r="B619" s="162"/>
      <c r="C619" s="56" t="s">
        <v>44</v>
      </c>
      <c r="D619" s="177">
        <v>0</v>
      </c>
      <c r="E619" s="177"/>
      <c r="F619" s="177"/>
      <c r="G619" s="177"/>
      <c r="H619" s="177"/>
      <c r="I619" s="177"/>
      <c r="J619" s="177"/>
      <c r="K619" s="177"/>
      <c r="L619" s="177"/>
      <c r="M619" s="177"/>
      <c r="N619" s="177"/>
      <c r="O619" s="177"/>
    </row>
    <row r="620" spans="1:15" ht="14.4" hidden="1" x14ac:dyDescent="0.3">
      <c r="A620" s="162" t="s">
        <v>183</v>
      </c>
      <c r="B620" s="162"/>
      <c r="C620" s="56"/>
      <c r="D620" s="178"/>
      <c r="E620" s="178"/>
      <c r="F620" s="178"/>
      <c r="G620" s="178"/>
      <c r="H620" s="178"/>
      <c r="I620" s="178"/>
      <c r="J620" s="178"/>
      <c r="K620" s="178"/>
      <c r="L620" s="178"/>
      <c r="M620" s="178"/>
      <c r="N620" s="178"/>
      <c r="O620" s="178"/>
    </row>
    <row r="621" spans="1:15" ht="14.4" hidden="1" x14ac:dyDescent="0.3">
      <c r="A621" s="162" t="s">
        <v>184</v>
      </c>
      <c r="B621" s="162"/>
      <c r="C621" s="56" t="s">
        <v>19</v>
      </c>
      <c r="D621" s="167">
        <v>0</v>
      </c>
      <c r="E621" s="167"/>
      <c r="F621" s="167"/>
      <c r="G621" s="167"/>
      <c r="H621" s="167"/>
      <c r="I621" s="167"/>
      <c r="J621" s="167"/>
      <c r="K621" s="167"/>
      <c r="L621" s="167"/>
      <c r="M621" s="167"/>
      <c r="N621" s="167"/>
      <c r="O621" s="167"/>
    </row>
    <row r="622" spans="1:15" ht="14.4" hidden="1" x14ac:dyDescent="0.3">
      <c r="A622" s="162" t="s">
        <v>45</v>
      </c>
      <c r="B622" s="162"/>
      <c r="C622" s="56"/>
      <c r="D622" s="178"/>
      <c r="E622" s="178"/>
      <c r="F622" s="178"/>
      <c r="G622" s="178"/>
      <c r="H622" s="178"/>
      <c r="I622" s="178"/>
      <c r="J622" s="178"/>
      <c r="K622" s="178"/>
      <c r="L622" s="178"/>
      <c r="M622" s="178"/>
      <c r="N622" s="178"/>
      <c r="O622" s="178"/>
    </row>
    <row r="623" spans="1:15" ht="14.4" hidden="1" x14ac:dyDescent="0.3">
      <c r="A623" s="162" t="s">
        <v>46</v>
      </c>
      <c r="B623" s="162"/>
      <c r="C623" s="56" t="s">
        <v>19</v>
      </c>
      <c r="D623" s="167">
        <v>0</v>
      </c>
      <c r="E623" s="167"/>
      <c r="F623" s="167"/>
      <c r="G623" s="167"/>
      <c r="H623" s="167"/>
      <c r="I623" s="167"/>
      <c r="J623" s="167"/>
      <c r="K623" s="167"/>
      <c r="L623" s="167"/>
      <c r="M623" s="167"/>
      <c r="N623" s="167"/>
      <c r="O623" s="167"/>
    </row>
    <row r="624" spans="1:15" ht="14.4" hidden="1" x14ac:dyDescent="0.3">
      <c r="A624" s="162" t="s">
        <v>185</v>
      </c>
      <c r="B624" s="162"/>
      <c r="C624" s="56"/>
      <c r="D624" s="178"/>
      <c r="E624" s="178"/>
      <c r="F624" s="178"/>
      <c r="G624" s="178"/>
      <c r="H624" s="178"/>
      <c r="I624" s="178"/>
      <c r="J624" s="178"/>
      <c r="K624" s="178"/>
      <c r="L624" s="178"/>
      <c r="M624" s="178"/>
      <c r="N624" s="178"/>
      <c r="O624" s="178"/>
    </row>
    <row r="625" spans="1:15" ht="14.4" hidden="1" x14ac:dyDescent="0.3">
      <c r="A625" s="162" t="s">
        <v>186</v>
      </c>
      <c r="B625" s="162"/>
      <c r="C625" s="56" t="s">
        <v>19</v>
      </c>
      <c r="D625" s="167">
        <v>0</v>
      </c>
      <c r="E625" s="167"/>
      <c r="F625" s="167"/>
      <c r="G625" s="167"/>
      <c r="H625" s="167"/>
      <c r="I625" s="167"/>
      <c r="J625" s="167"/>
      <c r="K625" s="167"/>
      <c r="L625" s="167"/>
      <c r="M625" s="167"/>
      <c r="N625" s="167"/>
      <c r="O625" s="167"/>
    </row>
    <row r="626" spans="1:15" ht="14.4" hidden="1" x14ac:dyDescent="0.3">
      <c r="A626" s="162" t="s">
        <v>47</v>
      </c>
      <c r="B626" s="162"/>
      <c r="C626" s="56"/>
      <c r="D626" s="171"/>
      <c r="E626" s="171"/>
      <c r="F626" s="171"/>
      <c r="G626" s="171"/>
      <c r="H626" s="171"/>
      <c r="I626" s="171"/>
      <c r="J626" s="171"/>
      <c r="K626" s="171"/>
      <c r="L626" s="171"/>
      <c r="M626" s="171"/>
      <c r="N626" s="171"/>
      <c r="O626" s="171"/>
    </row>
    <row r="627" spans="1:15" ht="14.4" hidden="1" x14ac:dyDescent="0.3">
      <c r="A627" s="55" t="s">
        <v>48</v>
      </c>
      <c r="B627" s="55"/>
      <c r="C627" s="56" t="s">
        <v>19</v>
      </c>
      <c r="D627" s="167">
        <v>0</v>
      </c>
      <c r="E627" s="167"/>
      <c r="F627" s="167"/>
      <c r="G627" s="167"/>
      <c r="H627" s="167"/>
      <c r="I627" s="167"/>
      <c r="J627" s="167"/>
      <c r="K627" s="167"/>
      <c r="L627" s="167"/>
      <c r="M627" s="167"/>
      <c r="N627" s="167"/>
      <c r="O627" s="167"/>
    </row>
    <row r="628" spans="1:15" ht="14.4" hidden="1" x14ac:dyDescent="0.3">
      <c r="A628" s="55" t="s">
        <v>49</v>
      </c>
      <c r="B628" s="55"/>
      <c r="C628" s="56" t="s">
        <v>19</v>
      </c>
      <c r="D628" s="167">
        <v>0</v>
      </c>
      <c r="E628" s="167"/>
      <c r="F628" s="167"/>
      <c r="G628" s="167"/>
      <c r="H628" s="167"/>
      <c r="I628" s="167"/>
      <c r="J628" s="167"/>
      <c r="K628" s="167"/>
      <c r="L628" s="167"/>
      <c r="M628" s="167"/>
      <c r="N628" s="167"/>
      <c r="O628" s="167"/>
    </row>
    <row r="629" spans="1:15" ht="14.4" hidden="1" x14ac:dyDescent="0.3">
      <c r="A629" s="162" t="s">
        <v>52</v>
      </c>
      <c r="B629" s="162"/>
      <c r="C629" s="179"/>
      <c r="D629" s="170"/>
      <c r="E629" s="170"/>
      <c r="F629" s="170"/>
      <c r="G629" s="170"/>
      <c r="H629" s="170"/>
      <c r="I629" s="170"/>
      <c r="J629" s="170"/>
      <c r="K629" s="170"/>
      <c r="L629" s="170"/>
      <c r="M629" s="170"/>
      <c r="N629" s="170"/>
      <c r="O629" s="170"/>
    </row>
    <row r="630" spans="1:15" ht="14.4" hidden="1" x14ac:dyDescent="0.3">
      <c r="A630" s="55" t="s">
        <v>53</v>
      </c>
      <c r="B630" s="55"/>
      <c r="C630" s="56" t="s">
        <v>44</v>
      </c>
      <c r="D630" s="180">
        <v>0</v>
      </c>
      <c r="E630" s="180"/>
      <c r="F630" s="167"/>
      <c r="G630" s="167"/>
      <c r="H630" s="167"/>
      <c r="I630" s="167"/>
      <c r="J630" s="167"/>
      <c r="K630" s="167"/>
      <c r="L630" s="167"/>
      <c r="M630" s="167"/>
      <c r="N630" s="167"/>
      <c r="O630" s="167"/>
    </row>
    <row r="631" spans="1:15" ht="14.4" hidden="1" x14ac:dyDescent="0.3">
      <c r="A631" s="55" t="s">
        <v>54</v>
      </c>
      <c r="B631" s="55"/>
      <c r="C631" s="56" t="s">
        <v>44</v>
      </c>
      <c r="D631" s="180">
        <v>0</v>
      </c>
      <c r="E631" s="180"/>
      <c r="F631" s="167"/>
      <c r="G631" s="167"/>
      <c r="H631" s="167"/>
      <c r="I631" s="167"/>
      <c r="J631" s="167"/>
      <c r="K631" s="167"/>
      <c r="L631" s="167"/>
      <c r="M631" s="167"/>
      <c r="N631" s="167"/>
      <c r="O631" s="167"/>
    </row>
    <row r="632" spans="1:15" ht="14.4" hidden="1" x14ac:dyDescent="0.3">
      <c r="A632" s="55" t="s">
        <v>55</v>
      </c>
      <c r="B632" s="55"/>
      <c r="C632" s="56" t="s">
        <v>44</v>
      </c>
      <c r="D632" s="180">
        <v>0</v>
      </c>
      <c r="E632" s="180"/>
      <c r="F632" s="167"/>
      <c r="G632" s="167"/>
      <c r="H632" s="167"/>
      <c r="I632" s="167"/>
      <c r="J632" s="167"/>
      <c r="K632" s="167"/>
      <c r="L632" s="167"/>
      <c r="M632" s="167"/>
      <c r="N632" s="167"/>
      <c r="O632" s="167"/>
    </row>
    <row r="633" spans="1:15" ht="14.4" hidden="1" x14ac:dyDescent="0.3">
      <c r="A633" s="55" t="s">
        <v>187</v>
      </c>
      <c r="B633" s="55"/>
      <c r="C633" s="56" t="s">
        <v>44</v>
      </c>
      <c r="D633" s="180">
        <v>0</v>
      </c>
      <c r="E633" s="180"/>
      <c r="F633" s="167"/>
      <c r="G633" s="167"/>
      <c r="H633" s="167"/>
      <c r="I633" s="167"/>
      <c r="J633" s="167"/>
      <c r="K633" s="167"/>
      <c r="L633" s="167"/>
      <c r="M633" s="167"/>
      <c r="N633" s="167"/>
      <c r="O633" s="167"/>
    </row>
    <row r="634" spans="1:15" ht="14.4" hidden="1" x14ac:dyDescent="0.3">
      <c r="A634" s="55" t="s">
        <v>188</v>
      </c>
      <c r="B634" s="55"/>
      <c r="C634" s="56" t="s">
        <v>44</v>
      </c>
      <c r="D634" s="180">
        <v>0</v>
      </c>
      <c r="E634" s="180"/>
      <c r="F634" s="167"/>
      <c r="G634" s="167"/>
      <c r="H634" s="167"/>
      <c r="I634" s="167"/>
      <c r="J634" s="167"/>
      <c r="K634" s="167"/>
      <c r="L634" s="167"/>
      <c r="M634" s="167"/>
      <c r="N634" s="167"/>
      <c r="O634" s="167"/>
    </row>
    <row r="635" spans="1:15" ht="14.4" hidden="1" x14ac:dyDescent="0.3">
      <c r="A635" s="55" t="s">
        <v>56</v>
      </c>
      <c r="B635" s="55"/>
      <c r="C635" s="56" t="s">
        <v>44</v>
      </c>
      <c r="D635" s="180">
        <v>0</v>
      </c>
      <c r="E635" s="180"/>
      <c r="F635" s="180"/>
      <c r="G635" s="180"/>
      <c r="H635" s="180"/>
      <c r="I635" s="180"/>
      <c r="J635" s="180"/>
      <c r="K635" s="180"/>
      <c r="L635" s="180"/>
      <c r="M635" s="180"/>
      <c r="N635" s="180"/>
      <c r="O635" s="180"/>
    </row>
    <row r="636" spans="1:15" ht="14.4" hidden="1" x14ac:dyDescent="0.3">
      <c r="A636" s="55" t="s">
        <v>57</v>
      </c>
      <c r="B636" s="55"/>
      <c r="C636" s="56" t="s">
        <v>44</v>
      </c>
      <c r="D636" s="180">
        <v>0</v>
      </c>
      <c r="E636" s="180"/>
      <c r="F636" s="180"/>
      <c r="G636" s="180"/>
      <c r="H636" s="180"/>
      <c r="I636" s="180"/>
      <c r="J636" s="180"/>
      <c r="K636" s="180"/>
      <c r="L636" s="180"/>
      <c r="M636" s="180"/>
      <c r="N636" s="180"/>
      <c r="O636" s="180"/>
    </row>
    <row r="637" spans="1:15" ht="14.4" hidden="1" x14ac:dyDescent="0.3">
      <c r="D637" s="58"/>
      <c r="E637" s="58"/>
      <c r="F637" s="58"/>
      <c r="G637" s="58"/>
      <c r="H637" s="58"/>
      <c r="I637" s="58"/>
      <c r="J637" s="58"/>
      <c r="K637" s="58"/>
      <c r="L637" s="58"/>
      <c r="M637" s="58"/>
      <c r="N637" s="58"/>
      <c r="O637" s="58"/>
    </row>
    <row r="638" spans="1:15" ht="18" hidden="1" x14ac:dyDescent="0.35">
      <c r="A638" s="59" t="str">
        <f>'[40]Statistical data'!A197</f>
        <v>Customer Class with mix rate7</v>
      </c>
      <c r="C638" s="5" t="s">
        <v>190</v>
      </c>
      <c r="D638" s="160"/>
      <c r="E638" s="160"/>
      <c r="F638" s="160"/>
      <c r="G638" s="160"/>
      <c r="H638" s="160"/>
      <c r="I638" s="160"/>
      <c r="J638" s="160"/>
      <c r="K638" s="160"/>
      <c r="L638" s="160"/>
      <c r="M638" s="160"/>
      <c r="N638" s="160"/>
      <c r="O638" s="160"/>
    </row>
    <row r="639" spans="1:15" ht="14.4" hidden="1" x14ac:dyDescent="0.3">
      <c r="A639" s="161" t="s">
        <v>3</v>
      </c>
      <c r="B639" s="161"/>
      <c r="C639" s="161" t="s">
        <v>4</v>
      </c>
      <c r="D639" s="161" t="s">
        <v>5</v>
      </c>
      <c r="E639" s="161" t="s">
        <v>6</v>
      </c>
      <c r="F639" s="161" t="s">
        <v>7</v>
      </c>
      <c r="G639" s="161" t="s">
        <v>8</v>
      </c>
      <c r="H639" s="161" t="s">
        <v>9</v>
      </c>
      <c r="I639" s="161" t="s">
        <v>9</v>
      </c>
      <c r="J639" s="161" t="s">
        <v>10</v>
      </c>
      <c r="K639" s="161" t="s">
        <v>11</v>
      </c>
      <c r="L639" s="161" t="s">
        <v>12</v>
      </c>
      <c r="M639" s="161" t="s">
        <v>13</v>
      </c>
      <c r="N639" s="161" t="s">
        <v>14</v>
      </c>
      <c r="O639" s="161" t="s">
        <v>15</v>
      </c>
    </row>
    <row r="640" spans="1:15" ht="14.4" hidden="1" x14ac:dyDescent="0.3">
      <c r="A640" s="162" t="s">
        <v>17</v>
      </c>
      <c r="B640" s="163"/>
      <c r="C640" s="56"/>
      <c r="D640" s="164"/>
      <c r="E640" s="164"/>
      <c r="F640" s="164"/>
      <c r="G640" s="164"/>
      <c r="H640" s="164"/>
      <c r="I640" s="164"/>
      <c r="J640" s="164"/>
      <c r="K640" s="164"/>
      <c r="L640" s="164"/>
      <c r="M640" s="164"/>
      <c r="N640" s="164"/>
      <c r="O640" s="164"/>
    </row>
    <row r="641" spans="1:15" ht="14.4" hidden="1" x14ac:dyDescent="0.3">
      <c r="A641" s="55" t="s">
        <v>18</v>
      </c>
      <c r="B641" s="165"/>
      <c r="C641" s="56" t="s">
        <v>19</v>
      </c>
      <c r="D641" s="166"/>
      <c r="E641" s="166"/>
      <c r="F641" s="166"/>
      <c r="G641" s="166"/>
      <c r="H641" s="166"/>
      <c r="I641" s="166"/>
      <c r="J641" s="166"/>
      <c r="K641" s="166"/>
      <c r="L641" s="166"/>
      <c r="M641" s="166"/>
      <c r="N641" s="166"/>
      <c r="O641" s="166"/>
    </row>
    <row r="642" spans="1:15" ht="14.4" hidden="1" x14ac:dyDescent="0.3">
      <c r="A642" s="55" t="s">
        <v>66</v>
      </c>
      <c r="B642" s="165"/>
      <c r="C642" s="56" t="s">
        <v>19</v>
      </c>
      <c r="D642" s="167">
        <v>0</v>
      </c>
      <c r="E642" s="167"/>
      <c r="F642" s="166"/>
      <c r="G642" s="166"/>
      <c r="H642" s="166"/>
      <c r="I642" s="166"/>
      <c r="J642" s="166"/>
      <c r="K642" s="166"/>
      <c r="L642" s="166"/>
      <c r="M642" s="166"/>
      <c r="N642" s="166"/>
      <c r="O642" s="166"/>
    </row>
    <row r="643" spans="1:15" ht="14.4" hidden="1" x14ac:dyDescent="0.3">
      <c r="A643" s="162" t="s">
        <v>20</v>
      </c>
      <c r="B643" s="163"/>
      <c r="C643" s="56"/>
      <c r="D643" s="168"/>
      <c r="E643" s="168"/>
      <c r="F643" s="168"/>
      <c r="G643" s="168"/>
      <c r="H643" s="168"/>
      <c r="I643" s="168"/>
      <c r="J643" s="168"/>
      <c r="K643" s="168"/>
      <c r="L643" s="168"/>
      <c r="M643" s="168"/>
      <c r="N643" s="168"/>
      <c r="O643" s="168"/>
    </row>
    <row r="644" spans="1:15" ht="14.4" hidden="1" x14ac:dyDescent="0.3">
      <c r="A644" s="55" t="s">
        <v>21</v>
      </c>
      <c r="B644" s="165"/>
      <c r="C644" s="56" t="s">
        <v>19</v>
      </c>
      <c r="D644" s="167">
        <v>0</v>
      </c>
      <c r="E644" s="167"/>
      <c r="F644" s="166"/>
      <c r="G644" s="166"/>
      <c r="H644" s="166"/>
      <c r="I644" s="166"/>
      <c r="J644" s="166"/>
      <c r="K644" s="166"/>
      <c r="L644" s="166"/>
      <c r="M644" s="166"/>
      <c r="N644" s="166"/>
      <c r="O644" s="166"/>
    </row>
    <row r="645" spans="1:15" ht="14.4" hidden="1" x14ac:dyDescent="0.3">
      <c r="A645" s="55" t="s">
        <v>22</v>
      </c>
      <c r="B645" s="165"/>
      <c r="C645" s="56" t="s">
        <v>23</v>
      </c>
      <c r="D645" s="169">
        <v>0</v>
      </c>
      <c r="E645" s="169"/>
      <c r="F645" s="166"/>
      <c r="G645" s="166"/>
      <c r="H645" s="166"/>
      <c r="I645" s="166"/>
      <c r="J645" s="166"/>
      <c r="K645" s="166"/>
      <c r="L645" s="166"/>
      <c r="M645" s="166"/>
      <c r="N645" s="166"/>
      <c r="O645" s="166"/>
    </row>
    <row r="646" spans="1:15" ht="14.4" hidden="1" x14ac:dyDescent="0.3">
      <c r="A646" s="162" t="s">
        <v>24</v>
      </c>
      <c r="B646" s="163"/>
      <c r="C646" s="56"/>
      <c r="D646" s="168"/>
      <c r="E646" s="168"/>
      <c r="F646" s="168"/>
      <c r="G646" s="168"/>
      <c r="H646" s="168"/>
      <c r="I646" s="168"/>
      <c r="J646" s="168"/>
      <c r="K646" s="168"/>
      <c r="L646" s="168"/>
      <c r="M646" s="168"/>
      <c r="N646" s="168"/>
      <c r="O646" s="168"/>
    </row>
    <row r="647" spans="1:15" ht="14.4" hidden="1" x14ac:dyDescent="0.3">
      <c r="A647" s="55" t="s">
        <v>25</v>
      </c>
      <c r="B647" s="165"/>
      <c r="C647" s="56" t="s">
        <v>19</v>
      </c>
      <c r="D647" s="167">
        <v>0</v>
      </c>
      <c r="E647" s="167"/>
      <c r="F647" s="166"/>
      <c r="G647" s="166"/>
      <c r="H647" s="166"/>
      <c r="I647" s="166"/>
      <c r="J647" s="166"/>
      <c r="K647" s="166"/>
      <c r="L647" s="166"/>
      <c r="M647" s="166"/>
      <c r="N647" s="166"/>
      <c r="O647" s="166"/>
    </row>
    <row r="648" spans="1:15" ht="14.4" hidden="1" x14ac:dyDescent="0.3">
      <c r="A648" s="162" t="s">
        <v>26</v>
      </c>
      <c r="B648" s="162"/>
      <c r="C648" s="56"/>
      <c r="D648" s="170"/>
      <c r="E648" s="170"/>
      <c r="F648" s="170"/>
      <c r="G648" s="170"/>
      <c r="H648" s="170"/>
      <c r="I648" s="170"/>
      <c r="J648" s="170"/>
      <c r="K648" s="170"/>
      <c r="L648" s="170"/>
      <c r="M648" s="170"/>
      <c r="N648" s="170"/>
      <c r="O648" s="170"/>
    </row>
    <row r="649" spans="1:15" ht="14.4" hidden="1" x14ac:dyDescent="0.3">
      <c r="A649" s="55" t="s">
        <v>27</v>
      </c>
      <c r="B649" s="55"/>
      <c r="C649" s="56" t="s">
        <v>19</v>
      </c>
      <c r="D649" s="167">
        <v>0</v>
      </c>
      <c r="E649" s="167"/>
      <c r="F649" s="167"/>
      <c r="G649" s="167"/>
      <c r="H649" s="167"/>
      <c r="I649" s="167"/>
      <c r="J649" s="167"/>
      <c r="K649" s="167"/>
      <c r="L649" s="167"/>
      <c r="M649" s="167"/>
      <c r="N649" s="167"/>
      <c r="O649" s="167"/>
    </row>
    <row r="650" spans="1:15" ht="14.4" hidden="1" x14ac:dyDescent="0.3">
      <c r="A650" s="55" t="s">
        <v>28</v>
      </c>
      <c r="B650" s="55"/>
      <c r="C650" s="56" t="s">
        <v>23</v>
      </c>
      <c r="D650" s="169">
        <v>0</v>
      </c>
      <c r="E650" s="169"/>
      <c r="F650" s="167"/>
      <c r="G650" s="167"/>
      <c r="H650" s="167"/>
      <c r="I650" s="167"/>
      <c r="J650" s="167"/>
      <c r="K650" s="167"/>
      <c r="L650" s="167"/>
      <c r="M650" s="167"/>
      <c r="N650" s="167"/>
      <c r="O650" s="167"/>
    </row>
    <row r="651" spans="1:15" ht="14.4" hidden="1" x14ac:dyDescent="0.3">
      <c r="A651" s="162" t="s">
        <v>29</v>
      </c>
      <c r="B651" s="162"/>
      <c r="C651" s="56"/>
      <c r="D651" s="171"/>
      <c r="E651" s="171"/>
      <c r="F651" s="171"/>
      <c r="G651" s="171"/>
      <c r="H651" s="171"/>
      <c r="I651" s="171"/>
      <c r="J651" s="171"/>
      <c r="K651" s="171"/>
      <c r="L651" s="171"/>
      <c r="M651" s="171"/>
      <c r="N651" s="171"/>
      <c r="O651" s="171"/>
    </row>
    <row r="652" spans="1:15" ht="14.4" hidden="1" x14ac:dyDescent="0.3">
      <c r="A652" s="55" t="s">
        <v>30</v>
      </c>
      <c r="B652" s="55"/>
      <c r="C652" s="56" t="s">
        <v>19</v>
      </c>
      <c r="D652" s="167">
        <v>0</v>
      </c>
      <c r="E652" s="167"/>
      <c r="F652" s="167"/>
      <c r="G652" s="167"/>
      <c r="H652" s="167"/>
      <c r="I652" s="167"/>
      <c r="J652" s="167"/>
      <c r="K652" s="167"/>
      <c r="L652" s="167"/>
      <c r="M652" s="167"/>
      <c r="N652" s="167"/>
      <c r="O652" s="167"/>
    </row>
    <row r="653" spans="1:15" ht="14.4" hidden="1" x14ac:dyDescent="0.3">
      <c r="A653" s="55" t="s">
        <v>31</v>
      </c>
      <c r="B653" s="55"/>
      <c r="C653" s="56" t="s">
        <v>32</v>
      </c>
      <c r="D653" s="169">
        <v>0</v>
      </c>
      <c r="E653" s="169"/>
      <c r="F653" s="167"/>
      <c r="G653" s="167"/>
      <c r="H653" s="167"/>
      <c r="I653" s="167"/>
      <c r="J653" s="167"/>
      <c r="K653" s="167"/>
      <c r="L653" s="167"/>
      <c r="M653" s="167"/>
      <c r="N653" s="167"/>
      <c r="O653" s="167"/>
    </row>
    <row r="654" spans="1:15" ht="14.4" hidden="1" x14ac:dyDescent="0.3">
      <c r="A654" s="162" t="s">
        <v>33</v>
      </c>
      <c r="B654" s="162"/>
      <c r="C654" s="56"/>
      <c r="D654" s="171"/>
      <c r="E654" s="171"/>
      <c r="F654" s="171"/>
      <c r="G654" s="171"/>
      <c r="H654" s="171"/>
      <c r="I654" s="171"/>
      <c r="J654" s="171"/>
      <c r="K654" s="171"/>
      <c r="L654" s="171"/>
      <c r="M654" s="171"/>
      <c r="N654" s="171"/>
      <c r="O654" s="171"/>
    </row>
    <row r="655" spans="1:15" ht="14.4" hidden="1" x14ac:dyDescent="0.3">
      <c r="A655" s="55" t="s">
        <v>34</v>
      </c>
      <c r="B655" s="55"/>
      <c r="C655" s="56" t="s">
        <v>19</v>
      </c>
      <c r="D655" s="167">
        <v>0</v>
      </c>
      <c r="E655" s="167"/>
      <c r="F655" s="167"/>
      <c r="G655" s="167"/>
      <c r="H655" s="167"/>
      <c r="I655" s="167"/>
      <c r="J655" s="167"/>
      <c r="K655" s="167"/>
      <c r="L655" s="167"/>
      <c r="M655" s="167"/>
      <c r="N655" s="167"/>
      <c r="O655" s="167"/>
    </row>
    <row r="656" spans="1:15" ht="14.4" hidden="1" x14ac:dyDescent="0.3">
      <c r="A656" s="55" t="s">
        <v>35</v>
      </c>
      <c r="B656" s="55"/>
      <c r="C656" s="56" t="s">
        <v>36</v>
      </c>
      <c r="D656" s="169">
        <v>0</v>
      </c>
      <c r="E656" s="169"/>
      <c r="F656" s="167"/>
      <c r="G656" s="167"/>
      <c r="H656" s="167"/>
      <c r="I656" s="167"/>
      <c r="J656" s="167"/>
      <c r="K656" s="167"/>
      <c r="L656" s="167"/>
      <c r="M656" s="167"/>
      <c r="N656" s="167"/>
      <c r="O656" s="167"/>
    </row>
    <row r="657" spans="1:15" ht="14.4" hidden="1" x14ac:dyDescent="0.3">
      <c r="A657" s="162" t="s">
        <v>37</v>
      </c>
      <c r="B657" s="162"/>
      <c r="C657" s="56"/>
      <c r="D657" s="171"/>
      <c r="E657" s="171"/>
      <c r="F657" s="171"/>
      <c r="G657" s="171"/>
      <c r="H657" s="171"/>
      <c r="I657" s="171"/>
      <c r="J657" s="171"/>
      <c r="K657" s="171"/>
      <c r="L657" s="171"/>
      <c r="M657" s="171"/>
      <c r="N657" s="171"/>
      <c r="O657" s="171"/>
    </row>
    <row r="658" spans="1:15" ht="14.4" hidden="1" x14ac:dyDescent="0.3">
      <c r="A658" s="172" t="s">
        <v>38</v>
      </c>
      <c r="B658" s="55"/>
      <c r="C658" s="56" t="s">
        <v>19</v>
      </c>
      <c r="D658" s="167">
        <v>0</v>
      </c>
      <c r="E658" s="167"/>
      <c r="F658" s="167"/>
      <c r="G658" s="167"/>
      <c r="H658" s="167"/>
      <c r="I658" s="167"/>
      <c r="J658" s="167"/>
      <c r="K658" s="167"/>
      <c r="L658" s="167"/>
      <c r="M658" s="167"/>
      <c r="N658" s="167"/>
      <c r="O658" s="167"/>
    </row>
    <row r="659" spans="1:15" ht="14.4" hidden="1" x14ac:dyDescent="0.3">
      <c r="A659" s="172" t="s">
        <v>39</v>
      </c>
      <c r="B659" s="55"/>
      <c r="C659" s="56" t="s">
        <v>19</v>
      </c>
      <c r="D659" s="167">
        <v>0</v>
      </c>
      <c r="E659" s="167"/>
      <c r="F659" s="167"/>
      <c r="G659" s="167"/>
      <c r="H659" s="167"/>
      <c r="I659" s="167"/>
      <c r="J659" s="167"/>
      <c r="K659" s="167"/>
      <c r="L659" s="167"/>
      <c r="M659" s="167"/>
      <c r="N659" s="167"/>
      <c r="O659" s="167"/>
    </row>
    <row r="660" spans="1:15" ht="14.4" hidden="1" x14ac:dyDescent="0.3">
      <c r="A660" s="172" t="s">
        <v>180</v>
      </c>
      <c r="B660" s="55"/>
      <c r="C660" s="56" t="s">
        <v>19</v>
      </c>
      <c r="D660" s="167">
        <v>0</v>
      </c>
      <c r="E660" s="167"/>
      <c r="F660" s="167"/>
      <c r="G660" s="167"/>
      <c r="H660" s="167"/>
      <c r="I660" s="167"/>
      <c r="J660" s="167"/>
      <c r="K660" s="167"/>
      <c r="L660" s="167"/>
      <c r="M660" s="167"/>
      <c r="N660" s="167"/>
      <c r="O660" s="167"/>
    </row>
    <row r="661" spans="1:15" ht="14.4" hidden="1" x14ac:dyDescent="0.3">
      <c r="A661" s="173" t="s">
        <v>40</v>
      </c>
      <c r="B661" s="55"/>
      <c r="C661" s="56" t="s">
        <v>19</v>
      </c>
      <c r="D661" s="167">
        <v>0</v>
      </c>
      <c r="E661" s="167"/>
      <c r="F661" s="167"/>
      <c r="G661" s="167"/>
      <c r="H661" s="167"/>
      <c r="I661" s="167"/>
      <c r="J661" s="167"/>
      <c r="K661" s="167"/>
      <c r="L661" s="167"/>
      <c r="M661" s="167"/>
      <c r="N661" s="167"/>
      <c r="O661" s="167"/>
    </row>
    <row r="662" spans="1:15" ht="14.4" hidden="1" x14ac:dyDescent="0.3">
      <c r="A662" s="173" t="s">
        <v>41</v>
      </c>
      <c r="B662" s="55"/>
      <c r="C662" s="56" t="s">
        <v>19</v>
      </c>
      <c r="D662" s="167">
        <v>0</v>
      </c>
      <c r="E662" s="167"/>
      <c r="F662" s="167"/>
      <c r="G662" s="167"/>
      <c r="H662" s="167"/>
      <c r="I662" s="167"/>
      <c r="J662" s="167"/>
      <c r="K662" s="167"/>
      <c r="L662" s="167"/>
      <c r="M662" s="167"/>
      <c r="N662" s="167"/>
      <c r="O662" s="167"/>
    </row>
    <row r="663" spans="1:15" ht="16.2" hidden="1" x14ac:dyDescent="0.3">
      <c r="A663" s="174" t="s">
        <v>182</v>
      </c>
      <c r="B663" s="175"/>
      <c r="C663" s="56" t="s">
        <v>19</v>
      </c>
      <c r="D663" s="167">
        <v>0</v>
      </c>
      <c r="E663" s="167"/>
      <c r="F663" s="167"/>
      <c r="G663" s="167"/>
      <c r="H663" s="167"/>
      <c r="I663" s="167"/>
      <c r="J663" s="167"/>
      <c r="K663" s="167"/>
      <c r="L663" s="167"/>
      <c r="M663" s="167"/>
      <c r="N663" s="167"/>
      <c r="O663" s="167"/>
    </row>
    <row r="664" spans="1:15" ht="16.2" hidden="1" x14ac:dyDescent="0.3">
      <c r="A664" s="174" t="s">
        <v>182</v>
      </c>
      <c r="B664" s="175"/>
      <c r="C664" s="56" t="s">
        <v>19</v>
      </c>
      <c r="D664" s="167">
        <v>0</v>
      </c>
      <c r="E664" s="167"/>
      <c r="F664" s="167"/>
      <c r="G664" s="167"/>
      <c r="H664" s="167"/>
      <c r="I664" s="167"/>
      <c r="J664" s="167"/>
      <c r="K664" s="167"/>
      <c r="L664" s="167"/>
      <c r="M664" s="167"/>
      <c r="N664" s="167"/>
      <c r="O664" s="167"/>
    </row>
    <row r="665" spans="1:15" ht="16.2" hidden="1" x14ac:dyDescent="0.3">
      <c r="A665" s="174" t="s">
        <v>182</v>
      </c>
      <c r="B665" s="176"/>
      <c r="C665" s="56" t="s">
        <v>19</v>
      </c>
      <c r="D665" s="167">
        <v>0</v>
      </c>
      <c r="E665" s="167"/>
      <c r="F665" s="167"/>
      <c r="G665" s="167"/>
      <c r="H665" s="167"/>
      <c r="I665" s="167"/>
      <c r="J665" s="167"/>
      <c r="K665" s="167"/>
      <c r="L665" s="167"/>
      <c r="M665" s="167"/>
      <c r="N665" s="167"/>
      <c r="O665" s="167"/>
    </row>
    <row r="666" spans="1:15" ht="14.4" hidden="1" x14ac:dyDescent="0.3">
      <c r="A666" s="162" t="s">
        <v>42</v>
      </c>
      <c r="B666" s="162"/>
      <c r="C666" s="56"/>
      <c r="D666" s="171"/>
      <c r="E666" s="171"/>
      <c r="F666" s="171"/>
      <c r="G666" s="171"/>
      <c r="H666" s="171"/>
      <c r="I666" s="171"/>
      <c r="J666" s="171"/>
      <c r="K666" s="171"/>
      <c r="L666" s="171"/>
      <c r="M666" s="171"/>
      <c r="N666" s="171"/>
      <c r="O666" s="171"/>
    </row>
    <row r="667" spans="1:15" ht="14.4" hidden="1" x14ac:dyDescent="0.3">
      <c r="A667" s="162" t="s">
        <v>191</v>
      </c>
      <c r="B667" s="162"/>
      <c r="C667" s="56" t="s">
        <v>44</v>
      </c>
      <c r="D667" s="177">
        <v>0</v>
      </c>
      <c r="E667" s="177"/>
      <c r="F667" s="177"/>
      <c r="G667" s="177"/>
      <c r="H667" s="177"/>
      <c r="I667" s="177"/>
      <c r="J667" s="177"/>
      <c r="K667" s="177"/>
      <c r="L667" s="177"/>
      <c r="M667" s="177"/>
      <c r="N667" s="177"/>
      <c r="O667" s="177"/>
    </row>
    <row r="668" spans="1:15" ht="14.4" hidden="1" x14ac:dyDescent="0.3">
      <c r="A668" s="162" t="s">
        <v>183</v>
      </c>
      <c r="B668" s="162"/>
      <c r="C668" s="56"/>
      <c r="D668" s="178"/>
      <c r="E668" s="178"/>
      <c r="F668" s="178"/>
      <c r="G668" s="178"/>
      <c r="H668" s="178"/>
      <c r="I668" s="178"/>
      <c r="J668" s="178"/>
      <c r="K668" s="178"/>
      <c r="L668" s="178"/>
      <c r="M668" s="178"/>
      <c r="N668" s="178"/>
      <c r="O668" s="178"/>
    </row>
    <row r="669" spans="1:15" ht="14.4" hidden="1" x14ac:dyDescent="0.3">
      <c r="A669" s="162" t="s">
        <v>184</v>
      </c>
      <c r="B669" s="162"/>
      <c r="C669" s="56" t="s">
        <v>19</v>
      </c>
      <c r="D669" s="167">
        <v>0</v>
      </c>
      <c r="E669" s="167"/>
      <c r="F669" s="167"/>
      <c r="G669" s="167"/>
      <c r="H669" s="167"/>
      <c r="I669" s="167"/>
      <c r="J669" s="167"/>
      <c r="K669" s="167"/>
      <c r="L669" s="167"/>
      <c r="M669" s="167"/>
      <c r="N669" s="167"/>
      <c r="O669" s="167"/>
    </row>
    <row r="670" spans="1:15" ht="14.4" hidden="1" x14ac:dyDescent="0.3">
      <c r="A670" s="162" t="s">
        <v>45</v>
      </c>
      <c r="B670" s="162"/>
      <c r="C670" s="56"/>
      <c r="D670" s="178"/>
      <c r="E670" s="178"/>
      <c r="F670" s="178"/>
      <c r="G670" s="178"/>
      <c r="H670" s="178"/>
      <c r="I670" s="178"/>
      <c r="J670" s="178"/>
      <c r="K670" s="178"/>
      <c r="L670" s="178"/>
      <c r="M670" s="178"/>
      <c r="N670" s="178"/>
      <c r="O670" s="178"/>
    </row>
    <row r="671" spans="1:15" ht="14.4" hidden="1" x14ac:dyDescent="0.3">
      <c r="A671" s="162" t="s">
        <v>46</v>
      </c>
      <c r="B671" s="162"/>
      <c r="C671" s="56" t="s">
        <v>19</v>
      </c>
      <c r="D671" s="167">
        <v>0</v>
      </c>
      <c r="E671" s="167"/>
      <c r="F671" s="167"/>
      <c r="G671" s="167"/>
      <c r="H671" s="167"/>
      <c r="I671" s="167"/>
      <c r="J671" s="167"/>
      <c r="K671" s="167"/>
      <c r="L671" s="167"/>
      <c r="M671" s="167"/>
      <c r="N671" s="167"/>
      <c r="O671" s="167"/>
    </row>
    <row r="672" spans="1:15" ht="14.4" hidden="1" x14ac:dyDescent="0.3">
      <c r="A672" s="162" t="s">
        <v>185</v>
      </c>
      <c r="B672" s="162"/>
      <c r="C672" s="56"/>
      <c r="D672" s="178"/>
      <c r="E672" s="178"/>
      <c r="F672" s="178"/>
      <c r="G672" s="178"/>
      <c r="H672" s="178"/>
      <c r="I672" s="178"/>
      <c r="J672" s="178"/>
      <c r="K672" s="178"/>
      <c r="L672" s="178"/>
      <c r="M672" s="178"/>
      <c r="N672" s="178"/>
      <c r="O672" s="178"/>
    </row>
    <row r="673" spans="1:18" ht="14.4" hidden="1" x14ac:dyDescent="0.3">
      <c r="A673" s="162" t="s">
        <v>186</v>
      </c>
      <c r="B673" s="162"/>
      <c r="C673" s="56" t="s">
        <v>19</v>
      </c>
      <c r="D673" s="167">
        <v>0</v>
      </c>
      <c r="E673" s="167"/>
      <c r="F673" s="167"/>
      <c r="G673" s="167"/>
      <c r="H673" s="167"/>
      <c r="I673" s="167"/>
      <c r="J673" s="167"/>
      <c r="K673" s="167"/>
      <c r="L673" s="167"/>
      <c r="M673" s="167"/>
      <c r="N673" s="167"/>
      <c r="O673" s="167"/>
    </row>
    <row r="674" spans="1:18" ht="14.4" hidden="1" x14ac:dyDescent="0.3">
      <c r="A674" s="162" t="s">
        <v>47</v>
      </c>
      <c r="B674" s="162"/>
      <c r="C674" s="56"/>
      <c r="D674" s="171"/>
      <c r="E674" s="171"/>
      <c r="F674" s="171"/>
      <c r="G674" s="171"/>
      <c r="H674" s="171"/>
      <c r="I674" s="171"/>
      <c r="J674" s="171"/>
      <c r="K674" s="171"/>
      <c r="L674" s="171"/>
      <c r="M674" s="171"/>
      <c r="N674" s="171"/>
      <c r="O674" s="171"/>
    </row>
    <row r="675" spans="1:18" ht="14.4" hidden="1" x14ac:dyDescent="0.3">
      <c r="A675" s="55" t="s">
        <v>48</v>
      </c>
      <c r="B675" s="55"/>
      <c r="C675" s="56" t="s">
        <v>19</v>
      </c>
      <c r="D675" s="167">
        <v>0</v>
      </c>
      <c r="E675" s="167"/>
      <c r="F675" s="167"/>
      <c r="G675" s="167"/>
      <c r="H675" s="167"/>
      <c r="I675" s="167"/>
      <c r="J675" s="167"/>
      <c r="K675" s="167"/>
      <c r="L675" s="167"/>
      <c r="M675" s="167"/>
      <c r="N675" s="167"/>
      <c r="O675" s="167"/>
    </row>
    <row r="676" spans="1:18" ht="14.4" hidden="1" x14ac:dyDescent="0.3">
      <c r="A676" s="55" t="s">
        <v>49</v>
      </c>
      <c r="B676" s="55"/>
      <c r="C676" s="56" t="s">
        <v>19</v>
      </c>
      <c r="D676" s="167">
        <v>0</v>
      </c>
      <c r="E676" s="167"/>
      <c r="F676" s="167"/>
      <c r="G676" s="167"/>
      <c r="H676" s="167"/>
      <c r="I676" s="167"/>
      <c r="J676" s="167"/>
      <c r="K676" s="167"/>
      <c r="L676" s="167"/>
      <c r="M676" s="167"/>
      <c r="N676" s="167"/>
      <c r="O676" s="167"/>
    </row>
    <row r="677" spans="1:18" ht="14.4" hidden="1" x14ac:dyDescent="0.3">
      <c r="A677" s="162" t="s">
        <v>52</v>
      </c>
      <c r="B677" s="162"/>
      <c r="C677" s="179"/>
      <c r="D677" s="170"/>
      <c r="E677" s="170"/>
      <c r="F677" s="170"/>
      <c r="G677" s="170"/>
      <c r="H677" s="170"/>
      <c r="I677" s="170"/>
      <c r="J677" s="170"/>
      <c r="K677" s="170"/>
      <c r="L677" s="170"/>
      <c r="M677" s="170"/>
      <c r="N677" s="170"/>
      <c r="O677" s="170"/>
    </row>
    <row r="678" spans="1:18" ht="14.4" hidden="1" x14ac:dyDescent="0.3">
      <c r="A678" s="55" t="s">
        <v>53</v>
      </c>
      <c r="B678" s="55"/>
      <c r="C678" s="56" t="s">
        <v>44</v>
      </c>
      <c r="D678" s="180">
        <v>0</v>
      </c>
      <c r="E678" s="180"/>
      <c r="F678" s="167"/>
      <c r="G678" s="167"/>
      <c r="H678" s="167"/>
      <c r="I678" s="167"/>
      <c r="J678" s="167"/>
      <c r="K678" s="167"/>
      <c r="L678" s="167"/>
      <c r="M678" s="167"/>
      <c r="N678" s="167"/>
      <c r="O678" s="167"/>
    </row>
    <row r="679" spans="1:18" ht="14.4" hidden="1" x14ac:dyDescent="0.3">
      <c r="A679" s="55" t="s">
        <v>54</v>
      </c>
      <c r="B679" s="55"/>
      <c r="C679" s="56" t="s">
        <v>44</v>
      </c>
      <c r="D679" s="180">
        <v>0</v>
      </c>
      <c r="E679" s="180"/>
      <c r="F679" s="167"/>
      <c r="G679" s="167"/>
      <c r="H679" s="167"/>
      <c r="I679" s="167"/>
      <c r="J679" s="167"/>
      <c r="K679" s="167"/>
      <c r="L679" s="167"/>
      <c r="M679" s="167"/>
      <c r="N679" s="167"/>
      <c r="O679" s="167"/>
    </row>
    <row r="680" spans="1:18" ht="14.4" hidden="1" x14ac:dyDescent="0.3">
      <c r="A680" s="55" t="s">
        <v>55</v>
      </c>
      <c r="B680" s="55"/>
      <c r="C680" s="56" t="s">
        <v>44</v>
      </c>
      <c r="D680" s="180">
        <v>0</v>
      </c>
      <c r="E680" s="180"/>
      <c r="F680" s="167"/>
      <c r="G680" s="167"/>
      <c r="H680" s="167"/>
      <c r="I680" s="167"/>
      <c r="J680" s="167"/>
      <c r="K680" s="167"/>
      <c r="L680" s="167"/>
      <c r="M680" s="167"/>
      <c r="N680" s="167"/>
      <c r="O680" s="167"/>
    </row>
    <row r="681" spans="1:18" ht="14.4" hidden="1" x14ac:dyDescent="0.3">
      <c r="A681" s="55" t="s">
        <v>187</v>
      </c>
      <c r="B681" s="55"/>
      <c r="C681" s="56" t="s">
        <v>44</v>
      </c>
      <c r="D681" s="180">
        <v>0</v>
      </c>
      <c r="E681" s="180"/>
      <c r="F681" s="167"/>
      <c r="G681" s="167"/>
      <c r="H681" s="167"/>
      <c r="I681" s="167"/>
      <c r="J681" s="167"/>
      <c r="K681" s="167"/>
      <c r="L681" s="167"/>
      <c r="M681" s="167"/>
      <c r="N681" s="167"/>
      <c r="O681" s="167"/>
    </row>
    <row r="682" spans="1:18" ht="14.4" hidden="1" x14ac:dyDescent="0.3">
      <c r="A682" s="55" t="s">
        <v>188</v>
      </c>
      <c r="B682" s="55"/>
      <c r="C682" s="56" t="s">
        <v>44</v>
      </c>
      <c r="D682" s="180">
        <v>0</v>
      </c>
      <c r="E682" s="180"/>
      <c r="F682" s="167"/>
      <c r="G682" s="167"/>
      <c r="H682" s="167"/>
      <c r="I682" s="167"/>
      <c r="J682" s="167"/>
      <c r="K682" s="167"/>
      <c r="L682" s="167"/>
      <c r="M682" s="167"/>
      <c r="N682" s="167"/>
      <c r="O682" s="167"/>
    </row>
    <row r="683" spans="1:18" ht="14.4" hidden="1" x14ac:dyDescent="0.3">
      <c r="A683" s="55" t="s">
        <v>56</v>
      </c>
      <c r="B683" s="55"/>
      <c r="C683" s="56" t="s">
        <v>44</v>
      </c>
      <c r="D683" s="180">
        <v>0</v>
      </c>
      <c r="E683" s="180"/>
      <c r="F683" s="180"/>
      <c r="G683" s="180"/>
      <c r="H683" s="180"/>
      <c r="I683" s="180"/>
      <c r="J683" s="180"/>
      <c r="K683" s="180"/>
      <c r="L683" s="180"/>
      <c r="M683" s="180"/>
      <c r="N683" s="180"/>
      <c r="O683" s="180"/>
    </row>
    <row r="684" spans="1:18" ht="14.4" hidden="1" x14ac:dyDescent="0.3">
      <c r="A684" s="55" t="s">
        <v>57</v>
      </c>
      <c r="B684" s="55"/>
      <c r="C684" s="56" t="s">
        <v>44</v>
      </c>
      <c r="D684" s="180">
        <v>0</v>
      </c>
      <c r="E684" s="180"/>
      <c r="F684" s="180"/>
      <c r="G684" s="180"/>
      <c r="H684" s="180"/>
      <c r="I684" s="180"/>
      <c r="J684" s="180"/>
      <c r="K684" s="180"/>
      <c r="L684" s="180"/>
      <c r="M684" s="180"/>
      <c r="N684" s="180"/>
      <c r="O684" s="180"/>
    </row>
    <row r="685" spans="1:18" ht="14.4" hidden="1" x14ac:dyDescent="0.3">
      <c r="D685" s="58"/>
      <c r="E685" s="58"/>
      <c r="F685" s="58"/>
      <c r="G685" s="58"/>
      <c r="H685" s="58"/>
      <c r="I685" s="58"/>
      <c r="J685" s="58"/>
      <c r="K685" s="58"/>
      <c r="L685" s="58"/>
      <c r="M685" s="58"/>
      <c r="N685" s="58"/>
      <c r="O685" s="58"/>
    </row>
    <row r="686" spans="1:18" ht="18" x14ac:dyDescent="0.35">
      <c r="A686" s="59" t="str">
        <f>'[40]Statistical data'!A198</f>
        <v>General Service B</v>
      </c>
      <c r="B686" s="59"/>
      <c r="C686" s="5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</row>
    <row r="687" spans="1:18" s="13" customFormat="1" ht="14.4" x14ac:dyDescent="0.3">
      <c r="A687" s="11" t="s">
        <v>3</v>
      </c>
      <c r="B687" s="11"/>
      <c r="C687" s="11" t="s">
        <v>4</v>
      </c>
      <c r="D687" s="12" t="s">
        <v>5</v>
      </c>
      <c r="E687" s="12" t="s">
        <v>6</v>
      </c>
      <c r="F687" s="12" t="s">
        <v>7</v>
      </c>
      <c r="G687" s="12" t="s">
        <v>8</v>
      </c>
      <c r="H687" s="12" t="s">
        <v>9</v>
      </c>
      <c r="I687" s="12" t="s">
        <v>10</v>
      </c>
      <c r="J687" s="12" t="s">
        <v>11</v>
      </c>
      <c r="K687" s="12" t="s">
        <v>12</v>
      </c>
      <c r="L687" s="12" t="s">
        <v>13</v>
      </c>
      <c r="M687" s="12" t="s">
        <v>14</v>
      </c>
      <c r="N687" s="12" t="s">
        <v>15</v>
      </c>
      <c r="O687" s="12" t="s">
        <v>16</v>
      </c>
      <c r="P687" s="153"/>
      <c r="Q687" s="153"/>
      <c r="R687" s="153"/>
    </row>
    <row r="688" spans="1:18" ht="14.4" x14ac:dyDescent="0.3">
      <c r="A688" s="14" t="s">
        <v>17</v>
      </c>
      <c r="B688" s="15"/>
      <c r="C688" s="16"/>
      <c r="D688" s="17"/>
      <c r="E688" s="17"/>
      <c r="F688" s="17"/>
      <c r="G688" s="17"/>
      <c r="H688" s="17"/>
      <c r="I688" s="17"/>
      <c r="J688" s="17"/>
      <c r="K688" s="17"/>
      <c r="L688" s="17"/>
      <c r="M688" s="17"/>
      <c r="N688" s="17"/>
      <c r="O688" s="17"/>
    </row>
    <row r="689" spans="1:18" ht="14.4" x14ac:dyDescent="0.3">
      <c r="A689" s="18" t="s">
        <v>18</v>
      </c>
      <c r="B689" s="19"/>
      <c r="C689" s="16" t="s">
        <v>19</v>
      </c>
      <c r="D689" s="52" t="s">
        <v>59</v>
      </c>
      <c r="E689" s="52" t="s">
        <v>59</v>
      </c>
      <c r="F689" s="52" t="s">
        <v>59</v>
      </c>
      <c r="G689" s="52" t="s">
        <v>59</v>
      </c>
      <c r="H689" s="52" t="s">
        <v>59</v>
      </c>
      <c r="I689" s="52" t="s">
        <v>59</v>
      </c>
      <c r="J689" s="52" t="s">
        <v>59</v>
      </c>
      <c r="K689" s="52" t="s">
        <v>59</v>
      </c>
      <c r="L689" s="52" t="s">
        <v>59</v>
      </c>
      <c r="M689" s="52" t="s">
        <v>59</v>
      </c>
      <c r="N689" s="52" t="s">
        <v>59</v>
      </c>
      <c r="O689" s="52" t="s">
        <v>59</v>
      </c>
    </row>
    <row r="690" spans="1:18" ht="14.4" x14ac:dyDescent="0.3">
      <c r="A690" s="18" t="s">
        <v>66</v>
      </c>
      <c r="B690" s="19"/>
      <c r="C690" s="16" t="s">
        <v>19</v>
      </c>
      <c r="D690" s="20">
        <v>0</v>
      </c>
      <c r="E690" s="20">
        <v>0</v>
      </c>
      <c r="F690" s="20">
        <v>0</v>
      </c>
      <c r="G690" s="20">
        <v>0</v>
      </c>
      <c r="H690" s="20">
        <v>0</v>
      </c>
      <c r="I690" s="20">
        <v>0</v>
      </c>
      <c r="J690" s="20">
        <v>0</v>
      </c>
      <c r="K690" s="20">
        <v>0</v>
      </c>
      <c r="L690" s="20">
        <v>0</v>
      </c>
      <c r="M690" s="20">
        <v>0</v>
      </c>
      <c r="N690" s="20">
        <v>0</v>
      </c>
      <c r="O690" s="20">
        <v>0</v>
      </c>
      <c r="P690" s="5"/>
      <c r="Q690" s="5"/>
      <c r="R690" s="5"/>
    </row>
    <row r="691" spans="1:18" ht="14.4" x14ac:dyDescent="0.3">
      <c r="A691" s="14" t="s">
        <v>20</v>
      </c>
      <c r="B691" s="15"/>
      <c r="C691" s="16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</row>
    <row r="692" spans="1:18" ht="14.4" x14ac:dyDescent="0.3">
      <c r="A692" s="18" t="s">
        <v>21</v>
      </c>
      <c r="B692" s="19"/>
      <c r="C692" s="16" t="s">
        <v>19</v>
      </c>
      <c r="D692" s="20">
        <v>0</v>
      </c>
      <c r="E692" s="20">
        <v>0</v>
      </c>
      <c r="F692" s="20">
        <v>0</v>
      </c>
      <c r="G692" s="20">
        <v>0</v>
      </c>
      <c r="H692" s="20">
        <v>0</v>
      </c>
      <c r="I692" s="20">
        <v>0</v>
      </c>
      <c r="J692" s="20">
        <v>0</v>
      </c>
      <c r="K692" s="20">
        <v>0</v>
      </c>
      <c r="L692" s="20">
        <v>0</v>
      </c>
      <c r="M692" s="20">
        <v>0</v>
      </c>
      <c r="N692" s="20">
        <v>0</v>
      </c>
      <c r="O692" s="20">
        <v>0</v>
      </c>
    </row>
    <row r="693" spans="1:18" ht="14.4" x14ac:dyDescent="0.3">
      <c r="A693" s="18" t="s">
        <v>22</v>
      </c>
      <c r="B693" s="19"/>
      <c r="C693" s="16" t="s">
        <v>23</v>
      </c>
      <c r="D693" s="23">
        <f>[40]TR!D93</f>
        <v>350.51</v>
      </c>
      <c r="E693" s="23">
        <f>[40]TR!E93</f>
        <v>301.23</v>
      </c>
      <c r="F693" s="23">
        <f>[40]TR!F93</f>
        <v>283.57</v>
      </c>
      <c r="G693" s="23">
        <f>[40]TR!G93</f>
        <v>296.27</v>
      </c>
      <c r="H693" s="23">
        <f>[40]TR!H93</f>
        <v>290.89999999999998</v>
      </c>
      <c r="I693" s="23">
        <f>[40]TR!I93</f>
        <v>314.77</v>
      </c>
      <c r="J693" s="23">
        <f>[40]TR!J93</f>
        <v>291.23</v>
      </c>
      <c r="K693" s="23">
        <f>[40]TR!K93</f>
        <v>294.52</v>
      </c>
      <c r="L693" s="23">
        <f>[40]TR!L93</f>
        <v>253.94</v>
      </c>
      <c r="M693" s="23">
        <f>[40]TR!M93</f>
        <v>252.71</v>
      </c>
      <c r="N693" s="23">
        <f>[40]TR!N93</f>
        <v>294.58999999999997</v>
      </c>
      <c r="O693" s="23">
        <f>[40]TR!O93</f>
        <v>250.57</v>
      </c>
    </row>
    <row r="694" spans="1:18" ht="14.4" x14ac:dyDescent="0.3">
      <c r="A694" s="14" t="s">
        <v>24</v>
      </c>
      <c r="B694" s="15"/>
      <c r="C694" s="16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</row>
    <row r="695" spans="1:18" ht="14.4" x14ac:dyDescent="0.3">
      <c r="A695" s="18" t="s">
        <v>25</v>
      </c>
      <c r="B695" s="19"/>
      <c r="C695" s="16" t="s">
        <v>19</v>
      </c>
      <c r="D695" s="20">
        <f t="shared" ref="D695:O695" si="25">D165</f>
        <v>0.65939999999999999</v>
      </c>
      <c r="E695" s="20">
        <f t="shared" si="25"/>
        <v>0.65849999999999997</v>
      </c>
      <c r="F695" s="20">
        <f t="shared" si="25"/>
        <v>0.624</v>
      </c>
      <c r="G695" s="20">
        <f t="shared" si="25"/>
        <v>0.66700000000000004</v>
      </c>
      <c r="H695" s="20">
        <f t="shared" si="25"/>
        <v>0.69189999999999996</v>
      </c>
      <c r="I695" s="20">
        <f t="shared" si="25"/>
        <v>0.73960000000000004</v>
      </c>
      <c r="J695" s="20">
        <f t="shared" si="25"/>
        <v>0.76259999999999994</v>
      </c>
      <c r="K695" s="20">
        <f t="shared" si="25"/>
        <v>0.77769999999999995</v>
      </c>
      <c r="L695" s="20">
        <f t="shared" si="25"/>
        <v>0.61739999999999995</v>
      </c>
      <c r="M695" s="20">
        <f t="shared" si="25"/>
        <v>0.63919999999999999</v>
      </c>
      <c r="N695" s="20">
        <f t="shared" si="25"/>
        <v>0.66279999999999994</v>
      </c>
      <c r="O695" s="20">
        <f t="shared" si="25"/>
        <v>0.62280000000000002</v>
      </c>
    </row>
    <row r="696" spans="1:18" ht="14.4" x14ac:dyDescent="0.3">
      <c r="A696" s="14" t="s">
        <v>26</v>
      </c>
      <c r="B696" s="14"/>
      <c r="C696" s="16"/>
      <c r="D696" s="22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</row>
    <row r="697" spans="1:18" ht="14.4" x14ac:dyDescent="0.3">
      <c r="A697" s="18" t="s">
        <v>27</v>
      </c>
      <c r="B697" s="18"/>
      <c r="C697" s="16" t="s">
        <v>19</v>
      </c>
      <c r="D697" s="20">
        <v>0.1</v>
      </c>
      <c r="E697" s="20">
        <v>0.1</v>
      </c>
      <c r="F697" s="20">
        <v>0.1</v>
      </c>
      <c r="G697" s="20">
        <v>0.1</v>
      </c>
      <c r="H697" s="20">
        <v>0.1</v>
      </c>
      <c r="I697" s="20">
        <v>0.1</v>
      </c>
      <c r="J697" s="20">
        <v>0.16</v>
      </c>
      <c r="K697" s="20">
        <v>0.16</v>
      </c>
      <c r="L697" s="20">
        <v>0.16</v>
      </c>
      <c r="M697" s="20">
        <v>0.16</v>
      </c>
      <c r="N697" s="20">
        <v>0.16</v>
      </c>
      <c r="O697" s="20">
        <v>0.16</v>
      </c>
    </row>
    <row r="698" spans="1:18" ht="14.4" x14ac:dyDescent="0.3">
      <c r="A698" s="18" t="s">
        <v>28</v>
      </c>
      <c r="B698" s="18"/>
      <c r="C698" s="16" t="s">
        <v>23</v>
      </c>
      <c r="D698" s="23">
        <v>263.2</v>
      </c>
      <c r="E698" s="23">
        <v>263.2</v>
      </c>
      <c r="F698" s="23">
        <v>263.2</v>
      </c>
      <c r="G698" s="23">
        <v>263.2</v>
      </c>
      <c r="H698" s="23">
        <v>263.2</v>
      </c>
      <c r="I698" s="23">
        <v>263.2</v>
      </c>
      <c r="J698" s="23">
        <v>277.5</v>
      </c>
      <c r="K698" s="23">
        <v>277.5</v>
      </c>
      <c r="L698" s="23">
        <v>277.5</v>
      </c>
      <c r="M698" s="23">
        <v>277.5</v>
      </c>
      <c r="N698" s="23">
        <v>277.5</v>
      </c>
      <c r="O698" s="23">
        <v>277.5</v>
      </c>
    </row>
    <row r="699" spans="1:18" ht="14.4" x14ac:dyDescent="0.3">
      <c r="A699" s="14" t="s">
        <v>29</v>
      </c>
      <c r="B699" s="14"/>
      <c r="C699" s="16"/>
      <c r="D699" s="24"/>
      <c r="E699" s="24"/>
      <c r="F699" s="24"/>
      <c r="G699" s="24"/>
      <c r="H699" s="24"/>
      <c r="I699" s="24"/>
      <c r="J699" s="24"/>
      <c r="K699" s="24"/>
      <c r="L699" s="24"/>
      <c r="M699" s="24"/>
      <c r="N699" s="24"/>
      <c r="O699" s="24"/>
    </row>
    <row r="700" spans="1:18" ht="14.4" x14ac:dyDescent="0.3">
      <c r="A700" s="18" t="s">
        <v>30</v>
      </c>
      <c r="B700" s="18"/>
      <c r="C700" s="16" t="s">
        <v>19</v>
      </c>
      <c r="D700" s="52" t="s">
        <v>61</v>
      </c>
      <c r="E700" s="52" t="s">
        <v>61</v>
      </c>
      <c r="F700" s="52" t="s">
        <v>61</v>
      </c>
      <c r="G700" s="52" t="s">
        <v>61</v>
      </c>
      <c r="H700" s="52" t="s">
        <v>61</v>
      </c>
      <c r="I700" s="52" t="s">
        <v>61</v>
      </c>
      <c r="J700" s="52" t="s">
        <v>61</v>
      </c>
      <c r="K700" s="52" t="s">
        <v>61</v>
      </c>
      <c r="L700" s="52" t="s">
        <v>61</v>
      </c>
      <c r="M700" s="52" t="s">
        <v>61</v>
      </c>
      <c r="N700" s="52" t="s">
        <v>61</v>
      </c>
      <c r="O700" s="52" t="s">
        <v>61</v>
      </c>
    </row>
    <row r="701" spans="1:18" ht="14.4" x14ac:dyDescent="0.3">
      <c r="A701" s="18" t="s">
        <v>31</v>
      </c>
      <c r="B701" s="18"/>
      <c r="C701" s="16" t="s">
        <v>32</v>
      </c>
      <c r="D701" s="52" t="s">
        <v>62</v>
      </c>
      <c r="E701" s="52" t="s">
        <v>62</v>
      </c>
      <c r="F701" s="52" t="s">
        <v>62</v>
      </c>
      <c r="G701" s="52" t="s">
        <v>62</v>
      </c>
      <c r="H701" s="52" t="s">
        <v>62</v>
      </c>
      <c r="I701" s="52" t="s">
        <v>62</v>
      </c>
      <c r="J701" s="52" t="s">
        <v>62</v>
      </c>
      <c r="K701" s="52" t="s">
        <v>62</v>
      </c>
      <c r="L701" s="52" t="s">
        <v>62</v>
      </c>
      <c r="M701" s="52" t="s">
        <v>62</v>
      </c>
      <c r="N701" s="52" t="s">
        <v>62</v>
      </c>
      <c r="O701" s="52" t="s">
        <v>62</v>
      </c>
    </row>
    <row r="702" spans="1:18" ht="14.4" x14ac:dyDescent="0.3">
      <c r="A702" s="14" t="s">
        <v>33</v>
      </c>
      <c r="B702" s="14"/>
      <c r="C702" s="16"/>
      <c r="D702" s="24"/>
      <c r="E702" s="24"/>
      <c r="F702" s="24"/>
      <c r="G702" s="24"/>
      <c r="H702" s="24"/>
      <c r="I702" s="24"/>
      <c r="J702" s="24"/>
      <c r="K702" s="24"/>
      <c r="L702" s="24"/>
      <c r="M702" s="24"/>
      <c r="N702" s="24"/>
      <c r="O702" s="24"/>
    </row>
    <row r="703" spans="1:18" ht="14.4" x14ac:dyDescent="0.3">
      <c r="A703" s="18" t="s">
        <v>34</v>
      </c>
      <c r="B703" s="18"/>
      <c r="C703" s="16" t="s">
        <v>19</v>
      </c>
      <c r="D703" s="20">
        <v>0</v>
      </c>
      <c r="E703" s="20">
        <v>0</v>
      </c>
      <c r="F703" s="20">
        <v>0</v>
      </c>
      <c r="G703" s="20">
        <v>0</v>
      </c>
      <c r="H703" s="20">
        <v>0</v>
      </c>
      <c r="I703" s="20">
        <v>0</v>
      </c>
      <c r="J703" s="20">
        <v>0</v>
      </c>
      <c r="K703" s="20">
        <v>0</v>
      </c>
      <c r="L703" s="20">
        <v>0</v>
      </c>
      <c r="M703" s="20">
        <v>0</v>
      </c>
      <c r="N703" s="20">
        <v>0</v>
      </c>
      <c r="O703" s="20">
        <v>0</v>
      </c>
    </row>
    <row r="704" spans="1:18" ht="14.4" x14ac:dyDescent="0.3">
      <c r="A704" s="18" t="s">
        <v>35</v>
      </c>
      <c r="B704" s="18"/>
      <c r="C704" s="16" t="s">
        <v>36</v>
      </c>
      <c r="D704" s="52" t="s">
        <v>63</v>
      </c>
      <c r="E704" s="52" t="s">
        <v>63</v>
      </c>
      <c r="F704" s="52" t="s">
        <v>63</v>
      </c>
      <c r="G704" s="52" t="s">
        <v>63</v>
      </c>
      <c r="H704" s="52" t="s">
        <v>63</v>
      </c>
      <c r="I704" s="52" t="s">
        <v>63</v>
      </c>
      <c r="J704" s="52" t="s">
        <v>63</v>
      </c>
      <c r="K704" s="52" t="s">
        <v>63</v>
      </c>
      <c r="L704" s="52" t="s">
        <v>63</v>
      </c>
      <c r="M704" s="52" t="s">
        <v>63</v>
      </c>
      <c r="N704" s="52" t="s">
        <v>63</v>
      </c>
      <c r="O704" s="52" t="s">
        <v>63</v>
      </c>
    </row>
    <row r="705" spans="1:18" ht="14.4" x14ac:dyDescent="0.3">
      <c r="A705" s="14" t="s">
        <v>37</v>
      </c>
      <c r="B705" s="14"/>
      <c r="C705" s="16"/>
      <c r="D705" s="24"/>
      <c r="E705" s="24"/>
      <c r="F705" s="24"/>
      <c r="G705" s="24"/>
      <c r="H705" s="24"/>
      <c r="I705" s="24"/>
      <c r="J705" s="24"/>
      <c r="K705" s="24"/>
      <c r="L705" s="24"/>
      <c r="M705" s="24"/>
      <c r="N705" s="24"/>
      <c r="O705" s="24"/>
    </row>
    <row r="706" spans="1:18" ht="14.4" x14ac:dyDescent="0.3">
      <c r="A706" s="25" t="s">
        <v>38</v>
      </c>
      <c r="B706" s="18"/>
      <c r="C706" s="16" t="s">
        <v>19</v>
      </c>
      <c r="D706" s="20">
        <f t="shared" ref="D706:O706" si="26">D176</f>
        <v>0.1404</v>
      </c>
      <c r="E706" s="20">
        <f t="shared" si="26"/>
        <v>0.14729999999999999</v>
      </c>
      <c r="F706" s="20">
        <f t="shared" si="26"/>
        <v>0.13950000000000001</v>
      </c>
      <c r="G706" s="20">
        <f t="shared" si="26"/>
        <v>0.14099999999999999</v>
      </c>
      <c r="H706" s="20">
        <f t="shared" si="26"/>
        <v>0.1283</v>
      </c>
      <c r="I706" s="20">
        <f t="shared" si="26"/>
        <v>0.1103</v>
      </c>
      <c r="J706" s="20">
        <f t="shared" si="26"/>
        <v>0.11559999999999999</v>
      </c>
      <c r="K706" s="20">
        <f t="shared" si="26"/>
        <v>0.1419</v>
      </c>
      <c r="L706" s="20">
        <f t="shared" si="26"/>
        <v>0.15759999999999999</v>
      </c>
      <c r="M706" s="20">
        <f t="shared" si="26"/>
        <v>0.1288</v>
      </c>
      <c r="N706" s="20">
        <f t="shared" si="26"/>
        <v>0.1321</v>
      </c>
      <c r="O706" s="20">
        <f t="shared" si="26"/>
        <v>0.1331</v>
      </c>
    </row>
    <row r="707" spans="1:18" ht="14.4" x14ac:dyDescent="0.3">
      <c r="A707" s="25" t="s">
        <v>39</v>
      </c>
      <c r="B707" s="18"/>
      <c r="C707" s="16" t="s">
        <v>19</v>
      </c>
      <c r="D707" s="20">
        <v>0</v>
      </c>
      <c r="E707" s="20">
        <v>0</v>
      </c>
      <c r="F707" s="20">
        <v>0</v>
      </c>
      <c r="G707" s="20">
        <v>0</v>
      </c>
      <c r="H707" s="20">
        <v>0</v>
      </c>
      <c r="I707" s="20">
        <v>0</v>
      </c>
      <c r="J707" s="20">
        <v>0</v>
      </c>
      <c r="K707" s="20">
        <v>0</v>
      </c>
      <c r="L707" s="20">
        <v>0</v>
      </c>
      <c r="M707" s="20">
        <v>0</v>
      </c>
      <c r="N707" s="20">
        <v>0</v>
      </c>
      <c r="O707" s="20">
        <v>0</v>
      </c>
      <c r="P707" s="5"/>
      <c r="Q707" s="5"/>
      <c r="R707" s="5"/>
    </row>
    <row r="708" spans="1:18" ht="14.4" x14ac:dyDescent="0.3">
      <c r="A708" s="25" t="s">
        <v>180</v>
      </c>
      <c r="B708" s="18"/>
      <c r="C708" s="16" t="s">
        <v>19</v>
      </c>
      <c r="D708" s="20">
        <f>D178</f>
        <v>6.2E-2</v>
      </c>
      <c r="E708" s="20">
        <f t="shared" ref="E708:O711" si="27">E178</f>
        <v>6.2E-2</v>
      </c>
      <c r="F708" s="20">
        <f t="shared" si="27"/>
        <v>6.2E-2</v>
      </c>
      <c r="G708" s="20">
        <f t="shared" si="27"/>
        <v>6.2E-2</v>
      </c>
      <c r="H708" s="20">
        <f t="shared" si="27"/>
        <v>6.2E-2</v>
      </c>
      <c r="I708" s="20">
        <f t="shared" si="27"/>
        <v>6.2E-2</v>
      </c>
      <c r="J708" s="20">
        <f t="shared" si="27"/>
        <v>6.2E-2</v>
      </c>
      <c r="K708" s="20">
        <f t="shared" si="27"/>
        <v>6.2E-2</v>
      </c>
      <c r="L708" s="20">
        <f t="shared" si="27"/>
        <v>6.2E-2</v>
      </c>
      <c r="M708" s="20">
        <f t="shared" si="27"/>
        <v>6.2E-2</v>
      </c>
      <c r="N708" s="20">
        <f t="shared" si="27"/>
        <v>3.1399999999999997E-2</v>
      </c>
      <c r="O708" s="20">
        <f t="shared" si="27"/>
        <v>3.1399999999999997E-2</v>
      </c>
    </row>
    <row r="709" spans="1:18" ht="14.4" x14ac:dyDescent="0.3">
      <c r="A709" s="26" t="s">
        <v>40</v>
      </c>
      <c r="B709" s="18"/>
      <c r="C709" s="16" t="s">
        <v>19</v>
      </c>
      <c r="D709" s="20">
        <f t="shared" ref="D709:E713" si="28">D179</f>
        <v>1E-4</v>
      </c>
      <c r="E709" s="20">
        <f t="shared" si="27"/>
        <v>1E-4</v>
      </c>
      <c r="F709" s="20">
        <f t="shared" si="27"/>
        <v>1E-4</v>
      </c>
      <c r="G709" s="20">
        <f t="shared" si="27"/>
        <v>1E-4</v>
      </c>
      <c r="H709" s="20">
        <f t="shared" si="27"/>
        <v>1E-4</v>
      </c>
      <c r="I709" s="20">
        <f t="shared" si="27"/>
        <v>1E-4</v>
      </c>
      <c r="J709" s="20">
        <f t="shared" si="27"/>
        <v>1E-4</v>
      </c>
      <c r="K709" s="20">
        <f t="shared" si="27"/>
        <v>1E-4</v>
      </c>
      <c r="L709" s="20">
        <f t="shared" si="27"/>
        <v>1E-4</v>
      </c>
      <c r="M709" s="20">
        <f t="shared" si="27"/>
        <v>1E-4</v>
      </c>
      <c r="N709" s="20">
        <f t="shared" si="27"/>
        <v>1E-4</v>
      </c>
      <c r="O709" s="20">
        <f t="shared" si="27"/>
        <v>1E-4</v>
      </c>
    </row>
    <row r="710" spans="1:18" ht="14.4" x14ac:dyDescent="0.3">
      <c r="A710" s="26" t="s">
        <v>41</v>
      </c>
      <c r="B710" s="18"/>
      <c r="C710" s="16" t="s">
        <v>19</v>
      </c>
      <c r="D710" s="20">
        <f t="shared" si="28"/>
        <v>0</v>
      </c>
      <c r="E710" s="20">
        <f t="shared" si="27"/>
        <v>0</v>
      </c>
      <c r="F710" s="20">
        <f t="shared" si="27"/>
        <v>0</v>
      </c>
      <c r="G710" s="20">
        <f t="shared" si="27"/>
        <v>0</v>
      </c>
      <c r="H710" s="20">
        <f t="shared" si="27"/>
        <v>0</v>
      </c>
      <c r="I710" s="20">
        <f t="shared" si="27"/>
        <v>0</v>
      </c>
      <c r="J710" s="20">
        <f t="shared" si="27"/>
        <v>0</v>
      </c>
      <c r="K710" s="20">
        <f t="shared" si="27"/>
        <v>0</v>
      </c>
      <c r="L710" s="20">
        <f t="shared" si="27"/>
        <v>0</v>
      </c>
      <c r="M710" s="20">
        <f t="shared" si="27"/>
        <v>0</v>
      </c>
      <c r="N710" s="20">
        <f t="shared" si="27"/>
        <v>0</v>
      </c>
      <c r="O710" s="20">
        <f t="shared" si="27"/>
        <v>0</v>
      </c>
    </row>
    <row r="711" spans="1:18" ht="14.4" x14ac:dyDescent="0.3">
      <c r="A711" s="154" t="s">
        <v>181</v>
      </c>
      <c r="B711" s="155"/>
      <c r="C711" s="16" t="s">
        <v>19</v>
      </c>
      <c r="D711" s="20">
        <f t="shared" si="28"/>
        <v>1.03E-2</v>
      </c>
      <c r="E711" s="20">
        <f t="shared" si="27"/>
        <v>1.03E-2</v>
      </c>
      <c r="F711" s="20">
        <f t="shared" si="27"/>
        <v>1.03E-2</v>
      </c>
      <c r="G711" s="20">
        <f t="shared" si="27"/>
        <v>1.03E-2</v>
      </c>
      <c r="H711" s="20">
        <f t="shared" si="27"/>
        <v>1.03E-2</v>
      </c>
      <c r="I711" s="20">
        <f t="shared" si="27"/>
        <v>1.03E-2</v>
      </c>
      <c r="J711" s="20">
        <f t="shared" si="27"/>
        <v>1.03E-2</v>
      </c>
      <c r="K711" s="20">
        <f t="shared" si="27"/>
        <v>1.03E-2</v>
      </c>
      <c r="L711" s="20">
        <f t="shared" si="27"/>
        <v>1.03E-2</v>
      </c>
      <c r="M711" s="20">
        <f t="shared" si="27"/>
        <v>1.03E-2</v>
      </c>
      <c r="N711" s="20">
        <f t="shared" si="27"/>
        <v>1.03E-2</v>
      </c>
      <c r="O711" s="20">
        <f t="shared" si="27"/>
        <v>1.03E-2</v>
      </c>
    </row>
    <row r="712" spans="1:18" ht="16.2" hidden="1" x14ac:dyDescent="0.3">
      <c r="A712" s="154" t="s">
        <v>182</v>
      </c>
      <c r="B712" s="155"/>
      <c r="C712" s="16" t="s">
        <v>19</v>
      </c>
      <c r="D712" s="20">
        <f t="shared" si="28"/>
        <v>0</v>
      </c>
      <c r="E712" s="20">
        <f t="shared" si="28"/>
        <v>0</v>
      </c>
      <c r="F712" s="20"/>
      <c r="G712" s="20"/>
      <c r="H712" s="20"/>
      <c r="I712" s="20"/>
      <c r="J712" s="20"/>
      <c r="K712" s="20"/>
      <c r="L712" s="20"/>
      <c r="M712" s="20"/>
      <c r="N712" s="20"/>
      <c r="O712" s="20"/>
    </row>
    <row r="713" spans="1:18" ht="16.2" hidden="1" x14ac:dyDescent="0.3">
      <c r="A713" s="154" t="s">
        <v>182</v>
      </c>
      <c r="B713" s="156"/>
      <c r="C713" s="16" t="s">
        <v>19</v>
      </c>
      <c r="D713" s="20">
        <f t="shared" si="28"/>
        <v>0</v>
      </c>
      <c r="E713" s="20">
        <f t="shared" si="28"/>
        <v>0</v>
      </c>
      <c r="F713" s="20"/>
      <c r="G713" s="20"/>
      <c r="H713" s="20"/>
      <c r="I713" s="20"/>
      <c r="J713" s="20"/>
      <c r="K713" s="20"/>
      <c r="L713" s="20"/>
      <c r="M713" s="20"/>
      <c r="N713" s="20"/>
      <c r="O713" s="20"/>
    </row>
    <row r="714" spans="1:18" ht="14.4" x14ac:dyDescent="0.3">
      <c r="A714" s="14" t="s">
        <v>42</v>
      </c>
      <c r="B714" s="14"/>
      <c r="C714" s="16"/>
      <c r="D714" s="24"/>
      <c r="E714" s="24"/>
      <c r="F714" s="24"/>
      <c r="G714" s="24"/>
      <c r="H714" s="24"/>
      <c r="I714" s="24"/>
      <c r="J714" s="24"/>
      <c r="K714" s="24"/>
      <c r="L714" s="24"/>
      <c r="M714" s="24"/>
      <c r="N714" s="24"/>
      <c r="O714" s="24"/>
    </row>
    <row r="715" spans="1:18" ht="14.4" x14ac:dyDescent="0.3">
      <c r="A715" s="14" t="s">
        <v>43</v>
      </c>
      <c r="B715" s="14"/>
      <c r="C715" s="16" t="s">
        <v>44</v>
      </c>
      <c r="D715" s="27"/>
      <c r="E715" s="27"/>
      <c r="F715" s="27"/>
      <c r="G715" s="27"/>
      <c r="H715" s="27"/>
      <c r="I715" s="27"/>
      <c r="J715" s="27"/>
      <c r="K715" s="27"/>
      <c r="L715" s="27"/>
      <c r="M715" s="27"/>
      <c r="N715" s="27"/>
      <c r="O715" s="27"/>
      <c r="P715" s="5"/>
      <c r="Q715" s="5"/>
      <c r="R715" s="5"/>
    </row>
    <row r="716" spans="1:18" ht="14.4" hidden="1" x14ac:dyDescent="0.3">
      <c r="A716" s="14" t="s">
        <v>183</v>
      </c>
      <c r="B716" s="14"/>
      <c r="C716" s="16"/>
      <c r="D716" s="28"/>
      <c r="E716" s="28"/>
      <c r="F716" s="28"/>
      <c r="G716" s="28"/>
      <c r="H716" s="28"/>
      <c r="I716" s="28"/>
      <c r="J716" s="28"/>
      <c r="K716" s="28"/>
      <c r="L716" s="28"/>
      <c r="M716" s="28"/>
      <c r="N716" s="28"/>
      <c r="O716" s="28"/>
    </row>
    <row r="717" spans="1:18" ht="14.4" hidden="1" x14ac:dyDescent="0.3">
      <c r="A717" s="14" t="s">
        <v>184</v>
      </c>
      <c r="B717" s="14"/>
      <c r="C717" s="16" t="s">
        <v>19</v>
      </c>
      <c r="D717" s="20">
        <v>0</v>
      </c>
      <c r="E717" s="20"/>
      <c r="F717" s="20"/>
      <c r="G717" s="20"/>
      <c r="H717" s="20"/>
      <c r="I717" s="20"/>
      <c r="J717" s="20"/>
      <c r="K717" s="20"/>
      <c r="L717" s="20"/>
      <c r="M717" s="20"/>
      <c r="N717" s="20"/>
      <c r="O717" s="20"/>
    </row>
    <row r="718" spans="1:18" ht="14.4" x14ac:dyDescent="0.3">
      <c r="A718" s="14" t="s">
        <v>45</v>
      </c>
      <c r="B718" s="14"/>
      <c r="C718" s="16"/>
      <c r="D718" s="28"/>
      <c r="E718" s="28"/>
      <c r="F718" s="28"/>
      <c r="G718" s="28"/>
      <c r="H718" s="28"/>
      <c r="I718" s="28"/>
      <c r="J718" s="28"/>
      <c r="K718" s="28"/>
      <c r="L718" s="28"/>
      <c r="M718" s="28"/>
      <c r="N718" s="28"/>
      <c r="O718" s="28"/>
    </row>
    <row r="719" spans="1:18" ht="14.4" x14ac:dyDescent="0.3">
      <c r="A719" s="14" t="s">
        <v>46</v>
      </c>
      <c r="B719" s="14"/>
      <c r="C719" s="16" t="s">
        <v>19</v>
      </c>
      <c r="D719" s="20">
        <v>0</v>
      </c>
      <c r="E719" s="20">
        <v>0</v>
      </c>
      <c r="F719" s="20">
        <v>0</v>
      </c>
      <c r="G719" s="20">
        <v>0</v>
      </c>
      <c r="H719" s="20">
        <v>0</v>
      </c>
      <c r="I719" s="20">
        <v>0</v>
      </c>
      <c r="J719" s="20">
        <v>0</v>
      </c>
      <c r="K719" s="20">
        <v>0</v>
      </c>
      <c r="L719" s="20">
        <v>0</v>
      </c>
      <c r="M719" s="20">
        <v>0</v>
      </c>
      <c r="N719" s="20">
        <v>0</v>
      </c>
      <c r="O719" s="20">
        <v>0</v>
      </c>
    </row>
    <row r="720" spans="1:18" ht="14.4" hidden="1" x14ac:dyDescent="0.3">
      <c r="A720" s="14" t="s">
        <v>185</v>
      </c>
      <c r="B720" s="14"/>
      <c r="C720" s="16"/>
      <c r="D720" s="28"/>
      <c r="E720" s="28"/>
      <c r="F720" s="28"/>
      <c r="G720" s="28"/>
      <c r="H720" s="28"/>
      <c r="I720" s="28"/>
      <c r="J720" s="28"/>
      <c r="K720" s="28"/>
      <c r="L720" s="28"/>
      <c r="M720" s="28"/>
      <c r="N720" s="28"/>
      <c r="O720" s="28"/>
    </row>
    <row r="721" spans="1:15" ht="14.4" hidden="1" x14ac:dyDescent="0.3">
      <c r="A721" s="14" t="s">
        <v>186</v>
      </c>
      <c r="B721" s="14"/>
      <c r="C721" s="16" t="s">
        <v>19</v>
      </c>
      <c r="D721" s="20">
        <v>0</v>
      </c>
      <c r="E721" s="20"/>
      <c r="F721" s="20"/>
      <c r="G721" s="20"/>
      <c r="H721" s="20"/>
      <c r="I721" s="20"/>
      <c r="J721" s="20"/>
      <c r="K721" s="20"/>
      <c r="L721" s="20"/>
      <c r="M721" s="20"/>
      <c r="N721" s="20"/>
      <c r="O721" s="20"/>
    </row>
    <row r="722" spans="1:15" ht="14.4" x14ac:dyDescent="0.3">
      <c r="A722" s="14" t="s">
        <v>47</v>
      </c>
      <c r="B722" s="14"/>
      <c r="C722" s="16"/>
      <c r="D722" s="24"/>
      <c r="E722" s="24"/>
      <c r="F722" s="24"/>
      <c r="G722" s="24"/>
      <c r="H722" s="24"/>
      <c r="I722" s="24"/>
      <c r="J722" s="24"/>
      <c r="K722" s="24"/>
      <c r="L722" s="24"/>
      <c r="M722" s="24"/>
      <c r="N722" s="24"/>
      <c r="O722" s="24"/>
    </row>
    <row r="723" spans="1:15" ht="14.4" x14ac:dyDescent="0.3">
      <c r="A723" s="18" t="s">
        <v>48</v>
      </c>
      <c r="B723" s="18"/>
      <c r="C723" s="16" t="s">
        <v>19</v>
      </c>
      <c r="D723" s="20">
        <f>D193</f>
        <v>0.1163</v>
      </c>
      <c r="E723" s="20">
        <f t="shared" ref="E723:O724" si="29">E193</f>
        <v>0.1163</v>
      </c>
      <c r="F723" s="20">
        <f t="shared" si="29"/>
        <v>0.1163</v>
      </c>
      <c r="G723" s="20">
        <f t="shared" si="29"/>
        <v>0.1163</v>
      </c>
      <c r="H723" s="20">
        <f t="shared" si="29"/>
        <v>0.1163</v>
      </c>
      <c r="I723" s="20">
        <f t="shared" si="29"/>
        <v>0.1163</v>
      </c>
      <c r="J723" s="20">
        <f t="shared" si="29"/>
        <v>0.1163</v>
      </c>
      <c r="K723" s="20">
        <f t="shared" si="29"/>
        <v>0.1163</v>
      </c>
      <c r="L723" s="20">
        <f t="shared" si="29"/>
        <v>0.1163</v>
      </c>
      <c r="M723" s="20">
        <f t="shared" si="29"/>
        <v>0.1163</v>
      </c>
      <c r="N723" s="20">
        <f t="shared" si="29"/>
        <v>0.1163</v>
      </c>
      <c r="O723" s="20">
        <f t="shared" si="29"/>
        <v>0.1163</v>
      </c>
    </row>
    <row r="724" spans="1:15" ht="14.4" x14ac:dyDescent="0.3">
      <c r="A724" s="18" t="s">
        <v>49</v>
      </c>
      <c r="B724" s="18"/>
      <c r="C724" s="16" t="s">
        <v>19</v>
      </c>
      <c r="D724" s="20">
        <f>D194</f>
        <v>2.5000000000000001E-3</v>
      </c>
      <c r="E724" s="20">
        <f t="shared" si="29"/>
        <v>2.5000000000000001E-3</v>
      </c>
      <c r="F724" s="20">
        <f t="shared" si="29"/>
        <v>2.5000000000000001E-3</v>
      </c>
      <c r="G724" s="20">
        <f t="shared" si="29"/>
        <v>2.5000000000000001E-3</v>
      </c>
      <c r="H724" s="20">
        <f t="shared" si="29"/>
        <v>2.5000000000000001E-3</v>
      </c>
      <c r="I724" s="20">
        <f t="shared" si="29"/>
        <v>2.5000000000000001E-3</v>
      </c>
      <c r="J724" s="20">
        <f t="shared" si="29"/>
        <v>2.5000000000000001E-3</v>
      </c>
      <c r="K724" s="20">
        <f t="shared" si="29"/>
        <v>2.5000000000000001E-3</v>
      </c>
      <c r="L724" s="20">
        <f t="shared" si="29"/>
        <v>2.5000000000000001E-3</v>
      </c>
      <c r="M724" s="20">
        <f t="shared" si="29"/>
        <v>2.5000000000000001E-3</v>
      </c>
      <c r="N724" s="20">
        <f t="shared" si="29"/>
        <v>2.5000000000000001E-3</v>
      </c>
      <c r="O724" s="20">
        <f t="shared" si="29"/>
        <v>2.5000000000000001E-3</v>
      </c>
    </row>
    <row r="725" spans="1:15" ht="14.4" x14ac:dyDescent="0.3">
      <c r="A725" s="14" t="s">
        <v>52</v>
      </c>
      <c r="B725" s="14"/>
      <c r="C725" s="29"/>
      <c r="D725" s="22"/>
      <c r="E725" s="22"/>
      <c r="F725" s="22"/>
      <c r="G725" s="22"/>
      <c r="H725" s="22"/>
      <c r="I725" s="22"/>
      <c r="J725" s="22"/>
      <c r="K725" s="22"/>
      <c r="L725" s="22"/>
      <c r="M725" s="22"/>
      <c r="N725" s="22"/>
      <c r="O725" s="22"/>
    </row>
    <row r="726" spans="1:15" ht="14.4" x14ac:dyDescent="0.3">
      <c r="A726" s="18" t="s">
        <v>53</v>
      </c>
      <c r="B726" s="18"/>
      <c r="C726" s="16" t="s">
        <v>44</v>
      </c>
      <c r="D726" s="52" t="s">
        <v>189</v>
      </c>
      <c r="E726" s="52" t="s">
        <v>189</v>
      </c>
      <c r="F726" s="52" t="s">
        <v>189</v>
      </c>
      <c r="G726" s="52" t="s">
        <v>189</v>
      </c>
      <c r="H726" s="52" t="s">
        <v>189</v>
      </c>
      <c r="I726" s="52" t="s">
        <v>189</v>
      </c>
      <c r="J726" s="52" t="s">
        <v>189</v>
      </c>
      <c r="K726" s="52" t="s">
        <v>189</v>
      </c>
      <c r="L726" s="52" t="s">
        <v>189</v>
      </c>
      <c r="M726" s="52" t="s">
        <v>189</v>
      </c>
      <c r="N726" s="52" t="s">
        <v>189</v>
      </c>
      <c r="O726" s="52" t="s">
        <v>189</v>
      </c>
    </row>
    <row r="727" spans="1:15" ht="14.4" x14ac:dyDescent="0.3">
      <c r="A727" s="18" t="s">
        <v>54</v>
      </c>
      <c r="B727" s="18"/>
      <c r="C727" s="16" t="s">
        <v>44</v>
      </c>
      <c r="D727" s="30">
        <f t="shared" ref="D727:O732" si="30">D197</f>
        <v>0</v>
      </c>
      <c r="E727" s="30">
        <f t="shared" si="30"/>
        <v>0</v>
      </c>
      <c r="F727" s="30">
        <f t="shared" si="30"/>
        <v>0</v>
      </c>
      <c r="G727" s="30">
        <f t="shared" si="30"/>
        <v>0</v>
      </c>
      <c r="H727" s="30">
        <f t="shared" si="30"/>
        <v>0</v>
      </c>
      <c r="I727" s="30">
        <f t="shared" si="30"/>
        <v>0</v>
      </c>
      <c r="J727" s="30">
        <f t="shared" si="30"/>
        <v>0</v>
      </c>
      <c r="K727" s="30">
        <f t="shared" si="30"/>
        <v>0</v>
      </c>
      <c r="L727" s="30">
        <f t="shared" si="30"/>
        <v>0</v>
      </c>
      <c r="M727" s="30">
        <f t="shared" si="30"/>
        <v>0</v>
      </c>
      <c r="N727" s="30">
        <f t="shared" si="30"/>
        <v>0</v>
      </c>
      <c r="O727" s="30">
        <f t="shared" si="30"/>
        <v>0</v>
      </c>
    </row>
    <row r="728" spans="1:15" ht="14.4" x14ac:dyDescent="0.3">
      <c r="A728" s="18" t="s">
        <v>55</v>
      </c>
      <c r="B728" s="18"/>
      <c r="C728" s="16" t="s">
        <v>44</v>
      </c>
      <c r="D728" s="30">
        <f t="shared" si="30"/>
        <v>8.9899999999999994E-2</v>
      </c>
      <c r="E728" s="30">
        <f t="shared" si="30"/>
        <v>9.3700000000000006E-2</v>
      </c>
      <c r="F728" s="30">
        <f t="shared" si="30"/>
        <v>9.4399999999999998E-2</v>
      </c>
      <c r="G728" s="30">
        <f t="shared" si="30"/>
        <v>9.6299999999999997E-2</v>
      </c>
      <c r="H728" s="30">
        <f t="shared" si="30"/>
        <v>9.7600000000000006E-2</v>
      </c>
      <c r="I728" s="30">
        <f t="shared" si="30"/>
        <v>9.7299999999999998E-2</v>
      </c>
      <c r="J728" s="30">
        <f t="shared" si="30"/>
        <v>9.5600000000000004E-2</v>
      </c>
      <c r="K728" s="30">
        <f t="shared" si="30"/>
        <v>8.9700000000000002E-2</v>
      </c>
      <c r="L728" s="30">
        <f t="shared" si="30"/>
        <v>9.8400000000000001E-2</v>
      </c>
      <c r="M728" s="30">
        <f t="shared" si="30"/>
        <v>9.4299999999999995E-2</v>
      </c>
      <c r="N728" s="30">
        <f t="shared" si="30"/>
        <v>9.3399999999999997E-2</v>
      </c>
      <c r="O728" s="30">
        <f t="shared" si="30"/>
        <v>9.5500000000000002E-2</v>
      </c>
    </row>
    <row r="729" spans="1:15" ht="14.4" x14ac:dyDescent="0.3">
      <c r="A729" s="18" t="s">
        <v>187</v>
      </c>
      <c r="B729" s="18"/>
      <c r="C729" s="16" t="s">
        <v>44</v>
      </c>
      <c r="D729" s="30">
        <f t="shared" si="30"/>
        <v>5.5858455631032497E-3</v>
      </c>
      <c r="E729" s="30">
        <f t="shared" si="30"/>
        <v>3.0650583850564523E-3</v>
      </c>
      <c r="F729" s="30">
        <f t="shared" si="30"/>
        <v>2.6939820012288874E-3</v>
      </c>
      <c r="G729" s="30">
        <f t="shared" si="30"/>
        <v>0</v>
      </c>
      <c r="H729" s="30">
        <f t="shared" si="30"/>
        <v>1.4227759048057112E-2</v>
      </c>
      <c r="I729" s="30">
        <f t="shared" si="30"/>
        <v>1.0851314063502437E-2</v>
      </c>
      <c r="J729" s="30">
        <f t="shared" si="30"/>
        <v>1.691896019316478E-2</v>
      </c>
      <c r="K729" s="30">
        <f t="shared" si="30"/>
        <v>4.451228191928034E-2</v>
      </c>
      <c r="L729" s="30">
        <f t="shared" si="30"/>
        <v>1.7462006912087345E-2</v>
      </c>
      <c r="M729" s="30">
        <f t="shared" si="30"/>
        <v>1.7899999999999999E-2</v>
      </c>
      <c r="N729" s="30">
        <f t="shared" si="30"/>
        <v>5.3E-3</v>
      </c>
      <c r="O729" s="30">
        <f t="shared" si="30"/>
        <v>5.5999999999999999E-3</v>
      </c>
    </row>
    <row r="730" spans="1:15" ht="14.4" x14ac:dyDescent="0.3">
      <c r="A730" s="18" t="s">
        <v>188</v>
      </c>
      <c r="B730" s="18"/>
      <c r="C730" s="16" t="s">
        <v>44</v>
      </c>
      <c r="D730" s="30">
        <f t="shared" si="30"/>
        <v>9.8799999999999999E-2</v>
      </c>
      <c r="E730" s="30">
        <f t="shared" si="30"/>
        <v>9.8799999999999999E-2</v>
      </c>
      <c r="F730" s="30">
        <f t="shared" si="30"/>
        <v>9.8799999999999999E-2</v>
      </c>
      <c r="G730" s="30">
        <f t="shared" si="30"/>
        <v>9.8799999999999999E-2</v>
      </c>
      <c r="H730" s="30">
        <f t="shared" si="30"/>
        <v>9.8799999999999999E-2</v>
      </c>
      <c r="I730" s="30">
        <f t="shared" si="30"/>
        <v>9.8799999999999999E-2</v>
      </c>
      <c r="J730" s="30">
        <f t="shared" si="30"/>
        <v>9.8799999999999999E-2</v>
      </c>
      <c r="K730" s="30">
        <f t="shared" si="30"/>
        <v>9.8799999999999999E-2</v>
      </c>
      <c r="L730" s="30">
        <f t="shared" si="30"/>
        <v>9.8799999999999999E-2</v>
      </c>
      <c r="M730" s="30">
        <f t="shared" si="30"/>
        <v>9.8799999999999999E-2</v>
      </c>
      <c r="N730" s="30">
        <f t="shared" si="30"/>
        <v>9.8799999999999999E-2</v>
      </c>
      <c r="O730" s="30">
        <f t="shared" si="30"/>
        <v>9.8799999999999999E-2</v>
      </c>
    </row>
    <row r="731" spans="1:15" ht="14.4" x14ac:dyDescent="0.3">
      <c r="A731" s="18" t="s">
        <v>56</v>
      </c>
      <c r="B731" s="18"/>
      <c r="C731" s="16" t="s">
        <v>44</v>
      </c>
      <c r="D731" s="30">
        <f t="shared" si="30"/>
        <v>0.12</v>
      </c>
      <c r="E731" s="30">
        <f t="shared" si="30"/>
        <v>0.12</v>
      </c>
      <c r="F731" s="30">
        <f t="shared" si="30"/>
        <v>0.12</v>
      </c>
      <c r="G731" s="30">
        <f t="shared" si="30"/>
        <v>0.12</v>
      </c>
      <c r="H731" s="30">
        <f t="shared" si="30"/>
        <v>0.12</v>
      </c>
      <c r="I731" s="30">
        <f t="shared" si="30"/>
        <v>0.12</v>
      </c>
      <c r="J731" s="30">
        <f t="shared" si="30"/>
        <v>0.12</v>
      </c>
      <c r="K731" s="30">
        <f t="shared" si="30"/>
        <v>0.12</v>
      </c>
      <c r="L731" s="30">
        <f t="shared" si="30"/>
        <v>0.12</v>
      </c>
      <c r="M731" s="30">
        <f t="shared" si="30"/>
        <v>0.12</v>
      </c>
      <c r="N731" s="30">
        <f t="shared" si="30"/>
        <v>0.12</v>
      </c>
      <c r="O731" s="30">
        <f t="shared" si="30"/>
        <v>0.12</v>
      </c>
    </row>
    <row r="732" spans="1:15" ht="14.4" x14ac:dyDescent="0.3">
      <c r="A732" s="18" t="s">
        <v>57</v>
      </c>
      <c r="B732" s="18"/>
      <c r="C732" s="16" t="s">
        <v>44</v>
      </c>
      <c r="D732" s="30">
        <f t="shared" si="30"/>
        <v>0.12</v>
      </c>
      <c r="E732" s="30">
        <f t="shared" si="30"/>
        <v>0.12</v>
      </c>
      <c r="F732" s="30">
        <f t="shared" si="30"/>
        <v>0.12</v>
      </c>
      <c r="G732" s="30">
        <f t="shared" si="30"/>
        <v>0.12</v>
      </c>
      <c r="H732" s="30">
        <f t="shared" si="30"/>
        <v>0.12</v>
      </c>
      <c r="I732" s="30">
        <f t="shared" si="30"/>
        <v>0.12</v>
      </c>
      <c r="J732" s="30">
        <f t="shared" si="30"/>
        <v>0.12</v>
      </c>
      <c r="K732" s="30">
        <f t="shared" si="30"/>
        <v>0.12</v>
      </c>
      <c r="L732" s="30">
        <f t="shared" si="30"/>
        <v>0.12</v>
      </c>
      <c r="M732" s="30">
        <f t="shared" si="30"/>
        <v>0.12</v>
      </c>
      <c r="N732" s="30">
        <f t="shared" si="30"/>
        <v>0.12</v>
      </c>
      <c r="O732" s="30">
        <f t="shared" si="30"/>
        <v>0.12</v>
      </c>
    </row>
    <row r="733" spans="1:15" s="5" customFormat="1" ht="14.4" x14ac:dyDescent="0.3">
      <c r="A733" s="55"/>
      <c r="B733" s="55"/>
      <c r="C733" s="56"/>
      <c r="D733" s="57"/>
      <c r="E733" s="57"/>
      <c r="F733" s="57"/>
      <c r="G733" s="57"/>
      <c r="H733" s="57"/>
      <c r="I733" s="57"/>
      <c r="J733" s="57"/>
      <c r="K733" s="57"/>
      <c r="L733" s="57"/>
      <c r="M733" s="57"/>
      <c r="N733" s="57"/>
      <c r="O733" s="57"/>
    </row>
    <row r="734" spans="1:15" x14ac:dyDescent="0.3">
      <c r="A734" s="33" t="s">
        <v>58</v>
      </c>
    </row>
    <row r="736" spans="1:15" ht="18" x14ac:dyDescent="0.35">
      <c r="A736" s="59" t="str">
        <f>'[40]Statistical data'!A199</f>
        <v>General Power- Secondary</v>
      </c>
      <c r="B736" s="59"/>
      <c r="C736" s="5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</row>
    <row r="737" spans="1:18" s="13" customFormat="1" ht="14.4" x14ac:dyDescent="0.3">
      <c r="A737" s="11" t="s">
        <v>3</v>
      </c>
      <c r="B737" s="11"/>
      <c r="C737" s="11" t="s">
        <v>4</v>
      </c>
      <c r="D737" s="12" t="s">
        <v>5</v>
      </c>
      <c r="E737" s="12" t="s">
        <v>6</v>
      </c>
      <c r="F737" s="12" t="s">
        <v>7</v>
      </c>
      <c r="G737" s="12" t="s">
        <v>8</v>
      </c>
      <c r="H737" s="12" t="s">
        <v>9</v>
      </c>
      <c r="I737" s="12" t="s">
        <v>10</v>
      </c>
      <c r="J737" s="12" t="s">
        <v>11</v>
      </c>
      <c r="K737" s="12" t="s">
        <v>12</v>
      </c>
      <c r="L737" s="12" t="s">
        <v>13</v>
      </c>
      <c r="M737" s="12" t="s">
        <v>14</v>
      </c>
      <c r="N737" s="12" t="s">
        <v>15</v>
      </c>
      <c r="O737" s="12" t="s">
        <v>16</v>
      </c>
      <c r="P737" s="153"/>
      <c r="Q737" s="153"/>
      <c r="R737" s="153"/>
    </row>
    <row r="738" spans="1:18" ht="14.4" x14ac:dyDescent="0.3">
      <c r="A738" s="14" t="s">
        <v>17</v>
      </c>
      <c r="B738" s="15"/>
      <c r="C738" s="16"/>
      <c r="D738" s="17"/>
      <c r="E738" s="17"/>
      <c r="F738" s="17"/>
      <c r="G738" s="17"/>
      <c r="H738" s="17"/>
      <c r="I738" s="17"/>
      <c r="J738" s="17"/>
      <c r="K738" s="17"/>
      <c r="L738" s="17"/>
      <c r="M738" s="17"/>
      <c r="N738" s="17"/>
      <c r="O738" s="17"/>
    </row>
    <row r="739" spans="1:18" ht="14.4" x14ac:dyDescent="0.3">
      <c r="A739" s="18" t="s">
        <v>18</v>
      </c>
      <c r="B739" s="19"/>
      <c r="C739" s="16" t="s">
        <v>19</v>
      </c>
      <c r="D739" s="52" t="s">
        <v>59</v>
      </c>
      <c r="E739" s="52" t="s">
        <v>59</v>
      </c>
      <c r="F739" s="52" t="s">
        <v>59</v>
      </c>
      <c r="G739" s="52" t="s">
        <v>59</v>
      </c>
      <c r="H739" s="52" t="s">
        <v>59</v>
      </c>
      <c r="I739" s="52" t="s">
        <v>59</v>
      </c>
      <c r="J739" s="52" t="s">
        <v>59</v>
      </c>
      <c r="K739" s="52" t="s">
        <v>59</v>
      </c>
      <c r="L739" s="52" t="s">
        <v>59</v>
      </c>
      <c r="M739" s="52" t="s">
        <v>59</v>
      </c>
      <c r="N739" s="52" t="s">
        <v>59</v>
      </c>
      <c r="O739" s="52" t="s">
        <v>59</v>
      </c>
    </row>
    <row r="740" spans="1:18" ht="14.4" x14ac:dyDescent="0.3">
      <c r="A740" s="18" t="s">
        <v>66</v>
      </c>
      <c r="B740" s="19"/>
      <c r="C740" s="16" t="s">
        <v>19</v>
      </c>
      <c r="D740" s="20">
        <v>0</v>
      </c>
      <c r="E740" s="20">
        <v>0</v>
      </c>
      <c r="F740" s="20">
        <v>0</v>
      </c>
      <c r="G740" s="20">
        <v>0</v>
      </c>
      <c r="H740" s="20">
        <v>0</v>
      </c>
      <c r="I740" s="20">
        <v>0</v>
      </c>
      <c r="J740" s="20">
        <v>0</v>
      </c>
      <c r="K740" s="20">
        <v>0</v>
      </c>
      <c r="L740" s="20">
        <v>0</v>
      </c>
      <c r="M740" s="20">
        <v>0</v>
      </c>
      <c r="N740" s="20">
        <v>0</v>
      </c>
      <c r="O740" s="20">
        <v>0</v>
      </c>
      <c r="P740" s="5"/>
      <c r="Q740" s="5"/>
      <c r="R740" s="5"/>
    </row>
    <row r="741" spans="1:18" ht="14.4" x14ac:dyDescent="0.3">
      <c r="A741" s="14" t="s">
        <v>20</v>
      </c>
      <c r="B741" s="15"/>
      <c r="C741" s="16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</row>
    <row r="742" spans="1:18" ht="14.4" x14ac:dyDescent="0.3">
      <c r="A742" s="18" t="s">
        <v>21</v>
      </c>
      <c r="B742" s="19"/>
      <c r="C742" s="16" t="s">
        <v>19</v>
      </c>
      <c r="D742" s="20">
        <v>0</v>
      </c>
      <c r="E742" s="20">
        <v>0</v>
      </c>
      <c r="F742" s="20">
        <v>0</v>
      </c>
      <c r="G742" s="20">
        <v>0</v>
      </c>
      <c r="H742" s="20">
        <v>0</v>
      </c>
      <c r="I742" s="20">
        <v>0</v>
      </c>
      <c r="J742" s="20">
        <v>0</v>
      </c>
      <c r="K742" s="20">
        <v>0</v>
      </c>
      <c r="L742" s="20">
        <v>0</v>
      </c>
      <c r="M742" s="20">
        <v>0</v>
      </c>
      <c r="N742" s="20">
        <v>0</v>
      </c>
      <c r="O742" s="20">
        <v>0</v>
      </c>
    </row>
    <row r="743" spans="1:18" ht="14.4" x14ac:dyDescent="0.3">
      <c r="A743" s="18" t="s">
        <v>22</v>
      </c>
      <c r="B743" s="19"/>
      <c r="C743" s="16" t="s">
        <v>23</v>
      </c>
      <c r="D743" s="23">
        <f>[40]TR!D94</f>
        <v>395.94</v>
      </c>
      <c r="E743" s="23">
        <f>[40]TR!E94</f>
        <v>338.63</v>
      </c>
      <c r="F743" s="23">
        <f>[40]TR!F94</f>
        <v>325.02</v>
      </c>
      <c r="G743" s="23">
        <f>[40]TR!G94</f>
        <v>333.15</v>
      </c>
      <c r="H743" s="23">
        <f>[40]TR!H94</f>
        <v>325.57</v>
      </c>
      <c r="I743" s="23">
        <f>[40]TR!I94</f>
        <v>361.23</v>
      </c>
      <c r="J743" s="23">
        <f>[40]TR!J94</f>
        <v>338.14</v>
      </c>
      <c r="K743" s="23">
        <f>[40]TR!K94</f>
        <v>334.53</v>
      </c>
      <c r="L743" s="23">
        <f>[40]TR!L94</f>
        <v>283.63</v>
      </c>
      <c r="M743" s="23">
        <f>[40]TR!M94</f>
        <v>292.07</v>
      </c>
      <c r="N743" s="23">
        <f>[40]TR!N94</f>
        <v>333.76</v>
      </c>
      <c r="O743" s="23">
        <f>[40]TR!O94</f>
        <v>285.69</v>
      </c>
    </row>
    <row r="744" spans="1:18" ht="14.4" x14ac:dyDescent="0.3">
      <c r="A744" s="14" t="s">
        <v>24</v>
      </c>
      <c r="B744" s="15"/>
      <c r="C744" s="16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</row>
    <row r="745" spans="1:18" ht="14.4" x14ac:dyDescent="0.3">
      <c r="A745" s="18" t="s">
        <v>25</v>
      </c>
      <c r="B745" s="19"/>
      <c r="C745" s="16" t="s">
        <v>19</v>
      </c>
      <c r="D745" s="20">
        <f t="shared" ref="D745:O745" si="31">D695</f>
        <v>0.65939999999999999</v>
      </c>
      <c r="E745" s="20">
        <f t="shared" si="31"/>
        <v>0.65849999999999997</v>
      </c>
      <c r="F745" s="20">
        <f t="shared" si="31"/>
        <v>0.624</v>
      </c>
      <c r="G745" s="20">
        <f t="shared" si="31"/>
        <v>0.66700000000000004</v>
      </c>
      <c r="H745" s="20">
        <f t="shared" si="31"/>
        <v>0.69189999999999996</v>
      </c>
      <c r="I745" s="20">
        <f t="shared" si="31"/>
        <v>0.73960000000000004</v>
      </c>
      <c r="J745" s="20">
        <f t="shared" si="31"/>
        <v>0.76259999999999994</v>
      </c>
      <c r="K745" s="20">
        <f t="shared" si="31"/>
        <v>0.77769999999999995</v>
      </c>
      <c r="L745" s="20">
        <f t="shared" si="31"/>
        <v>0.61739999999999995</v>
      </c>
      <c r="M745" s="20">
        <f t="shared" si="31"/>
        <v>0.63919999999999999</v>
      </c>
      <c r="N745" s="20">
        <f t="shared" si="31"/>
        <v>0.66279999999999994</v>
      </c>
      <c r="O745" s="20">
        <f t="shared" si="31"/>
        <v>0.62280000000000002</v>
      </c>
    </row>
    <row r="746" spans="1:18" ht="14.4" x14ac:dyDescent="0.3">
      <c r="A746" s="14" t="s">
        <v>26</v>
      </c>
      <c r="B746" s="14"/>
      <c r="C746" s="16"/>
      <c r="D746" s="22"/>
      <c r="E746" s="22"/>
      <c r="F746" s="22"/>
      <c r="G746" s="22"/>
      <c r="H746" s="22"/>
      <c r="I746" s="22"/>
      <c r="J746" s="22"/>
      <c r="K746" s="22"/>
      <c r="L746" s="22"/>
      <c r="M746" s="22"/>
      <c r="N746" s="22"/>
      <c r="O746" s="22"/>
    </row>
    <row r="747" spans="1:18" ht="14.4" x14ac:dyDescent="0.3">
      <c r="A747" s="18" t="s">
        <v>27</v>
      </c>
      <c r="B747" s="18"/>
      <c r="C747" s="16" t="s">
        <v>19</v>
      </c>
      <c r="D747" s="20">
        <f>D697</f>
        <v>0.1</v>
      </c>
      <c r="E747" s="20">
        <f t="shared" ref="E747:O748" si="32">E697</f>
        <v>0.1</v>
      </c>
      <c r="F747" s="20">
        <f t="shared" si="32"/>
        <v>0.1</v>
      </c>
      <c r="G747" s="20">
        <f t="shared" si="32"/>
        <v>0.1</v>
      </c>
      <c r="H747" s="20">
        <f t="shared" si="32"/>
        <v>0.1</v>
      </c>
      <c r="I747" s="20">
        <f t="shared" si="32"/>
        <v>0.1</v>
      </c>
      <c r="J747" s="20">
        <f t="shared" si="32"/>
        <v>0.16</v>
      </c>
      <c r="K747" s="20">
        <f t="shared" si="32"/>
        <v>0.16</v>
      </c>
      <c r="L747" s="20">
        <f t="shared" si="32"/>
        <v>0.16</v>
      </c>
      <c r="M747" s="20">
        <f t="shared" si="32"/>
        <v>0.16</v>
      </c>
      <c r="N747" s="20">
        <f t="shared" si="32"/>
        <v>0.16</v>
      </c>
      <c r="O747" s="20">
        <f t="shared" si="32"/>
        <v>0.16</v>
      </c>
    </row>
    <row r="748" spans="1:18" ht="14.4" x14ac:dyDescent="0.3">
      <c r="A748" s="18" t="s">
        <v>28</v>
      </c>
      <c r="B748" s="18"/>
      <c r="C748" s="16" t="s">
        <v>23</v>
      </c>
      <c r="D748" s="23">
        <f>D698</f>
        <v>263.2</v>
      </c>
      <c r="E748" s="23">
        <f t="shared" si="32"/>
        <v>263.2</v>
      </c>
      <c r="F748" s="23">
        <f t="shared" si="32"/>
        <v>263.2</v>
      </c>
      <c r="G748" s="23">
        <f t="shared" si="32"/>
        <v>263.2</v>
      </c>
      <c r="H748" s="23">
        <f t="shared" si="32"/>
        <v>263.2</v>
      </c>
      <c r="I748" s="23">
        <f t="shared" si="32"/>
        <v>263.2</v>
      </c>
      <c r="J748" s="23">
        <f t="shared" si="32"/>
        <v>277.5</v>
      </c>
      <c r="K748" s="23">
        <f t="shared" si="32"/>
        <v>277.5</v>
      </c>
      <c r="L748" s="23">
        <f t="shared" si="32"/>
        <v>277.5</v>
      </c>
      <c r="M748" s="23">
        <f t="shared" si="32"/>
        <v>277.5</v>
      </c>
      <c r="N748" s="23">
        <f t="shared" si="32"/>
        <v>277.5</v>
      </c>
      <c r="O748" s="23">
        <f t="shared" si="32"/>
        <v>277.5</v>
      </c>
    </row>
    <row r="749" spans="1:18" ht="14.4" x14ac:dyDescent="0.3">
      <c r="A749" s="14" t="s">
        <v>29</v>
      </c>
      <c r="B749" s="14"/>
      <c r="C749" s="16"/>
      <c r="D749" s="24"/>
      <c r="E749" s="24"/>
      <c r="F749" s="24"/>
      <c r="G749" s="24"/>
      <c r="H749" s="24"/>
      <c r="I749" s="24"/>
      <c r="J749" s="24"/>
      <c r="K749" s="24"/>
      <c r="L749" s="24"/>
      <c r="M749" s="24"/>
      <c r="N749" s="24"/>
      <c r="O749" s="24"/>
    </row>
    <row r="750" spans="1:18" ht="14.4" x14ac:dyDescent="0.3">
      <c r="A750" s="18" t="s">
        <v>30</v>
      </c>
      <c r="B750" s="18"/>
      <c r="C750" s="16" t="s">
        <v>19</v>
      </c>
      <c r="D750" s="52" t="s">
        <v>61</v>
      </c>
      <c r="E750" s="52" t="s">
        <v>61</v>
      </c>
      <c r="F750" s="52" t="s">
        <v>61</v>
      </c>
      <c r="G750" s="52" t="s">
        <v>61</v>
      </c>
      <c r="H750" s="52" t="s">
        <v>61</v>
      </c>
      <c r="I750" s="52" t="s">
        <v>61</v>
      </c>
      <c r="J750" s="52" t="s">
        <v>61</v>
      </c>
      <c r="K750" s="52" t="s">
        <v>61</v>
      </c>
      <c r="L750" s="52" t="s">
        <v>61</v>
      </c>
      <c r="M750" s="52" t="s">
        <v>61</v>
      </c>
      <c r="N750" s="52" t="s">
        <v>61</v>
      </c>
      <c r="O750" s="52" t="s">
        <v>61</v>
      </c>
    </row>
    <row r="751" spans="1:18" ht="14.4" x14ac:dyDescent="0.3">
      <c r="A751" s="18" t="s">
        <v>31</v>
      </c>
      <c r="B751" s="18"/>
      <c r="C751" s="16" t="s">
        <v>32</v>
      </c>
      <c r="D751" s="52" t="s">
        <v>62</v>
      </c>
      <c r="E751" s="52" t="s">
        <v>62</v>
      </c>
      <c r="F751" s="52" t="s">
        <v>62</v>
      </c>
      <c r="G751" s="52" t="s">
        <v>62</v>
      </c>
      <c r="H751" s="52" t="s">
        <v>62</v>
      </c>
      <c r="I751" s="52" t="s">
        <v>62</v>
      </c>
      <c r="J751" s="52" t="s">
        <v>62</v>
      </c>
      <c r="K751" s="52" t="s">
        <v>62</v>
      </c>
      <c r="L751" s="52" t="s">
        <v>62</v>
      </c>
      <c r="M751" s="52" t="s">
        <v>62</v>
      </c>
      <c r="N751" s="52" t="s">
        <v>62</v>
      </c>
      <c r="O751" s="52" t="s">
        <v>62</v>
      </c>
    </row>
    <row r="752" spans="1:18" ht="14.4" x14ac:dyDescent="0.3">
      <c r="A752" s="14" t="s">
        <v>33</v>
      </c>
      <c r="B752" s="14"/>
      <c r="C752" s="16"/>
      <c r="D752" s="24"/>
      <c r="E752" s="24"/>
      <c r="F752" s="24"/>
      <c r="G752" s="24"/>
      <c r="H752" s="24"/>
      <c r="I752" s="24"/>
      <c r="J752" s="24"/>
      <c r="K752" s="24"/>
      <c r="L752" s="24"/>
      <c r="M752" s="24"/>
      <c r="N752" s="24"/>
      <c r="O752" s="24"/>
    </row>
    <row r="753" spans="1:18" ht="14.4" x14ac:dyDescent="0.3">
      <c r="A753" s="18" t="s">
        <v>34</v>
      </c>
      <c r="B753" s="18"/>
      <c r="C753" s="16" t="s">
        <v>19</v>
      </c>
      <c r="D753" s="20">
        <v>0</v>
      </c>
      <c r="E753" s="20">
        <v>0</v>
      </c>
      <c r="F753" s="20">
        <v>0</v>
      </c>
      <c r="G753" s="20">
        <v>0</v>
      </c>
      <c r="H753" s="20">
        <v>0</v>
      </c>
      <c r="I753" s="20">
        <v>0</v>
      </c>
      <c r="J753" s="20">
        <v>0</v>
      </c>
      <c r="K753" s="20">
        <v>0</v>
      </c>
      <c r="L753" s="20">
        <v>0</v>
      </c>
      <c r="M753" s="20">
        <v>0</v>
      </c>
      <c r="N753" s="20">
        <v>0</v>
      </c>
      <c r="O753" s="20">
        <v>0</v>
      </c>
    </row>
    <row r="754" spans="1:18" ht="14.4" x14ac:dyDescent="0.3">
      <c r="A754" s="18" t="s">
        <v>35</v>
      </c>
      <c r="B754" s="18"/>
      <c r="C754" s="16" t="s">
        <v>36</v>
      </c>
      <c r="D754" s="52" t="s">
        <v>63</v>
      </c>
      <c r="E754" s="52" t="s">
        <v>63</v>
      </c>
      <c r="F754" s="52" t="s">
        <v>63</v>
      </c>
      <c r="G754" s="52" t="s">
        <v>63</v>
      </c>
      <c r="H754" s="52" t="s">
        <v>63</v>
      </c>
      <c r="I754" s="52" t="s">
        <v>63</v>
      </c>
      <c r="J754" s="52" t="s">
        <v>63</v>
      </c>
      <c r="K754" s="52" t="s">
        <v>63</v>
      </c>
      <c r="L754" s="52" t="s">
        <v>63</v>
      </c>
      <c r="M754" s="52" t="s">
        <v>63</v>
      </c>
      <c r="N754" s="52" t="s">
        <v>63</v>
      </c>
      <c r="O754" s="52" t="s">
        <v>63</v>
      </c>
    </row>
    <row r="755" spans="1:18" ht="14.4" x14ac:dyDescent="0.3">
      <c r="A755" s="14" t="s">
        <v>37</v>
      </c>
      <c r="B755" s="14"/>
      <c r="C755" s="16"/>
      <c r="D755" s="24"/>
      <c r="E755" s="24"/>
      <c r="F755" s="24"/>
      <c r="G755" s="24"/>
      <c r="H755" s="24"/>
      <c r="I755" s="24"/>
      <c r="J755" s="24"/>
      <c r="K755" s="24"/>
      <c r="L755" s="24"/>
      <c r="M755" s="24"/>
      <c r="N755" s="24"/>
      <c r="O755" s="24"/>
    </row>
    <row r="756" spans="1:18" ht="14.4" x14ac:dyDescent="0.3">
      <c r="A756" s="25" t="s">
        <v>38</v>
      </c>
      <c r="B756" s="18"/>
      <c r="C756" s="16" t="s">
        <v>19</v>
      </c>
      <c r="D756" s="20">
        <f>D706</f>
        <v>0.1404</v>
      </c>
      <c r="E756" s="20">
        <f t="shared" ref="E756:O756" si="33">E706</f>
        <v>0.14729999999999999</v>
      </c>
      <c r="F756" s="20">
        <f t="shared" si="33"/>
        <v>0.13950000000000001</v>
      </c>
      <c r="G756" s="20">
        <f t="shared" si="33"/>
        <v>0.14099999999999999</v>
      </c>
      <c r="H756" s="20">
        <f t="shared" si="33"/>
        <v>0.1283</v>
      </c>
      <c r="I756" s="20">
        <f t="shared" si="33"/>
        <v>0.1103</v>
      </c>
      <c r="J756" s="20">
        <f t="shared" si="33"/>
        <v>0.11559999999999999</v>
      </c>
      <c r="K756" s="20">
        <f t="shared" si="33"/>
        <v>0.1419</v>
      </c>
      <c r="L756" s="20">
        <f t="shared" si="33"/>
        <v>0.15759999999999999</v>
      </c>
      <c r="M756" s="20">
        <f t="shared" si="33"/>
        <v>0.1288</v>
      </c>
      <c r="N756" s="20">
        <f t="shared" si="33"/>
        <v>0.1321</v>
      </c>
      <c r="O756" s="20">
        <f t="shared" si="33"/>
        <v>0.1331</v>
      </c>
    </row>
    <row r="757" spans="1:18" ht="14.4" x14ac:dyDescent="0.3">
      <c r="A757" s="25" t="s">
        <v>39</v>
      </c>
      <c r="B757" s="18"/>
      <c r="C757" s="16" t="s">
        <v>19</v>
      </c>
      <c r="D757" s="20">
        <v>0</v>
      </c>
      <c r="E757" s="20">
        <v>0</v>
      </c>
      <c r="F757" s="20">
        <v>0</v>
      </c>
      <c r="G757" s="20">
        <v>0</v>
      </c>
      <c r="H757" s="20">
        <v>0</v>
      </c>
      <c r="I757" s="20">
        <v>0</v>
      </c>
      <c r="J757" s="20">
        <v>0</v>
      </c>
      <c r="K757" s="20">
        <v>0</v>
      </c>
      <c r="L757" s="20">
        <v>0</v>
      </c>
      <c r="M757" s="20">
        <v>0</v>
      </c>
      <c r="N757" s="20">
        <v>0</v>
      </c>
      <c r="O757" s="20">
        <v>0</v>
      </c>
      <c r="P757" s="5"/>
      <c r="Q757" s="5"/>
      <c r="R757" s="5"/>
    </row>
    <row r="758" spans="1:18" ht="14.4" x14ac:dyDescent="0.3">
      <c r="A758" s="25" t="s">
        <v>180</v>
      </c>
      <c r="B758" s="18"/>
      <c r="C758" s="16" t="s">
        <v>19</v>
      </c>
      <c r="D758" s="20">
        <f>D708</f>
        <v>6.2E-2</v>
      </c>
      <c r="E758" s="20">
        <f t="shared" ref="E758:O761" si="34">E708</f>
        <v>6.2E-2</v>
      </c>
      <c r="F758" s="20">
        <f t="shared" si="34"/>
        <v>6.2E-2</v>
      </c>
      <c r="G758" s="20">
        <f t="shared" si="34"/>
        <v>6.2E-2</v>
      </c>
      <c r="H758" s="20">
        <f t="shared" si="34"/>
        <v>6.2E-2</v>
      </c>
      <c r="I758" s="20">
        <f t="shared" si="34"/>
        <v>6.2E-2</v>
      </c>
      <c r="J758" s="20">
        <f t="shared" si="34"/>
        <v>6.2E-2</v>
      </c>
      <c r="K758" s="20">
        <f t="shared" si="34"/>
        <v>6.2E-2</v>
      </c>
      <c r="L758" s="20">
        <f t="shared" si="34"/>
        <v>6.2E-2</v>
      </c>
      <c r="M758" s="20">
        <f t="shared" si="34"/>
        <v>6.2E-2</v>
      </c>
      <c r="N758" s="20">
        <f t="shared" si="34"/>
        <v>3.1399999999999997E-2</v>
      </c>
      <c r="O758" s="20">
        <f t="shared" si="34"/>
        <v>3.1399999999999997E-2</v>
      </c>
    </row>
    <row r="759" spans="1:18" ht="14.4" x14ac:dyDescent="0.3">
      <c r="A759" s="26" t="s">
        <v>40</v>
      </c>
      <c r="B759" s="18"/>
      <c r="C759" s="16" t="s">
        <v>19</v>
      </c>
      <c r="D759" s="20">
        <f>D709</f>
        <v>1E-4</v>
      </c>
      <c r="E759" s="20">
        <f t="shared" si="34"/>
        <v>1E-4</v>
      </c>
      <c r="F759" s="20">
        <f t="shared" si="34"/>
        <v>1E-4</v>
      </c>
      <c r="G759" s="20">
        <f t="shared" si="34"/>
        <v>1E-4</v>
      </c>
      <c r="H759" s="20">
        <f t="shared" si="34"/>
        <v>1E-4</v>
      </c>
      <c r="I759" s="20">
        <f t="shared" si="34"/>
        <v>1E-4</v>
      </c>
      <c r="J759" s="20">
        <f t="shared" si="34"/>
        <v>1E-4</v>
      </c>
      <c r="K759" s="20">
        <f t="shared" si="34"/>
        <v>1E-4</v>
      </c>
      <c r="L759" s="20">
        <f t="shared" si="34"/>
        <v>1E-4</v>
      </c>
      <c r="M759" s="20">
        <f t="shared" si="34"/>
        <v>1E-4</v>
      </c>
      <c r="N759" s="20">
        <f t="shared" si="34"/>
        <v>1E-4</v>
      </c>
      <c r="O759" s="20">
        <f t="shared" si="34"/>
        <v>1E-4</v>
      </c>
    </row>
    <row r="760" spans="1:18" ht="14.4" x14ac:dyDescent="0.3">
      <c r="A760" s="26" t="s">
        <v>41</v>
      </c>
      <c r="B760" s="18"/>
      <c r="C760" s="16" t="s">
        <v>19</v>
      </c>
      <c r="D760" s="20">
        <f>D710</f>
        <v>0</v>
      </c>
      <c r="E760" s="20">
        <f t="shared" si="34"/>
        <v>0</v>
      </c>
      <c r="F760" s="20">
        <f t="shared" si="34"/>
        <v>0</v>
      </c>
      <c r="G760" s="20">
        <f t="shared" si="34"/>
        <v>0</v>
      </c>
      <c r="H760" s="20">
        <f t="shared" si="34"/>
        <v>0</v>
      </c>
      <c r="I760" s="20">
        <f t="shared" si="34"/>
        <v>0</v>
      </c>
      <c r="J760" s="20">
        <f t="shared" si="34"/>
        <v>0</v>
      </c>
      <c r="K760" s="20">
        <f t="shared" si="34"/>
        <v>0</v>
      </c>
      <c r="L760" s="20">
        <f t="shared" si="34"/>
        <v>0</v>
      </c>
      <c r="M760" s="20">
        <f t="shared" si="34"/>
        <v>0</v>
      </c>
      <c r="N760" s="20">
        <f t="shared" si="34"/>
        <v>0</v>
      </c>
      <c r="O760" s="20">
        <f t="shared" si="34"/>
        <v>0</v>
      </c>
    </row>
    <row r="761" spans="1:18" ht="14.4" x14ac:dyDescent="0.3">
      <c r="A761" s="154" t="s">
        <v>181</v>
      </c>
      <c r="B761" s="155"/>
      <c r="C761" s="16" t="s">
        <v>19</v>
      </c>
      <c r="D761" s="20">
        <f>D711</f>
        <v>1.03E-2</v>
      </c>
      <c r="E761" s="20">
        <f t="shared" si="34"/>
        <v>1.03E-2</v>
      </c>
      <c r="F761" s="20">
        <f t="shared" si="34"/>
        <v>1.03E-2</v>
      </c>
      <c r="G761" s="20">
        <f t="shared" si="34"/>
        <v>1.03E-2</v>
      </c>
      <c r="H761" s="20">
        <f t="shared" si="34"/>
        <v>1.03E-2</v>
      </c>
      <c r="I761" s="20">
        <f t="shared" si="34"/>
        <v>1.03E-2</v>
      </c>
      <c r="J761" s="20">
        <f t="shared" si="34"/>
        <v>1.03E-2</v>
      </c>
      <c r="K761" s="20">
        <f t="shared" si="34"/>
        <v>1.03E-2</v>
      </c>
      <c r="L761" s="20">
        <f t="shared" si="34"/>
        <v>1.03E-2</v>
      </c>
      <c r="M761" s="20">
        <f t="shared" si="34"/>
        <v>1.03E-2</v>
      </c>
      <c r="N761" s="20">
        <f t="shared" si="34"/>
        <v>1.03E-2</v>
      </c>
      <c r="O761" s="20">
        <f t="shared" si="34"/>
        <v>1.03E-2</v>
      </c>
    </row>
    <row r="762" spans="1:18" ht="16.2" hidden="1" x14ac:dyDescent="0.3">
      <c r="A762" s="154" t="s">
        <v>182</v>
      </c>
      <c r="B762" s="155"/>
      <c r="C762" s="16" t="s">
        <v>19</v>
      </c>
      <c r="D762" s="20">
        <v>0</v>
      </c>
      <c r="E762" s="20"/>
      <c r="F762" s="20"/>
      <c r="G762" s="20"/>
      <c r="H762" s="20"/>
      <c r="I762" s="20"/>
      <c r="J762" s="20"/>
      <c r="K762" s="20"/>
      <c r="L762" s="20"/>
      <c r="M762" s="20"/>
      <c r="N762" s="20"/>
      <c r="O762" s="20"/>
    </row>
    <row r="763" spans="1:18" ht="16.2" hidden="1" x14ac:dyDescent="0.3">
      <c r="A763" s="154" t="s">
        <v>182</v>
      </c>
      <c r="B763" s="156"/>
      <c r="C763" s="16" t="s">
        <v>19</v>
      </c>
      <c r="D763" s="20">
        <v>0</v>
      </c>
      <c r="E763" s="20"/>
      <c r="F763" s="20"/>
      <c r="G763" s="20"/>
      <c r="H763" s="20"/>
      <c r="I763" s="20"/>
      <c r="J763" s="20"/>
      <c r="K763" s="20"/>
      <c r="L763" s="20"/>
      <c r="M763" s="20"/>
      <c r="N763" s="20"/>
      <c r="O763" s="20"/>
    </row>
    <row r="764" spans="1:18" ht="14.4" x14ac:dyDescent="0.3">
      <c r="A764" s="14" t="s">
        <v>42</v>
      </c>
      <c r="B764" s="14"/>
      <c r="C764" s="16"/>
      <c r="D764" s="24"/>
      <c r="E764" s="24"/>
      <c r="F764" s="24"/>
      <c r="G764" s="24"/>
      <c r="H764" s="24"/>
      <c r="I764" s="24"/>
      <c r="J764" s="24"/>
      <c r="K764" s="24"/>
      <c r="L764" s="24"/>
      <c r="M764" s="24"/>
      <c r="N764" s="24"/>
      <c r="O764" s="24"/>
    </row>
    <row r="765" spans="1:18" ht="14.4" x14ac:dyDescent="0.3">
      <c r="A765" s="14" t="s">
        <v>43</v>
      </c>
      <c r="B765" s="14"/>
      <c r="C765" s="16" t="s">
        <v>44</v>
      </c>
      <c r="D765" s="27"/>
      <c r="E765" s="27"/>
      <c r="F765" s="27"/>
      <c r="G765" s="27"/>
      <c r="H765" s="27"/>
      <c r="I765" s="27"/>
      <c r="J765" s="27"/>
      <c r="K765" s="27"/>
      <c r="L765" s="27"/>
      <c r="M765" s="27"/>
      <c r="N765" s="27"/>
      <c r="O765" s="27"/>
      <c r="P765" s="5"/>
      <c r="Q765" s="5"/>
      <c r="R765" s="5"/>
    </row>
    <row r="766" spans="1:18" ht="14.4" hidden="1" x14ac:dyDescent="0.3">
      <c r="A766" s="14" t="s">
        <v>183</v>
      </c>
      <c r="B766" s="14"/>
      <c r="C766" s="16"/>
      <c r="D766" s="28"/>
      <c r="E766" s="28"/>
      <c r="F766" s="28"/>
      <c r="G766" s="28"/>
      <c r="H766" s="28"/>
      <c r="I766" s="28"/>
      <c r="J766" s="28"/>
      <c r="K766" s="28"/>
      <c r="L766" s="28"/>
      <c r="M766" s="28"/>
      <c r="N766" s="28"/>
      <c r="O766" s="28"/>
    </row>
    <row r="767" spans="1:18" ht="14.4" hidden="1" x14ac:dyDescent="0.3">
      <c r="A767" s="14" t="s">
        <v>184</v>
      </c>
      <c r="B767" s="14"/>
      <c r="C767" s="16" t="s">
        <v>19</v>
      </c>
      <c r="D767" s="20">
        <v>0</v>
      </c>
      <c r="E767" s="20"/>
      <c r="F767" s="20"/>
      <c r="G767" s="20"/>
      <c r="H767" s="20"/>
      <c r="I767" s="20"/>
      <c r="J767" s="20"/>
      <c r="K767" s="20"/>
      <c r="L767" s="20"/>
      <c r="M767" s="20"/>
      <c r="N767" s="20"/>
      <c r="O767" s="20"/>
    </row>
    <row r="768" spans="1:18" ht="14.4" x14ac:dyDescent="0.3">
      <c r="A768" s="14" t="s">
        <v>45</v>
      </c>
      <c r="B768" s="14"/>
      <c r="C768" s="16"/>
      <c r="D768" s="28"/>
      <c r="E768" s="28"/>
      <c r="F768" s="28"/>
      <c r="G768" s="28"/>
      <c r="H768" s="28"/>
      <c r="I768" s="28"/>
      <c r="J768" s="28"/>
      <c r="K768" s="28"/>
      <c r="L768" s="28"/>
      <c r="M768" s="28"/>
      <c r="N768" s="28"/>
      <c r="O768" s="28"/>
    </row>
    <row r="769" spans="1:15" ht="14.4" x14ac:dyDescent="0.3">
      <c r="A769" s="14" t="s">
        <v>46</v>
      </c>
      <c r="B769" s="14"/>
      <c r="C769" s="16" t="s">
        <v>19</v>
      </c>
      <c r="D769" s="20">
        <v>0</v>
      </c>
      <c r="E769" s="20">
        <v>0</v>
      </c>
      <c r="F769" s="20">
        <v>0</v>
      </c>
      <c r="G769" s="20">
        <v>0</v>
      </c>
      <c r="H769" s="20">
        <v>0</v>
      </c>
      <c r="I769" s="20">
        <v>0</v>
      </c>
      <c r="J769" s="20">
        <v>0</v>
      </c>
      <c r="K769" s="20">
        <v>0</v>
      </c>
      <c r="L769" s="20">
        <v>0</v>
      </c>
      <c r="M769" s="20">
        <v>0</v>
      </c>
      <c r="N769" s="20">
        <v>0</v>
      </c>
      <c r="O769" s="20">
        <v>0</v>
      </c>
    </row>
    <row r="770" spans="1:15" ht="14.4" hidden="1" x14ac:dyDescent="0.3">
      <c r="A770" s="14" t="s">
        <v>185</v>
      </c>
      <c r="B770" s="14"/>
      <c r="C770" s="16"/>
      <c r="D770" s="28"/>
      <c r="E770" s="28"/>
      <c r="F770" s="28"/>
      <c r="G770" s="28"/>
      <c r="H770" s="28"/>
      <c r="I770" s="28"/>
      <c r="J770" s="28"/>
      <c r="K770" s="28"/>
      <c r="L770" s="28"/>
      <c r="M770" s="28"/>
      <c r="N770" s="28"/>
      <c r="O770" s="28"/>
    </row>
    <row r="771" spans="1:15" ht="14.4" hidden="1" x14ac:dyDescent="0.3">
      <c r="A771" s="14" t="s">
        <v>186</v>
      </c>
      <c r="B771" s="14"/>
      <c r="C771" s="16" t="s">
        <v>19</v>
      </c>
      <c r="D771" s="20">
        <v>0</v>
      </c>
      <c r="E771" s="20"/>
      <c r="F771" s="20"/>
      <c r="G771" s="20"/>
      <c r="H771" s="20"/>
      <c r="I771" s="20"/>
      <c r="J771" s="20"/>
      <c r="K771" s="20"/>
      <c r="L771" s="20"/>
      <c r="M771" s="20"/>
      <c r="N771" s="20"/>
      <c r="O771" s="20"/>
    </row>
    <row r="772" spans="1:15" ht="14.4" x14ac:dyDescent="0.3">
      <c r="A772" s="14" t="s">
        <v>47</v>
      </c>
      <c r="B772" s="14"/>
      <c r="C772" s="16"/>
      <c r="D772" s="24"/>
      <c r="E772" s="24"/>
      <c r="F772" s="24"/>
      <c r="G772" s="24"/>
      <c r="H772" s="24"/>
      <c r="I772" s="24"/>
      <c r="J772" s="24"/>
      <c r="K772" s="24"/>
      <c r="L772" s="24"/>
      <c r="M772" s="24"/>
      <c r="N772" s="24"/>
      <c r="O772" s="24"/>
    </row>
    <row r="773" spans="1:15" ht="14.4" x14ac:dyDescent="0.3">
      <c r="A773" s="18" t="s">
        <v>48</v>
      </c>
      <c r="B773" s="18"/>
      <c r="C773" s="16" t="s">
        <v>19</v>
      </c>
      <c r="D773" s="20">
        <f>D723</f>
        <v>0.1163</v>
      </c>
      <c r="E773" s="20">
        <f t="shared" ref="E773:O774" si="35">E723</f>
        <v>0.1163</v>
      </c>
      <c r="F773" s="20">
        <f t="shared" si="35"/>
        <v>0.1163</v>
      </c>
      <c r="G773" s="20">
        <f t="shared" si="35"/>
        <v>0.1163</v>
      </c>
      <c r="H773" s="20">
        <f t="shared" si="35"/>
        <v>0.1163</v>
      </c>
      <c r="I773" s="20">
        <f t="shared" si="35"/>
        <v>0.1163</v>
      </c>
      <c r="J773" s="20">
        <f t="shared" si="35"/>
        <v>0.1163</v>
      </c>
      <c r="K773" s="20">
        <f t="shared" si="35"/>
        <v>0.1163</v>
      </c>
      <c r="L773" s="20">
        <f t="shared" si="35"/>
        <v>0.1163</v>
      </c>
      <c r="M773" s="20">
        <f t="shared" si="35"/>
        <v>0.1163</v>
      </c>
      <c r="N773" s="20">
        <f t="shared" si="35"/>
        <v>0.1163</v>
      </c>
      <c r="O773" s="20">
        <f t="shared" si="35"/>
        <v>0.1163</v>
      </c>
    </row>
    <row r="774" spans="1:15" ht="14.4" x14ac:dyDescent="0.3">
      <c r="A774" s="18" t="s">
        <v>49</v>
      </c>
      <c r="B774" s="18"/>
      <c r="C774" s="16" t="s">
        <v>19</v>
      </c>
      <c r="D774" s="20">
        <f>D724</f>
        <v>2.5000000000000001E-3</v>
      </c>
      <c r="E774" s="20">
        <f t="shared" si="35"/>
        <v>2.5000000000000001E-3</v>
      </c>
      <c r="F774" s="20">
        <f t="shared" si="35"/>
        <v>2.5000000000000001E-3</v>
      </c>
      <c r="G774" s="20">
        <f t="shared" si="35"/>
        <v>2.5000000000000001E-3</v>
      </c>
      <c r="H774" s="20">
        <f t="shared" si="35"/>
        <v>2.5000000000000001E-3</v>
      </c>
      <c r="I774" s="20">
        <f t="shared" si="35"/>
        <v>2.5000000000000001E-3</v>
      </c>
      <c r="J774" s="20">
        <f t="shared" si="35"/>
        <v>2.5000000000000001E-3</v>
      </c>
      <c r="K774" s="20">
        <f t="shared" si="35"/>
        <v>2.5000000000000001E-3</v>
      </c>
      <c r="L774" s="20">
        <f t="shared" si="35"/>
        <v>2.5000000000000001E-3</v>
      </c>
      <c r="M774" s="20">
        <f t="shared" si="35"/>
        <v>2.5000000000000001E-3</v>
      </c>
      <c r="N774" s="20">
        <f t="shared" si="35"/>
        <v>2.5000000000000001E-3</v>
      </c>
      <c r="O774" s="20">
        <f t="shared" si="35"/>
        <v>2.5000000000000001E-3</v>
      </c>
    </row>
    <row r="775" spans="1:15" ht="14.4" x14ac:dyDescent="0.3">
      <c r="A775" s="14" t="s">
        <v>52</v>
      </c>
      <c r="B775" s="14"/>
      <c r="C775" s="29"/>
      <c r="D775" s="22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</row>
    <row r="776" spans="1:15" ht="14.4" x14ac:dyDescent="0.3">
      <c r="A776" s="18" t="s">
        <v>53</v>
      </c>
      <c r="B776" s="18"/>
      <c r="C776" s="16" t="s">
        <v>44</v>
      </c>
      <c r="D776" s="52" t="s">
        <v>189</v>
      </c>
      <c r="E776" s="52" t="s">
        <v>189</v>
      </c>
      <c r="F776" s="52" t="s">
        <v>189</v>
      </c>
      <c r="G776" s="52" t="s">
        <v>189</v>
      </c>
      <c r="H776" s="52" t="s">
        <v>189</v>
      </c>
      <c r="I776" s="52" t="s">
        <v>189</v>
      </c>
      <c r="J776" s="52" t="s">
        <v>189</v>
      </c>
      <c r="K776" s="52" t="s">
        <v>189</v>
      </c>
      <c r="L776" s="52" t="s">
        <v>189</v>
      </c>
      <c r="M776" s="52" t="s">
        <v>189</v>
      </c>
      <c r="N776" s="52" t="s">
        <v>189</v>
      </c>
      <c r="O776" s="52" t="s">
        <v>189</v>
      </c>
    </row>
    <row r="777" spans="1:15" ht="14.4" x14ac:dyDescent="0.3">
      <c r="A777" s="18" t="s">
        <v>54</v>
      </c>
      <c r="B777" s="18"/>
      <c r="C777" s="16" t="s">
        <v>44</v>
      </c>
      <c r="D777" s="30">
        <f t="shared" ref="D777:O782" si="36">D727</f>
        <v>0</v>
      </c>
      <c r="E777" s="30">
        <f t="shared" si="36"/>
        <v>0</v>
      </c>
      <c r="F777" s="30">
        <f t="shared" si="36"/>
        <v>0</v>
      </c>
      <c r="G777" s="30">
        <f t="shared" si="36"/>
        <v>0</v>
      </c>
      <c r="H777" s="30">
        <f t="shared" si="36"/>
        <v>0</v>
      </c>
      <c r="I777" s="30">
        <f t="shared" si="36"/>
        <v>0</v>
      </c>
      <c r="J777" s="30">
        <f t="shared" si="36"/>
        <v>0</v>
      </c>
      <c r="K777" s="30">
        <f t="shared" si="36"/>
        <v>0</v>
      </c>
      <c r="L777" s="30">
        <f t="shared" si="36"/>
        <v>0</v>
      </c>
      <c r="M777" s="30">
        <f t="shared" si="36"/>
        <v>0</v>
      </c>
      <c r="N777" s="30">
        <f t="shared" si="36"/>
        <v>0</v>
      </c>
      <c r="O777" s="30">
        <f t="shared" si="36"/>
        <v>0</v>
      </c>
    </row>
    <row r="778" spans="1:15" ht="14.4" x14ac:dyDescent="0.3">
      <c r="A778" s="18" t="s">
        <v>55</v>
      </c>
      <c r="B778" s="18"/>
      <c r="C778" s="16" t="s">
        <v>44</v>
      </c>
      <c r="D778" s="30">
        <f t="shared" si="36"/>
        <v>8.9899999999999994E-2</v>
      </c>
      <c r="E778" s="30">
        <f t="shared" si="36"/>
        <v>9.3700000000000006E-2</v>
      </c>
      <c r="F778" s="30">
        <f t="shared" si="36"/>
        <v>9.4399999999999998E-2</v>
      </c>
      <c r="G778" s="30">
        <f t="shared" si="36"/>
        <v>9.6299999999999997E-2</v>
      </c>
      <c r="H778" s="30">
        <f t="shared" si="36"/>
        <v>9.7600000000000006E-2</v>
      </c>
      <c r="I778" s="30">
        <f t="shared" si="36"/>
        <v>9.7299999999999998E-2</v>
      </c>
      <c r="J778" s="30">
        <f t="shared" si="36"/>
        <v>9.5600000000000004E-2</v>
      </c>
      <c r="K778" s="30">
        <f t="shared" si="36"/>
        <v>8.9700000000000002E-2</v>
      </c>
      <c r="L778" s="30">
        <f t="shared" si="36"/>
        <v>9.8400000000000001E-2</v>
      </c>
      <c r="M778" s="30">
        <f t="shared" si="36"/>
        <v>9.4299999999999995E-2</v>
      </c>
      <c r="N778" s="30">
        <f t="shared" si="36"/>
        <v>9.3399999999999997E-2</v>
      </c>
      <c r="O778" s="30">
        <f t="shared" si="36"/>
        <v>9.5500000000000002E-2</v>
      </c>
    </row>
    <row r="779" spans="1:15" ht="14.4" x14ac:dyDescent="0.3">
      <c r="A779" s="18" t="s">
        <v>187</v>
      </c>
      <c r="B779" s="18"/>
      <c r="C779" s="16" t="s">
        <v>44</v>
      </c>
      <c r="D779" s="30">
        <f t="shared" si="36"/>
        <v>5.5858455631032497E-3</v>
      </c>
      <c r="E779" s="30">
        <f t="shared" si="36"/>
        <v>3.0650583850564523E-3</v>
      </c>
      <c r="F779" s="30">
        <f t="shared" si="36"/>
        <v>2.6939820012288874E-3</v>
      </c>
      <c r="G779" s="30">
        <f t="shared" si="36"/>
        <v>0</v>
      </c>
      <c r="H779" s="30">
        <f t="shared" si="36"/>
        <v>1.4227759048057112E-2</v>
      </c>
      <c r="I779" s="30">
        <f t="shared" si="36"/>
        <v>1.0851314063502437E-2</v>
      </c>
      <c r="J779" s="30">
        <f t="shared" si="36"/>
        <v>1.691896019316478E-2</v>
      </c>
      <c r="K779" s="30">
        <f t="shared" si="36"/>
        <v>4.451228191928034E-2</v>
      </c>
      <c r="L779" s="30">
        <f t="shared" si="36"/>
        <v>1.7462006912087345E-2</v>
      </c>
      <c r="M779" s="30">
        <f t="shared" si="36"/>
        <v>1.7899999999999999E-2</v>
      </c>
      <c r="N779" s="30">
        <f t="shared" si="36"/>
        <v>5.3E-3</v>
      </c>
      <c r="O779" s="30">
        <f t="shared" si="36"/>
        <v>5.5999999999999999E-3</v>
      </c>
    </row>
    <row r="780" spans="1:15" ht="14.4" x14ac:dyDescent="0.3">
      <c r="A780" s="18" t="s">
        <v>188</v>
      </c>
      <c r="B780" s="18"/>
      <c r="C780" s="16" t="s">
        <v>44</v>
      </c>
      <c r="D780" s="30">
        <f t="shared" si="36"/>
        <v>9.8799999999999999E-2</v>
      </c>
      <c r="E780" s="30">
        <f t="shared" si="36"/>
        <v>9.8799999999999999E-2</v>
      </c>
      <c r="F780" s="30">
        <f t="shared" si="36"/>
        <v>9.8799999999999999E-2</v>
      </c>
      <c r="G780" s="30">
        <f t="shared" si="36"/>
        <v>9.8799999999999999E-2</v>
      </c>
      <c r="H780" s="30">
        <f t="shared" si="36"/>
        <v>9.8799999999999999E-2</v>
      </c>
      <c r="I780" s="30">
        <f t="shared" si="36"/>
        <v>9.8799999999999999E-2</v>
      </c>
      <c r="J780" s="30">
        <f t="shared" si="36"/>
        <v>9.8799999999999999E-2</v>
      </c>
      <c r="K780" s="30">
        <f t="shared" si="36"/>
        <v>9.8799999999999999E-2</v>
      </c>
      <c r="L780" s="30">
        <f t="shared" si="36"/>
        <v>9.8799999999999999E-2</v>
      </c>
      <c r="M780" s="30">
        <f t="shared" si="36"/>
        <v>9.8799999999999999E-2</v>
      </c>
      <c r="N780" s="30">
        <f t="shared" si="36"/>
        <v>9.8799999999999999E-2</v>
      </c>
      <c r="O780" s="30">
        <f t="shared" si="36"/>
        <v>9.8799999999999999E-2</v>
      </c>
    </row>
    <row r="781" spans="1:15" ht="14.4" x14ac:dyDescent="0.3">
      <c r="A781" s="18" t="s">
        <v>56</v>
      </c>
      <c r="B781" s="18"/>
      <c r="C781" s="16" t="s">
        <v>44</v>
      </c>
      <c r="D781" s="30">
        <f t="shared" si="36"/>
        <v>0.12</v>
      </c>
      <c r="E781" s="30">
        <f t="shared" si="36"/>
        <v>0.12</v>
      </c>
      <c r="F781" s="30">
        <f t="shared" si="36"/>
        <v>0.12</v>
      </c>
      <c r="G781" s="30">
        <f t="shared" si="36"/>
        <v>0.12</v>
      </c>
      <c r="H781" s="30">
        <f t="shared" si="36"/>
        <v>0.12</v>
      </c>
      <c r="I781" s="30">
        <f t="shared" si="36"/>
        <v>0.12</v>
      </c>
      <c r="J781" s="30">
        <f t="shared" si="36"/>
        <v>0.12</v>
      </c>
      <c r="K781" s="30">
        <f t="shared" si="36"/>
        <v>0.12</v>
      </c>
      <c r="L781" s="30">
        <f t="shared" si="36"/>
        <v>0.12</v>
      </c>
      <c r="M781" s="30">
        <f t="shared" si="36"/>
        <v>0.12</v>
      </c>
      <c r="N781" s="30">
        <f t="shared" si="36"/>
        <v>0.12</v>
      </c>
      <c r="O781" s="30">
        <f t="shared" si="36"/>
        <v>0.12</v>
      </c>
    </row>
    <row r="782" spans="1:15" ht="14.4" x14ac:dyDescent="0.3">
      <c r="A782" s="18" t="s">
        <v>57</v>
      </c>
      <c r="B782" s="18"/>
      <c r="C782" s="16" t="s">
        <v>44</v>
      </c>
      <c r="D782" s="30">
        <f t="shared" si="36"/>
        <v>0.12</v>
      </c>
      <c r="E782" s="30">
        <f t="shared" si="36"/>
        <v>0.12</v>
      </c>
      <c r="F782" s="30">
        <f t="shared" si="36"/>
        <v>0.12</v>
      </c>
      <c r="G782" s="30">
        <f t="shared" si="36"/>
        <v>0.12</v>
      </c>
      <c r="H782" s="30">
        <f t="shared" si="36"/>
        <v>0.12</v>
      </c>
      <c r="I782" s="30">
        <f t="shared" si="36"/>
        <v>0.12</v>
      </c>
      <c r="J782" s="30">
        <f t="shared" si="36"/>
        <v>0.12</v>
      </c>
      <c r="K782" s="30">
        <f t="shared" si="36"/>
        <v>0.12</v>
      </c>
      <c r="L782" s="30">
        <f t="shared" si="36"/>
        <v>0.12</v>
      </c>
      <c r="M782" s="30">
        <f t="shared" si="36"/>
        <v>0.12</v>
      </c>
      <c r="N782" s="30">
        <f t="shared" si="36"/>
        <v>0.12</v>
      </c>
      <c r="O782" s="30">
        <f t="shared" si="36"/>
        <v>0.12</v>
      </c>
    </row>
    <row r="783" spans="1:15" s="5" customFormat="1" ht="14.4" x14ac:dyDescent="0.3">
      <c r="A783" s="55"/>
      <c r="B783" s="55"/>
      <c r="C783" s="56"/>
      <c r="D783" s="57"/>
      <c r="E783" s="57"/>
      <c r="F783" s="57"/>
      <c r="G783" s="57"/>
      <c r="H783" s="57"/>
      <c r="I783" s="57"/>
      <c r="J783" s="57"/>
      <c r="K783" s="57"/>
      <c r="L783" s="57"/>
      <c r="M783" s="57"/>
      <c r="N783" s="57"/>
      <c r="O783" s="57"/>
    </row>
    <row r="784" spans="1:15" x14ac:dyDescent="0.3">
      <c r="A784" s="33" t="s">
        <v>58</v>
      </c>
    </row>
    <row r="786" spans="1:18" ht="18" x14ac:dyDescent="0.35">
      <c r="A786" s="59" t="str">
        <f>'[40]Statistical data'!A200</f>
        <v>General Power-Below 13.2kV</v>
      </c>
      <c r="B786" s="60"/>
      <c r="C786" s="5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</row>
    <row r="787" spans="1:18" s="13" customFormat="1" ht="14.4" x14ac:dyDescent="0.3">
      <c r="A787" s="11" t="s">
        <v>3</v>
      </c>
      <c r="B787" s="11"/>
      <c r="C787" s="11" t="s">
        <v>4</v>
      </c>
      <c r="D787" s="12" t="s">
        <v>5</v>
      </c>
      <c r="E787" s="12" t="s">
        <v>6</v>
      </c>
      <c r="F787" s="12" t="s">
        <v>7</v>
      </c>
      <c r="G787" s="12" t="s">
        <v>8</v>
      </c>
      <c r="H787" s="12" t="s">
        <v>9</v>
      </c>
      <c r="I787" s="12" t="s">
        <v>10</v>
      </c>
      <c r="J787" s="12" t="s">
        <v>11</v>
      </c>
      <c r="K787" s="12" t="s">
        <v>12</v>
      </c>
      <c r="L787" s="12" t="s">
        <v>13</v>
      </c>
      <c r="M787" s="12" t="s">
        <v>14</v>
      </c>
      <c r="N787" s="12" t="s">
        <v>15</v>
      </c>
      <c r="O787" s="12" t="s">
        <v>16</v>
      </c>
      <c r="P787" s="153"/>
      <c r="Q787" s="153"/>
      <c r="R787" s="153"/>
    </row>
    <row r="788" spans="1:18" ht="14.4" x14ac:dyDescent="0.3">
      <c r="A788" s="14" t="s">
        <v>17</v>
      </c>
      <c r="B788" s="15"/>
      <c r="C788" s="16"/>
      <c r="D788" s="17"/>
      <c r="E788" s="17"/>
      <c r="F788" s="17"/>
      <c r="G788" s="17"/>
      <c r="H788" s="17"/>
      <c r="I788" s="17"/>
      <c r="J788" s="17"/>
      <c r="K788" s="17"/>
      <c r="L788" s="17"/>
      <c r="M788" s="17"/>
      <c r="N788" s="17"/>
      <c r="O788" s="17"/>
    </row>
    <row r="789" spans="1:18" ht="14.4" x14ac:dyDescent="0.3">
      <c r="A789" s="18" t="s">
        <v>18</v>
      </c>
      <c r="B789" s="19"/>
      <c r="C789" s="16" t="s">
        <v>19</v>
      </c>
      <c r="D789" s="52" t="s">
        <v>59</v>
      </c>
      <c r="E789" s="52" t="s">
        <v>59</v>
      </c>
      <c r="F789" s="52" t="s">
        <v>59</v>
      </c>
      <c r="G789" s="52" t="s">
        <v>59</v>
      </c>
      <c r="H789" s="52" t="s">
        <v>59</v>
      </c>
      <c r="I789" s="52" t="s">
        <v>59</v>
      </c>
      <c r="J789" s="52" t="s">
        <v>59</v>
      </c>
      <c r="K789" s="52" t="s">
        <v>59</v>
      </c>
      <c r="L789" s="52" t="s">
        <v>59</v>
      </c>
      <c r="M789" s="52" t="s">
        <v>59</v>
      </c>
      <c r="N789" s="52" t="s">
        <v>59</v>
      </c>
      <c r="O789" s="52" t="s">
        <v>59</v>
      </c>
    </row>
    <row r="790" spans="1:18" ht="14.4" x14ac:dyDescent="0.3">
      <c r="A790" s="18" t="s">
        <v>66</v>
      </c>
      <c r="B790" s="19"/>
      <c r="C790" s="16" t="s">
        <v>19</v>
      </c>
      <c r="D790" s="20">
        <v>0</v>
      </c>
      <c r="E790" s="20">
        <v>0</v>
      </c>
      <c r="F790" s="20">
        <v>0</v>
      </c>
      <c r="G790" s="20">
        <v>0</v>
      </c>
      <c r="H790" s="20">
        <v>0</v>
      </c>
      <c r="I790" s="20">
        <v>0</v>
      </c>
      <c r="J790" s="20">
        <v>0</v>
      </c>
      <c r="K790" s="20">
        <v>0</v>
      </c>
      <c r="L790" s="20">
        <v>0</v>
      </c>
      <c r="M790" s="20">
        <v>0</v>
      </c>
      <c r="N790" s="20">
        <v>0</v>
      </c>
      <c r="O790" s="20">
        <v>0</v>
      </c>
      <c r="P790" s="5"/>
      <c r="Q790" s="5"/>
      <c r="R790" s="5"/>
    </row>
    <row r="791" spans="1:18" ht="14.4" x14ac:dyDescent="0.3">
      <c r="A791" s="14" t="s">
        <v>20</v>
      </c>
      <c r="B791" s="15"/>
      <c r="C791" s="16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</row>
    <row r="792" spans="1:18" ht="14.4" x14ac:dyDescent="0.3">
      <c r="A792" s="18" t="s">
        <v>21</v>
      </c>
      <c r="B792" s="19"/>
      <c r="C792" s="16" t="s">
        <v>19</v>
      </c>
      <c r="D792" s="20">
        <v>0</v>
      </c>
      <c r="E792" s="20">
        <v>0</v>
      </c>
      <c r="F792" s="20">
        <v>0</v>
      </c>
      <c r="G792" s="20">
        <v>0</v>
      </c>
      <c r="H792" s="20">
        <v>0</v>
      </c>
      <c r="I792" s="20">
        <v>0</v>
      </c>
      <c r="J792" s="20">
        <v>0</v>
      </c>
      <c r="K792" s="20">
        <v>0</v>
      </c>
      <c r="L792" s="20">
        <v>0</v>
      </c>
      <c r="M792" s="20">
        <v>0</v>
      </c>
      <c r="N792" s="20">
        <v>0</v>
      </c>
      <c r="O792" s="20">
        <v>0</v>
      </c>
    </row>
    <row r="793" spans="1:18" ht="14.4" x14ac:dyDescent="0.3">
      <c r="A793" s="18" t="s">
        <v>22</v>
      </c>
      <c r="B793" s="19"/>
      <c r="C793" s="16" t="s">
        <v>23</v>
      </c>
      <c r="D793" s="23">
        <f>[40]TR!D95</f>
        <v>414.64</v>
      </c>
      <c r="E793" s="23">
        <f>[40]TR!E95</f>
        <v>355.04</v>
      </c>
      <c r="F793" s="23">
        <f>[40]TR!F95</f>
        <v>332.01</v>
      </c>
      <c r="G793" s="23">
        <f>[40]TR!G95</f>
        <v>337.92</v>
      </c>
      <c r="H793" s="23">
        <f>[40]TR!H95</f>
        <v>328.25</v>
      </c>
      <c r="I793" s="23">
        <f>[40]TR!I95</f>
        <v>365.75</v>
      </c>
      <c r="J793" s="23">
        <f>[40]TR!J95</f>
        <v>349.13</v>
      </c>
      <c r="K793" s="23">
        <f>[40]TR!K95</f>
        <v>343.05</v>
      </c>
      <c r="L793" s="23">
        <f>[40]TR!L95</f>
        <v>292.07</v>
      </c>
      <c r="M793" s="23">
        <f>[40]TR!M95</f>
        <v>303.7</v>
      </c>
      <c r="N793" s="23">
        <f>[40]TR!N95</f>
        <v>344.43</v>
      </c>
      <c r="O793" s="23">
        <f>[40]TR!O95</f>
        <v>302.04000000000002</v>
      </c>
    </row>
    <row r="794" spans="1:18" ht="14.4" x14ac:dyDescent="0.3">
      <c r="A794" s="14" t="s">
        <v>24</v>
      </c>
      <c r="B794" s="15"/>
      <c r="C794" s="16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</row>
    <row r="795" spans="1:18" ht="14.4" x14ac:dyDescent="0.3">
      <c r="A795" s="18" t="s">
        <v>25</v>
      </c>
      <c r="B795" s="19"/>
      <c r="C795" s="16" t="s">
        <v>19</v>
      </c>
      <c r="D795" s="20">
        <f>[40]SLR!D138</f>
        <v>0.32350000000000001</v>
      </c>
      <c r="E795" s="20">
        <f>[40]SLR!E138</f>
        <v>0.31990000000000002</v>
      </c>
      <c r="F795" s="20">
        <f>[40]SLR!F138</f>
        <v>0.29249999999999998</v>
      </c>
      <c r="G795" s="20">
        <f>[40]SLR!G138</f>
        <v>0.30659999999999998</v>
      </c>
      <c r="H795" s="20">
        <f>[40]SLR!H138</f>
        <v>0.311</v>
      </c>
      <c r="I795" s="20">
        <f>[40]SLR!I138</f>
        <v>0.30170000000000002</v>
      </c>
      <c r="J795" s="20">
        <f>[40]SLR!J138</f>
        <v>0.31630000000000003</v>
      </c>
      <c r="K795" s="20">
        <f>[40]SLR!K138</f>
        <v>0.31380000000000002</v>
      </c>
      <c r="L795" s="20">
        <f>[40]SLR!L138</f>
        <v>0.252</v>
      </c>
      <c r="M795" s="20">
        <f>[40]SLR!M138</f>
        <v>0.26369999999999999</v>
      </c>
      <c r="N795" s="20">
        <f>[40]SLR!N138</f>
        <v>0.26269999999999999</v>
      </c>
      <c r="O795" s="20">
        <f>[40]SLR!O138</f>
        <v>0.2445</v>
      </c>
    </row>
    <row r="796" spans="1:18" ht="14.4" x14ac:dyDescent="0.3">
      <c r="A796" s="14" t="s">
        <v>26</v>
      </c>
      <c r="B796" s="14"/>
      <c r="C796" s="16"/>
      <c r="D796" s="22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2"/>
    </row>
    <row r="797" spans="1:18" ht="14.4" x14ac:dyDescent="0.3">
      <c r="A797" s="18" t="s">
        <v>27</v>
      </c>
      <c r="B797" s="18"/>
      <c r="C797" s="16" t="s">
        <v>19</v>
      </c>
      <c r="D797" s="20">
        <v>0.04</v>
      </c>
      <c r="E797" s="20">
        <v>0.04</v>
      </c>
      <c r="F797" s="20">
        <v>0.04</v>
      </c>
      <c r="G797" s="20">
        <v>0.04</v>
      </c>
      <c r="H797" s="20">
        <v>0.04</v>
      </c>
      <c r="I797" s="20">
        <v>0.04</v>
      </c>
      <c r="J797" s="20">
        <v>0.06</v>
      </c>
      <c r="K797" s="20">
        <v>0.06</v>
      </c>
      <c r="L797" s="20">
        <v>0.06</v>
      </c>
      <c r="M797" s="20">
        <v>0.06</v>
      </c>
      <c r="N797" s="20">
        <v>0.06</v>
      </c>
      <c r="O797" s="20">
        <v>0.06</v>
      </c>
    </row>
    <row r="798" spans="1:18" ht="14.4" x14ac:dyDescent="0.3">
      <c r="A798" s="18" t="s">
        <v>28</v>
      </c>
      <c r="B798" s="18"/>
      <c r="C798" s="16" t="s">
        <v>23</v>
      </c>
      <c r="D798" s="23">
        <v>200</v>
      </c>
      <c r="E798" s="23">
        <v>200</v>
      </c>
      <c r="F798" s="23">
        <v>200</v>
      </c>
      <c r="G798" s="23">
        <v>200</v>
      </c>
      <c r="H798" s="23">
        <v>200</v>
      </c>
      <c r="I798" s="23">
        <v>200</v>
      </c>
      <c r="J798" s="23">
        <v>213.74</v>
      </c>
      <c r="K798" s="23">
        <v>213.74</v>
      </c>
      <c r="L798" s="23">
        <v>213.74</v>
      </c>
      <c r="M798" s="23">
        <v>213.74</v>
      </c>
      <c r="N798" s="23">
        <v>213.74</v>
      </c>
      <c r="O798" s="23">
        <v>213.74</v>
      </c>
    </row>
    <row r="799" spans="1:18" ht="14.4" x14ac:dyDescent="0.3">
      <c r="A799" s="14" t="s">
        <v>29</v>
      </c>
      <c r="B799" s="14"/>
      <c r="C799" s="16"/>
      <c r="D799" s="24"/>
      <c r="E799" s="24"/>
      <c r="F799" s="24"/>
      <c r="G799" s="24"/>
      <c r="H799" s="24"/>
      <c r="I799" s="24"/>
      <c r="J799" s="24"/>
      <c r="K799" s="24"/>
      <c r="L799" s="24"/>
      <c r="M799" s="24"/>
      <c r="N799" s="24"/>
      <c r="O799" s="24"/>
    </row>
    <row r="800" spans="1:18" ht="14.4" x14ac:dyDescent="0.3">
      <c r="A800" s="18" t="s">
        <v>30</v>
      </c>
      <c r="B800" s="18"/>
      <c r="C800" s="16" t="s">
        <v>19</v>
      </c>
      <c r="D800" s="52" t="s">
        <v>61</v>
      </c>
      <c r="E800" s="52" t="s">
        <v>61</v>
      </c>
      <c r="F800" s="52" t="s">
        <v>61</v>
      </c>
      <c r="G800" s="52" t="s">
        <v>61</v>
      </c>
      <c r="H800" s="52" t="s">
        <v>61</v>
      </c>
      <c r="I800" s="52" t="s">
        <v>61</v>
      </c>
      <c r="J800" s="52" t="s">
        <v>61</v>
      </c>
      <c r="K800" s="52" t="s">
        <v>61</v>
      </c>
      <c r="L800" s="52" t="s">
        <v>61</v>
      </c>
      <c r="M800" s="52" t="s">
        <v>61</v>
      </c>
      <c r="N800" s="52" t="s">
        <v>61</v>
      </c>
      <c r="O800" s="52" t="s">
        <v>61</v>
      </c>
    </row>
    <row r="801" spans="1:18" ht="14.4" x14ac:dyDescent="0.3">
      <c r="A801" s="18" t="s">
        <v>31</v>
      </c>
      <c r="B801" s="18"/>
      <c r="C801" s="16" t="s">
        <v>32</v>
      </c>
      <c r="D801" s="52" t="s">
        <v>62</v>
      </c>
      <c r="E801" s="52" t="s">
        <v>62</v>
      </c>
      <c r="F801" s="52" t="s">
        <v>62</v>
      </c>
      <c r="G801" s="52" t="s">
        <v>62</v>
      </c>
      <c r="H801" s="52" t="s">
        <v>62</v>
      </c>
      <c r="I801" s="52" t="s">
        <v>62</v>
      </c>
      <c r="J801" s="52" t="s">
        <v>62</v>
      </c>
      <c r="K801" s="52" t="s">
        <v>62</v>
      </c>
      <c r="L801" s="52" t="s">
        <v>62</v>
      </c>
      <c r="M801" s="52" t="s">
        <v>62</v>
      </c>
      <c r="N801" s="52" t="s">
        <v>62</v>
      </c>
      <c r="O801" s="52" t="s">
        <v>62</v>
      </c>
    </row>
    <row r="802" spans="1:18" ht="14.4" x14ac:dyDescent="0.3">
      <c r="A802" s="14" t="s">
        <v>33</v>
      </c>
      <c r="B802" s="14"/>
      <c r="C802" s="16"/>
      <c r="D802" s="24"/>
      <c r="E802" s="24"/>
      <c r="F802" s="24"/>
      <c r="G802" s="24"/>
      <c r="H802" s="24"/>
      <c r="I802" s="24"/>
      <c r="J802" s="24"/>
      <c r="K802" s="24"/>
      <c r="L802" s="24"/>
      <c r="M802" s="24"/>
      <c r="N802" s="24"/>
      <c r="O802" s="24"/>
    </row>
    <row r="803" spans="1:18" ht="14.4" x14ac:dyDescent="0.3">
      <c r="A803" s="18" t="s">
        <v>34</v>
      </c>
      <c r="B803" s="18"/>
      <c r="C803" s="16" t="s">
        <v>19</v>
      </c>
      <c r="D803" s="20">
        <v>0</v>
      </c>
      <c r="E803" s="20">
        <v>0</v>
      </c>
      <c r="F803" s="20">
        <v>0</v>
      </c>
      <c r="G803" s="20">
        <v>0</v>
      </c>
      <c r="H803" s="20">
        <v>0</v>
      </c>
      <c r="I803" s="20">
        <v>0</v>
      </c>
      <c r="J803" s="20">
        <v>0</v>
      </c>
      <c r="K803" s="20">
        <v>0</v>
      </c>
      <c r="L803" s="20">
        <v>0</v>
      </c>
      <c r="M803" s="20">
        <v>0</v>
      </c>
      <c r="N803" s="20">
        <v>0</v>
      </c>
      <c r="O803" s="20">
        <v>0</v>
      </c>
    </row>
    <row r="804" spans="1:18" ht="14.4" x14ac:dyDescent="0.3">
      <c r="A804" s="18" t="s">
        <v>35</v>
      </c>
      <c r="B804" s="18"/>
      <c r="C804" s="16" t="s">
        <v>36</v>
      </c>
      <c r="D804" s="52" t="s">
        <v>63</v>
      </c>
      <c r="E804" s="52" t="s">
        <v>63</v>
      </c>
      <c r="F804" s="52" t="s">
        <v>63</v>
      </c>
      <c r="G804" s="52" t="s">
        <v>63</v>
      </c>
      <c r="H804" s="52" t="s">
        <v>63</v>
      </c>
      <c r="I804" s="52" t="s">
        <v>63</v>
      </c>
      <c r="J804" s="52" t="s">
        <v>63</v>
      </c>
      <c r="K804" s="52" t="s">
        <v>63</v>
      </c>
      <c r="L804" s="52" t="s">
        <v>63</v>
      </c>
      <c r="M804" s="52" t="s">
        <v>63</v>
      </c>
      <c r="N804" s="52" t="s">
        <v>63</v>
      </c>
      <c r="O804" s="52" t="s">
        <v>63</v>
      </c>
    </row>
    <row r="805" spans="1:18" ht="14.4" x14ac:dyDescent="0.3">
      <c r="A805" s="14" t="s">
        <v>37</v>
      </c>
      <c r="B805" s="14"/>
      <c r="C805" s="16"/>
      <c r="D805" s="24"/>
      <c r="E805" s="24"/>
      <c r="F805" s="24"/>
      <c r="G805" s="24"/>
      <c r="H805" s="24"/>
      <c r="I805" s="24"/>
      <c r="J805" s="24"/>
      <c r="K805" s="24"/>
      <c r="L805" s="24"/>
      <c r="M805" s="24"/>
      <c r="N805" s="24"/>
      <c r="O805" s="24"/>
    </row>
    <row r="806" spans="1:18" ht="14.4" x14ac:dyDescent="0.3">
      <c r="A806" s="25" t="s">
        <v>38</v>
      </c>
      <c r="B806" s="18"/>
      <c r="C806" s="16" t="s">
        <v>19</v>
      </c>
      <c r="D806" s="20">
        <f>D756</f>
        <v>0.1404</v>
      </c>
      <c r="E806" s="20">
        <f t="shared" ref="E806:O806" si="37">E756</f>
        <v>0.14729999999999999</v>
      </c>
      <c r="F806" s="20">
        <f t="shared" si="37"/>
        <v>0.13950000000000001</v>
      </c>
      <c r="G806" s="20">
        <f t="shared" si="37"/>
        <v>0.14099999999999999</v>
      </c>
      <c r="H806" s="20">
        <f t="shared" si="37"/>
        <v>0.1283</v>
      </c>
      <c r="I806" s="20">
        <f t="shared" si="37"/>
        <v>0.1103</v>
      </c>
      <c r="J806" s="20">
        <f t="shared" si="37"/>
        <v>0.11559999999999999</v>
      </c>
      <c r="K806" s="20">
        <f t="shared" si="37"/>
        <v>0.1419</v>
      </c>
      <c r="L806" s="20">
        <f t="shared" si="37"/>
        <v>0.15759999999999999</v>
      </c>
      <c r="M806" s="20">
        <f t="shared" si="37"/>
        <v>0.1288</v>
      </c>
      <c r="N806" s="20">
        <f t="shared" si="37"/>
        <v>0.1321</v>
      </c>
      <c r="O806" s="20">
        <f t="shared" si="37"/>
        <v>0.1331</v>
      </c>
    </row>
    <row r="807" spans="1:18" ht="14.4" x14ac:dyDescent="0.3">
      <c r="A807" s="25" t="s">
        <v>39</v>
      </c>
      <c r="B807" s="18"/>
      <c r="C807" s="16" t="s">
        <v>19</v>
      </c>
      <c r="D807" s="20">
        <v>0</v>
      </c>
      <c r="E807" s="20">
        <v>0</v>
      </c>
      <c r="F807" s="20">
        <v>0</v>
      </c>
      <c r="G807" s="20">
        <v>0</v>
      </c>
      <c r="H807" s="20">
        <v>0</v>
      </c>
      <c r="I807" s="20">
        <v>0</v>
      </c>
      <c r="J807" s="20">
        <v>0</v>
      </c>
      <c r="K807" s="20">
        <v>0</v>
      </c>
      <c r="L807" s="20">
        <v>0</v>
      </c>
      <c r="M807" s="20">
        <v>0</v>
      </c>
      <c r="N807" s="20">
        <v>0</v>
      </c>
      <c r="O807" s="20">
        <v>0</v>
      </c>
      <c r="P807" s="5"/>
      <c r="Q807" s="5"/>
      <c r="R807" s="5"/>
    </row>
    <row r="808" spans="1:18" ht="14.4" x14ac:dyDescent="0.3">
      <c r="A808" s="25" t="s">
        <v>180</v>
      </c>
      <c r="B808" s="18"/>
      <c r="C808" s="16" t="s">
        <v>19</v>
      </c>
      <c r="D808" s="20">
        <f>D758</f>
        <v>6.2E-2</v>
      </c>
      <c r="E808" s="20">
        <f t="shared" ref="E808:O811" si="38">E758</f>
        <v>6.2E-2</v>
      </c>
      <c r="F808" s="20">
        <f t="shared" si="38"/>
        <v>6.2E-2</v>
      </c>
      <c r="G808" s="20">
        <f t="shared" si="38"/>
        <v>6.2E-2</v>
      </c>
      <c r="H808" s="20">
        <f t="shared" si="38"/>
        <v>6.2E-2</v>
      </c>
      <c r="I808" s="20">
        <f t="shared" si="38"/>
        <v>6.2E-2</v>
      </c>
      <c r="J808" s="20">
        <f t="shared" si="38"/>
        <v>6.2E-2</v>
      </c>
      <c r="K808" s="20">
        <f t="shared" si="38"/>
        <v>6.2E-2</v>
      </c>
      <c r="L808" s="20">
        <f t="shared" si="38"/>
        <v>6.2E-2</v>
      </c>
      <c r="M808" s="20">
        <f t="shared" si="38"/>
        <v>6.2E-2</v>
      </c>
      <c r="N808" s="20">
        <f t="shared" si="38"/>
        <v>3.1399999999999997E-2</v>
      </c>
      <c r="O808" s="20">
        <f t="shared" si="38"/>
        <v>3.1399999999999997E-2</v>
      </c>
    </row>
    <row r="809" spans="1:18" ht="14.4" x14ac:dyDescent="0.3">
      <c r="A809" s="26" t="s">
        <v>40</v>
      </c>
      <c r="B809" s="18"/>
      <c r="C809" s="16" t="s">
        <v>19</v>
      </c>
      <c r="D809" s="20">
        <f>D759</f>
        <v>1E-4</v>
      </c>
      <c r="E809" s="20">
        <f t="shared" si="38"/>
        <v>1E-4</v>
      </c>
      <c r="F809" s="20">
        <f t="shared" si="38"/>
        <v>1E-4</v>
      </c>
      <c r="G809" s="20">
        <f t="shared" si="38"/>
        <v>1E-4</v>
      </c>
      <c r="H809" s="20">
        <f t="shared" si="38"/>
        <v>1E-4</v>
      </c>
      <c r="I809" s="20">
        <f t="shared" si="38"/>
        <v>1E-4</v>
      </c>
      <c r="J809" s="20">
        <f t="shared" si="38"/>
        <v>1E-4</v>
      </c>
      <c r="K809" s="20">
        <f t="shared" si="38"/>
        <v>1E-4</v>
      </c>
      <c r="L809" s="20">
        <f t="shared" si="38"/>
        <v>1E-4</v>
      </c>
      <c r="M809" s="20">
        <f t="shared" si="38"/>
        <v>1E-4</v>
      </c>
      <c r="N809" s="20">
        <f t="shared" si="38"/>
        <v>1E-4</v>
      </c>
      <c r="O809" s="20">
        <f t="shared" si="38"/>
        <v>1E-4</v>
      </c>
    </row>
    <row r="810" spans="1:18" ht="14.4" x14ac:dyDescent="0.3">
      <c r="A810" s="26" t="s">
        <v>41</v>
      </c>
      <c r="B810" s="18"/>
      <c r="C810" s="16" t="s">
        <v>19</v>
      </c>
      <c r="D810" s="20">
        <f>D760</f>
        <v>0</v>
      </c>
      <c r="E810" s="20">
        <f t="shared" si="38"/>
        <v>0</v>
      </c>
      <c r="F810" s="20">
        <f t="shared" si="38"/>
        <v>0</v>
      </c>
      <c r="G810" s="20">
        <f t="shared" si="38"/>
        <v>0</v>
      </c>
      <c r="H810" s="20">
        <f t="shared" si="38"/>
        <v>0</v>
      </c>
      <c r="I810" s="20">
        <f t="shared" si="38"/>
        <v>0</v>
      </c>
      <c r="J810" s="20">
        <f t="shared" si="38"/>
        <v>0</v>
      </c>
      <c r="K810" s="20">
        <f t="shared" si="38"/>
        <v>0</v>
      </c>
      <c r="L810" s="20">
        <f t="shared" si="38"/>
        <v>0</v>
      </c>
      <c r="M810" s="20">
        <f t="shared" si="38"/>
        <v>0</v>
      </c>
      <c r="N810" s="20">
        <f t="shared" si="38"/>
        <v>0</v>
      </c>
      <c r="O810" s="20">
        <f t="shared" si="38"/>
        <v>0</v>
      </c>
    </row>
    <row r="811" spans="1:18" ht="14.4" x14ac:dyDescent="0.3">
      <c r="A811" s="154" t="s">
        <v>181</v>
      </c>
      <c r="B811" s="155"/>
      <c r="C811" s="16" t="s">
        <v>19</v>
      </c>
      <c r="D811" s="20">
        <f>D761</f>
        <v>1.03E-2</v>
      </c>
      <c r="E811" s="20">
        <f t="shared" si="38"/>
        <v>1.03E-2</v>
      </c>
      <c r="F811" s="20">
        <f t="shared" si="38"/>
        <v>1.03E-2</v>
      </c>
      <c r="G811" s="20">
        <f t="shared" si="38"/>
        <v>1.03E-2</v>
      </c>
      <c r="H811" s="20">
        <f t="shared" si="38"/>
        <v>1.03E-2</v>
      </c>
      <c r="I811" s="20">
        <f t="shared" si="38"/>
        <v>1.03E-2</v>
      </c>
      <c r="J811" s="20">
        <f t="shared" si="38"/>
        <v>1.03E-2</v>
      </c>
      <c r="K811" s="20">
        <f t="shared" si="38"/>
        <v>1.03E-2</v>
      </c>
      <c r="L811" s="20">
        <f t="shared" si="38"/>
        <v>1.03E-2</v>
      </c>
      <c r="M811" s="20">
        <f t="shared" si="38"/>
        <v>1.03E-2</v>
      </c>
      <c r="N811" s="20">
        <f t="shared" si="38"/>
        <v>1.03E-2</v>
      </c>
      <c r="O811" s="20">
        <f t="shared" si="38"/>
        <v>1.03E-2</v>
      </c>
    </row>
    <row r="812" spans="1:18" ht="16.2" hidden="1" x14ac:dyDescent="0.3">
      <c r="A812" s="154" t="s">
        <v>182</v>
      </c>
      <c r="B812" s="155"/>
      <c r="C812" s="16" t="s">
        <v>19</v>
      </c>
      <c r="D812" s="20">
        <v>0</v>
      </c>
      <c r="E812" s="20"/>
      <c r="F812" s="20"/>
      <c r="G812" s="20"/>
      <c r="H812" s="20"/>
      <c r="I812" s="20"/>
      <c r="J812" s="20"/>
      <c r="K812" s="20"/>
      <c r="L812" s="20"/>
      <c r="M812" s="20"/>
      <c r="N812" s="20"/>
      <c r="O812" s="20"/>
    </row>
    <row r="813" spans="1:18" ht="16.2" hidden="1" x14ac:dyDescent="0.3">
      <c r="A813" s="154" t="s">
        <v>182</v>
      </c>
      <c r="B813" s="156"/>
      <c r="C813" s="16" t="s">
        <v>19</v>
      </c>
      <c r="D813" s="20">
        <v>0</v>
      </c>
      <c r="E813" s="20"/>
      <c r="F813" s="20"/>
      <c r="G813" s="20"/>
      <c r="H813" s="20"/>
      <c r="I813" s="20"/>
      <c r="J813" s="20"/>
      <c r="K813" s="20"/>
      <c r="L813" s="20"/>
      <c r="M813" s="20"/>
      <c r="N813" s="20"/>
      <c r="O813" s="20"/>
    </row>
    <row r="814" spans="1:18" ht="14.4" x14ac:dyDescent="0.3">
      <c r="A814" s="14" t="s">
        <v>42</v>
      </c>
      <c r="B814" s="14"/>
      <c r="C814" s="16"/>
      <c r="D814" s="24"/>
      <c r="E814" s="24"/>
      <c r="F814" s="24"/>
      <c r="G814" s="24"/>
      <c r="H814" s="24"/>
      <c r="I814" s="24"/>
      <c r="J814" s="24"/>
      <c r="K814" s="24"/>
      <c r="L814" s="24"/>
      <c r="M814" s="24"/>
      <c r="N814" s="24"/>
      <c r="O814" s="24"/>
    </row>
    <row r="815" spans="1:18" ht="14.4" x14ac:dyDescent="0.3">
      <c r="A815" s="14" t="s">
        <v>43</v>
      </c>
      <c r="B815" s="14"/>
      <c r="C815" s="16" t="s">
        <v>44</v>
      </c>
      <c r="D815" s="27"/>
      <c r="E815" s="27"/>
      <c r="F815" s="27"/>
      <c r="G815" s="27"/>
      <c r="H815" s="27"/>
      <c r="I815" s="27"/>
      <c r="J815" s="27"/>
      <c r="K815" s="27"/>
      <c r="L815" s="27"/>
      <c r="M815" s="27"/>
      <c r="N815" s="27"/>
      <c r="O815" s="27"/>
      <c r="P815" s="5"/>
      <c r="Q815" s="5"/>
      <c r="R815" s="5"/>
    </row>
    <row r="816" spans="1:18" ht="14.4" hidden="1" x14ac:dyDescent="0.3">
      <c r="A816" s="14" t="s">
        <v>183</v>
      </c>
      <c r="B816" s="14"/>
      <c r="C816" s="16"/>
      <c r="D816" s="28"/>
      <c r="E816" s="28"/>
      <c r="F816" s="28"/>
      <c r="G816" s="28"/>
      <c r="H816" s="28"/>
      <c r="I816" s="28"/>
      <c r="J816" s="28"/>
      <c r="K816" s="28"/>
      <c r="L816" s="28"/>
      <c r="M816" s="28"/>
      <c r="N816" s="28"/>
      <c r="O816" s="28"/>
    </row>
    <row r="817" spans="1:15" ht="14.4" hidden="1" x14ac:dyDescent="0.3">
      <c r="A817" s="14" t="s">
        <v>184</v>
      </c>
      <c r="B817" s="14"/>
      <c r="C817" s="16" t="s">
        <v>19</v>
      </c>
      <c r="D817" s="20">
        <v>0</v>
      </c>
      <c r="E817" s="20"/>
      <c r="F817" s="20"/>
      <c r="G817" s="20"/>
      <c r="H817" s="20"/>
      <c r="I817" s="20"/>
      <c r="J817" s="20"/>
      <c r="K817" s="20"/>
      <c r="L817" s="20"/>
      <c r="M817" s="20"/>
      <c r="N817" s="20"/>
      <c r="O817" s="20"/>
    </row>
    <row r="818" spans="1:15" ht="14.4" x14ac:dyDescent="0.3">
      <c r="A818" s="14" t="s">
        <v>45</v>
      </c>
      <c r="B818" s="14"/>
      <c r="C818" s="16"/>
      <c r="D818" s="28"/>
      <c r="E818" s="28"/>
      <c r="F818" s="28"/>
      <c r="G818" s="28"/>
      <c r="H818" s="28"/>
      <c r="I818" s="28"/>
      <c r="J818" s="28"/>
      <c r="K818" s="28"/>
      <c r="L818" s="28"/>
      <c r="M818" s="28"/>
      <c r="N818" s="28"/>
      <c r="O818" s="28"/>
    </row>
    <row r="819" spans="1:15" ht="14.4" x14ac:dyDescent="0.3">
      <c r="A819" s="14" t="s">
        <v>46</v>
      </c>
      <c r="B819" s="14"/>
      <c r="C819" s="16" t="s">
        <v>19</v>
      </c>
      <c r="D819" s="20">
        <v>0</v>
      </c>
      <c r="E819" s="20">
        <v>0</v>
      </c>
      <c r="F819" s="20">
        <v>0</v>
      </c>
      <c r="G819" s="20">
        <v>0</v>
      </c>
      <c r="H819" s="20">
        <v>0</v>
      </c>
      <c r="I819" s="20">
        <v>0</v>
      </c>
      <c r="J819" s="20">
        <v>0</v>
      </c>
      <c r="K819" s="20">
        <v>0</v>
      </c>
      <c r="L819" s="20">
        <v>0</v>
      </c>
      <c r="M819" s="20">
        <v>0</v>
      </c>
      <c r="N819" s="20">
        <v>0</v>
      </c>
      <c r="O819" s="20">
        <v>0</v>
      </c>
    </row>
    <row r="820" spans="1:15" ht="14.4" hidden="1" x14ac:dyDescent="0.3">
      <c r="A820" s="14" t="s">
        <v>185</v>
      </c>
      <c r="B820" s="14"/>
      <c r="C820" s="16"/>
      <c r="D820" s="28"/>
      <c r="E820" s="28"/>
      <c r="F820" s="28"/>
      <c r="G820" s="28"/>
      <c r="H820" s="28"/>
      <c r="I820" s="28"/>
      <c r="J820" s="28"/>
      <c r="K820" s="28"/>
      <c r="L820" s="28"/>
      <c r="M820" s="28"/>
      <c r="N820" s="28"/>
      <c r="O820" s="28"/>
    </row>
    <row r="821" spans="1:15" ht="14.4" hidden="1" x14ac:dyDescent="0.3">
      <c r="A821" s="14" t="s">
        <v>186</v>
      </c>
      <c r="B821" s="14"/>
      <c r="C821" s="16" t="s">
        <v>19</v>
      </c>
      <c r="D821" s="20">
        <v>0</v>
      </c>
      <c r="E821" s="20"/>
      <c r="F821" s="20"/>
      <c r="G821" s="20"/>
      <c r="H821" s="20"/>
      <c r="I821" s="20"/>
      <c r="J821" s="20"/>
      <c r="K821" s="20"/>
      <c r="L821" s="20"/>
      <c r="M821" s="20"/>
      <c r="N821" s="20"/>
      <c r="O821" s="20"/>
    </row>
    <row r="822" spans="1:15" ht="14.4" x14ac:dyDescent="0.3">
      <c r="A822" s="14" t="s">
        <v>47</v>
      </c>
      <c r="B822" s="14"/>
      <c r="C822" s="16"/>
      <c r="D822" s="24"/>
      <c r="E822" s="24"/>
      <c r="F822" s="24"/>
      <c r="G822" s="24"/>
      <c r="H822" s="24"/>
      <c r="I822" s="24"/>
      <c r="J822" s="24"/>
      <c r="K822" s="24"/>
      <c r="L822" s="24"/>
      <c r="M822" s="24"/>
      <c r="N822" s="24"/>
      <c r="O822" s="24"/>
    </row>
    <row r="823" spans="1:15" ht="14.4" x14ac:dyDescent="0.3">
      <c r="A823" s="18" t="s">
        <v>48</v>
      </c>
      <c r="B823" s="18"/>
      <c r="C823" s="16" t="s">
        <v>19</v>
      </c>
      <c r="D823" s="20">
        <f>D773</f>
        <v>0.1163</v>
      </c>
      <c r="E823" s="20">
        <f t="shared" ref="E823:O824" si="39">E773</f>
        <v>0.1163</v>
      </c>
      <c r="F823" s="20">
        <f t="shared" si="39"/>
        <v>0.1163</v>
      </c>
      <c r="G823" s="20">
        <f t="shared" si="39"/>
        <v>0.1163</v>
      </c>
      <c r="H823" s="20">
        <f t="shared" si="39"/>
        <v>0.1163</v>
      </c>
      <c r="I823" s="20">
        <f t="shared" si="39"/>
        <v>0.1163</v>
      </c>
      <c r="J823" s="20">
        <f t="shared" si="39"/>
        <v>0.1163</v>
      </c>
      <c r="K823" s="20">
        <f t="shared" si="39"/>
        <v>0.1163</v>
      </c>
      <c r="L823" s="20">
        <f t="shared" si="39"/>
        <v>0.1163</v>
      </c>
      <c r="M823" s="20">
        <f t="shared" si="39"/>
        <v>0.1163</v>
      </c>
      <c r="N823" s="20">
        <f t="shared" si="39"/>
        <v>0.1163</v>
      </c>
      <c r="O823" s="20">
        <f t="shared" si="39"/>
        <v>0.1163</v>
      </c>
    </row>
    <row r="824" spans="1:15" ht="14.4" x14ac:dyDescent="0.3">
      <c r="A824" s="18" t="s">
        <v>49</v>
      </c>
      <c r="B824" s="18"/>
      <c r="C824" s="16" t="s">
        <v>19</v>
      </c>
      <c r="D824" s="20">
        <f>D774</f>
        <v>2.5000000000000001E-3</v>
      </c>
      <c r="E824" s="20">
        <f t="shared" si="39"/>
        <v>2.5000000000000001E-3</v>
      </c>
      <c r="F824" s="20">
        <f t="shared" si="39"/>
        <v>2.5000000000000001E-3</v>
      </c>
      <c r="G824" s="20">
        <f t="shared" si="39"/>
        <v>2.5000000000000001E-3</v>
      </c>
      <c r="H824" s="20">
        <f t="shared" si="39"/>
        <v>2.5000000000000001E-3</v>
      </c>
      <c r="I824" s="20">
        <f t="shared" si="39"/>
        <v>2.5000000000000001E-3</v>
      </c>
      <c r="J824" s="20">
        <f t="shared" si="39"/>
        <v>2.5000000000000001E-3</v>
      </c>
      <c r="K824" s="20">
        <f t="shared" si="39"/>
        <v>2.5000000000000001E-3</v>
      </c>
      <c r="L824" s="20">
        <f t="shared" si="39"/>
        <v>2.5000000000000001E-3</v>
      </c>
      <c r="M824" s="20">
        <f t="shared" si="39"/>
        <v>2.5000000000000001E-3</v>
      </c>
      <c r="N824" s="20">
        <f t="shared" si="39"/>
        <v>2.5000000000000001E-3</v>
      </c>
      <c r="O824" s="20">
        <f t="shared" si="39"/>
        <v>2.5000000000000001E-3</v>
      </c>
    </row>
    <row r="825" spans="1:15" ht="14.4" x14ac:dyDescent="0.3">
      <c r="A825" s="14" t="s">
        <v>52</v>
      </c>
      <c r="B825" s="14"/>
      <c r="C825" s="29"/>
      <c r="D825" s="22"/>
      <c r="E825" s="22"/>
      <c r="F825" s="22"/>
      <c r="G825" s="22"/>
      <c r="H825" s="22"/>
      <c r="I825" s="22"/>
      <c r="J825" s="22"/>
      <c r="K825" s="22"/>
      <c r="L825" s="22"/>
      <c r="M825" s="22"/>
      <c r="N825" s="22"/>
      <c r="O825" s="22"/>
    </row>
    <row r="826" spans="1:15" ht="14.4" x14ac:dyDescent="0.3">
      <c r="A826" s="18" t="s">
        <v>53</v>
      </c>
      <c r="B826" s="18"/>
      <c r="C826" s="16" t="s">
        <v>44</v>
      </c>
      <c r="D826" s="52" t="s">
        <v>189</v>
      </c>
      <c r="E826" s="52" t="s">
        <v>189</v>
      </c>
      <c r="F826" s="52" t="s">
        <v>189</v>
      </c>
      <c r="G826" s="52" t="s">
        <v>189</v>
      </c>
      <c r="H826" s="52" t="s">
        <v>189</v>
      </c>
      <c r="I826" s="52" t="s">
        <v>189</v>
      </c>
      <c r="J826" s="52" t="s">
        <v>189</v>
      </c>
      <c r="K826" s="52" t="s">
        <v>189</v>
      </c>
      <c r="L826" s="52" t="s">
        <v>189</v>
      </c>
      <c r="M826" s="52" t="s">
        <v>189</v>
      </c>
      <c r="N826" s="52" t="s">
        <v>189</v>
      </c>
      <c r="O826" s="52" t="s">
        <v>189</v>
      </c>
    </row>
    <row r="827" spans="1:15" ht="14.4" x14ac:dyDescent="0.3">
      <c r="A827" s="18" t="s">
        <v>54</v>
      </c>
      <c r="B827" s="18"/>
      <c r="C827" s="16" t="s">
        <v>44</v>
      </c>
      <c r="D827" s="30">
        <f t="shared" ref="D827:O832" si="40">D777</f>
        <v>0</v>
      </c>
      <c r="E827" s="30">
        <f t="shared" si="40"/>
        <v>0</v>
      </c>
      <c r="F827" s="30">
        <f t="shared" si="40"/>
        <v>0</v>
      </c>
      <c r="G827" s="30">
        <f t="shared" si="40"/>
        <v>0</v>
      </c>
      <c r="H827" s="30">
        <f t="shared" si="40"/>
        <v>0</v>
      </c>
      <c r="I827" s="30">
        <f t="shared" si="40"/>
        <v>0</v>
      </c>
      <c r="J827" s="30">
        <f t="shared" si="40"/>
        <v>0</v>
      </c>
      <c r="K827" s="30">
        <f t="shared" si="40"/>
        <v>0</v>
      </c>
      <c r="L827" s="30">
        <f t="shared" si="40"/>
        <v>0</v>
      </c>
      <c r="M827" s="30">
        <f t="shared" si="40"/>
        <v>0</v>
      </c>
      <c r="N827" s="30">
        <f t="shared" si="40"/>
        <v>0</v>
      </c>
      <c r="O827" s="30">
        <f t="shared" si="40"/>
        <v>0</v>
      </c>
    </row>
    <row r="828" spans="1:15" ht="14.4" x14ac:dyDescent="0.3">
      <c r="A828" s="18" t="s">
        <v>55</v>
      </c>
      <c r="B828" s="18"/>
      <c r="C828" s="16" t="s">
        <v>44</v>
      </c>
      <c r="D828" s="30">
        <f t="shared" si="40"/>
        <v>8.9899999999999994E-2</v>
      </c>
      <c r="E828" s="30">
        <f t="shared" si="40"/>
        <v>9.3700000000000006E-2</v>
      </c>
      <c r="F828" s="30">
        <f t="shared" si="40"/>
        <v>9.4399999999999998E-2</v>
      </c>
      <c r="G828" s="30">
        <f t="shared" si="40"/>
        <v>9.6299999999999997E-2</v>
      </c>
      <c r="H828" s="30">
        <f t="shared" si="40"/>
        <v>9.7600000000000006E-2</v>
      </c>
      <c r="I828" s="30">
        <f t="shared" si="40"/>
        <v>9.7299999999999998E-2</v>
      </c>
      <c r="J828" s="30">
        <f t="shared" si="40"/>
        <v>9.5600000000000004E-2</v>
      </c>
      <c r="K828" s="30">
        <f t="shared" si="40"/>
        <v>8.9700000000000002E-2</v>
      </c>
      <c r="L828" s="30">
        <f t="shared" si="40"/>
        <v>9.8400000000000001E-2</v>
      </c>
      <c r="M828" s="30">
        <f t="shared" si="40"/>
        <v>9.4299999999999995E-2</v>
      </c>
      <c r="N828" s="30">
        <f t="shared" si="40"/>
        <v>9.3399999999999997E-2</v>
      </c>
      <c r="O828" s="30">
        <f t="shared" si="40"/>
        <v>9.5500000000000002E-2</v>
      </c>
    </row>
    <row r="829" spans="1:15" ht="14.4" x14ac:dyDescent="0.3">
      <c r="A829" s="18" t="s">
        <v>187</v>
      </c>
      <c r="B829" s="18"/>
      <c r="C829" s="16" t="s">
        <v>44</v>
      </c>
      <c r="D829" s="30">
        <f t="shared" si="40"/>
        <v>5.5858455631032497E-3</v>
      </c>
      <c r="E829" s="30">
        <f t="shared" si="40"/>
        <v>3.0650583850564523E-3</v>
      </c>
      <c r="F829" s="30">
        <f t="shared" si="40"/>
        <v>2.6939820012288874E-3</v>
      </c>
      <c r="G829" s="30">
        <f t="shared" si="40"/>
        <v>0</v>
      </c>
      <c r="H829" s="30">
        <f t="shared" si="40"/>
        <v>1.4227759048057112E-2</v>
      </c>
      <c r="I829" s="30">
        <f t="shared" si="40"/>
        <v>1.0851314063502437E-2</v>
      </c>
      <c r="J829" s="30">
        <f t="shared" si="40"/>
        <v>1.691896019316478E-2</v>
      </c>
      <c r="K829" s="30">
        <f t="shared" si="40"/>
        <v>4.451228191928034E-2</v>
      </c>
      <c r="L829" s="30">
        <f t="shared" si="40"/>
        <v>1.7462006912087345E-2</v>
      </c>
      <c r="M829" s="30">
        <f t="shared" si="40"/>
        <v>1.7899999999999999E-2</v>
      </c>
      <c r="N829" s="30">
        <f t="shared" si="40"/>
        <v>5.3E-3</v>
      </c>
      <c r="O829" s="30">
        <f t="shared" si="40"/>
        <v>5.5999999999999999E-3</v>
      </c>
    </row>
    <row r="830" spans="1:15" ht="14.4" x14ac:dyDescent="0.3">
      <c r="A830" s="18" t="s">
        <v>188</v>
      </c>
      <c r="B830" s="18"/>
      <c r="C830" s="16" t="s">
        <v>44</v>
      </c>
      <c r="D830" s="30">
        <f t="shared" si="40"/>
        <v>9.8799999999999999E-2</v>
      </c>
      <c r="E830" s="30">
        <f t="shared" si="40"/>
        <v>9.8799999999999999E-2</v>
      </c>
      <c r="F830" s="30">
        <f t="shared" si="40"/>
        <v>9.8799999999999999E-2</v>
      </c>
      <c r="G830" s="30">
        <f t="shared" si="40"/>
        <v>9.8799999999999999E-2</v>
      </c>
      <c r="H830" s="30">
        <f t="shared" si="40"/>
        <v>9.8799999999999999E-2</v>
      </c>
      <c r="I830" s="30">
        <f t="shared" si="40"/>
        <v>9.8799999999999999E-2</v>
      </c>
      <c r="J830" s="30">
        <f t="shared" si="40"/>
        <v>9.8799999999999999E-2</v>
      </c>
      <c r="K830" s="30">
        <f t="shared" si="40"/>
        <v>9.8799999999999999E-2</v>
      </c>
      <c r="L830" s="30">
        <f t="shared" si="40"/>
        <v>9.8799999999999999E-2</v>
      </c>
      <c r="M830" s="30">
        <f t="shared" si="40"/>
        <v>9.8799999999999999E-2</v>
      </c>
      <c r="N830" s="30">
        <f t="shared" si="40"/>
        <v>9.8799999999999999E-2</v>
      </c>
      <c r="O830" s="30">
        <f t="shared" si="40"/>
        <v>9.8799999999999999E-2</v>
      </c>
    </row>
    <row r="831" spans="1:15" ht="14.4" x14ac:dyDescent="0.3">
      <c r="A831" s="18" t="s">
        <v>56</v>
      </c>
      <c r="B831" s="18"/>
      <c r="C831" s="16" t="s">
        <v>44</v>
      </c>
      <c r="D831" s="30">
        <f t="shared" si="40"/>
        <v>0.12</v>
      </c>
      <c r="E831" s="30">
        <f t="shared" si="40"/>
        <v>0.12</v>
      </c>
      <c r="F831" s="30">
        <f t="shared" si="40"/>
        <v>0.12</v>
      </c>
      <c r="G831" s="30">
        <f t="shared" si="40"/>
        <v>0.12</v>
      </c>
      <c r="H831" s="30">
        <f t="shared" si="40"/>
        <v>0.12</v>
      </c>
      <c r="I831" s="30">
        <f t="shared" si="40"/>
        <v>0.12</v>
      </c>
      <c r="J831" s="30">
        <f t="shared" si="40"/>
        <v>0.12</v>
      </c>
      <c r="K831" s="30">
        <f t="shared" si="40"/>
        <v>0.12</v>
      </c>
      <c r="L831" s="30">
        <f t="shared" si="40"/>
        <v>0.12</v>
      </c>
      <c r="M831" s="30">
        <f t="shared" si="40"/>
        <v>0.12</v>
      </c>
      <c r="N831" s="30">
        <f t="shared" si="40"/>
        <v>0.12</v>
      </c>
      <c r="O831" s="30">
        <f t="shared" si="40"/>
        <v>0.12</v>
      </c>
    </row>
    <row r="832" spans="1:15" ht="14.4" x14ac:dyDescent="0.3">
      <c r="A832" s="18" t="s">
        <v>57</v>
      </c>
      <c r="B832" s="18"/>
      <c r="C832" s="16" t="s">
        <v>44</v>
      </c>
      <c r="D832" s="30">
        <f t="shared" si="40"/>
        <v>0.12</v>
      </c>
      <c r="E832" s="30">
        <f t="shared" si="40"/>
        <v>0.12</v>
      </c>
      <c r="F832" s="30">
        <f t="shared" si="40"/>
        <v>0.12</v>
      </c>
      <c r="G832" s="30">
        <f t="shared" si="40"/>
        <v>0.12</v>
      </c>
      <c r="H832" s="30">
        <f t="shared" si="40"/>
        <v>0.12</v>
      </c>
      <c r="I832" s="30">
        <f t="shared" si="40"/>
        <v>0.12</v>
      </c>
      <c r="J832" s="30">
        <f t="shared" si="40"/>
        <v>0.12</v>
      </c>
      <c r="K832" s="30">
        <f t="shared" si="40"/>
        <v>0.12</v>
      </c>
      <c r="L832" s="30">
        <f t="shared" si="40"/>
        <v>0.12</v>
      </c>
      <c r="M832" s="30">
        <f t="shared" si="40"/>
        <v>0.12</v>
      </c>
      <c r="N832" s="30">
        <f t="shared" si="40"/>
        <v>0.12</v>
      </c>
      <c r="O832" s="30">
        <f t="shared" si="40"/>
        <v>0.12</v>
      </c>
    </row>
    <row r="833" spans="1:18" s="5" customFormat="1" ht="14.4" x14ac:dyDescent="0.3">
      <c r="A833" s="55"/>
      <c r="B833" s="55"/>
      <c r="C833" s="56"/>
      <c r="D833" s="57"/>
      <c r="E833" s="57"/>
      <c r="F833" s="57"/>
      <c r="G833" s="57"/>
      <c r="H833" s="57"/>
      <c r="I833" s="57"/>
      <c r="J833" s="57"/>
      <c r="K833" s="57"/>
      <c r="L833" s="57"/>
      <c r="M833" s="57"/>
      <c r="N833" s="57"/>
      <c r="O833" s="57"/>
    </row>
    <row r="834" spans="1:18" x14ac:dyDescent="0.3">
      <c r="A834" s="33" t="s">
        <v>58</v>
      </c>
    </row>
    <row r="835" spans="1:18" s="5" customFormat="1" ht="14.4" x14ac:dyDescent="0.3">
      <c r="A835" s="55"/>
      <c r="B835" s="55"/>
      <c r="C835" s="56"/>
      <c r="D835" s="57"/>
      <c r="E835" s="57"/>
      <c r="F835" s="57"/>
      <c r="G835" s="57"/>
      <c r="H835" s="57"/>
      <c r="I835" s="57"/>
      <c r="J835" s="57"/>
      <c r="K835" s="57"/>
      <c r="L835" s="57"/>
      <c r="M835" s="57"/>
      <c r="N835" s="57"/>
      <c r="O835" s="57"/>
    </row>
    <row r="836" spans="1:18" ht="18" x14ac:dyDescent="0.35">
      <c r="A836" s="59" t="str">
        <f>'[40]Statistical data'!A201</f>
        <v>General Power-13.8/13.2 kV</v>
      </c>
      <c r="B836" s="60"/>
      <c r="C836" s="5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</row>
    <row r="837" spans="1:18" s="13" customFormat="1" ht="14.4" x14ac:dyDescent="0.3">
      <c r="A837" s="11" t="s">
        <v>3</v>
      </c>
      <c r="B837" s="11"/>
      <c r="C837" s="11" t="s">
        <v>4</v>
      </c>
      <c r="D837" s="12" t="s">
        <v>5</v>
      </c>
      <c r="E837" s="12" t="s">
        <v>6</v>
      </c>
      <c r="F837" s="12" t="s">
        <v>7</v>
      </c>
      <c r="G837" s="12" t="s">
        <v>8</v>
      </c>
      <c r="H837" s="12" t="s">
        <v>9</v>
      </c>
      <c r="I837" s="12" t="s">
        <v>10</v>
      </c>
      <c r="J837" s="12" t="s">
        <v>11</v>
      </c>
      <c r="K837" s="12" t="s">
        <v>12</v>
      </c>
      <c r="L837" s="12" t="s">
        <v>13</v>
      </c>
      <c r="M837" s="12" t="s">
        <v>14</v>
      </c>
      <c r="N837" s="12" t="s">
        <v>15</v>
      </c>
      <c r="O837" s="12" t="s">
        <v>16</v>
      </c>
      <c r="P837" s="153"/>
      <c r="Q837" s="153"/>
      <c r="R837" s="153"/>
    </row>
    <row r="838" spans="1:18" ht="14.4" x14ac:dyDescent="0.3">
      <c r="A838" s="14" t="s">
        <v>17</v>
      </c>
      <c r="B838" s="15"/>
      <c r="C838" s="16"/>
      <c r="D838" s="17"/>
      <c r="E838" s="17"/>
      <c r="F838" s="17"/>
      <c r="G838" s="17"/>
      <c r="H838" s="17"/>
      <c r="I838" s="17"/>
      <c r="J838" s="17"/>
      <c r="K838" s="17"/>
      <c r="L838" s="17"/>
      <c r="M838" s="17"/>
      <c r="N838" s="17"/>
      <c r="O838" s="17"/>
    </row>
    <row r="839" spans="1:18" ht="14.4" x14ac:dyDescent="0.3">
      <c r="A839" s="18" t="s">
        <v>18</v>
      </c>
      <c r="B839" s="19"/>
      <c r="C839" s="16" t="s">
        <v>19</v>
      </c>
      <c r="D839" s="52" t="s">
        <v>59</v>
      </c>
      <c r="E839" s="52" t="s">
        <v>59</v>
      </c>
      <c r="F839" s="52" t="s">
        <v>59</v>
      </c>
      <c r="G839" s="52" t="s">
        <v>59</v>
      </c>
      <c r="H839" s="52" t="s">
        <v>59</v>
      </c>
      <c r="I839" s="52" t="s">
        <v>59</v>
      </c>
      <c r="J839" s="52" t="s">
        <v>59</v>
      </c>
      <c r="K839" s="52" t="s">
        <v>59</v>
      </c>
      <c r="L839" s="52" t="s">
        <v>59</v>
      </c>
      <c r="M839" s="52" t="s">
        <v>59</v>
      </c>
      <c r="N839" s="52" t="s">
        <v>59</v>
      </c>
      <c r="O839" s="52" t="s">
        <v>59</v>
      </c>
    </row>
    <row r="840" spans="1:18" ht="14.4" x14ac:dyDescent="0.3">
      <c r="A840" s="18" t="s">
        <v>66</v>
      </c>
      <c r="B840" s="19"/>
      <c r="C840" s="16" t="s">
        <v>19</v>
      </c>
      <c r="D840" s="20">
        <v>0</v>
      </c>
      <c r="E840" s="20">
        <v>0</v>
      </c>
      <c r="F840" s="20">
        <v>0</v>
      </c>
      <c r="G840" s="20">
        <v>0</v>
      </c>
      <c r="H840" s="20">
        <v>0</v>
      </c>
      <c r="I840" s="20">
        <v>0</v>
      </c>
      <c r="J840" s="20">
        <v>0</v>
      </c>
      <c r="K840" s="20">
        <v>0</v>
      </c>
      <c r="L840" s="20">
        <v>0</v>
      </c>
      <c r="M840" s="20">
        <v>0</v>
      </c>
      <c r="N840" s="20">
        <v>0</v>
      </c>
      <c r="O840" s="20">
        <v>0</v>
      </c>
      <c r="P840" s="5"/>
      <c r="Q840" s="5"/>
      <c r="R840" s="5"/>
    </row>
    <row r="841" spans="1:18" ht="14.4" x14ac:dyDescent="0.3">
      <c r="A841" s="14" t="s">
        <v>20</v>
      </c>
      <c r="B841" s="15"/>
      <c r="C841" s="16"/>
      <c r="D841" s="21"/>
      <c r="E841" s="21"/>
      <c r="F841" s="21"/>
      <c r="G841" s="21"/>
      <c r="H841" s="21"/>
      <c r="I841" s="21"/>
      <c r="J841" s="21"/>
      <c r="K841" s="21"/>
      <c r="L841" s="21"/>
      <c r="M841" s="21"/>
      <c r="N841" s="21"/>
      <c r="O841" s="21"/>
    </row>
    <row r="842" spans="1:18" ht="14.4" x14ac:dyDescent="0.3">
      <c r="A842" s="18" t="s">
        <v>21</v>
      </c>
      <c r="B842" s="19"/>
      <c r="C842" s="16" t="s">
        <v>19</v>
      </c>
      <c r="D842" s="20">
        <f>D792</f>
        <v>0</v>
      </c>
      <c r="E842" s="20">
        <f t="shared" ref="E842:O843" si="41">E792</f>
        <v>0</v>
      </c>
      <c r="F842" s="20">
        <f t="shared" si="41"/>
        <v>0</v>
      </c>
      <c r="G842" s="20">
        <f t="shared" si="41"/>
        <v>0</v>
      </c>
      <c r="H842" s="20">
        <f t="shared" si="41"/>
        <v>0</v>
      </c>
      <c r="I842" s="20">
        <f t="shared" si="41"/>
        <v>0</v>
      </c>
      <c r="J842" s="20">
        <f t="shared" si="41"/>
        <v>0</v>
      </c>
      <c r="K842" s="20">
        <f t="shared" si="41"/>
        <v>0</v>
      </c>
      <c r="L842" s="20">
        <f t="shared" si="41"/>
        <v>0</v>
      </c>
      <c r="M842" s="20">
        <f t="shared" si="41"/>
        <v>0</v>
      </c>
      <c r="N842" s="20">
        <f t="shared" si="41"/>
        <v>0</v>
      </c>
      <c r="O842" s="20">
        <f t="shared" si="41"/>
        <v>0</v>
      </c>
    </row>
    <row r="843" spans="1:18" ht="14.4" x14ac:dyDescent="0.3">
      <c r="A843" s="18" t="s">
        <v>22</v>
      </c>
      <c r="B843" s="19"/>
      <c r="C843" s="16" t="s">
        <v>23</v>
      </c>
      <c r="D843" s="23">
        <f>D793</f>
        <v>414.64</v>
      </c>
      <c r="E843" s="23">
        <f t="shared" si="41"/>
        <v>355.04</v>
      </c>
      <c r="F843" s="23">
        <f t="shared" si="41"/>
        <v>332.01</v>
      </c>
      <c r="G843" s="23">
        <f t="shared" si="41"/>
        <v>337.92</v>
      </c>
      <c r="H843" s="23">
        <f t="shared" si="41"/>
        <v>328.25</v>
      </c>
      <c r="I843" s="23">
        <f t="shared" si="41"/>
        <v>365.75</v>
      </c>
      <c r="J843" s="23">
        <f t="shared" si="41"/>
        <v>349.13</v>
      </c>
      <c r="K843" s="23">
        <f t="shared" si="41"/>
        <v>343.05</v>
      </c>
      <c r="L843" s="23">
        <f t="shared" si="41"/>
        <v>292.07</v>
      </c>
      <c r="M843" s="23">
        <f t="shared" si="41"/>
        <v>303.7</v>
      </c>
      <c r="N843" s="23">
        <f t="shared" si="41"/>
        <v>344.43</v>
      </c>
      <c r="O843" s="23">
        <f t="shared" si="41"/>
        <v>302.04000000000002</v>
      </c>
    </row>
    <row r="844" spans="1:18" ht="14.4" x14ac:dyDescent="0.3">
      <c r="A844" s="14" t="s">
        <v>24</v>
      </c>
      <c r="B844" s="15"/>
      <c r="C844" s="16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21"/>
    </row>
    <row r="845" spans="1:18" ht="14.4" x14ac:dyDescent="0.3">
      <c r="A845" s="18" t="s">
        <v>25</v>
      </c>
      <c r="B845" s="19"/>
      <c r="C845" s="16" t="s">
        <v>19</v>
      </c>
      <c r="D845" s="20">
        <f>D795</f>
        <v>0.32350000000000001</v>
      </c>
      <c r="E845" s="20">
        <f t="shared" ref="E845:O845" si="42">E795</f>
        <v>0.31990000000000002</v>
      </c>
      <c r="F845" s="20">
        <f t="shared" si="42"/>
        <v>0.29249999999999998</v>
      </c>
      <c r="G845" s="20">
        <f t="shared" si="42"/>
        <v>0.30659999999999998</v>
      </c>
      <c r="H845" s="20">
        <f t="shared" si="42"/>
        <v>0.311</v>
      </c>
      <c r="I845" s="20">
        <f t="shared" si="42"/>
        <v>0.30170000000000002</v>
      </c>
      <c r="J845" s="20">
        <f t="shared" si="42"/>
        <v>0.31630000000000003</v>
      </c>
      <c r="K845" s="20">
        <f t="shared" si="42"/>
        <v>0.31380000000000002</v>
      </c>
      <c r="L845" s="20">
        <f t="shared" si="42"/>
        <v>0.252</v>
      </c>
      <c r="M845" s="20">
        <f t="shared" si="42"/>
        <v>0.26369999999999999</v>
      </c>
      <c r="N845" s="20">
        <f t="shared" si="42"/>
        <v>0.26269999999999999</v>
      </c>
      <c r="O845" s="20">
        <f t="shared" si="42"/>
        <v>0.2445</v>
      </c>
    </row>
    <row r="846" spans="1:18" ht="14.4" x14ac:dyDescent="0.3">
      <c r="A846" s="14" t="s">
        <v>26</v>
      </c>
      <c r="B846" s="14"/>
      <c r="C846" s="16"/>
      <c r="D846" s="22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2"/>
    </row>
    <row r="847" spans="1:18" ht="14.4" x14ac:dyDescent="0.3">
      <c r="A847" s="18" t="s">
        <v>27</v>
      </c>
      <c r="B847" s="18"/>
      <c r="C847" s="16" t="s">
        <v>19</v>
      </c>
      <c r="D847" s="20">
        <f>D797</f>
        <v>0.04</v>
      </c>
      <c r="E847" s="20">
        <f t="shared" ref="E847:O848" si="43">E797</f>
        <v>0.04</v>
      </c>
      <c r="F847" s="20">
        <f t="shared" si="43"/>
        <v>0.04</v>
      </c>
      <c r="G847" s="20">
        <f t="shared" si="43"/>
        <v>0.04</v>
      </c>
      <c r="H847" s="20">
        <f t="shared" si="43"/>
        <v>0.04</v>
      </c>
      <c r="I847" s="20">
        <f t="shared" si="43"/>
        <v>0.04</v>
      </c>
      <c r="J847" s="20">
        <f t="shared" si="43"/>
        <v>0.06</v>
      </c>
      <c r="K847" s="20">
        <f t="shared" si="43"/>
        <v>0.06</v>
      </c>
      <c r="L847" s="20">
        <f t="shared" si="43"/>
        <v>0.06</v>
      </c>
      <c r="M847" s="20">
        <f t="shared" si="43"/>
        <v>0.06</v>
      </c>
      <c r="N847" s="20">
        <f t="shared" si="43"/>
        <v>0.06</v>
      </c>
      <c r="O847" s="20">
        <f t="shared" si="43"/>
        <v>0.06</v>
      </c>
    </row>
    <row r="848" spans="1:18" ht="14.4" x14ac:dyDescent="0.3">
      <c r="A848" s="18" t="s">
        <v>28</v>
      </c>
      <c r="B848" s="18"/>
      <c r="C848" s="16" t="s">
        <v>23</v>
      </c>
      <c r="D848" s="23">
        <f>D798</f>
        <v>200</v>
      </c>
      <c r="E848" s="23">
        <f t="shared" si="43"/>
        <v>200</v>
      </c>
      <c r="F848" s="23">
        <f t="shared" si="43"/>
        <v>200</v>
      </c>
      <c r="G848" s="23">
        <f t="shared" si="43"/>
        <v>200</v>
      </c>
      <c r="H848" s="23">
        <f t="shared" si="43"/>
        <v>200</v>
      </c>
      <c r="I848" s="23">
        <f t="shared" si="43"/>
        <v>200</v>
      </c>
      <c r="J848" s="23">
        <f t="shared" si="43"/>
        <v>213.74</v>
      </c>
      <c r="K848" s="23">
        <f t="shared" si="43"/>
        <v>213.74</v>
      </c>
      <c r="L848" s="23">
        <f t="shared" si="43"/>
        <v>213.74</v>
      </c>
      <c r="M848" s="23">
        <f t="shared" si="43"/>
        <v>213.74</v>
      </c>
      <c r="N848" s="23">
        <f t="shared" si="43"/>
        <v>213.74</v>
      </c>
      <c r="O848" s="23">
        <f t="shared" si="43"/>
        <v>213.74</v>
      </c>
    </row>
    <row r="849" spans="1:18" ht="14.4" x14ac:dyDescent="0.3">
      <c r="A849" s="14" t="s">
        <v>29</v>
      </c>
      <c r="B849" s="14"/>
      <c r="C849" s="16"/>
      <c r="D849" s="24"/>
      <c r="E849" s="24"/>
      <c r="F849" s="24"/>
      <c r="G849" s="24"/>
      <c r="H849" s="24"/>
      <c r="I849" s="24"/>
      <c r="J849" s="24"/>
      <c r="K849" s="24"/>
      <c r="L849" s="24"/>
      <c r="M849" s="24"/>
      <c r="N849" s="24"/>
      <c r="O849" s="24"/>
    </row>
    <row r="850" spans="1:18" ht="14.4" x14ac:dyDescent="0.3">
      <c r="A850" s="18" t="s">
        <v>30</v>
      </c>
      <c r="B850" s="18"/>
      <c r="C850" s="16" t="s">
        <v>19</v>
      </c>
      <c r="D850" s="52" t="s">
        <v>61</v>
      </c>
      <c r="E850" s="52" t="s">
        <v>61</v>
      </c>
      <c r="F850" s="52" t="s">
        <v>61</v>
      </c>
      <c r="G850" s="52" t="s">
        <v>61</v>
      </c>
      <c r="H850" s="52" t="s">
        <v>61</v>
      </c>
      <c r="I850" s="52" t="s">
        <v>61</v>
      </c>
      <c r="J850" s="52" t="s">
        <v>61</v>
      </c>
      <c r="K850" s="52" t="s">
        <v>61</v>
      </c>
      <c r="L850" s="52" t="s">
        <v>61</v>
      </c>
      <c r="M850" s="52" t="s">
        <v>61</v>
      </c>
      <c r="N850" s="52" t="s">
        <v>61</v>
      </c>
      <c r="O850" s="52" t="s">
        <v>61</v>
      </c>
    </row>
    <row r="851" spans="1:18" ht="14.4" x14ac:dyDescent="0.3">
      <c r="A851" s="18" t="s">
        <v>31</v>
      </c>
      <c r="B851" s="18"/>
      <c r="C851" s="16" t="s">
        <v>32</v>
      </c>
      <c r="D851" s="52" t="s">
        <v>62</v>
      </c>
      <c r="E851" s="52" t="s">
        <v>62</v>
      </c>
      <c r="F851" s="52" t="s">
        <v>62</v>
      </c>
      <c r="G851" s="52" t="s">
        <v>62</v>
      </c>
      <c r="H851" s="52" t="s">
        <v>62</v>
      </c>
      <c r="I851" s="52" t="s">
        <v>62</v>
      </c>
      <c r="J851" s="52" t="s">
        <v>62</v>
      </c>
      <c r="K851" s="52" t="s">
        <v>62</v>
      </c>
      <c r="L851" s="52" t="s">
        <v>62</v>
      </c>
      <c r="M851" s="52" t="s">
        <v>62</v>
      </c>
      <c r="N851" s="52" t="s">
        <v>62</v>
      </c>
      <c r="O851" s="52" t="s">
        <v>62</v>
      </c>
    </row>
    <row r="852" spans="1:18" ht="14.4" x14ac:dyDescent="0.3">
      <c r="A852" s="14" t="s">
        <v>33</v>
      </c>
      <c r="B852" s="14"/>
      <c r="C852" s="16"/>
      <c r="D852" s="24"/>
      <c r="E852" s="24"/>
      <c r="F852" s="24"/>
      <c r="G852" s="24"/>
      <c r="H852" s="24"/>
      <c r="I852" s="24"/>
      <c r="J852" s="24"/>
      <c r="K852" s="24"/>
      <c r="L852" s="24"/>
      <c r="M852" s="24"/>
      <c r="N852" s="24"/>
      <c r="O852" s="24"/>
    </row>
    <row r="853" spans="1:18" ht="14.4" x14ac:dyDescent="0.3">
      <c r="A853" s="18" t="s">
        <v>34</v>
      </c>
      <c r="B853" s="18"/>
      <c r="C853" s="16" t="s">
        <v>19</v>
      </c>
      <c r="D853" s="20">
        <v>0</v>
      </c>
      <c r="E853" s="20">
        <v>0</v>
      </c>
      <c r="F853" s="20">
        <v>0</v>
      </c>
      <c r="G853" s="20">
        <v>0</v>
      </c>
      <c r="H853" s="20">
        <v>0</v>
      </c>
      <c r="I853" s="20">
        <v>0</v>
      </c>
      <c r="J853" s="20">
        <v>0</v>
      </c>
      <c r="K853" s="20">
        <v>0</v>
      </c>
      <c r="L853" s="20">
        <v>0</v>
      </c>
      <c r="M853" s="20">
        <v>0</v>
      </c>
      <c r="N853" s="20">
        <v>0</v>
      </c>
      <c r="O853" s="20">
        <v>0</v>
      </c>
    </row>
    <row r="854" spans="1:18" ht="14.4" x14ac:dyDescent="0.3">
      <c r="A854" s="18" t="s">
        <v>35</v>
      </c>
      <c r="B854" s="18"/>
      <c r="C854" s="16" t="s">
        <v>36</v>
      </c>
      <c r="D854" s="52" t="s">
        <v>63</v>
      </c>
      <c r="E854" s="52" t="s">
        <v>63</v>
      </c>
      <c r="F854" s="52" t="s">
        <v>63</v>
      </c>
      <c r="G854" s="52" t="s">
        <v>63</v>
      </c>
      <c r="H854" s="52" t="s">
        <v>63</v>
      </c>
      <c r="I854" s="52" t="s">
        <v>63</v>
      </c>
      <c r="J854" s="52" t="s">
        <v>63</v>
      </c>
      <c r="K854" s="52" t="s">
        <v>63</v>
      </c>
      <c r="L854" s="52" t="s">
        <v>63</v>
      </c>
      <c r="M854" s="52" t="s">
        <v>63</v>
      </c>
      <c r="N854" s="52" t="s">
        <v>63</v>
      </c>
      <c r="O854" s="52" t="s">
        <v>63</v>
      </c>
    </row>
    <row r="855" spans="1:18" ht="14.25" customHeight="1" x14ac:dyDescent="0.3">
      <c r="A855" s="14" t="s">
        <v>37</v>
      </c>
      <c r="B855" s="14"/>
      <c r="C855" s="16"/>
      <c r="D855" s="24"/>
      <c r="E855" s="24"/>
      <c r="F855" s="24"/>
      <c r="G855" s="24"/>
      <c r="H855" s="24"/>
      <c r="I855" s="24"/>
      <c r="J855" s="24"/>
      <c r="K855" s="24"/>
      <c r="L855" s="24"/>
      <c r="M855" s="24"/>
      <c r="N855" s="24"/>
      <c r="O855" s="24"/>
    </row>
    <row r="856" spans="1:18" ht="14.4" x14ac:dyDescent="0.3">
      <c r="A856" s="25" t="s">
        <v>38</v>
      </c>
      <c r="B856" s="18"/>
      <c r="C856" s="16" t="s">
        <v>19</v>
      </c>
      <c r="D856" s="20">
        <f>D806</f>
        <v>0.1404</v>
      </c>
      <c r="E856" s="20">
        <f t="shared" ref="E856:O856" si="44">E806</f>
        <v>0.14729999999999999</v>
      </c>
      <c r="F856" s="20">
        <f t="shared" si="44"/>
        <v>0.13950000000000001</v>
      </c>
      <c r="G856" s="20">
        <f t="shared" si="44"/>
        <v>0.14099999999999999</v>
      </c>
      <c r="H856" s="20">
        <f t="shared" si="44"/>
        <v>0.1283</v>
      </c>
      <c r="I856" s="20">
        <f t="shared" si="44"/>
        <v>0.1103</v>
      </c>
      <c r="J856" s="20">
        <f t="shared" si="44"/>
        <v>0.11559999999999999</v>
      </c>
      <c r="K856" s="20">
        <f t="shared" si="44"/>
        <v>0.1419</v>
      </c>
      <c r="L856" s="20">
        <f t="shared" si="44"/>
        <v>0.15759999999999999</v>
      </c>
      <c r="M856" s="20">
        <f t="shared" si="44"/>
        <v>0.1288</v>
      </c>
      <c r="N856" s="20">
        <f t="shared" si="44"/>
        <v>0.1321</v>
      </c>
      <c r="O856" s="20">
        <f t="shared" si="44"/>
        <v>0.1331</v>
      </c>
    </row>
    <row r="857" spans="1:18" ht="14.4" x14ac:dyDescent="0.3">
      <c r="A857" s="25" t="s">
        <v>39</v>
      </c>
      <c r="B857" s="18"/>
      <c r="C857" s="16" t="s">
        <v>19</v>
      </c>
      <c r="D857" s="20">
        <v>0</v>
      </c>
      <c r="E857" s="20">
        <v>0</v>
      </c>
      <c r="F857" s="20">
        <v>0</v>
      </c>
      <c r="G857" s="20">
        <v>0</v>
      </c>
      <c r="H857" s="20">
        <v>0</v>
      </c>
      <c r="I857" s="20">
        <v>0</v>
      </c>
      <c r="J857" s="20">
        <v>0</v>
      </c>
      <c r="K857" s="20">
        <v>0</v>
      </c>
      <c r="L857" s="20">
        <v>0</v>
      </c>
      <c r="M857" s="20">
        <v>0</v>
      </c>
      <c r="N857" s="20">
        <v>0</v>
      </c>
      <c r="O857" s="20">
        <v>0</v>
      </c>
      <c r="P857" s="5"/>
      <c r="Q857" s="5"/>
      <c r="R857" s="5"/>
    </row>
    <row r="858" spans="1:18" ht="14.4" x14ac:dyDescent="0.3">
      <c r="A858" s="25" t="s">
        <v>180</v>
      </c>
      <c r="B858" s="18"/>
      <c r="C858" s="16" t="s">
        <v>19</v>
      </c>
      <c r="D858" s="20">
        <f>D808</f>
        <v>6.2E-2</v>
      </c>
      <c r="E858" s="20">
        <f t="shared" ref="E858:O861" si="45">E808</f>
        <v>6.2E-2</v>
      </c>
      <c r="F858" s="20">
        <f t="shared" si="45"/>
        <v>6.2E-2</v>
      </c>
      <c r="G858" s="20">
        <f t="shared" si="45"/>
        <v>6.2E-2</v>
      </c>
      <c r="H858" s="20">
        <f t="shared" si="45"/>
        <v>6.2E-2</v>
      </c>
      <c r="I858" s="20">
        <f t="shared" si="45"/>
        <v>6.2E-2</v>
      </c>
      <c r="J858" s="20">
        <f t="shared" si="45"/>
        <v>6.2E-2</v>
      </c>
      <c r="K858" s="20">
        <f t="shared" si="45"/>
        <v>6.2E-2</v>
      </c>
      <c r="L858" s="20">
        <f t="shared" si="45"/>
        <v>6.2E-2</v>
      </c>
      <c r="M858" s="20">
        <f t="shared" si="45"/>
        <v>6.2E-2</v>
      </c>
      <c r="N858" s="20">
        <f t="shared" si="45"/>
        <v>3.1399999999999997E-2</v>
      </c>
      <c r="O858" s="20">
        <f t="shared" si="45"/>
        <v>3.1399999999999997E-2</v>
      </c>
    </row>
    <row r="859" spans="1:18" ht="14.4" x14ac:dyDescent="0.3">
      <c r="A859" s="26" t="s">
        <v>40</v>
      </c>
      <c r="B859" s="18"/>
      <c r="C859" s="16" t="s">
        <v>19</v>
      </c>
      <c r="D859" s="20">
        <f>D809</f>
        <v>1E-4</v>
      </c>
      <c r="E859" s="20">
        <f t="shared" si="45"/>
        <v>1E-4</v>
      </c>
      <c r="F859" s="20">
        <f t="shared" si="45"/>
        <v>1E-4</v>
      </c>
      <c r="G859" s="20">
        <f t="shared" si="45"/>
        <v>1E-4</v>
      </c>
      <c r="H859" s="20">
        <f t="shared" si="45"/>
        <v>1E-4</v>
      </c>
      <c r="I859" s="20">
        <f t="shared" si="45"/>
        <v>1E-4</v>
      </c>
      <c r="J859" s="20">
        <f t="shared" si="45"/>
        <v>1E-4</v>
      </c>
      <c r="K859" s="20">
        <f t="shared" si="45"/>
        <v>1E-4</v>
      </c>
      <c r="L859" s="20">
        <f t="shared" si="45"/>
        <v>1E-4</v>
      </c>
      <c r="M859" s="20">
        <f t="shared" si="45"/>
        <v>1E-4</v>
      </c>
      <c r="N859" s="20">
        <f t="shared" si="45"/>
        <v>1E-4</v>
      </c>
      <c r="O859" s="20">
        <f t="shared" si="45"/>
        <v>1E-4</v>
      </c>
    </row>
    <row r="860" spans="1:18" ht="14.4" x14ac:dyDescent="0.3">
      <c r="A860" s="26" t="s">
        <v>41</v>
      </c>
      <c r="B860" s="18"/>
      <c r="C860" s="16" t="s">
        <v>19</v>
      </c>
      <c r="D860" s="20">
        <f>D810</f>
        <v>0</v>
      </c>
      <c r="E860" s="20">
        <f t="shared" si="45"/>
        <v>0</v>
      </c>
      <c r="F860" s="20">
        <f t="shared" si="45"/>
        <v>0</v>
      </c>
      <c r="G860" s="20">
        <f t="shared" si="45"/>
        <v>0</v>
      </c>
      <c r="H860" s="20">
        <f t="shared" si="45"/>
        <v>0</v>
      </c>
      <c r="I860" s="20">
        <f t="shared" si="45"/>
        <v>0</v>
      </c>
      <c r="J860" s="20">
        <f t="shared" si="45"/>
        <v>0</v>
      </c>
      <c r="K860" s="20">
        <f t="shared" si="45"/>
        <v>0</v>
      </c>
      <c r="L860" s="20">
        <f t="shared" si="45"/>
        <v>0</v>
      </c>
      <c r="M860" s="20">
        <f t="shared" si="45"/>
        <v>0</v>
      </c>
      <c r="N860" s="20">
        <f t="shared" si="45"/>
        <v>0</v>
      </c>
      <c r="O860" s="20">
        <f t="shared" si="45"/>
        <v>0</v>
      </c>
    </row>
    <row r="861" spans="1:18" ht="14.4" x14ac:dyDescent="0.3">
      <c r="A861" s="154" t="s">
        <v>181</v>
      </c>
      <c r="B861" s="155"/>
      <c r="C861" s="16" t="s">
        <v>19</v>
      </c>
      <c r="D861" s="20">
        <f>D811</f>
        <v>1.03E-2</v>
      </c>
      <c r="E861" s="20">
        <f t="shared" si="45"/>
        <v>1.03E-2</v>
      </c>
      <c r="F861" s="20">
        <f t="shared" si="45"/>
        <v>1.03E-2</v>
      </c>
      <c r="G861" s="20">
        <f t="shared" si="45"/>
        <v>1.03E-2</v>
      </c>
      <c r="H861" s="20">
        <f t="shared" si="45"/>
        <v>1.03E-2</v>
      </c>
      <c r="I861" s="20">
        <f t="shared" si="45"/>
        <v>1.03E-2</v>
      </c>
      <c r="J861" s="20">
        <f t="shared" si="45"/>
        <v>1.03E-2</v>
      </c>
      <c r="K861" s="20">
        <f t="shared" si="45"/>
        <v>1.03E-2</v>
      </c>
      <c r="L861" s="20">
        <f t="shared" si="45"/>
        <v>1.03E-2</v>
      </c>
      <c r="M861" s="20">
        <f t="shared" si="45"/>
        <v>1.03E-2</v>
      </c>
      <c r="N861" s="20">
        <f t="shared" si="45"/>
        <v>1.03E-2</v>
      </c>
      <c r="O861" s="20">
        <f t="shared" si="45"/>
        <v>1.03E-2</v>
      </c>
    </row>
    <row r="862" spans="1:18" ht="16.2" hidden="1" x14ac:dyDescent="0.3">
      <c r="A862" s="154" t="s">
        <v>182</v>
      </c>
      <c r="B862" s="155"/>
      <c r="C862" s="16" t="s">
        <v>19</v>
      </c>
      <c r="D862" s="20">
        <v>0</v>
      </c>
      <c r="E862" s="20"/>
      <c r="F862" s="20"/>
      <c r="G862" s="20"/>
      <c r="H862" s="20"/>
      <c r="I862" s="20"/>
      <c r="J862" s="20"/>
      <c r="K862" s="20"/>
      <c r="L862" s="20"/>
      <c r="M862" s="20"/>
      <c r="N862" s="20"/>
      <c r="O862" s="20"/>
    </row>
    <row r="863" spans="1:18" ht="16.2" hidden="1" x14ac:dyDescent="0.3">
      <c r="A863" s="154" t="s">
        <v>182</v>
      </c>
      <c r="B863" s="156"/>
      <c r="C863" s="16" t="s">
        <v>19</v>
      </c>
      <c r="D863" s="20">
        <v>0</v>
      </c>
      <c r="E863" s="20"/>
      <c r="F863" s="20"/>
      <c r="G863" s="20"/>
      <c r="H863" s="20"/>
      <c r="I863" s="20"/>
      <c r="J863" s="20"/>
      <c r="K863" s="20"/>
      <c r="L863" s="20"/>
      <c r="M863" s="20"/>
      <c r="N863" s="20"/>
      <c r="O863" s="20"/>
    </row>
    <row r="864" spans="1:18" ht="14.4" x14ac:dyDescent="0.3">
      <c r="A864" s="14" t="s">
        <v>42</v>
      </c>
      <c r="B864" s="14"/>
      <c r="C864" s="16"/>
      <c r="D864" s="24"/>
      <c r="E864" s="24"/>
      <c r="F864" s="24"/>
      <c r="G864" s="24"/>
      <c r="H864" s="24"/>
      <c r="I864" s="24"/>
      <c r="J864" s="24"/>
      <c r="K864" s="24"/>
      <c r="L864" s="24"/>
      <c r="M864" s="24"/>
      <c r="N864" s="24"/>
      <c r="O864" s="24"/>
    </row>
    <row r="865" spans="1:18" ht="14.4" x14ac:dyDescent="0.3">
      <c r="A865" s="14" t="s">
        <v>43</v>
      </c>
      <c r="B865" s="14"/>
      <c r="C865" s="16" t="s">
        <v>44</v>
      </c>
      <c r="D865" s="27"/>
      <c r="E865" s="27"/>
      <c r="F865" s="27"/>
      <c r="G865" s="27"/>
      <c r="H865" s="27"/>
      <c r="I865" s="27"/>
      <c r="J865" s="27"/>
      <c r="K865" s="27"/>
      <c r="L865" s="27"/>
      <c r="M865" s="27"/>
      <c r="N865" s="27"/>
      <c r="O865" s="27"/>
      <c r="P865" s="5"/>
      <c r="Q865" s="5"/>
      <c r="R865" s="5"/>
    </row>
    <row r="866" spans="1:18" ht="14.4" hidden="1" x14ac:dyDescent="0.3">
      <c r="A866" s="14" t="s">
        <v>183</v>
      </c>
      <c r="B866" s="14"/>
      <c r="C866" s="16"/>
      <c r="D866" s="28"/>
      <c r="E866" s="28"/>
      <c r="F866" s="28"/>
      <c r="G866" s="28"/>
      <c r="H866" s="28"/>
      <c r="I866" s="28"/>
      <c r="J866" s="28"/>
      <c r="K866" s="28"/>
      <c r="L866" s="28"/>
      <c r="M866" s="28"/>
      <c r="N866" s="28"/>
      <c r="O866" s="28"/>
    </row>
    <row r="867" spans="1:18" ht="14.4" hidden="1" x14ac:dyDescent="0.3">
      <c r="A867" s="14" t="s">
        <v>184</v>
      </c>
      <c r="B867" s="14"/>
      <c r="C867" s="16" t="s">
        <v>19</v>
      </c>
      <c r="D867" s="20">
        <v>0</v>
      </c>
      <c r="E867" s="20"/>
      <c r="F867" s="20"/>
      <c r="G867" s="20"/>
      <c r="H867" s="20"/>
      <c r="I867" s="20"/>
      <c r="J867" s="20"/>
      <c r="K867" s="20"/>
      <c r="L867" s="20"/>
      <c r="M867" s="20"/>
      <c r="N867" s="20"/>
      <c r="O867" s="20"/>
    </row>
    <row r="868" spans="1:18" ht="14.4" x14ac:dyDescent="0.3">
      <c r="A868" s="14" t="s">
        <v>45</v>
      </c>
      <c r="B868" s="14"/>
      <c r="C868" s="16"/>
      <c r="D868" s="28"/>
      <c r="E868" s="28"/>
      <c r="F868" s="28"/>
      <c r="G868" s="28"/>
      <c r="H868" s="28"/>
      <c r="I868" s="28"/>
      <c r="J868" s="28"/>
      <c r="K868" s="28"/>
      <c r="L868" s="28"/>
      <c r="M868" s="28"/>
      <c r="N868" s="28"/>
      <c r="O868" s="28"/>
    </row>
    <row r="869" spans="1:18" ht="14.4" x14ac:dyDescent="0.3">
      <c r="A869" s="14" t="s">
        <v>46</v>
      </c>
      <c r="B869" s="14"/>
      <c r="C869" s="16" t="s">
        <v>19</v>
      </c>
      <c r="D869" s="20">
        <v>0</v>
      </c>
      <c r="E869" s="20">
        <v>0</v>
      </c>
      <c r="F869" s="20">
        <v>0</v>
      </c>
      <c r="G869" s="20">
        <v>0</v>
      </c>
      <c r="H869" s="20">
        <v>0</v>
      </c>
      <c r="I869" s="20">
        <v>0</v>
      </c>
      <c r="J869" s="20">
        <v>0</v>
      </c>
      <c r="K869" s="20">
        <v>0</v>
      </c>
      <c r="L869" s="20">
        <v>0</v>
      </c>
      <c r="M869" s="20">
        <v>0</v>
      </c>
      <c r="N869" s="20">
        <v>0</v>
      </c>
      <c r="O869" s="20">
        <v>0</v>
      </c>
    </row>
    <row r="870" spans="1:18" ht="14.4" hidden="1" x14ac:dyDescent="0.3">
      <c r="A870" s="14" t="s">
        <v>185</v>
      </c>
      <c r="B870" s="14"/>
      <c r="C870" s="16"/>
      <c r="D870" s="28"/>
      <c r="E870" s="28"/>
      <c r="F870" s="28"/>
      <c r="G870" s="28"/>
      <c r="H870" s="28"/>
      <c r="I870" s="28"/>
      <c r="J870" s="28"/>
      <c r="K870" s="28"/>
      <c r="L870" s="28"/>
      <c r="M870" s="28"/>
      <c r="N870" s="28"/>
      <c r="O870" s="28"/>
    </row>
    <row r="871" spans="1:18" ht="14.4" hidden="1" x14ac:dyDescent="0.3">
      <c r="A871" s="14" t="s">
        <v>186</v>
      </c>
      <c r="B871" s="14"/>
      <c r="C871" s="16" t="s">
        <v>19</v>
      </c>
      <c r="D871" s="20">
        <v>0</v>
      </c>
      <c r="E871" s="20"/>
      <c r="F871" s="20"/>
      <c r="G871" s="20"/>
      <c r="H871" s="20"/>
      <c r="I871" s="20"/>
      <c r="J871" s="20"/>
      <c r="K871" s="20"/>
      <c r="L871" s="20"/>
      <c r="M871" s="20"/>
      <c r="N871" s="20"/>
      <c r="O871" s="20"/>
    </row>
    <row r="872" spans="1:18" ht="14.4" x14ac:dyDescent="0.3">
      <c r="A872" s="14" t="s">
        <v>47</v>
      </c>
      <c r="B872" s="14"/>
      <c r="C872" s="16"/>
      <c r="D872" s="24"/>
      <c r="E872" s="24"/>
      <c r="F872" s="24"/>
      <c r="G872" s="24"/>
      <c r="H872" s="24"/>
      <c r="I872" s="24"/>
      <c r="J872" s="24"/>
      <c r="K872" s="24"/>
      <c r="L872" s="24"/>
      <c r="M872" s="24"/>
      <c r="N872" s="24"/>
      <c r="O872" s="24"/>
    </row>
    <row r="873" spans="1:18" ht="14.4" x14ac:dyDescent="0.3">
      <c r="A873" s="18" t="s">
        <v>48</v>
      </c>
      <c r="B873" s="18"/>
      <c r="C873" s="16" t="s">
        <v>19</v>
      </c>
      <c r="D873" s="20">
        <f>D823</f>
        <v>0.1163</v>
      </c>
      <c r="E873" s="20">
        <f t="shared" ref="E873:O874" si="46">E823</f>
        <v>0.1163</v>
      </c>
      <c r="F873" s="20">
        <f t="shared" si="46"/>
        <v>0.1163</v>
      </c>
      <c r="G873" s="20">
        <f t="shared" si="46"/>
        <v>0.1163</v>
      </c>
      <c r="H873" s="20">
        <f t="shared" si="46"/>
        <v>0.1163</v>
      </c>
      <c r="I873" s="20">
        <f t="shared" si="46"/>
        <v>0.1163</v>
      </c>
      <c r="J873" s="20">
        <f t="shared" si="46"/>
        <v>0.1163</v>
      </c>
      <c r="K873" s="20">
        <f t="shared" si="46"/>
        <v>0.1163</v>
      </c>
      <c r="L873" s="20">
        <f t="shared" si="46"/>
        <v>0.1163</v>
      </c>
      <c r="M873" s="20">
        <f t="shared" si="46"/>
        <v>0.1163</v>
      </c>
      <c r="N873" s="20">
        <f t="shared" si="46"/>
        <v>0.1163</v>
      </c>
      <c r="O873" s="20">
        <f t="shared" si="46"/>
        <v>0.1163</v>
      </c>
    </row>
    <row r="874" spans="1:18" ht="14.4" x14ac:dyDescent="0.3">
      <c r="A874" s="18" t="s">
        <v>49</v>
      </c>
      <c r="B874" s="18"/>
      <c r="C874" s="16" t="s">
        <v>19</v>
      </c>
      <c r="D874" s="20">
        <f>D824</f>
        <v>2.5000000000000001E-3</v>
      </c>
      <c r="E874" s="20">
        <f t="shared" si="46"/>
        <v>2.5000000000000001E-3</v>
      </c>
      <c r="F874" s="20">
        <f t="shared" si="46"/>
        <v>2.5000000000000001E-3</v>
      </c>
      <c r="G874" s="20">
        <f t="shared" si="46"/>
        <v>2.5000000000000001E-3</v>
      </c>
      <c r="H874" s="20">
        <f t="shared" si="46"/>
        <v>2.5000000000000001E-3</v>
      </c>
      <c r="I874" s="20">
        <f t="shared" si="46"/>
        <v>2.5000000000000001E-3</v>
      </c>
      <c r="J874" s="20">
        <f t="shared" si="46"/>
        <v>2.5000000000000001E-3</v>
      </c>
      <c r="K874" s="20">
        <f t="shared" si="46"/>
        <v>2.5000000000000001E-3</v>
      </c>
      <c r="L874" s="20">
        <f t="shared" si="46"/>
        <v>2.5000000000000001E-3</v>
      </c>
      <c r="M874" s="20">
        <f t="shared" si="46"/>
        <v>2.5000000000000001E-3</v>
      </c>
      <c r="N874" s="20">
        <f t="shared" si="46"/>
        <v>2.5000000000000001E-3</v>
      </c>
      <c r="O874" s="20">
        <f t="shared" si="46"/>
        <v>2.5000000000000001E-3</v>
      </c>
    </row>
    <row r="875" spans="1:18" ht="14.4" x14ac:dyDescent="0.3">
      <c r="A875" s="14" t="s">
        <v>52</v>
      </c>
      <c r="B875" s="14"/>
      <c r="C875" s="29"/>
      <c r="D875" s="22"/>
      <c r="E875" s="22"/>
      <c r="F875" s="22"/>
      <c r="G875" s="22"/>
      <c r="H875" s="22"/>
      <c r="I875" s="22"/>
      <c r="J875" s="22"/>
      <c r="K875" s="22"/>
      <c r="L875" s="22"/>
      <c r="M875" s="22"/>
      <c r="N875" s="22"/>
      <c r="O875" s="22"/>
    </row>
    <row r="876" spans="1:18" ht="14.4" x14ac:dyDescent="0.3">
      <c r="A876" s="18" t="s">
        <v>53</v>
      </c>
      <c r="B876" s="18"/>
      <c r="C876" s="16" t="s">
        <v>44</v>
      </c>
      <c r="D876" s="52" t="s">
        <v>189</v>
      </c>
      <c r="E876" s="52" t="s">
        <v>189</v>
      </c>
      <c r="F876" s="52" t="s">
        <v>189</v>
      </c>
      <c r="G876" s="52" t="s">
        <v>189</v>
      </c>
      <c r="H876" s="52" t="s">
        <v>189</v>
      </c>
      <c r="I876" s="52" t="s">
        <v>189</v>
      </c>
      <c r="J876" s="52" t="s">
        <v>189</v>
      </c>
      <c r="K876" s="52" t="s">
        <v>189</v>
      </c>
      <c r="L876" s="52" t="s">
        <v>189</v>
      </c>
      <c r="M876" s="52" t="s">
        <v>189</v>
      </c>
      <c r="N876" s="52" t="s">
        <v>189</v>
      </c>
      <c r="O876" s="52" t="s">
        <v>189</v>
      </c>
    </row>
    <row r="877" spans="1:18" ht="14.4" x14ac:dyDescent="0.3">
      <c r="A877" s="18" t="s">
        <v>54</v>
      </c>
      <c r="B877" s="18"/>
      <c r="C877" s="16" t="s">
        <v>44</v>
      </c>
      <c r="D877" s="30">
        <f t="shared" ref="D877:O882" si="47">D827</f>
        <v>0</v>
      </c>
      <c r="E877" s="30">
        <f t="shared" si="47"/>
        <v>0</v>
      </c>
      <c r="F877" s="30">
        <f t="shared" si="47"/>
        <v>0</v>
      </c>
      <c r="G877" s="30">
        <f t="shared" si="47"/>
        <v>0</v>
      </c>
      <c r="H877" s="30">
        <f t="shared" si="47"/>
        <v>0</v>
      </c>
      <c r="I877" s="30">
        <f t="shared" si="47"/>
        <v>0</v>
      </c>
      <c r="J877" s="30">
        <f t="shared" si="47"/>
        <v>0</v>
      </c>
      <c r="K877" s="30">
        <f t="shared" si="47"/>
        <v>0</v>
      </c>
      <c r="L877" s="30">
        <f t="shared" si="47"/>
        <v>0</v>
      </c>
      <c r="M877" s="30">
        <f t="shared" si="47"/>
        <v>0</v>
      </c>
      <c r="N877" s="30">
        <f t="shared" si="47"/>
        <v>0</v>
      </c>
      <c r="O877" s="30">
        <f t="shared" si="47"/>
        <v>0</v>
      </c>
    </row>
    <row r="878" spans="1:18" ht="14.4" x14ac:dyDescent="0.3">
      <c r="A878" s="18" t="s">
        <v>55</v>
      </c>
      <c r="B878" s="18"/>
      <c r="C878" s="16" t="s">
        <v>44</v>
      </c>
      <c r="D878" s="30">
        <f t="shared" si="47"/>
        <v>8.9899999999999994E-2</v>
      </c>
      <c r="E878" s="30">
        <f t="shared" si="47"/>
        <v>9.3700000000000006E-2</v>
      </c>
      <c r="F878" s="30">
        <f t="shared" si="47"/>
        <v>9.4399999999999998E-2</v>
      </c>
      <c r="G878" s="30">
        <f t="shared" si="47"/>
        <v>9.6299999999999997E-2</v>
      </c>
      <c r="H878" s="30">
        <f t="shared" si="47"/>
        <v>9.7600000000000006E-2</v>
      </c>
      <c r="I878" s="30">
        <f t="shared" si="47"/>
        <v>9.7299999999999998E-2</v>
      </c>
      <c r="J878" s="30">
        <f t="shared" si="47"/>
        <v>9.5600000000000004E-2</v>
      </c>
      <c r="K878" s="30">
        <f t="shared" si="47"/>
        <v>8.9700000000000002E-2</v>
      </c>
      <c r="L878" s="30">
        <f t="shared" si="47"/>
        <v>9.8400000000000001E-2</v>
      </c>
      <c r="M878" s="30">
        <f t="shared" si="47"/>
        <v>9.4299999999999995E-2</v>
      </c>
      <c r="N878" s="30">
        <f t="shared" si="47"/>
        <v>9.3399999999999997E-2</v>
      </c>
      <c r="O878" s="30">
        <f t="shared" si="47"/>
        <v>9.5500000000000002E-2</v>
      </c>
    </row>
    <row r="879" spans="1:18" ht="14.4" x14ac:dyDescent="0.3">
      <c r="A879" s="18" t="s">
        <v>187</v>
      </c>
      <c r="B879" s="18"/>
      <c r="C879" s="16" t="s">
        <v>44</v>
      </c>
      <c r="D879" s="30">
        <f t="shared" si="47"/>
        <v>5.5858455631032497E-3</v>
      </c>
      <c r="E879" s="30">
        <f t="shared" si="47"/>
        <v>3.0650583850564523E-3</v>
      </c>
      <c r="F879" s="30">
        <f t="shared" si="47"/>
        <v>2.6939820012288874E-3</v>
      </c>
      <c r="G879" s="30">
        <f t="shared" si="47"/>
        <v>0</v>
      </c>
      <c r="H879" s="30">
        <f t="shared" si="47"/>
        <v>1.4227759048057112E-2</v>
      </c>
      <c r="I879" s="30">
        <f t="shared" si="47"/>
        <v>1.0851314063502437E-2</v>
      </c>
      <c r="J879" s="30">
        <f t="shared" si="47"/>
        <v>1.691896019316478E-2</v>
      </c>
      <c r="K879" s="30">
        <f t="shared" si="47"/>
        <v>4.451228191928034E-2</v>
      </c>
      <c r="L879" s="30">
        <f t="shared" si="47"/>
        <v>1.7462006912087345E-2</v>
      </c>
      <c r="M879" s="30">
        <f t="shared" si="47"/>
        <v>1.7899999999999999E-2</v>
      </c>
      <c r="N879" s="30">
        <f t="shared" si="47"/>
        <v>5.3E-3</v>
      </c>
      <c r="O879" s="30">
        <f t="shared" si="47"/>
        <v>5.5999999999999999E-3</v>
      </c>
    </row>
    <row r="880" spans="1:18" ht="14.4" x14ac:dyDescent="0.3">
      <c r="A880" s="18" t="s">
        <v>188</v>
      </c>
      <c r="B880" s="18"/>
      <c r="C880" s="16" t="s">
        <v>44</v>
      </c>
      <c r="D880" s="30">
        <f t="shared" si="47"/>
        <v>9.8799999999999999E-2</v>
      </c>
      <c r="E880" s="30">
        <f t="shared" si="47"/>
        <v>9.8799999999999999E-2</v>
      </c>
      <c r="F880" s="30">
        <f t="shared" si="47"/>
        <v>9.8799999999999999E-2</v>
      </c>
      <c r="G880" s="30">
        <f t="shared" si="47"/>
        <v>9.8799999999999999E-2</v>
      </c>
      <c r="H880" s="30">
        <f t="shared" si="47"/>
        <v>9.8799999999999999E-2</v>
      </c>
      <c r="I880" s="30">
        <f t="shared" si="47"/>
        <v>9.8799999999999999E-2</v>
      </c>
      <c r="J880" s="30">
        <f t="shared" si="47"/>
        <v>9.8799999999999999E-2</v>
      </c>
      <c r="K880" s="30">
        <f t="shared" si="47"/>
        <v>9.8799999999999999E-2</v>
      </c>
      <c r="L880" s="30">
        <f t="shared" si="47"/>
        <v>9.8799999999999999E-2</v>
      </c>
      <c r="M880" s="30">
        <f t="shared" si="47"/>
        <v>9.8799999999999999E-2</v>
      </c>
      <c r="N880" s="30">
        <f t="shared" si="47"/>
        <v>9.8799999999999999E-2</v>
      </c>
      <c r="O880" s="30">
        <f t="shared" si="47"/>
        <v>9.8799999999999999E-2</v>
      </c>
    </row>
    <row r="881" spans="1:18" ht="14.4" x14ac:dyDescent="0.3">
      <c r="A881" s="18" t="s">
        <v>56</v>
      </c>
      <c r="B881" s="18"/>
      <c r="C881" s="16" t="s">
        <v>44</v>
      </c>
      <c r="D881" s="30">
        <f t="shared" si="47"/>
        <v>0.12</v>
      </c>
      <c r="E881" s="30">
        <f t="shared" si="47"/>
        <v>0.12</v>
      </c>
      <c r="F881" s="30">
        <f t="shared" si="47"/>
        <v>0.12</v>
      </c>
      <c r="G881" s="30">
        <f t="shared" si="47"/>
        <v>0.12</v>
      </c>
      <c r="H881" s="30">
        <f t="shared" si="47"/>
        <v>0.12</v>
      </c>
      <c r="I881" s="30">
        <f t="shared" si="47"/>
        <v>0.12</v>
      </c>
      <c r="J881" s="30">
        <f t="shared" si="47"/>
        <v>0.12</v>
      </c>
      <c r="K881" s="30">
        <f t="shared" si="47"/>
        <v>0.12</v>
      </c>
      <c r="L881" s="30">
        <f t="shared" si="47"/>
        <v>0.12</v>
      </c>
      <c r="M881" s="30">
        <f t="shared" si="47"/>
        <v>0.12</v>
      </c>
      <c r="N881" s="30">
        <f t="shared" si="47"/>
        <v>0.12</v>
      </c>
      <c r="O881" s="30">
        <f t="shared" si="47"/>
        <v>0.12</v>
      </c>
    </row>
    <row r="882" spans="1:18" ht="14.4" x14ac:dyDescent="0.3">
      <c r="A882" s="18" t="s">
        <v>57</v>
      </c>
      <c r="B882" s="18"/>
      <c r="C882" s="16" t="s">
        <v>44</v>
      </c>
      <c r="D882" s="30">
        <f t="shared" si="47"/>
        <v>0.12</v>
      </c>
      <c r="E882" s="30">
        <f t="shared" si="47"/>
        <v>0.12</v>
      </c>
      <c r="F882" s="30">
        <f t="shared" si="47"/>
        <v>0.12</v>
      </c>
      <c r="G882" s="30">
        <f t="shared" si="47"/>
        <v>0.12</v>
      </c>
      <c r="H882" s="30">
        <f t="shared" si="47"/>
        <v>0.12</v>
      </c>
      <c r="I882" s="30">
        <f t="shared" si="47"/>
        <v>0.12</v>
      </c>
      <c r="J882" s="30">
        <f t="shared" si="47"/>
        <v>0.12</v>
      </c>
      <c r="K882" s="30">
        <f t="shared" si="47"/>
        <v>0.12</v>
      </c>
      <c r="L882" s="30">
        <f t="shared" si="47"/>
        <v>0.12</v>
      </c>
      <c r="M882" s="30">
        <f t="shared" si="47"/>
        <v>0.12</v>
      </c>
      <c r="N882" s="30">
        <f t="shared" si="47"/>
        <v>0.12</v>
      </c>
      <c r="O882" s="30">
        <f t="shared" si="47"/>
        <v>0.12</v>
      </c>
    </row>
    <row r="883" spans="1:18" s="5" customFormat="1" ht="14.4" x14ac:dyDescent="0.3">
      <c r="A883" s="55"/>
      <c r="B883" s="55"/>
      <c r="C883" s="56"/>
      <c r="D883" s="57"/>
      <c r="E883" s="57"/>
      <c r="F883" s="57"/>
      <c r="G883" s="57"/>
      <c r="H883" s="57"/>
      <c r="I883" s="57"/>
      <c r="J883" s="57"/>
      <c r="K883" s="57"/>
      <c r="L883" s="57"/>
      <c r="M883" s="57"/>
      <c r="N883" s="57"/>
      <c r="O883" s="57"/>
    </row>
    <row r="884" spans="1:18" x14ac:dyDescent="0.3">
      <c r="A884" s="33" t="s">
        <v>58</v>
      </c>
    </row>
    <row r="885" spans="1:18" s="5" customFormat="1" ht="14.4" x14ac:dyDescent="0.3">
      <c r="A885" s="55"/>
      <c r="B885" s="55"/>
      <c r="C885" s="56"/>
      <c r="D885" s="57"/>
      <c r="E885" s="57"/>
      <c r="F885" s="57"/>
      <c r="G885" s="57"/>
      <c r="H885" s="57"/>
      <c r="I885" s="57"/>
      <c r="J885" s="57"/>
      <c r="K885" s="57"/>
      <c r="L885" s="57"/>
      <c r="M885" s="57"/>
      <c r="N885" s="57"/>
      <c r="O885" s="57"/>
    </row>
    <row r="886" spans="1:18" ht="18" x14ac:dyDescent="0.35">
      <c r="A886" s="59" t="str">
        <f>'[40]Statistical data'!A202</f>
        <v>General Power-34.5kV</v>
      </c>
      <c r="B886" s="60"/>
      <c r="C886" s="5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</row>
    <row r="887" spans="1:18" s="13" customFormat="1" ht="14.4" x14ac:dyDescent="0.3">
      <c r="A887" s="11" t="s">
        <v>3</v>
      </c>
      <c r="B887" s="11"/>
      <c r="C887" s="11" t="s">
        <v>4</v>
      </c>
      <c r="D887" s="12" t="s">
        <v>5</v>
      </c>
      <c r="E887" s="12" t="s">
        <v>6</v>
      </c>
      <c r="F887" s="12" t="s">
        <v>7</v>
      </c>
      <c r="G887" s="12" t="s">
        <v>8</v>
      </c>
      <c r="H887" s="12" t="s">
        <v>9</v>
      </c>
      <c r="I887" s="12" t="s">
        <v>10</v>
      </c>
      <c r="J887" s="12" t="s">
        <v>11</v>
      </c>
      <c r="K887" s="12" t="s">
        <v>12</v>
      </c>
      <c r="L887" s="12" t="s">
        <v>13</v>
      </c>
      <c r="M887" s="12" t="s">
        <v>14</v>
      </c>
      <c r="N887" s="12" t="s">
        <v>15</v>
      </c>
      <c r="O887" s="12" t="s">
        <v>16</v>
      </c>
      <c r="P887" s="153"/>
      <c r="Q887" s="153"/>
      <c r="R887" s="153"/>
    </row>
    <row r="888" spans="1:18" ht="14.4" x14ac:dyDescent="0.3">
      <c r="A888" s="14" t="s">
        <v>17</v>
      </c>
      <c r="B888" s="15"/>
      <c r="C888" s="16"/>
      <c r="D888" s="17"/>
      <c r="E888" s="17"/>
      <c r="F888" s="17"/>
      <c r="G888" s="17"/>
      <c r="H888" s="17"/>
      <c r="I888" s="17"/>
      <c r="J888" s="17"/>
      <c r="K888" s="17"/>
      <c r="L888" s="17"/>
      <c r="M888" s="17"/>
      <c r="N888" s="17"/>
      <c r="O888" s="17"/>
    </row>
    <row r="889" spans="1:18" ht="14.4" x14ac:dyDescent="0.3">
      <c r="A889" s="18" t="s">
        <v>18</v>
      </c>
      <c r="B889" s="19"/>
      <c r="C889" s="16" t="s">
        <v>19</v>
      </c>
      <c r="D889" s="52" t="s">
        <v>59</v>
      </c>
      <c r="E889" s="52" t="s">
        <v>59</v>
      </c>
      <c r="F889" s="52" t="s">
        <v>59</v>
      </c>
      <c r="G889" s="52" t="s">
        <v>59</v>
      </c>
      <c r="H889" s="52" t="s">
        <v>59</v>
      </c>
      <c r="I889" s="52" t="s">
        <v>59</v>
      </c>
      <c r="J889" s="52" t="s">
        <v>59</v>
      </c>
      <c r="K889" s="52" t="s">
        <v>59</v>
      </c>
      <c r="L889" s="52" t="s">
        <v>59</v>
      </c>
      <c r="M889" s="52" t="s">
        <v>59</v>
      </c>
      <c r="N889" s="52" t="s">
        <v>59</v>
      </c>
      <c r="O889" s="52" t="s">
        <v>59</v>
      </c>
    </row>
    <row r="890" spans="1:18" ht="14.4" x14ac:dyDescent="0.3">
      <c r="A890" s="18" t="s">
        <v>66</v>
      </c>
      <c r="B890" s="19"/>
      <c r="C890" s="16" t="s">
        <v>19</v>
      </c>
      <c r="D890" s="20">
        <v>0</v>
      </c>
      <c r="E890" s="20">
        <v>0</v>
      </c>
      <c r="F890" s="20">
        <v>0</v>
      </c>
      <c r="G890" s="20">
        <v>0</v>
      </c>
      <c r="H890" s="20">
        <v>0</v>
      </c>
      <c r="I890" s="20">
        <v>0</v>
      </c>
      <c r="J890" s="20">
        <v>0</v>
      </c>
      <c r="K890" s="20">
        <v>0</v>
      </c>
      <c r="L890" s="20">
        <v>0</v>
      </c>
      <c r="M890" s="20">
        <v>0</v>
      </c>
      <c r="N890" s="20">
        <v>0</v>
      </c>
      <c r="O890" s="20">
        <v>0</v>
      </c>
      <c r="P890" s="5"/>
      <c r="Q890" s="5"/>
      <c r="R890" s="5"/>
    </row>
    <row r="891" spans="1:18" ht="14.4" x14ac:dyDescent="0.3">
      <c r="A891" s="14" t="s">
        <v>20</v>
      </c>
      <c r="B891" s="15"/>
      <c r="C891" s="16"/>
      <c r="D891" s="21"/>
      <c r="E891" s="21"/>
      <c r="F891" s="21"/>
      <c r="G891" s="21"/>
      <c r="H891" s="21"/>
      <c r="I891" s="21"/>
      <c r="J891" s="21"/>
      <c r="K891" s="21"/>
      <c r="L891" s="21"/>
      <c r="M891" s="21"/>
      <c r="N891" s="21"/>
      <c r="O891" s="21"/>
    </row>
    <row r="892" spans="1:18" ht="14.4" x14ac:dyDescent="0.3">
      <c r="A892" s="18" t="s">
        <v>21</v>
      </c>
      <c r="B892" s="19"/>
      <c r="C892" s="16" t="s">
        <v>19</v>
      </c>
      <c r="D892" s="20">
        <v>0</v>
      </c>
      <c r="E892" s="20">
        <v>0</v>
      </c>
      <c r="F892" s="20">
        <v>0</v>
      </c>
      <c r="G892" s="20">
        <v>0</v>
      </c>
      <c r="H892" s="20">
        <v>0</v>
      </c>
      <c r="I892" s="20">
        <v>0</v>
      </c>
      <c r="J892" s="20">
        <v>0</v>
      </c>
      <c r="K892" s="20">
        <v>0</v>
      </c>
      <c r="L892" s="20">
        <v>0</v>
      </c>
      <c r="M892" s="20">
        <v>0</v>
      </c>
      <c r="N892" s="20">
        <v>0</v>
      </c>
      <c r="O892" s="20">
        <v>0</v>
      </c>
    </row>
    <row r="893" spans="1:18" ht="14.4" x14ac:dyDescent="0.3">
      <c r="A893" s="18" t="s">
        <v>22</v>
      </c>
      <c r="B893" s="19"/>
      <c r="C893" s="16" t="s">
        <v>23</v>
      </c>
      <c r="D893" s="23">
        <f>[40]TR!D97</f>
        <v>467.78</v>
      </c>
      <c r="E893" s="23">
        <f>[40]TR!E97</f>
        <v>392.07</v>
      </c>
      <c r="F893" s="23">
        <f>[40]TR!F97</f>
        <v>379.15</v>
      </c>
      <c r="G893" s="23">
        <f>[40]TR!G97</f>
        <v>383.19</v>
      </c>
      <c r="H893" s="23">
        <f>[40]TR!H97</f>
        <v>373.8</v>
      </c>
      <c r="I893" s="23">
        <f>[40]TR!I97</f>
        <v>423.62</v>
      </c>
      <c r="J893" s="23">
        <f>[40]TR!J97</f>
        <v>409.39</v>
      </c>
      <c r="K893" s="23">
        <f>[40]TR!K97</f>
        <v>412.59</v>
      </c>
      <c r="L893" s="23">
        <f>[40]TR!L97</f>
        <v>343.75</v>
      </c>
      <c r="M893" s="23">
        <f>[40]TR!M97</f>
        <v>344.81</v>
      </c>
      <c r="N893" s="23">
        <f>[40]TR!N97</f>
        <v>386.27</v>
      </c>
      <c r="O893" s="23">
        <f>[40]TR!O97</f>
        <v>340.43</v>
      </c>
    </row>
    <row r="894" spans="1:18" ht="14.4" x14ac:dyDescent="0.3">
      <c r="A894" s="14" t="s">
        <v>24</v>
      </c>
      <c r="B894" s="15"/>
      <c r="C894" s="16"/>
      <c r="D894" s="21"/>
      <c r="E894" s="21"/>
      <c r="F894" s="21"/>
      <c r="G894" s="21"/>
      <c r="H894" s="21"/>
      <c r="I894" s="21"/>
      <c r="J894" s="21"/>
      <c r="K894" s="21"/>
      <c r="L894" s="21"/>
      <c r="M894" s="21"/>
      <c r="N894" s="21"/>
      <c r="O894" s="21"/>
    </row>
    <row r="895" spans="1:18" ht="14.4" x14ac:dyDescent="0.3">
      <c r="A895" s="18" t="s">
        <v>25</v>
      </c>
      <c r="B895" s="19"/>
      <c r="C895" s="16" t="s">
        <v>19</v>
      </c>
      <c r="D895" s="20">
        <f>D845</f>
        <v>0.32350000000000001</v>
      </c>
      <c r="E895" s="20">
        <f t="shared" ref="E895:O895" si="48">E845</f>
        <v>0.31990000000000002</v>
      </c>
      <c r="F895" s="20">
        <f t="shared" si="48"/>
        <v>0.29249999999999998</v>
      </c>
      <c r="G895" s="20">
        <f t="shared" si="48"/>
        <v>0.30659999999999998</v>
      </c>
      <c r="H895" s="20">
        <f t="shared" si="48"/>
        <v>0.311</v>
      </c>
      <c r="I895" s="20">
        <f t="shared" si="48"/>
        <v>0.30170000000000002</v>
      </c>
      <c r="J895" s="20">
        <f t="shared" si="48"/>
        <v>0.31630000000000003</v>
      </c>
      <c r="K895" s="20">
        <f t="shared" si="48"/>
        <v>0.31380000000000002</v>
      </c>
      <c r="L895" s="20">
        <f t="shared" si="48"/>
        <v>0.252</v>
      </c>
      <c r="M895" s="20">
        <f t="shared" si="48"/>
        <v>0.26369999999999999</v>
      </c>
      <c r="N895" s="20">
        <f t="shared" si="48"/>
        <v>0.26269999999999999</v>
      </c>
      <c r="O895" s="20">
        <f t="shared" si="48"/>
        <v>0.2445</v>
      </c>
    </row>
    <row r="896" spans="1:18" ht="14.4" x14ac:dyDescent="0.3">
      <c r="A896" s="14" t="s">
        <v>26</v>
      </c>
      <c r="B896" s="14"/>
      <c r="C896" s="16"/>
      <c r="D896" s="22"/>
      <c r="E896" s="22"/>
      <c r="F896" s="22"/>
      <c r="G896" s="22"/>
      <c r="H896" s="22"/>
      <c r="I896" s="22"/>
      <c r="J896" s="22"/>
      <c r="K896" s="22"/>
      <c r="L896" s="22"/>
      <c r="M896" s="22"/>
      <c r="N896" s="22"/>
      <c r="O896" s="22"/>
    </row>
    <row r="897" spans="1:18" ht="14.4" x14ac:dyDescent="0.3">
      <c r="A897" s="18" t="s">
        <v>27</v>
      </c>
      <c r="B897" s="18"/>
      <c r="C897" s="16" t="s">
        <v>19</v>
      </c>
      <c r="D897" s="20">
        <f>D847</f>
        <v>0.04</v>
      </c>
      <c r="E897" s="20">
        <f t="shared" ref="E897:O898" si="49">E847</f>
        <v>0.04</v>
      </c>
      <c r="F897" s="20">
        <f t="shared" si="49"/>
        <v>0.04</v>
      </c>
      <c r="G897" s="20">
        <f t="shared" si="49"/>
        <v>0.04</v>
      </c>
      <c r="H897" s="20">
        <f t="shared" si="49"/>
        <v>0.04</v>
      </c>
      <c r="I897" s="20">
        <f t="shared" si="49"/>
        <v>0.04</v>
      </c>
      <c r="J897" s="20">
        <f t="shared" si="49"/>
        <v>0.06</v>
      </c>
      <c r="K897" s="20">
        <f t="shared" si="49"/>
        <v>0.06</v>
      </c>
      <c r="L897" s="20">
        <f t="shared" si="49"/>
        <v>0.06</v>
      </c>
      <c r="M897" s="20">
        <f t="shared" si="49"/>
        <v>0.06</v>
      </c>
      <c r="N897" s="20">
        <f t="shared" si="49"/>
        <v>0.06</v>
      </c>
      <c r="O897" s="20">
        <f t="shared" si="49"/>
        <v>0.06</v>
      </c>
    </row>
    <row r="898" spans="1:18" ht="14.4" x14ac:dyDescent="0.3">
      <c r="A898" s="18" t="s">
        <v>28</v>
      </c>
      <c r="B898" s="18"/>
      <c r="C898" s="16" t="s">
        <v>23</v>
      </c>
      <c r="D898" s="23">
        <f>D848</f>
        <v>200</v>
      </c>
      <c r="E898" s="23">
        <f t="shared" si="49"/>
        <v>200</v>
      </c>
      <c r="F898" s="23">
        <f t="shared" si="49"/>
        <v>200</v>
      </c>
      <c r="G898" s="23">
        <f t="shared" si="49"/>
        <v>200</v>
      </c>
      <c r="H898" s="23">
        <f t="shared" si="49"/>
        <v>200</v>
      </c>
      <c r="I898" s="23">
        <f t="shared" si="49"/>
        <v>200</v>
      </c>
      <c r="J898" s="23">
        <f t="shared" si="49"/>
        <v>213.74</v>
      </c>
      <c r="K898" s="23">
        <f t="shared" si="49"/>
        <v>213.74</v>
      </c>
      <c r="L898" s="23">
        <f t="shared" si="49"/>
        <v>213.74</v>
      </c>
      <c r="M898" s="23">
        <f t="shared" si="49"/>
        <v>213.74</v>
      </c>
      <c r="N898" s="23">
        <f t="shared" si="49"/>
        <v>213.74</v>
      </c>
      <c r="O898" s="23">
        <f t="shared" si="49"/>
        <v>213.74</v>
      </c>
    </row>
    <row r="899" spans="1:18" ht="14.4" x14ac:dyDescent="0.3">
      <c r="A899" s="14" t="s">
        <v>29</v>
      </c>
      <c r="B899" s="14"/>
      <c r="C899" s="16"/>
      <c r="D899" s="24"/>
      <c r="E899" s="24"/>
      <c r="F899" s="24"/>
      <c r="G899" s="24"/>
      <c r="H899" s="24"/>
      <c r="I899" s="24"/>
      <c r="J899" s="24"/>
      <c r="K899" s="24"/>
      <c r="L899" s="24"/>
      <c r="M899" s="24"/>
      <c r="N899" s="24"/>
      <c r="O899" s="24"/>
    </row>
    <row r="900" spans="1:18" ht="14.4" x14ac:dyDescent="0.3">
      <c r="A900" s="18" t="s">
        <v>30</v>
      </c>
      <c r="B900" s="18"/>
      <c r="C900" s="16" t="s">
        <v>19</v>
      </c>
      <c r="D900" s="52" t="s">
        <v>61</v>
      </c>
      <c r="E900" s="52" t="s">
        <v>61</v>
      </c>
      <c r="F900" s="52" t="s">
        <v>61</v>
      </c>
      <c r="G900" s="52" t="s">
        <v>61</v>
      </c>
      <c r="H900" s="52" t="s">
        <v>61</v>
      </c>
      <c r="I900" s="52" t="s">
        <v>61</v>
      </c>
      <c r="J900" s="52" t="s">
        <v>61</v>
      </c>
      <c r="K900" s="52" t="s">
        <v>61</v>
      </c>
      <c r="L900" s="52" t="s">
        <v>61</v>
      </c>
      <c r="M900" s="52" t="s">
        <v>61</v>
      </c>
      <c r="N900" s="52" t="s">
        <v>61</v>
      </c>
      <c r="O900" s="52" t="s">
        <v>61</v>
      </c>
    </row>
    <row r="901" spans="1:18" ht="14.4" x14ac:dyDescent="0.3">
      <c r="A901" s="18" t="s">
        <v>31</v>
      </c>
      <c r="B901" s="18"/>
      <c r="C901" s="16" t="s">
        <v>32</v>
      </c>
      <c r="D901" s="52" t="s">
        <v>62</v>
      </c>
      <c r="E901" s="52" t="s">
        <v>62</v>
      </c>
      <c r="F901" s="52" t="s">
        <v>62</v>
      </c>
      <c r="G901" s="52" t="s">
        <v>62</v>
      </c>
      <c r="H901" s="52" t="s">
        <v>62</v>
      </c>
      <c r="I901" s="52" t="s">
        <v>62</v>
      </c>
      <c r="J901" s="52" t="s">
        <v>62</v>
      </c>
      <c r="K901" s="52" t="s">
        <v>62</v>
      </c>
      <c r="L901" s="52" t="s">
        <v>62</v>
      </c>
      <c r="M901" s="52" t="s">
        <v>62</v>
      </c>
      <c r="N901" s="52" t="s">
        <v>62</v>
      </c>
      <c r="O901" s="52" t="s">
        <v>62</v>
      </c>
    </row>
    <row r="902" spans="1:18" ht="14.4" x14ac:dyDescent="0.3">
      <c r="A902" s="14" t="s">
        <v>33</v>
      </c>
      <c r="B902" s="14"/>
      <c r="C902" s="16"/>
      <c r="D902" s="24"/>
      <c r="E902" s="24"/>
      <c r="F902" s="24"/>
      <c r="G902" s="24"/>
      <c r="H902" s="24"/>
      <c r="I902" s="24"/>
      <c r="J902" s="24"/>
      <c r="K902" s="24"/>
      <c r="L902" s="24"/>
      <c r="M902" s="24"/>
      <c r="N902" s="24"/>
      <c r="O902" s="24"/>
    </row>
    <row r="903" spans="1:18" ht="14.4" x14ac:dyDescent="0.3">
      <c r="A903" s="18" t="s">
        <v>34</v>
      </c>
      <c r="B903" s="18"/>
      <c r="C903" s="16" t="s">
        <v>19</v>
      </c>
      <c r="D903" s="20">
        <v>0</v>
      </c>
      <c r="E903" s="20">
        <v>0</v>
      </c>
      <c r="F903" s="20">
        <v>0</v>
      </c>
      <c r="G903" s="20">
        <v>0</v>
      </c>
      <c r="H903" s="20">
        <v>0</v>
      </c>
      <c r="I903" s="20">
        <v>0</v>
      </c>
      <c r="J903" s="20">
        <v>0</v>
      </c>
      <c r="K903" s="20">
        <v>0</v>
      </c>
      <c r="L903" s="20">
        <v>0</v>
      </c>
      <c r="M903" s="20">
        <v>0</v>
      </c>
      <c r="N903" s="20">
        <v>0</v>
      </c>
      <c r="O903" s="20">
        <v>0</v>
      </c>
    </row>
    <row r="904" spans="1:18" ht="14.4" x14ac:dyDescent="0.3">
      <c r="A904" s="18" t="s">
        <v>35</v>
      </c>
      <c r="B904" s="18"/>
      <c r="C904" s="16" t="s">
        <v>36</v>
      </c>
      <c r="D904" s="52" t="s">
        <v>63</v>
      </c>
      <c r="E904" s="52" t="s">
        <v>63</v>
      </c>
      <c r="F904" s="52" t="s">
        <v>63</v>
      </c>
      <c r="G904" s="52" t="s">
        <v>63</v>
      </c>
      <c r="H904" s="52" t="s">
        <v>63</v>
      </c>
      <c r="I904" s="52" t="s">
        <v>63</v>
      </c>
      <c r="J904" s="52" t="s">
        <v>63</v>
      </c>
      <c r="K904" s="52" t="s">
        <v>63</v>
      </c>
      <c r="L904" s="52" t="s">
        <v>63</v>
      </c>
      <c r="M904" s="52" t="s">
        <v>63</v>
      </c>
      <c r="N904" s="52" t="s">
        <v>63</v>
      </c>
      <c r="O904" s="52" t="s">
        <v>63</v>
      </c>
    </row>
    <row r="905" spans="1:18" ht="14.4" x14ac:dyDescent="0.3">
      <c r="A905" s="14" t="s">
        <v>37</v>
      </c>
      <c r="B905" s="14"/>
      <c r="C905" s="16"/>
      <c r="D905" s="24"/>
      <c r="E905" s="24"/>
      <c r="F905" s="24"/>
      <c r="G905" s="24"/>
      <c r="H905" s="24"/>
      <c r="I905" s="24"/>
      <c r="J905" s="24"/>
      <c r="K905" s="24"/>
      <c r="L905" s="24"/>
      <c r="M905" s="24"/>
      <c r="N905" s="24"/>
      <c r="O905" s="24"/>
    </row>
    <row r="906" spans="1:18" ht="14.4" x14ac:dyDescent="0.3">
      <c r="A906" s="25" t="s">
        <v>38</v>
      </c>
      <c r="B906" s="18"/>
      <c r="C906" s="16" t="s">
        <v>19</v>
      </c>
      <c r="D906" s="20">
        <f>D856</f>
        <v>0.1404</v>
      </c>
      <c r="E906" s="20">
        <f t="shared" ref="E906:O906" si="50">E856</f>
        <v>0.14729999999999999</v>
      </c>
      <c r="F906" s="20">
        <f t="shared" si="50"/>
        <v>0.13950000000000001</v>
      </c>
      <c r="G906" s="20">
        <f t="shared" si="50"/>
        <v>0.14099999999999999</v>
      </c>
      <c r="H906" s="20">
        <f t="shared" si="50"/>
        <v>0.1283</v>
      </c>
      <c r="I906" s="20">
        <f t="shared" si="50"/>
        <v>0.1103</v>
      </c>
      <c r="J906" s="20">
        <f t="shared" si="50"/>
        <v>0.11559999999999999</v>
      </c>
      <c r="K906" s="20">
        <f t="shared" si="50"/>
        <v>0.1419</v>
      </c>
      <c r="L906" s="20">
        <f t="shared" si="50"/>
        <v>0.15759999999999999</v>
      </c>
      <c r="M906" s="20">
        <f t="shared" si="50"/>
        <v>0.1288</v>
      </c>
      <c r="N906" s="20">
        <f t="shared" si="50"/>
        <v>0.1321</v>
      </c>
      <c r="O906" s="20">
        <f t="shared" si="50"/>
        <v>0.1331</v>
      </c>
    </row>
    <row r="907" spans="1:18" ht="14.4" x14ac:dyDescent="0.3">
      <c r="A907" s="25" t="s">
        <v>39</v>
      </c>
      <c r="B907" s="18"/>
      <c r="C907" s="16" t="s">
        <v>19</v>
      </c>
      <c r="D907" s="20">
        <v>0</v>
      </c>
      <c r="E907" s="20">
        <v>0</v>
      </c>
      <c r="F907" s="20">
        <v>0</v>
      </c>
      <c r="G907" s="20">
        <v>0</v>
      </c>
      <c r="H907" s="20">
        <v>0</v>
      </c>
      <c r="I907" s="20">
        <v>0</v>
      </c>
      <c r="J907" s="20">
        <v>0</v>
      </c>
      <c r="K907" s="20">
        <v>0</v>
      </c>
      <c r="L907" s="20">
        <v>0</v>
      </c>
      <c r="M907" s="20">
        <v>0</v>
      </c>
      <c r="N907" s="20">
        <v>0</v>
      </c>
      <c r="O907" s="20">
        <v>0</v>
      </c>
      <c r="P907" s="5"/>
      <c r="Q907" s="5"/>
      <c r="R907" s="5"/>
    </row>
    <row r="908" spans="1:18" ht="14.4" x14ac:dyDescent="0.3">
      <c r="A908" s="25" t="s">
        <v>180</v>
      </c>
      <c r="B908" s="18"/>
      <c r="C908" s="16" t="s">
        <v>19</v>
      </c>
      <c r="D908" s="20">
        <f>D858</f>
        <v>6.2E-2</v>
      </c>
      <c r="E908" s="20">
        <f t="shared" ref="E908:O911" si="51">E858</f>
        <v>6.2E-2</v>
      </c>
      <c r="F908" s="20">
        <f t="shared" si="51"/>
        <v>6.2E-2</v>
      </c>
      <c r="G908" s="20">
        <f t="shared" si="51"/>
        <v>6.2E-2</v>
      </c>
      <c r="H908" s="20">
        <f t="shared" si="51"/>
        <v>6.2E-2</v>
      </c>
      <c r="I908" s="20">
        <f t="shared" si="51"/>
        <v>6.2E-2</v>
      </c>
      <c r="J908" s="20">
        <f t="shared" si="51"/>
        <v>6.2E-2</v>
      </c>
      <c r="K908" s="20">
        <f t="shared" si="51"/>
        <v>6.2E-2</v>
      </c>
      <c r="L908" s="20">
        <f t="shared" si="51"/>
        <v>6.2E-2</v>
      </c>
      <c r="M908" s="20">
        <f t="shared" si="51"/>
        <v>6.2E-2</v>
      </c>
      <c r="N908" s="20">
        <f t="shared" si="51"/>
        <v>3.1399999999999997E-2</v>
      </c>
      <c r="O908" s="20">
        <f t="shared" si="51"/>
        <v>3.1399999999999997E-2</v>
      </c>
    </row>
    <row r="909" spans="1:18" ht="14.4" x14ac:dyDescent="0.3">
      <c r="A909" s="26" t="s">
        <v>40</v>
      </c>
      <c r="B909" s="18"/>
      <c r="C909" s="16" t="s">
        <v>19</v>
      </c>
      <c r="D909" s="20">
        <f>D859</f>
        <v>1E-4</v>
      </c>
      <c r="E909" s="20">
        <f t="shared" si="51"/>
        <v>1E-4</v>
      </c>
      <c r="F909" s="20">
        <f t="shared" si="51"/>
        <v>1E-4</v>
      </c>
      <c r="G909" s="20">
        <f t="shared" si="51"/>
        <v>1E-4</v>
      </c>
      <c r="H909" s="20">
        <f t="shared" si="51"/>
        <v>1E-4</v>
      </c>
      <c r="I909" s="20">
        <f t="shared" si="51"/>
        <v>1E-4</v>
      </c>
      <c r="J909" s="20">
        <f t="shared" si="51"/>
        <v>1E-4</v>
      </c>
      <c r="K909" s="20">
        <f t="shared" si="51"/>
        <v>1E-4</v>
      </c>
      <c r="L909" s="20">
        <f t="shared" si="51"/>
        <v>1E-4</v>
      </c>
      <c r="M909" s="20">
        <f t="shared" si="51"/>
        <v>1E-4</v>
      </c>
      <c r="N909" s="20">
        <f t="shared" si="51"/>
        <v>1E-4</v>
      </c>
      <c r="O909" s="20">
        <f t="shared" si="51"/>
        <v>1E-4</v>
      </c>
    </row>
    <row r="910" spans="1:18" ht="14.4" x14ac:dyDescent="0.3">
      <c r="A910" s="26" t="s">
        <v>41</v>
      </c>
      <c r="B910" s="18"/>
      <c r="C910" s="16" t="s">
        <v>19</v>
      </c>
      <c r="D910" s="20">
        <f>D860</f>
        <v>0</v>
      </c>
      <c r="E910" s="20">
        <f t="shared" si="51"/>
        <v>0</v>
      </c>
      <c r="F910" s="20">
        <f t="shared" si="51"/>
        <v>0</v>
      </c>
      <c r="G910" s="20">
        <f t="shared" si="51"/>
        <v>0</v>
      </c>
      <c r="H910" s="20">
        <f t="shared" si="51"/>
        <v>0</v>
      </c>
      <c r="I910" s="20">
        <f t="shared" si="51"/>
        <v>0</v>
      </c>
      <c r="J910" s="20">
        <f t="shared" si="51"/>
        <v>0</v>
      </c>
      <c r="K910" s="20">
        <f t="shared" si="51"/>
        <v>0</v>
      </c>
      <c r="L910" s="20">
        <f t="shared" si="51"/>
        <v>0</v>
      </c>
      <c r="M910" s="20">
        <f t="shared" si="51"/>
        <v>0</v>
      </c>
      <c r="N910" s="20">
        <f t="shared" si="51"/>
        <v>0</v>
      </c>
      <c r="O910" s="20">
        <f t="shared" si="51"/>
        <v>0</v>
      </c>
    </row>
    <row r="911" spans="1:18" ht="14.4" x14ac:dyDescent="0.3">
      <c r="A911" s="154" t="s">
        <v>181</v>
      </c>
      <c r="B911" s="155"/>
      <c r="C911" s="16" t="s">
        <v>19</v>
      </c>
      <c r="D911" s="20">
        <f>D861</f>
        <v>1.03E-2</v>
      </c>
      <c r="E911" s="20">
        <f t="shared" si="51"/>
        <v>1.03E-2</v>
      </c>
      <c r="F911" s="20">
        <f t="shared" si="51"/>
        <v>1.03E-2</v>
      </c>
      <c r="G911" s="20">
        <f t="shared" si="51"/>
        <v>1.03E-2</v>
      </c>
      <c r="H911" s="20">
        <f t="shared" si="51"/>
        <v>1.03E-2</v>
      </c>
      <c r="I911" s="20">
        <f t="shared" si="51"/>
        <v>1.03E-2</v>
      </c>
      <c r="J911" s="20">
        <f t="shared" si="51"/>
        <v>1.03E-2</v>
      </c>
      <c r="K911" s="20">
        <f t="shared" si="51"/>
        <v>1.03E-2</v>
      </c>
      <c r="L911" s="20">
        <f t="shared" si="51"/>
        <v>1.03E-2</v>
      </c>
      <c r="M911" s="20">
        <f t="shared" si="51"/>
        <v>1.03E-2</v>
      </c>
      <c r="N911" s="20">
        <f t="shared" si="51"/>
        <v>1.03E-2</v>
      </c>
      <c r="O911" s="20">
        <f t="shared" si="51"/>
        <v>1.03E-2</v>
      </c>
    </row>
    <row r="912" spans="1:18" ht="16.2" hidden="1" x14ac:dyDescent="0.3">
      <c r="A912" s="154" t="s">
        <v>182</v>
      </c>
      <c r="B912" s="155"/>
      <c r="C912" s="16" t="s">
        <v>19</v>
      </c>
      <c r="D912" s="20">
        <v>0</v>
      </c>
      <c r="E912" s="20"/>
      <c r="F912" s="20"/>
      <c r="G912" s="20"/>
      <c r="H912" s="20"/>
      <c r="I912" s="20"/>
      <c r="J912" s="20"/>
      <c r="K912" s="20"/>
      <c r="L912" s="20"/>
      <c r="M912" s="20"/>
      <c r="N912" s="20"/>
      <c r="O912" s="20"/>
    </row>
    <row r="913" spans="1:18" ht="16.2" hidden="1" x14ac:dyDescent="0.3">
      <c r="A913" s="154" t="s">
        <v>182</v>
      </c>
      <c r="B913" s="156"/>
      <c r="C913" s="16" t="s">
        <v>19</v>
      </c>
      <c r="D913" s="20">
        <v>0</v>
      </c>
      <c r="E913" s="20"/>
      <c r="F913" s="20"/>
      <c r="G913" s="20"/>
      <c r="H913" s="20"/>
      <c r="I913" s="20"/>
      <c r="J913" s="20"/>
      <c r="K913" s="20"/>
      <c r="L913" s="20"/>
      <c r="M913" s="20"/>
      <c r="N913" s="20"/>
      <c r="O913" s="20"/>
    </row>
    <row r="914" spans="1:18" ht="14.4" x14ac:dyDescent="0.3">
      <c r="A914" s="14" t="s">
        <v>42</v>
      </c>
      <c r="B914" s="14"/>
      <c r="C914" s="16"/>
      <c r="D914" s="24"/>
      <c r="E914" s="24"/>
      <c r="F914" s="24"/>
      <c r="G914" s="24"/>
      <c r="H914" s="24"/>
      <c r="I914" s="24"/>
      <c r="J914" s="24"/>
      <c r="K914" s="24"/>
      <c r="L914" s="24"/>
      <c r="M914" s="24"/>
      <c r="N914" s="24"/>
      <c r="O914" s="24"/>
    </row>
    <row r="915" spans="1:18" ht="14.4" x14ac:dyDescent="0.3">
      <c r="A915" s="14" t="s">
        <v>43</v>
      </c>
      <c r="B915" s="14"/>
      <c r="C915" s="16" t="s">
        <v>44</v>
      </c>
      <c r="D915" s="27"/>
      <c r="E915" s="27"/>
      <c r="F915" s="27"/>
      <c r="G915" s="27"/>
      <c r="H915" s="27"/>
      <c r="I915" s="27"/>
      <c r="J915" s="27"/>
      <c r="K915" s="27"/>
      <c r="L915" s="27"/>
      <c r="M915" s="27"/>
      <c r="N915" s="27"/>
      <c r="O915" s="27"/>
      <c r="P915" s="5"/>
      <c r="Q915" s="5"/>
      <c r="R915" s="5"/>
    </row>
    <row r="916" spans="1:18" ht="14.4" hidden="1" x14ac:dyDescent="0.3">
      <c r="A916" s="14" t="s">
        <v>183</v>
      </c>
      <c r="B916" s="14"/>
      <c r="C916" s="16"/>
      <c r="D916" s="28"/>
      <c r="E916" s="28"/>
      <c r="F916" s="28"/>
      <c r="G916" s="28"/>
      <c r="H916" s="28"/>
      <c r="I916" s="28"/>
      <c r="J916" s="28"/>
      <c r="K916" s="28"/>
      <c r="L916" s="28"/>
      <c r="M916" s="28"/>
      <c r="N916" s="28"/>
      <c r="O916" s="28"/>
    </row>
    <row r="917" spans="1:18" ht="14.4" hidden="1" x14ac:dyDescent="0.3">
      <c r="A917" s="14" t="s">
        <v>184</v>
      </c>
      <c r="B917" s="14"/>
      <c r="C917" s="16" t="s">
        <v>19</v>
      </c>
      <c r="D917" s="20">
        <v>0</v>
      </c>
      <c r="E917" s="20"/>
      <c r="F917" s="20"/>
      <c r="G917" s="20"/>
      <c r="H917" s="20"/>
      <c r="I917" s="20"/>
      <c r="J917" s="20"/>
      <c r="K917" s="20"/>
      <c r="L917" s="20"/>
      <c r="M917" s="20"/>
      <c r="N917" s="20"/>
      <c r="O917" s="20"/>
    </row>
    <row r="918" spans="1:18" ht="14.4" x14ac:dyDescent="0.3">
      <c r="A918" s="14" t="s">
        <v>45</v>
      </c>
      <c r="B918" s="14"/>
      <c r="C918" s="16"/>
      <c r="D918" s="28"/>
      <c r="E918" s="28"/>
      <c r="F918" s="28"/>
      <c r="G918" s="28"/>
      <c r="H918" s="28"/>
      <c r="I918" s="28"/>
      <c r="J918" s="28"/>
      <c r="K918" s="28"/>
      <c r="L918" s="28"/>
      <c r="M918" s="28"/>
      <c r="N918" s="28"/>
      <c r="O918" s="28"/>
    </row>
    <row r="919" spans="1:18" ht="14.4" x14ac:dyDescent="0.3">
      <c r="A919" s="14" t="s">
        <v>46</v>
      </c>
      <c r="B919" s="14"/>
      <c r="C919" s="16" t="s">
        <v>19</v>
      </c>
      <c r="D919" s="20">
        <v>0</v>
      </c>
      <c r="E919" s="20">
        <v>0</v>
      </c>
      <c r="F919" s="20">
        <v>0</v>
      </c>
      <c r="G919" s="20">
        <v>0</v>
      </c>
      <c r="H919" s="20">
        <v>0</v>
      </c>
      <c r="I919" s="20">
        <v>0</v>
      </c>
      <c r="J919" s="20">
        <v>0</v>
      </c>
      <c r="K919" s="20">
        <v>0</v>
      </c>
      <c r="L919" s="20">
        <v>0</v>
      </c>
      <c r="M919" s="20">
        <v>0</v>
      </c>
      <c r="N919" s="20">
        <v>0</v>
      </c>
      <c r="O919" s="20">
        <v>0</v>
      </c>
    </row>
    <row r="920" spans="1:18" ht="14.4" hidden="1" x14ac:dyDescent="0.3">
      <c r="A920" s="14" t="s">
        <v>185</v>
      </c>
      <c r="B920" s="14"/>
      <c r="C920" s="16"/>
      <c r="D920" s="28"/>
      <c r="E920" s="28"/>
      <c r="F920" s="28"/>
      <c r="G920" s="28"/>
      <c r="H920" s="28"/>
      <c r="I920" s="28"/>
      <c r="J920" s="28"/>
      <c r="K920" s="28"/>
      <c r="L920" s="28"/>
      <c r="M920" s="28"/>
      <c r="N920" s="28"/>
      <c r="O920" s="28"/>
    </row>
    <row r="921" spans="1:18" ht="14.4" hidden="1" x14ac:dyDescent="0.3">
      <c r="A921" s="14" t="s">
        <v>186</v>
      </c>
      <c r="B921" s="14"/>
      <c r="C921" s="16" t="s">
        <v>19</v>
      </c>
      <c r="D921" s="20">
        <v>0</v>
      </c>
      <c r="E921" s="20"/>
      <c r="F921" s="20"/>
      <c r="G921" s="20"/>
      <c r="H921" s="20"/>
      <c r="I921" s="20"/>
      <c r="J921" s="20"/>
      <c r="K921" s="20"/>
      <c r="L921" s="20"/>
      <c r="M921" s="20"/>
      <c r="N921" s="20"/>
      <c r="O921" s="20"/>
    </row>
    <row r="922" spans="1:18" ht="14.4" x14ac:dyDescent="0.3">
      <c r="A922" s="14" t="s">
        <v>47</v>
      </c>
      <c r="B922" s="14"/>
      <c r="C922" s="16"/>
      <c r="D922" s="24"/>
      <c r="E922" s="24"/>
      <c r="F922" s="24"/>
      <c r="G922" s="24"/>
      <c r="H922" s="24"/>
      <c r="I922" s="24"/>
      <c r="J922" s="24"/>
      <c r="K922" s="24"/>
      <c r="L922" s="24"/>
      <c r="M922" s="24"/>
      <c r="N922" s="24"/>
      <c r="O922" s="24"/>
    </row>
    <row r="923" spans="1:18" ht="14.4" x14ac:dyDescent="0.3">
      <c r="A923" s="18" t="s">
        <v>48</v>
      </c>
      <c r="B923" s="18"/>
      <c r="C923" s="16" t="s">
        <v>19</v>
      </c>
      <c r="D923" s="20">
        <f>D873</f>
        <v>0.1163</v>
      </c>
      <c r="E923" s="20">
        <f t="shared" ref="E923:O924" si="52">E873</f>
        <v>0.1163</v>
      </c>
      <c r="F923" s="20">
        <f t="shared" si="52"/>
        <v>0.1163</v>
      </c>
      <c r="G923" s="20">
        <f t="shared" si="52"/>
        <v>0.1163</v>
      </c>
      <c r="H923" s="20">
        <f t="shared" si="52"/>
        <v>0.1163</v>
      </c>
      <c r="I923" s="20">
        <f t="shared" si="52"/>
        <v>0.1163</v>
      </c>
      <c r="J923" s="20">
        <f t="shared" si="52"/>
        <v>0.1163</v>
      </c>
      <c r="K923" s="20">
        <f t="shared" si="52"/>
        <v>0.1163</v>
      </c>
      <c r="L923" s="20">
        <f t="shared" si="52"/>
        <v>0.1163</v>
      </c>
      <c r="M923" s="20">
        <f t="shared" si="52"/>
        <v>0.1163</v>
      </c>
      <c r="N923" s="20">
        <f t="shared" si="52"/>
        <v>0.1163</v>
      </c>
      <c r="O923" s="20">
        <f t="shared" si="52"/>
        <v>0.1163</v>
      </c>
    </row>
    <row r="924" spans="1:18" ht="14.4" x14ac:dyDescent="0.3">
      <c r="A924" s="18" t="s">
        <v>49</v>
      </c>
      <c r="B924" s="18"/>
      <c r="C924" s="16" t="s">
        <v>19</v>
      </c>
      <c r="D924" s="20">
        <f>D874</f>
        <v>2.5000000000000001E-3</v>
      </c>
      <c r="E924" s="20">
        <f t="shared" si="52"/>
        <v>2.5000000000000001E-3</v>
      </c>
      <c r="F924" s="20">
        <f t="shared" si="52"/>
        <v>2.5000000000000001E-3</v>
      </c>
      <c r="G924" s="20">
        <f t="shared" si="52"/>
        <v>2.5000000000000001E-3</v>
      </c>
      <c r="H924" s="20">
        <f t="shared" si="52"/>
        <v>2.5000000000000001E-3</v>
      </c>
      <c r="I924" s="20">
        <f t="shared" si="52"/>
        <v>2.5000000000000001E-3</v>
      </c>
      <c r="J924" s="20">
        <f t="shared" si="52"/>
        <v>2.5000000000000001E-3</v>
      </c>
      <c r="K924" s="20">
        <f t="shared" si="52"/>
        <v>2.5000000000000001E-3</v>
      </c>
      <c r="L924" s="20">
        <f t="shared" si="52"/>
        <v>2.5000000000000001E-3</v>
      </c>
      <c r="M924" s="20">
        <f t="shared" si="52"/>
        <v>2.5000000000000001E-3</v>
      </c>
      <c r="N924" s="20">
        <f t="shared" si="52"/>
        <v>2.5000000000000001E-3</v>
      </c>
      <c r="O924" s="20">
        <f t="shared" si="52"/>
        <v>2.5000000000000001E-3</v>
      </c>
    </row>
    <row r="925" spans="1:18" ht="14.4" x14ac:dyDescent="0.3">
      <c r="A925" s="14" t="s">
        <v>52</v>
      </c>
      <c r="B925" s="14"/>
      <c r="C925" s="29"/>
      <c r="D925" s="22"/>
      <c r="E925" s="22"/>
      <c r="F925" s="22"/>
      <c r="G925" s="22"/>
      <c r="H925" s="22"/>
      <c r="I925" s="22"/>
      <c r="J925" s="22"/>
      <c r="K925" s="22"/>
      <c r="L925" s="22"/>
      <c r="M925" s="22"/>
      <c r="N925" s="22"/>
      <c r="O925" s="22"/>
    </row>
    <row r="926" spans="1:18" ht="14.4" x14ac:dyDescent="0.3">
      <c r="A926" s="18" t="s">
        <v>53</v>
      </c>
      <c r="B926" s="18"/>
      <c r="C926" s="16" t="s">
        <v>44</v>
      </c>
      <c r="D926" s="52" t="s">
        <v>189</v>
      </c>
      <c r="E926" s="52" t="s">
        <v>189</v>
      </c>
      <c r="F926" s="52" t="s">
        <v>189</v>
      </c>
      <c r="G926" s="52" t="s">
        <v>189</v>
      </c>
      <c r="H926" s="52" t="s">
        <v>189</v>
      </c>
      <c r="I926" s="52" t="s">
        <v>189</v>
      </c>
      <c r="J926" s="52" t="s">
        <v>189</v>
      </c>
      <c r="K926" s="52" t="s">
        <v>189</v>
      </c>
      <c r="L926" s="52" t="s">
        <v>189</v>
      </c>
      <c r="M926" s="52" t="s">
        <v>189</v>
      </c>
      <c r="N926" s="52" t="s">
        <v>189</v>
      </c>
      <c r="O926" s="52" t="s">
        <v>189</v>
      </c>
    </row>
    <row r="927" spans="1:18" ht="14.4" x14ac:dyDescent="0.3">
      <c r="A927" s="18" t="s">
        <v>54</v>
      </c>
      <c r="B927" s="18"/>
      <c r="C927" s="16" t="s">
        <v>44</v>
      </c>
      <c r="D927" s="30">
        <f t="shared" ref="D927:O932" si="53">D877</f>
        <v>0</v>
      </c>
      <c r="E927" s="30">
        <f t="shared" si="53"/>
        <v>0</v>
      </c>
      <c r="F927" s="30">
        <f t="shared" si="53"/>
        <v>0</v>
      </c>
      <c r="G927" s="30">
        <f t="shared" si="53"/>
        <v>0</v>
      </c>
      <c r="H927" s="30">
        <f t="shared" si="53"/>
        <v>0</v>
      </c>
      <c r="I927" s="30">
        <f t="shared" si="53"/>
        <v>0</v>
      </c>
      <c r="J927" s="30">
        <f t="shared" si="53"/>
        <v>0</v>
      </c>
      <c r="K927" s="30">
        <f t="shared" si="53"/>
        <v>0</v>
      </c>
      <c r="L927" s="30">
        <f t="shared" si="53"/>
        <v>0</v>
      </c>
      <c r="M927" s="30">
        <f t="shared" si="53"/>
        <v>0</v>
      </c>
      <c r="N927" s="30">
        <f t="shared" si="53"/>
        <v>0</v>
      </c>
      <c r="O927" s="30">
        <f t="shared" si="53"/>
        <v>0</v>
      </c>
    </row>
    <row r="928" spans="1:18" ht="14.4" x14ac:dyDescent="0.3">
      <c r="A928" s="18" t="s">
        <v>55</v>
      </c>
      <c r="B928" s="18"/>
      <c r="C928" s="16" t="s">
        <v>44</v>
      </c>
      <c r="D928" s="30">
        <f t="shared" si="53"/>
        <v>8.9899999999999994E-2</v>
      </c>
      <c r="E928" s="30">
        <f t="shared" si="53"/>
        <v>9.3700000000000006E-2</v>
      </c>
      <c r="F928" s="30">
        <f t="shared" si="53"/>
        <v>9.4399999999999998E-2</v>
      </c>
      <c r="G928" s="30">
        <f t="shared" si="53"/>
        <v>9.6299999999999997E-2</v>
      </c>
      <c r="H928" s="30">
        <f t="shared" si="53"/>
        <v>9.7600000000000006E-2</v>
      </c>
      <c r="I928" s="30">
        <f t="shared" si="53"/>
        <v>9.7299999999999998E-2</v>
      </c>
      <c r="J928" s="30">
        <f t="shared" si="53"/>
        <v>9.5600000000000004E-2</v>
      </c>
      <c r="K928" s="30">
        <f t="shared" si="53"/>
        <v>8.9700000000000002E-2</v>
      </c>
      <c r="L928" s="30">
        <f t="shared" si="53"/>
        <v>9.8400000000000001E-2</v>
      </c>
      <c r="M928" s="30">
        <f t="shared" si="53"/>
        <v>9.4299999999999995E-2</v>
      </c>
      <c r="N928" s="30">
        <f t="shared" si="53"/>
        <v>9.3399999999999997E-2</v>
      </c>
      <c r="O928" s="30">
        <f t="shared" si="53"/>
        <v>9.5500000000000002E-2</v>
      </c>
    </row>
    <row r="929" spans="1:18" ht="14.4" x14ac:dyDescent="0.3">
      <c r="A929" s="18" t="s">
        <v>187</v>
      </c>
      <c r="B929" s="18"/>
      <c r="C929" s="16" t="s">
        <v>44</v>
      </c>
      <c r="D929" s="30">
        <f t="shared" si="53"/>
        <v>5.5858455631032497E-3</v>
      </c>
      <c r="E929" s="30">
        <f t="shared" si="53"/>
        <v>3.0650583850564523E-3</v>
      </c>
      <c r="F929" s="30">
        <f t="shared" si="53"/>
        <v>2.6939820012288874E-3</v>
      </c>
      <c r="G929" s="30">
        <f t="shared" si="53"/>
        <v>0</v>
      </c>
      <c r="H929" s="30">
        <f t="shared" si="53"/>
        <v>1.4227759048057112E-2</v>
      </c>
      <c r="I929" s="30">
        <f t="shared" si="53"/>
        <v>1.0851314063502437E-2</v>
      </c>
      <c r="J929" s="30">
        <f t="shared" si="53"/>
        <v>1.691896019316478E-2</v>
      </c>
      <c r="K929" s="30">
        <f t="shared" si="53"/>
        <v>4.451228191928034E-2</v>
      </c>
      <c r="L929" s="30">
        <f t="shared" si="53"/>
        <v>1.7462006912087345E-2</v>
      </c>
      <c r="M929" s="30">
        <f t="shared" si="53"/>
        <v>1.7899999999999999E-2</v>
      </c>
      <c r="N929" s="30">
        <f t="shared" si="53"/>
        <v>5.3E-3</v>
      </c>
      <c r="O929" s="30">
        <f t="shared" si="53"/>
        <v>5.5999999999999999E-3</v>
      </c>
    </row>
    <row r="930" spans="1:18" ht="14.4" x14ac:dyDescent="0.3">
      <c r="A930" s="18" t="s">
        <v>188</v>
      </c>
      <c r="B930" s="18"/>
      <c r="C930" s="16" t="s">
        <v>44</v>
      </c>
      <c r="D930" s="30">
        <f t="shared" si="53"/>
        <v>9.8799999999999999E-2</v>
      </c>
      <c r="E930" s="30">
        <f t="shared" si="53"/>
        <v>9.8799999999999999E-2</v>
      </c>
      <c r="F930" s="30">
        <f t="shared" si="53"/>
        <v>9.8799999999999999E-2</v>
      </c>
      <c r="G930" s="30">
        <f t="shared" si="53"/>
        <v>9.8799999999999999E-2</v>
      </c>
      <c r="H930" s="30">
        <f t="shared" si="53"/>
        <v>9.8799999999999999E-2</v>
      </c>
      <c r="I930" s="30">
        <f t="shared" si="53"/>
        <v>9.8799999999999999E-2</v>
      </c>
      <c r="J930" s="30">
        <f t="shared" si="53"/>
        <v>9.8799999999999999E-2</v>
      </c>
      <c r="K930" s="30">
        <f t="shared" si="53"/>
        <v>9.8799999999999999E-2</v>
      </c>
      <c r="L930" s="30">
        <f t="shared" si="53"/>
        <v>9.8799999999999999E-2</v>
      </c>
      <c r="M930" s="30">
        <f t="shared" si="53"/>
        <v>9.8799999999999999E-2</v>
      </c>
      <c r="N930" s="30">
        <f t="shared" si="53"/>
        <v>9.8799999999999999E-2</v>
      </c>
      <c r="O930" s="30">
        <f t="shared" si="53"/>
        <v>9.8799999999999999E-2</v>
      </c>
    </row>
    <row r="931" spans="1:18" ht="14.4" x14ac:dyDescent="0.3">
      <c r="A931" s="18" t="s">
        <v>56</v>
      </c>
      <c r="B931" s="18"/>
      <c r="C931" s="16" t="s">
        <v>44</v>
      </c>
      <c r="D931" s="30">
        <f t="shared" si="53"/>
        <v>0.12</v>
      </c>
      <c r="E931" s="30">
        <f t="shared" si="53"/>
        <v>0.12</v>
      </c>
      <c r="F931" s="30">
        <f t="shared" si="53"/>
        <v>0.12</v>
      </c>
      <c r="G931" s="30">
        <f t="shared" si="53"/>
        <v>0.12</v>
      </c>
      <c r="H931" s="30">
        <f t="shared" si="53"/>
        <v>0.12</v>
      </c>
      <c r="I931" s="30">
        <f t="shared" si="53"/>
        <v>0.12</v>
      </c>
      <c r="J931" s="30">
        <f t="shared" si="53"/>
        <v>0.12</v>
      </c>
      <c r="K931" s="30">
        <f t="shared" si="53"/>
        <v>0.12</v>
      </c>
      <c r="L931" s="30">
        <f t="shared" si="53"/>
        <v>0.12</v>
      </c>
      <c r="M931" s="30">
        <f t="shared" si="53"/>
        <v>0.12</v>
      </c>
      <c r="N931" s="30">
        <f t="shared" si="53"/>
        <v>0.12</v>
      </c>
      <c r="O931" s="30">
        <f t="shared" si="53"/>
        <v>0.12</v>
      </c>
    </row>
    <row r="932" spans="1:18" ht="14.4" x14ac:dyDescent="0.3">
      <c r="A932" s="18" t="s">
        <v>57</v>
      </c>
      <c r="B932" s="18"/>
      <c r="C932" s="16" t="s">
        <v>44</v>
      </c>
      <c r="D932" s="30">
        <f t="shared" si="53"/>
        <v>0.12</v>
      </c>
      <c r="E932" s="30">
        <f t="shared" si="53"/>
        <v>0.12</v>
      </c>
      <c r="F932" s="30">
        <f t="shared" si="53"/>
        <v>0.12</v>
      </c>
      <c r="G932" s="30">
        <f t="shared" si="53"/>
        <v>0.12</v>
      </c>
      <c r="H932" s="30">
        <f t="shared" si="53"/>
        <v>0.12</v>
      </c>
      <c r="I932" s="30">
        <f t="shared" si="53"/>
        <v>0.12</v>
      </c>
      <c r="J932" s="30">
        <f t="shared" si="53"/>
        <v>0.12</v>
      </c>
      <c r="K932" s="30">
        <f t="shared" si="53"/>
        <v>0.12</v>
      </c>
      <c r="L932" s="30">
        <f t="shared" si="53"/>
        <v>0.12</v>
      </c>
      <c r="M932" s="30">
        <f t="shared" si="53"/>
        <v>0.12</v>
      </c>
      <c r="N932" s="30">
        <f t="shared" si="53"/>
        <v>0.12</v>
      </c>
      <c r="O932" s="30">
        <f t="shared" si="53"/>
        <v>0.12</v>
      </c>
    </row>
    <row r="933" spans="1:18" s="5" customFormat="1" ht="14.4" x14ac:dyDescent="0.3">
      <c r="A933" s="55"/>
      <c r="B933" s="55"/>
      <c r="C933" s="56"/>
      <c r="D933" s="57"/>
      <c r="E933" s="57"/>
      <c r="F933" s="57"/>
      <c r="G933" s="57"/>
      <c r="H933" s="57"/>
      <c r="I933" s="57"/>
      <c r="J933" s="57"/>
      <c r="K933" s="57"/>
      <c r="L933" s="57"/>
      <c r="M933" s="57"/>
      <c r="N933" s="57"/>
      <c r="O933" s="57"/>
    </row>
    <row r="934" spans="1:18" x14ac:dyDescent="0.3">
      <c r="A934" s="33" t="s">
        <v>58</v>
      </c>
    </row>
    <row r="935" spans="1:18" s="5" customFormat="1" ht="14.4" x14ac:dyDescent="0.3">
      <c r="A935" s="55"/>
      <c r="B935" s="55"/>
      <c r="C935" s="56"/>
      <c r="D935" s="57"/>
      <c r="E935" s="57"/>
      <c r="F935" s="57"/>
      <c r="G935" s="57"/>
      <c r="H935" s="57"/>
      <c r="I935" s="57"/>
      <c r="J935" s="57"/>
      <c r="K935" s="57"/>
      <c r="L935" s="57"/>
      <c r="M935" s="57"/>
      <c r="N935" s="57"/>
      <c r="O935" s="57"/>
    </row>
    <row r="936" spans="1:18" ht="18" x14ac:dyDescent="0.35">
      <c r="A936" s="59" t="str">
        <f>'[40]Statistical data'!A203</f>
        <v>General Power-69/115kV</v>
      </c>
      <c r="B936" s="60"/>
      <c r="C936" s="5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</row>
    <row r="937" spans="1:18" s="13" customFormat="1" ht="14.4" x14ac:dyDescent="0.3">
      <c r="A937" s="11" t="s">
        <v>3</v>
      </c>
      <c r="B937" s="11"/>
      <c r="C937" s="11" t="s">
        <v>4</v>
      </c>
      <c r="D937" s="12" t="s">
        <v>5</v>
      </c>
      <c r="E937" s="12" t="s">
        <v>6</v>
      </c>
      <c r="F937" s="12" t="s">
        <v>7</v>
      </c>
      <c r="G937" s="12" t="s">
        <v>8</v>
      </c>
      <c r="H937" s="12" t="s">
        <v>9</v>
      </c>
      <c r="I937" s="12" t="s">
        <v>10</v>
      </c>
      <c r="J937" s="12" t="s">
        <v>11</v>
      </c>
      <c r="K937" s="12" t="s">
        <v>12</v>
      </c>
      <c r="L937" s="12" t="s">
        <v>13</v>
      </c>
      <c r="M937" s="12" t="s">
        <v>14</v>
      </c>
      <c r="N937" s="12" t="s">
        <v>15</v>
      </c>
      <c r="O937" s="12" t="s">
        <v>16</v>
      </c>
      <c r="P937" s="153"/>
      <c r="Q937" s="153"/>
      <c r="R937" s="153"/>
    </row>
    <row r="938" spans="1:18" ht="14.4" x14ac:dyDescent="0.3">
      <c r="A938" s="14" t="s">
        <v>17</v>
      </c>
      <c r="B938" s="15"/>
      <c r="C938" s="16"/>
      <c r="D938" s="17"/>
      <c r="E938" s="17"/>
      <c r="F938" s="17"/>
      <c r="G938" s="17"/>
      <c r="H938" s="17"/>
      <c r="I938" s="17"/>
      <c r="J938" s="17"/>
      <c r="K938" s="17"/>
      <c r="L938" s="17"/>
      <c r="M938" s="17"/>
      <c r="N938" s="17"/>
      <c r="O938" s="17"/>
    </row>
    <row r="939" spans="1:18" ht="14.4" x14ac:dyDescent="0.3">
      <c r="A939" s="18" t="s">
        <v>18</v>
      </c>
      <c r="B939" s="19"/>
      <c r="C939" s="16" t="s">
        <v>19</v>
      </c>
      <c r="D939" s="52" t="s">
        <v>59</v>
      </c>
      <c r="E939" s="52" t="s">
        <v>59</v>
      </c>
      <c r="F939" s="52" t="s">
        <v>59</v>
      </c>
      <c r="G939" s="52" t="s">
        <v>59</v>
      </c>
      <c r="H939" s="52" t="s">
        <v>59</v>
      </c>
      <c r="I939" s="52" t="s">
        <v>59</v>
      </c>
      <c r="J939" s="52" t="s">
        <v>59</v>
      </c>
      <c r="K939" s="52" t="s">
        <v>59</v>
      </c>
      <c r="L939" s="52" t="s">
        <v>59</v>
      </c>
      <c r="M939" s="52" t="s">
        <v>59</v>
      </c>
      <c r="N939" s="52" t="s">
        <v>59</v>
      </c>
      <c r="O939" s="52" t="s">
        <v>59</v>
      </c>
    </row>
    <row r="940" spans="1:18" ht="14.4" x14ac:dyDescent="0.3">
      <c r="A940" s="18" t="s">
        <v>66</v>
      </c>
      <c r="B940" s="19"/>
      <c r="C940" s="16" t="s">
        <v>19</v>
      </c>
      <c r="D940" s="20">
        <v>0</v>
      </c>
      <c r="E940" s="20">
        <v>0</v>
      </c>
      <c r="F940" s="20">
        <v>0</v>
      </c>
      <c r="G940" s="20">
        <v>0</v>
      </c>
      <c r="H940" s="20">
        <v>0</v>
      </c>
      <c r="I940" s="20">
        <v>0</v>
      </c>
      <c r="J940" s="20">
        <v>0</v>
      </c>
      <c r="K940" s="20">
        <v>0</v>
      </c>
      <c r="L940" s="20">
        <v>0</v>
      </c>
      <c r="M940" s="20">
        <v>0</v>
      </c>
      <c r="N940" s="20">
        <v>0</v>
      </c>
      <c r="O940" s="20">
        <v>0</v>
      </c>
      <c r="P940" s="5"/>
      <c r="Q940" s="5"/>
      <c r="R940" s="5"/>
    </row>
    <row r="941" spans="1:18" ht="14.4" x14ac:dyDescent="0.3">
      <c r="A941" s="14" t="s">
        <v>20</v>
      </c>
      <c r="B941" s="15"/>
      <c r="C941" s="16"/>
      <c r="D941" s="21"/>
      <c r="E941" s="21"/>
      <c r="F941" s="21"/>
      <c r="G941" s="21"/>
      <c r="H941" s="21"/>
      <c r="I941" s="21"/>
      <c r="J941" s="21"/>
      <c r="K941" s="21"/>
      <c r="L941" s="21"/>
      <c r="M941" s="21"/>
      <c r="N941" s="21"/>
      <c r="O941" s="21"/>
    </row>
    <row r="942" spans="1:18" ht="14.4" x14ac:dyDescent="0.3">
      <c r="A942" s="18" t="s">
        <v>21</v>
      </c>
      <c r="B942" s="19"/>
      <c r="C942" s="16" t="s">
        <v>19</v>
      </c>
      <c r="D942" s="20">
        <v>0</v>
      </c>
      <c r="E942" s="20">
        <v>0</v>
      </c>
      <c r="F942" s="20">
        <v>0</v>
      </c>
      <c r="G942" s="20">
        <v>0</v>
      </c>
      <c r="H942" s="20">
        <v>0</v>
      </c>
      <c r="I942" s="20">
        <v>0</v>
      </c>
      <c r="J942" s="20">
        <v>0</v>
      </c>
      <c r="K942" s="20">
        <v>0</v>
      </c>
      <c r="L942" s="20">
        <v>0</v>
      </c>
      <c r="M942" s="20">
        <v>0</v>
      </c>
      <c r="N942" s="20">
        <v>0</v>
      </c>
      <c r="O942" s="20">
        <v>0</v>
      </c>
    </row>
    <row r="943" spans="1:18" ht="14.4" x14ac:dyDescent="0.3">
      <c r="A943" s="18" t="s">
        <v>22</v>
      </c>
      <c r="B943" s="19"/>
      <c r="C943" s="16" t="s">
        <v>23</v>
      </c>
      <c r="D943" s="23">
        <f>[40]TR!D98</f>
        <v>384.92</v>
      </c>
      <c r="E943" s="23">
        <f>[40]TR!E98</f>
        <v>309.20999999999998</v>
      </c>
      <c r="F943" s="23">
        <f>[40]TR!F98</f>
        <v>296.29000000000002</v>
      </c>
      <c r="G943" s="23">
        <f>[40]TR!G98</f>
        <v>300.33</v>
      </c>
      <c r="H943" s="23">
        <f>[40]TR!H98</f>
        <v>290.94</v>
      </c>
      <c r="I943" s="23">
        <f>[40]TR!I98</f>
        <v>340.76</v>
      </c>
      <c r="J943" s="23">
        <f>[40]TR!J98</f>
        <v>326.52999999999997</v>
      </c>
      <c r="K943" s="23">
        <f>[40]TR!K98</f>
        <v>329.73</v>
      </c>
      <c r="L943" s="23">
        <f>[40]TR!L98</f>
        <v>260.89</v>
      </c>
      <c r="M943" s="23">
        <f>[40]TR!M98</f>
        <v>261.95</v>
      </c>
      <c r="N943" s="23">
        <f>[40]TR!N98</f>
        <v>303.41000000000003</v>
      </c>
      <c r="O943" s="23">
        <f>[40]TR!O98</f>
        <v>257.57</v>
      </c>
    </row>
    <row r="944" spans="1:18" ht="14.4" x14ac:dyDescent="0.3">
      <c r="A944" s="14" t="s">
        <v>24</v>
      </c>
      <c r="B944" s="15"/>
      <c r="C944" s="16"/>
      <c r="D944" s="21"/>
      <c r="E944" s="21"/>
      <c r="F944" s="21"/>
      <c r="G944" s="21"/>
      <c r="H944" s="21"/>
      <c r="I944" s="21"/>
      <c r="J944" s="21"/>
      <c r="K944" s="21"/>
      <c r="L944" s="21"/>
      <c r="M944" s="21"/>
      <c r="N944" s="21"/>
      <c r="O944" s="21"/>
    </row>
    <row r="945" spans="1:18" ht="14.4" x14ac:dyDescent="0.3">
      <c r="A945" s="18" t="s">
        <v>25</v>
      </c>
      <c r="B945" s="19"/>
      <c r="C945" s="16" t="s">
        <v>19</v>
      </c>
      <c r="D945" s="20">
        <f>[40]SLR!D141</f>
        <v>7.7100000000000002E-2</v>
      </c>
      <c r="E945" s="20">
        <f>[40]SLR!E141</f>
        <v>7.7600000000000002E-2</v>
      </c>
      <c r="F945" s="20">
        <f>[40]SLR!F141</f>
        <v>7.2900000000000006E-2</v>
      </c>
      <c r="G945" s="20">
        <f>[40]SLR!G141</f>
        <v>7.8E-2</v>
      </c>
      <c r="H945" s="20">
        <f>[40]SLR!H141</f>
        <v>7.9899999999999999E-2</v>
      </c>
      <c r="I945" s="20">
        <f>[40]SLR!I141</f>
        <v>8.09E-2</v>
      </c>
      <c r="J945" s="20">
        <f>[40]SLR!J141</f>
        <v>8.5599999999999996E-2</v>
      </c>
      <c r="K945" s="20">
        <f>[40]SLR!K141</f>
        <v>8.6300000000000002E-2</v>
      </c>
      <c r="L945" s="20">
        <f>[40]SLR!L141</f>
        <v>6.9099999999999995E-2</v>
      </c>
      <c r="M945" s="20">
        <f>[40]SLR!M141</f>
        <v>7.22E-2</v>
      </c>
      <c r="N945" s="20">
        <f>[40]SLR!N141</f>
        <v>7.2700000000000001E-2</v>
      </c>
      <c r="O945" s="20">
        <f>[40]SLR!O141</f>
        <v>6.7500000000000004E-2</v>
      </c>
    </row>
    <row r="946" spans="1:18" ht="14.4" x14ac:dyDescent="0.3">
      <c r="A946" s="14" t="s">
        <v>26</v>
      </c>
      <c r="B946" s="14"/>
      <c r="C946" s="16"/>
      <c r="D946" s="22"/>
      <c r="E946" s="22"/>
      <c r="F946" s="22"/>
      <c r="G946" s="22"/>
      <c r="H946" s="22"/>
      <c r="I946" s="22"/>
      <c r="J946" s="22"/>
      <c r="K946" s="22"/>
      <c r="L946" s="22"/>
      <c r="M946" s="22"/>
      <c r="N946" s="22"/>
      <c r="O946" s="22"/>
    </row>
    <row r="947" spans="1:18" ht="14.4" x14ac:dyDescent="0.3">
      <c r="A947" s="18" t="s">
        <v>27</v>
      </c>
      <c r="B947" s="18"/>
      <c r="C947" s="16" t="s">
        <v>19</v>
      </c>
      <c r="D947" s="20">
        <f>D897</f>
        <v>0.04</v>
      </c>
      <c r="E947" s="20">
        <f t="shared" ref="E947:O947" si="54">E897</f>
        <v>0.04</v>
      </c>
      <c r="F947" s="20">
        <f t="shared" si="54"/>
        <v>0.04</v>
      </c>
      <c r="G947" s="20">
        <f t="shared" si="54"/>
        <v>0.04</v>
      </c>
      <c r="H947" s="20">
        <f t="shared" si="54"/>
        <v>0.04</v>
      </c>
      <c r="I947" s="20">
        <f t="shared" si="54"/>
        <v>0.04</v>
      </c>
      <c r="J947" s="20">
        <f t="shared" si="54"/>
        <v>0.06</v>
      </c>
      <c r="K947" s="20">
        <f t="shared" si="54"/>
        <v>0.06</v>
      </c>
      <c r="L947" s="20">
        <f t="shared" si="54"/>
        <v>0.06</v>
      </c>
      <c r="M947" s="20">
        <f t="shared" si="54"/>
        <v>0.06</v>
      </c>
      <c r="N947" s="20">
        <f t="shared" si="54"/>
        <v>0.06</v>
      </c>
      <c r="O947" s="20">
        <f t="shared" si="54"/>
        <v>0.06</v>
      </c>
    </row>
    <row r="948" spans="1:18" ht="14.4" x14ac:dyDescent="0.3">
      <c r="A948" s="18" t="s">
        <v>28</v>
      </c>
      <c r="B948" s="18"/>
      <c r="C948" s="16" t="s">
        <v>23</v>
      </c>
      <c r="D948" s="23">
        <v>160</v>
      </c>
      <c r="E948" s="23">
        <v>160</v>
      </c>
      <c r="F948" s="23">
        <v>160</v>
      </c>
      <c r="G948" s="23">
        <v>160</v>
      </c>
      <c r="H948" s="23">
        <v>160</v>
      </c>
      <c r="I948" s="23">
        <v>160</v>
      </c>
      <c r="J948" s="23">
        <v>167.46</v>
      </c>
      <c r="K948" s="23">
        <v>167.46</v>
      </c>
      <c r="L948" s="23">
        <v>167.46</v>
      </c>
      <c r="M948" s="23">
        <v>167.46</v>
      </c>
      <c r="N948" s="23">
        <v>167.46</v>
      </c>
      <c r="O948" s="23">
        <v>167.46</v>
      </c>
    </row>
    <row r="949" spans="1:18" ht="14.4" x14ac:dyDescent="0.3">
      <c r="A949" s="14" t="s">
        <v>29</v>
      </c>
      <c r="B949" s="14"/>
      <c r="C949" s="16"/>
      <c r="D949" s="24"/>
      <c r="E949" s="24"/>
      <c r="F949" s="24"/>
      <c r="G949" s="24"/>
      <c r="H949" s="24"/>
      <c r="I949" s="24"/>
      <c r="J949" s="24"/>
      <c r="K949" s="24"/>
      <c r="L949" s="24"/>
      <c r="M949" s="24"/>
      <c r="N949" s="24"/>
      <c r="O949" s="24"/>
    </row>
    <row r="950" spans="1:18" ht="14.4" x14ac:dyDescent="0.3">
      <c r="A950" s="18" t="s">
        <v>30</v>
      </c>
      <c r="B950" s="18"/>
      <c r="C950" s="16" t="s">
        <v>19</v>
      </c>
      <c r="D950" s="52" t="s">
        <v>61</v>
      </c>
      <c r="E950" s="52" t="s">
        <v>61</v>
      </c>
      <c r="F950" s="52" t="s">
        <v>61</v>
      </c>
      <c r="G950" s="52" t="s">
        <v>61</v>
      </c>
      <c r="H950" s="52" t="s">
        <v>61</v>
      </c>
      <c r="I950" s="52" t="s">
        <v>61</v>
      </c>
      <c r="J950" s="52" t="s">
        <v>61</v>
      </c>
      <c r="K950" s="52" t="s">
        <v>61</v>
      </c>
      <c r="L950" s="52" t="s">
        <v>61</v>
      </c>
      <c r="M950" s="52" t="s">
        <v>61</v>
      </c>
      <c r="N950" s="52" t="s">
        <v>61</v>
      </c>
      <c r="O950" s="52" t="s">
        <v>61</v>
      </c>
    </row>
    <row r="951" spans="1:18" ht="14.4" x14ac:dyDescent="0.3">
      <c r="A951" s="18" t="s">
        <v>31</v>
      </c>
      <c r="B951" s="18"/>
      <c r="C951" s="16" t="s">
        <v>32</v>
      </c>
      <c r="D951" s="52" t="s">
        <v>62</v>
      </c>
      <c r="E951" s="52" t="s">
        <v>62</v>
      </c>
      <c r="F951" s="52" t="s">
        <v>62</v>
      </c>
      <c r="G951" s="52" t="s">
        <v>62</v>
      </c>
      <c r="H951" s="52" t="s">
        <v>62</v>
      </c>
      <c r="I951" s="52" t="s">
        <v>62</v>
      </c>
      <c r="J951" s="52" t="s">
        <v>62</v>
      </c>
      <c r="K951" s="52" t="s">
        <v>62</v>
      </c>
      <c r="L951" s="52" t="s">
        <v>62</v>
      </c>
      <c r="M951" s="52" t="s">
        <v>62</v>
      </c>
      <c r="N951" s="52" t="s">
        <v>62</v>
      </c>
      <c r="O951" s="52" t="s">
        <v>62</v>
      </c>
    </row>
    <row r="952" spans="1:18" ht="14.4" x14ac:dyDescent="0.3">
      <c r="A952" s="14" t="s">
        <v>33</v>
      </c>
      <c r="B952" s="14"/>
      <c r="C952" s="16"/>
      <c r="D952" s="24"/>
      <c r="E952" s="24"/>
      <c r="F952" s="24"/>
      <c r="G952" s="24"/>
      <c r="H952" s="24"/>
      <c r="I952" s="24"/>
      <c r="J952" s="24"/>
      <c r="K952" s="24"/>
      <c r="L952" s="24"/>
      <c r="M952" s="24"/>
      <c r="N952" s="24"/>
      <c r="O952" s="24"/>
    </row>
    <row r="953" spans="1:18" ht="14.4" x14ac:dyDescent="0.3">
      <c r="A953" s="18" t="s">
        <v>34</v>
      </c>
      <c r="B953" s="18"/>
      <c r="C953" s="16" t="s">
        <v>19</v>
      </c>
      <c r="D953" s="20">
        <v>0</v>
      </c>
      <c r="E953" s="20">
        <v>0</v>
      </c>
      <c r="F953" s="20">
        <v>0</v>
      </c>
      <c r="G953" s="20">
        <v>0</v>
      </c>
      <c r="H953" s="20">
        <v>0</v>
      </c>
      <c r="I953" s="20">
        <v>0</v>
      </c>
      <c r="J953" s="20">
        <v>0</v>
      </c>
      <c r="K953" s="20">
        <v>0</v>
      </c>
      <c r="L953" s="20">
        <v>0</v>
      </c>
      <c r="M953" s="20">
        <v>0</v>
      </c>
      <c r="N953" s="20">
        <v>0</v>
      </c>
      <c r="O953" s="20">
        <v>0</v>
      </c>
    </row>
    <row r="954" spans="1:18" ht="14.4" x14ac:dyDescent="0.3">
      <c r="A954" s="18" t="s">
        <v>35</v>
      </c>
      <c r="B954" s="18"/>
      <c r="C954" s="16" t="s">
        <v>36</v>
      </c>
      <c r="D954" s="52" t="s">
        <v>63</v>
      </c>
      <c r="E954" s="52" t="s">
        <v>63</v>
      </c>
      <c r="F954" s="52" t="s">
        <v>63</v>
      </c>
      <c r="G954" s="52" t="s">
        <v>63</v>
      </c>
      <c r="H954" s="52" t="s">
        <v>63</v>
      </c>
      <c r="I954" s="52" t="s">
        <v>63</v>
      </c>
      <c r="J954" s="52" t="s">
        <v>63</v>
      </c>
      <c r="K954" s="52" t="s">
        <v>63</v>
      </c>
      <c r="L954" s="52" t="s">
        <v>63</v>
      </c>
      <c r="M954" s="52" t="s">
        <v>63</v>
      </c>
      <c r="N954" s="52" t="s">
        <v>63</v>
      </c>
      <c r="O954" s="52" t="s">
        <v>63</v>
      </c>
    </row>
    <row r="955" spans="1:18" ht="14.4" x14ac:dyDescent="0.3">
      <c r="A955" s="14" t="s">
        <v>37</v>
      </c>
      <c r="B955" s="14"/>
      <c r="C955" s="16"/>
      <c r="D955" s="24"/>
      <c r="E955" s="24"/>
      <c r="F955" s="24"/>
      <c r="G955" s="24"/>
      <c r="H955" s="24"/>
      <c r="I955" s="24"/>
      <c r="J955" s="24"/>
      <c r="K955" s="24"/>
      <c r="L955" s="24"/>
      <c r="M955" s="24"/>
      <c r="N955" s="24"/>
      <c r="O955" s="24"/>
    </row>
    <row r="956" spans="1:18" ht="14.4" x14ac:dyDescent="0.3">
      <c r="A956" s="25" t="s">
        <v>38</v>
      </c>
      <c r="B956" s="18"/>
      <c r="C956" s="16" t="s">
        <v>19</v>
      </c>
      <c r="D956" s="20">
        <f>D906</f>
        <v>0.1404</v>
      </c>
      <c r="E956" s="20">
        <f t="shared" ref="E956:O956" si="55">E906</f>
        <v>0.14729999999999999</v>
      </c>
      <c r="F956" s="20">
        <f t="shared" si="55"/>
        <v>0.13950000000000001</v>
      </c>
      <c r="G956" s="20">
        <f t="shared" si="55"/>
        <v>0.14099999999999999</v>
      </c>
      <c r="H956" s="20">
        <f t="shared" si="55"/>
        <v>0.1283</v>
      </c>
      <c r="I956" s="20">
        <f t="shared" si="55"/>
        <v>0.1103</v>
      </c>
      <c r="J956" s="20">
        <f t="shared" si="55"/>
        <v>0.11559999999999999</v>
      </c>
      <c r="K956" s="20">
        <f t="shared" si="55"/>
        <v>0.1419</v>
      </c>
      <c r="L956" s="20">
        <f t="shared" si="55"/>
        <v>0.15759999999999999</v>
      </c>
      <c r="M956" s="20">
        <f t="shared" si="55"/>
        <v>0.1288</v>
      </c>
      <c r="N956" s="20">
        <f t="shared" si="55"/>
        <v>0.1321</v>
      </c>
      <c r="O956" s="20">
        <f t="shared" si="55"/>
        <v>0.1331</v>
      </c>
    </row>
    <row r="957" spans="1:18" ht="14.4" x14ac:dyDescent="0.3">
      <c r="A957" s="25" t="s">
        <v>39</v>
      </c>
      <c r="B957" s="18"/>
      <c r="C957" s="16" t="s">
        <v>19</v>
      </c>
      <c r="D957" s="20">
        <v>0</v>
      </c>
      <c r="E957" s="20">
        <v>0</v>
      </c>
      <c r="F957" s="20">
        <v>0</v>
      </c>
      <c r="G957" s="20">
        <v>0</v>
      </c>
      <c r="H957" s="20">
        <v>0</v>
      </c>
      <c r="I957" s="20">
        <v>0</v>
      </c>
      <c r="J957" s="20">
        <v>0</v>
      </c>
      <c r="K957" s="20">
        <v>0</v>
      </c>
      <c r="L957" s="20">
        <v>0</v>
      </c>
      <c r="M957" s="20">
        <v>0</v>
      </c>
      <c r="N957" s="20">
        <v>0</v>
      </c>
      <c r="O957" s="20">
        <v>0</v>
      </c>
      <c r="P957" s="5"/>
      <c r="Q957" s="5"/>
      <c r="R957" s="5"/>
    </row>
    <row r="958" spans="1:18" ht="14.4" x14ac:dyDescent="0.3">
      <c r="A958" s="25" t="s">
        <v>180</v>
      </c>
      <c r="B958" s="18"/>
      <c r="C958" s="16" t="s">
        <v>19</v>
      </c>
      <c r="D958" s="20">
        <f>D908</f>
        <v>6.2E-2</v>
      </c>
      <c r="E958" s="20">
        <f t="shared" ref="E958:O961" si="56">E908</f>
        <v>6.2E-2</v>
      </c>
      <c r="F958" s="20">
        <f t="shared" si="56"/>
        <v>6.2E-2</v>
      </c>
      <c r="G958" s="20">
        <f t="shared" si="56"/>
        <v>6.2E-2</v>
      </c>
      <c r="H958" s="20">
        <f t="shared" si="56"/>
        <v>6.2E-2</v>
      </c>
      <c r="I958" s="20">
        <f t="shared" si="56"/>
        <v>6.2E-2</v>
      </c>
      <c r="J958" s="20">
        <f t="shared" si="56"/>
        <v>6.2E-2</v>
      </c>
      <c r="K958" s="20">
        <f t="shared" si="56"/>
        <v>6.2E-2</v>
      </c>
      <c r="L958" s="20">
        <f t="shared" si="56"/>
        <v>6.2E-2</v>
      </c>
      <c r="M958" s="20">
        <f t="shared" si="56"/>
        <v>6.2E-2</v>
      </c>
      <c r="N958" s="20">
        <f t="shared" si="56"/>
        <v>3.1399999999999997E-2</v>
      </c>
      <c r="O958" s="20">
        <f t="shared" si="56"/>
        <v>3.1399999999999997E-2</v>
      </c>
    </row>
    <row r="959" spans="1:18" ht="14.4" x14ac:dyDescent="0.3">
      <c r="A959" s="26" t="s">
        <v>40</v>
      </c>
      <c r="B959" s="18"/>
      <c r="C959" s="16" t="s">
        <v>19</v>
      </c>
      <c r="D959" s="20">
        <f>D909</f>
        <v>1E-4</v>
      </c>
      <c r="E959" s="20">
        <f t="shared" si="56"/>
        <v>1E-4</v>
      </c>
      <c r="F959" s="20">
        <f t="shared" si="56"/>
        <v>1E-4</v>
      </c>
      <c r="G959" s="20">
        <f t="shared" si="56"/>
        <v>1E-4</v>
      </c>
      <c r="H959" s="20">
        <f t="shared" si="56"/>
        <v>1E-4</v>
      </c>
      <c r="I959" s="20">
        <f t="shared" si="56"/>
        <v>1E-4</v>
      </c>
      <c r="J959" s="20">
        <f t="shared" si="56"/>
        <v>1E-4</v>
      </c>
      <c r="K959" s="20">
        <f t="shared" si="56"/>
        <v>1E-4</v>
      </c>
      <c r="L959" s="20">
        <f t="shared" si="56"/>
        <v>1E-4</v>
      </c>
      <c r="M959" s="20">
        <f t="shared" si="56"/>
        <v>1E-4</v>
      </c>
      <c r="N959" s="20">
        <f t="shared" si="56"/>
        <v>1E-4</v>
      </c>
      <c r="O959" s="20">
        <f t="shared" si="56"/>
        <v>1E-4</v>
      </c>
    </row>
    <row r="960" spans="1:18" ht="14.4" x14ac:dyDescent="0.3">
      <c r="A960" s="26" t="s">
        <v>41</v>
      </c>
      <c r="B960" s="18"/>
      <c r="C960" s="16" t="s">
        <v>19</v>
      </c>
      <c r="D960" s="20">
        <f>D910</f>
        <v>0</v>
      </c>
      <c r="E960" s="20">
        <f t="shared" si="56"/>
        <v>0</v>
      </c>
      <c r="F960" s="20">
        <f t="shared" si="56"/>
        <v>0</v>
      </c>
      <c r="G960" s="20">
        <f t="shared" si="56"/>
        <v>0</v>
      </c>
      <c r="H960" s="20">
        <f t="shared" si="56"/>
        <v>0</v>
      </c>
      <c r="I960" s="20">
        <f t="shared" si="56"/>
        <v>0</v>
      </c>
      <c r="J960" s="20">
        <f t="shared" si="56"/>
        <v>0</v>
      </c>
      <c r="K960" s="20">
        <f t="shared" si="56"/>
        <v>0</v>
      </c>
      <c r="L960" s="20">
        <f t="shared" si="56"/>
        <v>0</v>
      </c>
      <c r="M960" s="20">
        <f t="shared" si="56"/>
        <v>0</v>
      </c>
      <c r="N960" s="20">
        <f t="shared" si="56"/>
        <v>0</v>
      </c>
      <c r="O960" s="20">
        <f t="shared" si="56"/>
        <v>0</v>
      </c>
    </row>
    <row r="961" spans="1:18" ht="14.4" x14ac:dyDescent="0.3">
      <c r="A961" s="154" t="s">
        <v>181</v>
      </c>
      <c r="B961" s="155"/>
      <c r="C961" s="16" t="s">
        <v>19</v>
      </c>
      <c r="D961" s="20">
        <f>D911</f>
        <v>1.03E-2</v>
      </c>
      <c r="E961" s="20">
        <f t="shared" si="56"/>
        <v>1.03E-2</v>
      </c>
      <c r="F961" s="20">
        <f t="shared" si="56"/>
        <v>1.03E-2</v>
      </c>
      <c r="G961" s="20">
        <f t="shared" si="56"/>
        <v>1.03E-2</v>
      </c>
      <c r="H961" s="20">
        <f t="shared" si="56"/>
        <v>1.03E-2</v>
      </c>
      <c r="I961" s="20">
        <f t="shared" si="56"/>
        <v>1.03E-2</v>
      </c>
      <c r="J961" s="20">
        <f t="shared" si="56"/>
        <v>1.03E-2</v>
      </c>
      <c r="K961" s="20">
        <f t="shared" si="56"/>
        <v>1.03E-2</v>
      </c>
      <c r="L961" s="20">
        <f t="shared" si="56"/>
        <v>1.03E-2</v>
      </c>
      <c r="M961" s="20">
        <f t="shared" si="56"/>
        <v>1.03E-2</v>
      </c>
      <c r="N961" s="20">
        <f t="shared" si="56"/>
        <v>1.03E-2</v>
      </c>
      <c r="O961" s="20">
        <f t="shared" si="56"/>
        <v>1.03E-2</v>
      </c>
    </row>
    <row r="962" spans="1:18" ht="16.2" hidden="1" x14ac:dyDescent="0.3">
      <c r="A962" s="154" t="s">
        <v>182</v>
      </c>
      <c r="B962" s="155"/>
      <c r="C962" s="16" t="s">
        <v>19</v>
      </c>
      <c r="D962" s="20">
        <v>0</v>
      </c>
      <c r="E962" s="20"/>
      <c r="F962" s="20"/>
      <c r="G962" s="20"/>
      <c r="H962" s="20"/>
      <c r="I962" s="20"/>
      <c r="J962" s="20"/>
      <c r="K962" s="20"/>
      <c r="L962" s="20"/>
      <c r="M962" s="20"/>
      <c r="N962" s="20"/>
      <c r="O962" s="20"/>
    </row>
    <row r="963" spans="1:18" ht="16.2" hidden="1" x14ac:dyDescent="0.3">
      <c r="A963" s="154" t="s">
        <v>182</v>
      </c>
      <c r="B963" s="156"/>
      <c r="C963" s="16" t="s">
        <v>19</v>
      </c>
      <c r="D963" s="20">
        <v>0</v>
      </c>
      <c r="E963" s="20"/>
      <c r="F963" s="20"/>
      <c r="G963" s="20"/>
      <c r="H963" s="20"/>
      <c r="I963" s="20"/>
      <c r="J963" s="20"/>
      <c r="K963" s="20"/>
      <c r="L963" s="20"/>
      <c r="M963" s="20"/>
      <c r="N963" s="20"/>
      <c r="O963" s="20"/>
    </row>
    <row r="964" spans="1:18" ht="14.4" x14ac:dyDescent="0.3">
      <c r="A964" s="14" t="s">
        <v>42</v>
      </c>
      <c r="B964" s="14"/>
      <c r="C964" s="16"/>
      <c r="D964" s="24"/>
      <c r="E964" s="24"/>
      <c r="F964" s="24"/>
      <c r="G964" s="24"/>
      <c r="H964" s="24"/>
      <c r="I964" s="24"/>
      <c r="J964" s="24"/>
      <c r="K964" s="24"/>
      <c r="L964" s="24"/>
      <c r="M964" s="24"/>
      <c r="N964" s="24"/>
      <c r="O964" s="24"/>
    </row>
    <row r="965" spans="1:18" ht="14.4" x14ac:dyDescent="0.3">
      <c r="A965" s="14" t="s">
        <v>43</v>
      </c>
      <c r="B965" s="14"/>
      <c r="C965" s="16" t="s">
        <v>44</v>
      </c>
      <c r="D965" s="27"/>
      <c r="E965" s="27"/>
      <c r="F965" s="27"/>
      <c r="G965" s="27"/>
      <c r="H965" s="27"/>
      <c r="I965" s="27"/>
      <c r="J965" s="27"/>
      <c r="K965" s="27"/>
      <c r="L965" s="27"/>
      <c r="M965" s="27"/>
      <c r="N965" s="27"/>
      <c r="O965" s="27"/>
      <c r="P965" s="5"/>
      <c r="Q965" s="5"/>
      <c r="R965" s="5"/>
    </row>
    <row r="966" spans="1:18" ht="14.4" hidden="1" x14ac:dyDescent="0.3">
      <c r="A966" s="14" t="s">
        <v>183</v>
      </c>
      <c r="B966" s="14"/>
      <c r="C966" s="16"/>
      <c r="D966" s="28"/>
      <c r="E966" s="28"/>
      <c r="F966" s="28"/>
      <c r="G966" s="28"/>
      <c r="H966" s="28"/>
      <c r="I966" s="28"/>
      <c r="J966" s="28"/>
      <c r="K966" s="28"/>
      <c r="L966" s="28"/>
      <c r="M966" s="28"/>
      <c r="N966" s="28"/>
      <c r="O966" s="28"/>
    </row>
    <row r="967" spans="1:18" ht="14.4" hidden="1" x14ac:dyDescent="0.3">
      <c r="A967" s="14" t="s">
        <v>184</v>
      </c>
      <c r="B967" s="14"/>
      <c r="C967" s="16" t="s">
        <v>19</v>
      </c>
      <c r="D967" s="20">
        <v>0</v>
      </c>
      <c r="E967" s="20"/>
      <c r="F967" s="20"/>
      <c r="G967" s="20"/>
      <c r="H967" s="20"/>
      <c r="I967" s="20"/>
      <c r="J967" s="20"/>
      <c r="K967" s="20"/>
      <c r="L967" s="20"/>
      <c r="M967" s="20"/>
      <c r="N967" s="20"/>
      <c r="O967" s="20"/>
    </row>
    <row r="968" spans="1:18" ht="14.4" x14ac:dyDescent="0.3">
      <c r="A968" s="14" t="s">
        <v>45</v>
      </c>
      <c r="B968" s="14"/>
      <c r="C968" s="16"/>
      <c r="D968" s="28"/>
      <c r="E968" s="28"/>
      <c r="F968" s="28"/>
      <c r="G968" s="28"/>
      <c r="H968" s="28"/>
      <c r="I968" s="28"/>
      <c r="J968" s="28"/>
      <c r="K968" s="28"/>
      <c r="L968" s="28"/>
      <c r="M968" s="28"/>
      <c r="N968" s="28"/>
      <c r="O968" s="28"/>
    </row>
    <row r="969" spans="1:18" ht="14.4" x14ac:dyDescent="0.3">
      <c r="A969" s="14" t="s">
        <v>46</v>
      </c>
      <c r="B969" s="14"/>
      <c r="C969" s="16" t="s">
        <v>19</v>
      </c>
      <c r="D969" s="20">
        <v>0</v>
      </c>
      <c r="E969" s="20">
        <v>0</v>
      </c>
      <c r="F969" s="20">
        <v>0</v>
      </c>
      <c r="G969" s="20">
        <v>0</v>
      </c>
      <c r="H969" s="20">
        <v>0</v>
      </c>
      <c r="I969" s="20">
        <v>0</v>
      </c>
      <c r="J969" s="20">
        <v>0</v>
      </c>
      <c r="K969" s="20">
        <v>0</v>
      </c>
      <c r="L969" s="20">
        <v>0</v>
      </c>
      <c r="M969" s="20">
        <v>0</v>
      </c>
      <c r="N969" s="20">
        <v>0</v>
      </c>
      <c r="O969" s="20">
        <v>0</v>
      </c>
    </row>
    <row r="970" spans="1:18" ht="14.4" hidden="1" x14ac:dyDescent="0.3">
      <c r="A970" s="14" t="s">
        <v>185</v>
      </c>
      <c r="B970" s="14"/>
      <c r="C970" s="16"/>
      <c r="D970" s="28"/>
      <c r="E970" s="28"/>
      <c r="F970" s="28"/>
      <c r="G970" s="28"/>
      <c r="H970" s="28"/>
      <c r="I970" s="28"/>
      <c r="J970" s="28"/>
      <c r="K970" s="28"/>
      <c r="L970" s="28"/>
      <c r="M970" s="28"/>
      <c r="N970" s="28"/>
      <c r="O970" s="28"/>
    </row>
    <row r="971" spans="1:18" ht="14.4" hidden="1" x14ac:dyDescent="0.3">
      <c r="A971" s="14" t="s">
        <v>186</v>
      </c>
      <c r="B971" s="14"/>
      <c r="C971" s="16" t="s">
        <v>19</v>
      </c>
      <c r="D971" s="20">
        <v>0</v>
      </c>
      <c r="E971" s="20"/>
      <c r="F971" s="20"/>
      <c r="G971" s="20"/>
      <c r="H971" s="20"/>
      <c r="I971" s="20"/>
      <c r="J971" s="20"/>
      <c r="K971" s="20"/>
      <c r="L971" s="20"/>
      <c r="M971" s="20"/>
      <c r="N971" s="20"/>
      <c r="O971" s="20"/>
    </row>
    <row r="972" spans="1:18" ht="14.4" x14ac:dyDescent="0.3">
      <c r="A972" s="14" t="s">
        <v>47</v>
      </c>
      <c r="B972" s="14"/>
      <c r="C972" s="16"/>
      <c r="D972" s="24"/>
      <c r="E972" s="24"/>
      <c r="F972" s="24"/>
      <c r="G972" s="24"/>
      <c r="H972" s="24"/>
      <c r="I972" s="24"/>
      <c r="J972" s="24"/>
      <c r="K972" s="24"/>
      <c r="L972" s="24"/>
      <c r="M972" s="24"/>
      <c r="N972" s="24"/>
      <c r="O972" s="24"/>
    </row>
    <row r="973" spans="1:18" ht="14.4" x14ac:dyDescent="0.3">
      <c r="A973" s="18" t="s">
        <v>48</v>
      </c>
      <c r="B973" s="18"/>
      <c r="C973" s="16" t="s">
        <v>19</v>
      </c>
      <c r="D973" s="20">
        <f>D923</f>
        <v>0.1163</v>
      </c>
      <c r="E973" s="20">
        <f t="shared" ref="E973:O974" si="57">E923</f>
        <v>0.1163</v>
      </c>
      <c r="F973" s="20">
        <f t="shared" si="57"/>
        <v>0.1163</v>
      </c>
      <c r="G973" s="20">
        <f t="shared" si="57"/>
        <v>0.1163</v>
      </c>
      <c r="H973" s="20">
        <f t="shared" si="57"/>
        <v>0.1163</v>
      </c>
      <c r="I973" s="20">
        <f t="shared" si="57"/>
        <v>0.1163</v>
      </c>
      <c r="J973" s="20">
        <f t="shared" si="57"/>
        <v>0.1163</v>
      </c>
      <c r="K973" s="20">
        <f t="shared" si="57"/>
        <v>0.1163</v>
      </c>
      <c r="L973" s="20">
        <f t="shared" si="57"/>
        <v>0.1163</v>
      </c>
      <c r="M973" s="20">
        <f t="shared" si="57"/>
        <v>0.1163</v>
      </c>
      <c r="N973" s="20">
        <f t="shared" si="57"/>
        <v>0.1163</v>
      </c>
      <c r="O973" s="20">
        <f t="shared" si="57"/>
        <v>0.1163</v>
      </c>
    </row>
    <row r="974" spans="1:18" ht="14.4" x14ac:dyDescent="0.3">
      <c r="A974" s="18" t="s">
        <v>49</v>
      </c>
      <c r="B974" s="18"/>
      <c r="C974" s="16" t="s">
        <v>19</v>
      </c>
      <c r="D974" s="20">
        <f>D924</f>
        <v>2.5000000000000001E-3</v>
      </c>
      <c r="E974" s="20">
        <f t="shared" si="57"/>
        <v>2.5000000000000001E-3</v>
      </c>
      <c r="F974" s="20">
        <f t="shared" si="57"/>
        <v>2.5000000000000001E-3</v>
      </c>
      <c r="G974" s="20">
        <f t="shared" si="57"/>
        <v>2.5000000000000001E-3</v>
      </c>
      <c r="H974" s="20">
        <f t="shared" si="57"/>
        <v>2.5000000000000001E-3</v>
      </c>
      <c r="I974" s="20">
        <f t="shared" si="57"/>
        <v>2.5000000000000001E-3</v>
      </c>
      <c r="J974" s="20">
        <f t="shared" si="57"/>
        <v>2.5000000000000001E-3</v>
      </c>
      <c r="K974" s="20">
        <f t="shared" si="57"/>
        <v>2.5000000000000001E-3</v>
      </c>
      <c r="L974" s="20">
        <f t="shared" si="57"/>
        <v>2.5000000000000001E-3</v>
      </c>
      <c r="M974" s="20">
        <f t="shared" si="57"/>
        <v>2.5000000000000001E-3</v>
      </c>
      <c r="N974" s="20">
        <f t="shared" si="57"/>
        <v>2.5000000000000001E-3</v>
      </c>
      <c r="O974" s="20">
        <f t="shared" si="57"/>
        <v>2.5000000000000001E-3</v>
      </c>
    </row>
    <row r="975" spans="1:18" ht="14.4" x14ac:dyDescent="0.3">
      <c r="A975" s="14" t="s">
        <v>52</v>
      </c>
      <c r="B975" s="14"/>
      <c r="C975" s="29"/>
      <c r="D975" s="22"/>
      <c r="E975" s="22"/>
      <c r="F975" s="22"/>
      <c r="G975" s="22"/>
      <c r="H975" s="22"/>
      <c r="I975" s="22"/>
      <c r="J975" s="22"/>
      <c r="K975" s="22"/>
      <c r="L975" s="22"/>
      <c r="M975" s="22"/>
      <c r="N975" s="22"/>
      <c r="O975" s="22"/>
    </row>
    <row r="976" spans="1:18" ht="14.4" x14ac:dyDescent="0.3">
      <c r="A976" s="18" t="s">
        <v>53</v>
      </c>
      <c r="B976" s="18"/>
      <c r="C976" s="16" t="s">
        <v>44</v>
      </c>
      <c r="D976" s="52" t="s">
        <v>189</v>
      </c>
      <c r="E976" s="52" t="s">
        <v>189</v>
      </c>
      <c r="F976" s="52" t="s">
        <v>189</v>
      </c>
      <c r="G976" s="52" t="s">
        <v>189</v>
      </c>
      <c r="H976" s="52" t="s">
        <v>189</v>
      </c>
      <c r="I976" s="52" t="s">
        <v>189</v>
      </c>
      <c r="J976" s="52" t="s">
        <v>189</v>
      </c>
      <c r="K976" s="52" t="s">
        <v>189</v>
      </c>
      <c r="L976" s="52" t="s">
        <v>189</v>
      </c>
      <c r="M976" s="52" t="s">
        <v>189</v>
      </c>
      <c r="N976" s="52" t="s">
        <v>189</v>
      </c>
      <c r="O976" s="52" t="s">
        <v>189</v>
      </c>
    </row>
    <row r="977" spans="1:18" ht="14.4" x14ac:dyDescent="0.3">
      <c r="A977" s="18" t="s">
        <v>54</v>
      </c>
      <c r="B977" s="18"/>
      <c r="C977" s="16" t="s">
        <v>44</v>
      </c>
      <c r="D977" s="30">
        <f t="shared" ref="D977:O982" si="58">D927</f>
        <v>0</v>
      </c>
      <c r="E977" s="30">
        <f t="shared" si="58"/>
        <v>0</v>
      </c>
      <c r="F977" s="30">
        <f t="shared" si="58"/>
        <v>0</v>
      </c>
      <c r="G977" s="30">
        <f t="shared" si="58"/>
        <v>0</v>
      </c>
      <c r="H977" s="30">
        <f t="shared" si="58"/>
        <v>0</v>
      </c>
      <c r="I977" s="30">
        <f t="shared" si="58"/>
        <v>0</v>
      </c>
      <c r="J977" s="30">
        <f t="shared" si="58"/>
        <v>0</v>
      </c>
      <c r="K977" s="30">
        <f t="shared" si="58"/>
        <v>0</v>
      </c>
      <c r="L977" s="30">
        <f t="shared" si="58"/>
        <v>0</v>
      </c>
      <c r="M977" s="30">
        <f t="shared" si="58"/>
        <v>0</v>
      </c>
      <c r="N977" s="30">
        <f t="shared" si="58"/>
        <v>0</v>
      </c>
      <c r="O977" s="30">
        <f t="shared" si="58"/>
        <v>0</v>
      </c>
    </row>
    <row r="978" spans="1:18" ht="14.4" x14ac:dyDescent="0.3">
      <c r="A978" s="18" t="s">
        <v>55</v>
      </c>
      <c r="B978" s="18"/>
      <c r="C978" s="16" t="s">
        <v>44</v>
      </c>
      <c r="D978" s="30">
        <f t="shared" si="58"/>
        <v>8.9899999999999994E-2</v>
      </c>
      <c r="E978" s="30">
        <f t="shared" si="58"/>
        <v>9.3700000000000006E-2</v>
      </c>
      <c r="F978" s="30">
        <f t="shared" si="58"/>
        <v>9.4399999999999998E-2</v>
      </c>
      <c r="G978" s="30">
        <f t="shared" si="58"/>
        <v>9.6299999999999997E-2</v>
      </c>
      <c r="H978" s="30">
        <f t="shared" si="58"/>
        <v>9.7600000000000006E-2</v>
      </c>
      <c r="I978" s="30">
        <f t="shared" si="58"/>
        <v>9.7299999999999998E-2</v>
      </c>
      <c r="J978" s="30">
        <f t="shared" si="58"/>
        <v>9.5600000000000004E-2</v>
      </c>
      <c r="K978" s="30">
        <f t="shared" si="58"/>
        <v>8.9700000000000002E-2</v>
      </c>
      <c r="L978" s="30">
        <f t="shared" si="58"/>
        <v>9.8400000000000001E-2</v>
      </c>
      <c r="M978" s="30">
        <f t="shared" si="58"/>
        <v>9.4299999999999995E-2</v>
      </c>
      <c r="N978" s="30">
        <f t="shared" si="58"/>
        <v>9.3399999999999997E-2</v>
      </c>
      <c r="O978" s="30">
        <f t="shared" si="58"/>
        <v>9.5500000000000002E-2</v>
      </c>
    </row>
    <row r="979" spans="1:18" ht="14.4" x14ac:dyDescent="0.3">
      <c r="A979" s="18" t="s">
        <v>187</v>
      </c>
      <c r="B979" s="18"/>
      <c r="C979" s="16" t="s">
        <v>44</v>
      </c>
      <c r="D979" s="30">
        <f t="shared" si="58"/>
        <v>5.5858455631032497E-3</v>
      </c>
      <c r="E979" s="30">
        <f t="shared" si="58"/>
        <v>3.0650583850564523E-3</v>
      </c>
      <c r="F979" s="30">
        <f t="shared" si="58"/>
        <v>2.6939820012288874E-3</v>
      </c>
      <c r="G979" s="30">
        <f t="shared" si="58"/>
        <v>0</v>
      </c>
      <c r="H979" s="30">
        <f t="shared" si="58"/>
        <v>1.4227759048057112E-2</v>
      </c>
      <c r="I979" s="30">
        <f t="shared" si="58"/>
        <v>1.0851314063502437E-2</v>
      </c>
      <c r="J979" s="30">
        <f t="shared" si="58"/>
        <v>1.691896019316478E-2</v>
      </c>
      <c r="K979" s="30">
        <f t="shared" si="58"/>
        <v>4.451228191928034E-2</v>
      </c>
      <c r="L979" s="30">
        <f t="shared" si="58"/>
        <v>1.7462006912087345E-2</v>
      </c>
      <c r="M979" s="30">
        <f t="shared" si="58"/>
        <v>1.7899999999999999E-2</v>
      </c>
      <c r="N979" s="30">
        <f t="shared" si="58"/>
        <v>5.3E-3</v>
      </c>
      <c r="O979" s="30">
        <f t="shared" si="58"/>
        <v>5.5999999999999999E-3</v>
      </c>
    </row>
    <row r="980" spans="1:18" ht="14.4" x14ac:dyDescent="0.3">
      <c r="A980" s="18" t="s">
        <v>188</v>
      </c>
      <c r="B980" s="18"/>
      <c r="C980" s="16" t="s">
        <v>44</v>
      </c>
      <c r="D980" s="30">
        <f t="shared" si="58"/>
        <v>9.8799999999999999E-2</v>
      </c>
      <c r="E980" s="30">
        <f t="shared" si="58"/>
        <v>9.8799999999999999E-2</v>
      </c>
      <c r="F980" s="30">
        <f t="shared" si="58"/>
        <v>9.8799999999999999E-2</v>
      </c>
      <c r="G980" s="30">
        <f t="shared" si="58"/>
        <v>9.8799999999999999E-2</v>
      </c>
      <c r="H980" s="30">
        <f t="shared" si="58"/>
        <v>9.8799999999999999E-2</v>
      </c>
      <c r="I980" s="30">
        <f t="shared" si="58"/>
        <v>9.8799999999999999E-2</v>
      </c>
      <c r="J980" s="30">
        <f t="shared" si="58"/>
        <v>9.8799999999999999E-2</v>
      </c>
      <c r="K980" s="30">
        <f t="shared" si="58"/>
        <v>9.8799999999999999E-2</v>
      </c>
      <c r="L980" s="30">
        <f t="shared" si="58"/>
        <v>9.8799999999999999E-2</v>
      </c>
      <c r="M980" s="30">
        <f t="shared" si="58"/>
        <v>9.8799999999999999E-2</v>
      </c>
      <c r="N980" s="30">
        <f t="shared" si="58"/>
        <v>9.8799999999999999E-2</v>
      </c>
      <c r="O980" s="30">
        <f t="shared" si="58"/>
        <v>9.8799999999999999E-2</v>
      </c>
    </row>
    <row r="981" spans="1:18" ht="14.4" x14ac:dyDescent="0.3">
      <c r="A981" s="18" t="s">
        <v>56</v>
      </c>
      <c r="B981" s="18"/>
      <c r="C981" s="16" t="s">
        <v>44</v>
      </c>
      <c r="D981" s="30">
        <f t="shared" si="58"/>
        <v>0.12</v>
      </c>
      <c r="E981" s="30">
        <f t="shared" si="58"/>
        <v>0.12</v>
      </c>
      <c r="F981" s="30">
        <f t="shared" si="58"/>
        <v>0.12</v>
      </c>
      <c r="G981" s="30">
        <f t="shared" si="58"/>
        <v>0.12</v>
      </c>
      <c r="H981" s="30">
        <f t="shared" si="58"/>
        <v>0.12</v>
      </c>
      <c r="I981" s="30">
        <f t="shared" si="58"/>
        <v>0.12</v>
      </c>
      <c r="J981" s="30">
        <f t="shared" si="58"/>
        <v>0.12</v>
      </c>
      <c r="K981" s="30">
        <f t="shared" si="58"/>
        <v>0.12</v>
      </c>
      <c r="L981" s="30">
        <f t="shared" si="58"/>
        <v>0.12</v>
      </c>
      <c r="M981" s="30">
        <f t="shared" si="58"/>
        <v>0.12</v>
      </c>
      <c r="N981" s="30">
        <f t="shared" si="58"/>
        <v>0.12</v>
      </c>
      <c r="O981" s="30">
        <f t="shared" si="58"/>
        <v>0.12</v>
      </c>
    </row>
    <row r="982" spans="1:18" ht="14.4" x14ac:dyDescent="0.3">
      <c r="A982" s="18" t="s">
        <v>57</v>
      </c>
      <c r="B982" s="18"/>
      <c r="C982" s="16" t="s">
        <v>44</v>
      </c>
      <c r="D982" s="30">
        <f t="shared" si="58"/>
        <v>0.12</v>
      </c>
      <c r="E982" s="30">
        <f t="shared" si="58"/>
        <v>0.12</v>
      </c>
      <c r="F982" s="30">
        <f t="shared" si="58"/>
        <v>0.12</v>
      </c>
      <c r="G982" s="30">
        <f t="shared" si="58"/>
        <v>0.12</v>
      </c>
      <c r="H982" s="30">
        <f t="shared" si="58"/>
        <v>0.12</v>
      </c>
      <c r="I982" s="30">
        <f t="shared" si="58"/>
        <v>0.12</v>
      </c>
      <c r="J982" s="30">
        <f t="shared" si="58"/>
        <v>0.12</v>
      </c>
      <c r="K982" s="30">
        <f t="shared" si="58"/>
        <v>0.12</v>
      </c>
      <c r="L982" s="30">
        <f t="shared" si="58"/>
        <v>0.12</v>
      </c>
      <c r="M982" s="30">
        <f t="shared" si="58"/>
        <v>0.12</v>
      </c>
      <c r="N982" s="30">
        <f t="shared" si="58"/>
        <v>0.12</v>
      </c>
      <c r="O982" s="30">
        <f t="shared" si="58"/>
        <v>0.12</v>
      </c>
    </row>
    <row r="984" spans="1:18" hidden="1" x14ac:dyDescent="0.3"/>
    <row r="985" spans="1:18" hidden="1" x14ac:dyDescent="0.3"/>
    <row r="986" spans="1:18" x14ac:dyDescent="0.3">
      <c r="A986" s="33" t="s">
        <v>58</v>
      </c>
    </row>
    <row r="987" spans="1:18" s="13" customFormat="1" ht="14.4" x14ac:dyDescent="0.3">
      <c r="A987" s="11" t="s">
        <v>3</v>
      </c>
      <c r="B987" s="11"/>
      <c r="C987" s="11" t="s">
        <v>4</v>
      </c>
      <c r="D987" s="12" t="s">
        <v>5</v>
      </c>
      <c r="E987" s="12" t="s">
        <v>6</v>
      </c>
      <c r="F987" s="12" t="s">
        <v>7</v>
      </c>
      <c r="G987" s="12" t="s">
        <v>8</v>
      </c>
      <c r="H987" s="12" t="s">
        <v>9</v>
      </c>
      <c r="I987" s="12" t="s">
        <v>10</v>
      </c>
      <c r="J987" s="12" t="s">
        <v>11</v>
      </c>
      <c r="K987" s="12" t="s">
        <v>12</v>
      </c>
      <c r="L987" s="12" t="s">
        <v>13</v>
      </c>
      <c r="M987" s="12" t="s">
        <v>14</v>
      </c>
      <c r="N987" s="12" t="s">
        <v>15</v>
      </c>
      <c r="O987" s="12" t="s">
        <v>16</v>
      </c>
      <c r="P987" s="153"/>
      <c r="Q987" s="153"/>
      <c r="R987" s="153"/>
    </row>
    <row r="988" spans="1:18" ht="14.4" x14ac:dyDescent="0.3">
      <c r="A988" s="61" t="s">
        <v>67</v>
      </c>
      <c r="B988" s="62"/>
      <c r="C988" s="63"/>
      <c r="D988" s="62"/>
      <c r="E988" s="62"/>
      <c r="F988" s="62"/>
      <c r="G988" s="62"/>
      <c r="H988" s="62"/>
      <c r="I988" s="62"/>
      <c r="J988" s="62"/>
      <c r="K988" s="62"/>
      <c r="L988" s="62"/>
      <c r="M988" s="62"/>
      <c r="N988" s="62"/>
      <c r="O988" s="62"/>
    </row>
    <row r="989" spans="1:18" ht="14.4" x14ac:dyDescent="0.3">
      <c r="A989" s="25" t="s">
        <v>68</v>
      </c>
      <c r="B989" s="25"/>
      <c r="C989" s="16" t="s">
        <v>19</v>
      </c>
      <c r="D989" s="20">
        <f>[40]GR!D24</f>
        <v>5.4642999999999997</v>
      </c>
      <c r="E989" s="20">
        <f>[40]GR!E24</f>
        <v>5.5773999999999999</v>
      </c>
      <c r="F989" s="20">
        <f>[40]GR!F24</f>
        <v>5.3348000000000004</v>
      </c>
      <c r="G989" s="20">
        <f>[40]GR!G24</f>
        <v>5.6620999999999997</v>
      </c>
      <c r="H989" s="20">
        <f>[40]GR!H24</f>
        <v>5.5983000000000001</v>
      </c>
      <c r="I989" s="20">
        <f>[40]GR!I24</f>
        <v>6.1375000000000002</v>
      </c>
      <c r="J989" s="20">
        <f>[40]GR!J24</f>
        <v>6.4549000000000003</v>
      </c>
      <c r="K989" s="20">
        <f>[40]GR!K24</f>
        <v>6.7397</v>
      </c>
      <c r="L989" s="20">
        <f>[40]GR!L24</f>
        <v>5.3964999999999996</v>
      </c>
      <c r="M989" s="20">
        <f>[40]GR!M24</f>
        <v>5.4978999999999996</v>
      </c>
      <c r="N989" s="20">
        <f>[40]GR!N24</f>
        <v>5.6330999999999998</v>
      </c>
      <c r="O989" s="20">
        <f>[40]GR!O24</f>
        <v>5.4817</v>
      </c>
    </row>
    <row r="990" spans="1:18" ht="14.4" x14ac:dyDescent="0.3">
      <c r="A990" s="25" t="s">
        <v>192</v>
      </c>
      <c r="B990" s="25"/>
      <c r="C990" s="16"/>
      <c r="D990" s="24"/>
      <c r="E990" s="24"/>
      <c r="F990" s="24"/>
      <c r="G990" s="24"/>
      <c r="H990" s="24"/>
      <c r="I990" s="24"/>
      <c r="J990" s="24"/>
      <c r="K990" s="24"/>
      <c r="L990" s="24"/>
      <c r="M990" s="24"/>
      <c r="N990" s="24"/>
      <c r="O990" s="24"/>
    </row>
    <row r="991" spans="1:18" ht="14.4" x14ac:dyDescent="0.3">
      <c r="A991" s="25" t="s">
        <v>70</v>
      </c>
      <c r="B991" s="25"/>
      <c r="C991" s="16" t="s">
        <v>19</v>
      </c>
      <c r="D991" s="20">
        <f>6.4852+0.5219</f>
        <v>7.0070999999999994</v>
      </c>
      <c r="E991" s="20">
        <f>6.4852+0.6423</f>
        <v>7.1274999999999995</v>
      </c>
      <c r="F991" s="20">
        <f>6.4852+0.4038</f>
        <v>6.8890000000000002</v>
      </c>
      <c r="G991" s="20">
        <f>6.4852+0.7289</f>
        <v>7.2141000000000002</v>
      </c>
      <c r="H991" s="20">
        <f>6.4852+0.6635</f>
        <v>7.1486999999999998</v>
      </c>
      <c r="I991" s="20">
        <f>6.4852+1.2043</f>
        <v>7.6894999999999998</v>
      </c>
      <c r="J991" s="20">
        <f>6.1053+1.6971</f>
        <v>7.8023999999999996</v>
      </c>
      <c r="K991" s="20">
        <f>6.1053+1.9702</f>
        <v>8.0754999999999999</v>
      </c>
      <c r="L991" s="20">
        <f>6.1053+0.6274</f>
        <v>6.7326999999999995</v>
      </c>
      <c r="M991" s="20">
        <f>6.1053+0.7286</f>
        <v>6.8338999999999999</v>
      </c>
      <c r="N991" s="20">
        <f>6.1053+0.8637</f>
        <v>6.9689999999999994</v>
      </c>
      <c r="O991" s="20">
        <f>6.1053+0.7121</f>
        <v>6.8173999999999992</v>
      </c>
    </row>
    <row r="992" spans="1:18" ht="14.4" x14ac:dyDescent="0.3">
      <c r="A992" s="25" t="s">
        <v>71</v>
      </c>
      <c r="B992" s="25"/>
      <c r="C992" s="16" t="s">
        <v>19</v>
      </c>
      <c r="D992" s="20">
        <f>3.0925+0.5219</f>
        <v>3.6143999999999998</v>
      </c>
      <c r="E992" s="20">
        <f>3.0925+0.6423</f>
        <v>3.7347999999999999</v>
      </c>
      <c r="F992" s="20">
        <f>3.0925+0.4038</f>
        <v>3.4962999999999997</v>
      </c>
      <c r="G992" s="20">
        <f>3.0925+0.7289</f>
        <v>3.8213999999999997</v>
      </c>
      <c r="H992" s="20">
        <f>3.0925+0.6635</f>
        <v>3.7559999999999998</v>
      </c>
      <c r="I992" s="20">
        <f>3.0925+1.2043</f>
        <v>4.2967999999999993</v>
      </c>
      <c r="J992" s="20">
        <f>3.0925+1.6971</f>
        <v>4.7896000000000001</v>
      </c>
      <c r="K992" s="20">
        <f>3.0925+1.9702</f>
        <v>5.0626999999999995</v>
      </c>
      <c r="L992" s="20">
        <f>3.0925+0.6274</f>
        <v>3.7199</v>
      </c>
      <c r="M992" s="20">
        <f>3.0925+0.7286</f>
        <v>3.8210999999999999</v>
      </c>
      <c r="N992" s="20">
        <f>3.0925+0.8637</f>
        <v>3.9561999999999999</v>
      </c>
      <c r="O992" s="20">
        <f>3.0925+0.7121</f>
        <v>3.8045999999999998</v>
      </c>
    </row>
    <row r="993" spans="1:15" ht="14.4" x14ac:dyDescent="0.3">
      <c r="A993" s="25" t="s">
        <v>193</v>
      </c>
      <c r="B993" s="25"/>
      <c r="C993" s="16" t="s">
        <v>19</v>
      </c>
      <c r="D993" s="20">
        <f>[40]GR!D25</f>
        <v>4.5278</v>
      </c>
      <c r="E993" s="20">
        <f>[40]GR!E25</f>
        <v>4.8243999999999998</v>
      </c>
      <c r="F993" s="20">
        <f>[40]GR!F25</f>
        <v>4.8421000000000003</v>
      </c>
      <c r="G993" s="20">
        <f>[40]GR!G25</f>
        <v>4.8091999999999997</v>
      </c>
      <c r="H993" s="20">
        <f>[40]GR!H25</f>
        <v>5.4103000000000003</v>
      </c>
      <c r="I993" s="20">
        <f>[40]GR!I25</f>
        <v>5.4568000000000003</v>
      </c>
      <c r="J993" s="20">
        <f>[40]GR!J25</f>
        <v>5.4161999999999999</v>
      </c>
      <c r="K993" s="20">
        <f>[40]GR!K25</f>
        <v>4.9604999999999997</v>
      </c>
      <c r="L993" s="20">
        <f>[40]GR!L25</f>
        <v>4.8285</v>
      </c>
      <c r="M993" s="20">
        <f>[40]GR!M25</f>
        <v>4.8263999999999996</v>
      </c>
      <c r="N993" s="20">
        <f>[40]GR!N25</f>
        <v>4.9103000000000003</v>
      </c>
      <c r="O993" s="20">
        <f>[40]GR!O25</f>
        <v>4.7264999999999997</v>
      </c>
    </row>
    <row r="994" spans="1:15" ht="14.4" x14ac:dyDescent="0.3">
      <c r="A994" s="25" t="s">
        <v>194</v>
      </c>
      <c r="B994" s="25"/>
      <c r="C994" s="16" t="s">
        <v>19</v>
      </c>
      <c r="D994" s="20">
        <f>[40]GR!D26</f>
        <v>4.5959000000000003</v>
      </c>
      <c r="E994" s="20">
        <f>[40]GR!E26</f>
        <v>4.5949</v>
      </c>
      <c r="F994" s="20">
        <f>[40]GR!F26</f>
        <v>4.5941000000000001</v>
      </c>
      <c r="G994" s="20">
        <f>[40]GR!G26</f>
        <v>4.5994999999999999</v>
      </c>
      <c r="H994" s="20">
        <f>[40]GR!H26</f>
        <v>5.2858000000000001</v>
      </c>
      <c r="I994" s="20">
        <f>[40]GR!I26</f>
        <v>5.2820999999999998</v>
      </c>
      <c r="J994" s="20">
        <f>[40]GR!J26</f>
        <v>5.2594000000000003</v>
      </c>
      <c r="K994" s="20">
        <f>[40]GR!K26</f>
        <v>4.9025999999999996</v>
      </c>
      <c r="L994" s="20">
        <f>[40]GR!L26</f>
        <v>5.1021999999999998</v>
      </c>
      <c r="M994" s="20">
        <f>[40]GR!M26</f>
        <v>4.9546999999999999</v>
      </c>
      <c r="N994" s="20">
        <f>[40]GR!N26</f>
        <v>4.9507000000000003</v>
      </c>
      <c r="O994" s="20">
        <f>[40]GR!O26</f>
        <v>4.9555999999999996</v>
      </c>
    </row>
    <row r="995" spans="1:15" ht="14.4" x14ac:dyDescent="0.3">
      <c r="A995" s="25" t="s">
        <v>195</v>
      </c>
      <c r="B995" s="25"/>
      <c r="C995" s="16" t="s">
        <v>19</v>
      </c>
      <c r="D995" s="20">
        <f>[40]GR!D27</f>
        <v>4.6959</v>
      </c>
      <c r="E995" s="20">
        <f>[40]GR!E27</f>
        <v>4.6948999999999996</v>
      </c>
      <c r="F995" s="20">
        <f>[40]GR!F27</f>
        <v>4.6940999999999997</v>
      </c>
      <c r="G995" s="20">
        <f>[40]GR!G27</f>
        <v>4.6994999999999996</v>
      </c>
      <c r="H995" s="20">
        <f>[40]GR!H27</f>
        <v>5.3857999999999997</v>
      </c>
      <c r="I995" s="20">
        <f>[40]GR!I27</f>
        <v>5.3821000000000003</v>
      </c>
      <c r="J995" s="20">
        <f>[40]GR!J27</f>
        <v>5.3593999999999999</v>
      </c>
      <c r="K995" s="20">
        <f>[40]GR!K27</f>
        <v>6.2157</v>
      </c>
      <c r="L995" s="20">
        <f>[40]GR!L27</f>
        <v>4.6151999999999997</v>
      </c>
      <c r="M995" s="20">
        <f>[40]GR!M27</f>
        <v>4.6821999999999999</v>
      </c>
      <c r="N995" s="20">
        <f>[40]GR!N27</f>
        <v>4.6771000000000003</v>
      </c>
      <c r="O995" s="20">
        <f>[40]GR!O27</f>
        <v>4.6848999999999998</v>
      </c>
    </row>
    <row r="996" spans="1:15" x14ac:dyDescent="0.3">
      <c r="A996" s="62"/>
      <c r="B996" s="62"/>
      <c r="C996" s="63"/>
      <c r="D996" s="62"/>
      <c r="E996" s="62"/>
      <c r="F996" s="62"/>
      <c r="G996" s="62"/>
      <c r="H996" s="62"/>
      <c r="I996" s="62"/>
      <c r="J996" s="62"/>
      <c r="K996" s="62"/>
      <c r="L996" s="62"/>
      <c r="M996" s="62"/>
      <c r="N996" s="62"/>
      <c r="O996" s="62"/>
    </row>
    <row r="997" spans="1:15" ht="14.4" x14ac:dyDescent="0.3">
      <c r="A997" s="64" t="s">
        <v>196</v>
      </c>
      <c r="B997" s="64"/>
      <c r="C997" s="65"/>
      <c r="D997" s="66"/>
      <c r="E997" s="66"/>
      <c r="F997" s="66"/>
      <c r="G997" s="66"/>
      <c r="H997" s="66"/>
      <c r="I997" s="66"/>
      <c r="J997" s="66"/>
      <c r="K997" s="66"/>
      <c r="L997" s="66"/>
      <c r="M997" s="66"/>
      <c r="N997" s="66"/>
      <c r="O997" s="66"/>
    </row>
    <row r="998" spans="1:15" ht="14.4" x14ac:dyDescent="0.3">
      <c r="A998" s="64" t="s">
        <v>197</v>
      </c>
      <c r="B998" s="64"/>
      <c r="C998" s="65" t="s">
        <v>19</v>
      </c>
      <c r="D998" s="67">
        <v>5.117</v>
      </c>
      <c r="E998" s="67">
        <v>5.1513999999999998</v>
      </c>
      <c r="F998" s="67">
        <v>4.9123999999999999</v>
      </c>
      <c r="G998" s="67">
        <v>5.2634999999999996</v>
      </c>
      <c r="H998" s="67">
        <v>5.1673999999999998</v>
      </c>
      <c r="I998" s="67">
        <v>5.7087000000000003</v>
      </c>
      <c r="J998" s="67">
        <v>6.0464000000000002</v>
      </c>
      <c r="K998" s="67">
        <v>6.3472999999999997</v>
      </c>
      <c r="L998" s="67">
        <v>5.0072000000000001</v>
      </c>
      <c r="M998" s="67">
        <v>5.0956000000000001</v>
      </c>
      <c r="N998" s="67">
        <v>5.2145999999999999</v>
      </c>
      <c r="O998" s="67"/>
    </row>
    <row r="999" spans="1:15" ht="14.4" x14ac:dyDescent="0.3">
      <c r="A999" s="64" t="s">
        <v>75</v>
      </c>
      <c r="B999" s="64"/>
      <c r="C999" s="65" t="s">
        <v>19</v>
      </c>
      <c r="D999" s="67">
        <v>4.6637000000000004</v>
      </c>
      <c r="E999" s="67">
        <v>4.7220000000000004</v>
      </c>
      <c r="F999" s="67">
        <v>4.4901</v>
      </c>
      <c r="G999" s="67">
        <v>4.6619999999999999</v>
      </c>
      <c r="H999" s="67">
        <v>4.6485000000000003</v>
      </c>
      <c r="I999" s="67">
        <v>5.2657999999999996</v>
      </c>
      <c r="J999" s="67">
        <v>5.6115000000000004</v>
      </c>
      <c r="K999" s="67">
        <v>6.0289000000000001</v>
      </c>
      <c r="L999" s="67">
        <v>5.0388999999999999</v>
      </c>
      <c r="M999" s="67">
        <v>5.6727999999999996</v>
      </c>
      <c r="N999" s="67">
        <v>5.6510999999999996</v>
      </c>
      <c r="O999" s="67"/>
    </row>
    <row r="1000" spans="1:15" ht="14.4" x14ac:dyDescent="0.3">
      <c r="A1000" s="64" t="s">
        <v>198</v>
      </c>
      <c r="B1000" s="64"/>
      <c r="C1000" s="65" t="s">
        <v>19</v>
      </c>
      <c r="D1000" s="67">
        <v>5.2785000000000002</v>
      </c>
      <c r="E1000" s="67">
        <v>5.3531000000000004</v>
      </c>
      <c r="F1000" s="67">
        <v>5.1323999999999996</v>
      </c>
      <c r="G1000" s="67">
        <v>5.4646999999999997</v>
      </c>
      <c r="H1000" s="67">
        <v>5.4321000000000002</v>
      </c>
      <c r="I1000" s="67">
        <v>5.9650999999999996</v>
      </c>
      <c r="J1000" s="67">
        <v>6.2736999999999998</v>
      </c>
      <c r="K1000" s="67">
        <v>6.5380000000000003</v>
      </c>
      <c r="L1000" s="67">
        <v>5.1897000000000002</v>
      </c>
      <c r="M1000" s="67">
        <v>5.2938999999999998</v>
      </c>
      <c r="N1000" s="67">
        <v>5.3884999999999996</v>
      </c>
      <c r="O1000" s="67"/>
    </row>
    <row r="1001" spans="1:15" ht="14.4" x14ac:dyDescent="0.3">
      <c r="A1001" s="64" t="s">
        <v>199</v>
      </c>
      <c r="B1001" s="64"/>
      <c r="C1001" s="65" t="s">
        <v>19</v>
      </c>
      <c r="D1001" s="67"/>
      <c r="E1001" s="67"/>
      <c r="F1001" s="67"/>
      <c r="G1001" s="67"/>
      <c r="H1001" s="67">
        <v>5.3967000000000001</v>
      </c>
      <c r="I1001" s="67">
        <v>5.9343000000000004</v>
      </c>
      <c r="J1001" s="67">
        <v>6.2439</v>
      </c>
      <c r="K1001" s="67">
        <v>6.4964000000000004</v>
      </c>
      <c r="L1001" s="67">
        <v>5.2009999999999996</v>
      </c>
      <c r="M1001" s="67">
        <v>5.2603999999999997</v>
      </c>
      <c r="N1001" s="67">
        <v>5.4128999999999996</v>
      </c>
      <c r="O1001" s="67"/>
    </row>
    <row r="1002" spans="1:15" ht="14.4" x14ac:dyDescent="0.3">
      <c r="A1002" s="64" t="s">
        <v>200</v>
      </c>
      <c r="B1002" s="64"/>
      <c r="C1002" s="65" t="s">
        <v>19</v>
      </c>
      <c r="D1002" s="67">
        <v>5.3113999999999999</v>
      </c>
      <c r="E1002" s="67">
        <v>5.3811999999999998</v>
      </c>
      <c r="F1002" s="67">
        <v>5.1535000000000002</v>
      </c>
      <c r="G1002" s="67">
        <v>5.5132000000000003</v>
      </c>
      <c r="H1002" s="67">
        <v>5.4436</v>
      </c>
      <c r="I1002" s="67">
        <v>5.8460000000000001</v>
      </c>
      <c r="J1002" s="67">
        <v>6.2030000000000003</v>
      </c>
      <c r="K1002" s="67">
        <v>6.4817</v>
      </c>
      <c r="L1002" s="67">
        <v>5.1428000000000003</v>
      </c>
      <c r="M1002" s="67">
        <v>5.29</v>
      </c>
      <c r="N1002" s="67">
        <v>5.3299000000000003</v>
      </c>
      <c r="O1002" s="67"/>
    </row>
    <row r="1003" spans="1:15" ht="14.4" x14ac:dyDescent="0.3">
      <c r="A1003" s="64" t="s">
        <v>201</v>
      </c>
      <c r="B1003" s="64"/>
      <c r="C1003" s="65" t="s">
        <v>19</v>
      </c>
      <c r="D1003" s="67">
        <v>5.6416000000000004</v>
      </c>
      <c r="E1003" s="67">
        <v>5.7888000000000002</v>
      </c>
      <c r="F1003" s="67">
        <v>5.2171000000000003</v>
      </c>
      <c r="G1003" s="67">
        <v>5.4539</v>
      </c>
      <c r="H1003" s="67">
        <v>5.4701000000000004</v>
      </c>
      <c r="I1003" s="67">
        <v>5.9823000000000004</v>
      </c>
      <c r="J1003" s="67">
        <v>6.3000999999999996</v>
      </c>
      <c r="K1003" s="67">
        <v>6.5877999999999997</v>
      </c>
      <c r="L1003" s="67">
        <v>5.1661000000000001</v>
      </c>
      <c r="M1003" s="67">
        <v>5.2965999999999998</v>
      </c>
      <c r="N1003" s="67">
        <v>5.6680999999999999</v>
      </c>
      <c r="O1003" s="67"/>
    </row>
    <row r="1004" spans="1:15" x14ac:dyDescent="0.3">
      <c r="A1004" s="62"/>
      <c r="B1004" s="62"/>
      <c r="C1004" s="63"/>
      <c r="D1004" s="62"/>
      <c r="E1004" s="62"/>
      <c r="F1004" s="62"/>
      <c r="G1004" s="62"/>
      <c r="H1004" s="62"/>
      <c r="I1004" s="62"/>
      <c r="J1004" s="62"/>
      <c r="K1004" s="62"/>
      <c r="L1004" s="62"/>
      <c r="M1004" s="62"/>
      <c r="N1004" s="62"/>
      <c r="O1004" s="62"/>
    </row>
    <row r="1005" spans="1:15" ht="14.4" x14ac:dyDescent="0.3">
      <c r="A1005" s="61" t="s">
        <v>82</v>
      </c>
      <c r="B1005" s="62"/>
      <c r="C1005" s="63"/>
      <c r="D1005" s="62"/>
      <c r="E1005" s="62"/>
      <c r="F1005" s="62"/>
      <c r="G1005" s="62"/>
      <c r="H1005" s="62"/>
      <c r="I1005" s="62"/>
      <c r="J1005" s="62"/>
      <c r="K1005" s="62"/>
      <c r="L1005" s="62"/>
      <c r="M1005" s="62"/>
      <c r="N1005" s="62"/>
      <c r="O1005" s="62"/>
    </row>
    <row r="1006" spans="1:15" ht="14.4" x14ac:dyDescent="0.3">
      <c r="A1006" s="25" t="s">
        <v>83</v>
      </c>
      <c r="B1006" s="25"/>
      <c r="C1006" s="16" t="s">
        <v>19</v>
      </c>
      <c r="D1006" s="20">
        <v>1.0278</v>
      </c>
      <c r="E1006" s="20">
        <v>1.0278</v>
      </c>
      <c r="F1006" s="20">
        <v>1.0278</v>
      </c>
      <c r="G1006" s="20">
        <v>1.0278</v>
      </c>
      <c r="H1006" s="20">
        <v>1.0278</v>
      </c>
      <c r="I1006" s="20">
        <v>1.0278</v>
      </c>
      <c r="J1006" s="20">
        <v>1.1944999999999999</v>
      </c>
      <c r="K1006" s="20">
        <v>1.1944999999999999</v>
      </c>
      <c r="L1006" s="20">
        <v>1.1944999999999999</v>
      </c>
      <c r="M1006" s="20">
        <v>1.1944999999999999</v>
      </c>
      <c r="N1006" s="20">
        <v>1.1944999999999999</v>
      </c>
      <c r="O1006" s="20">
        <v>1.1944999999999999</v>
      </c>
    </row>
    <row r="1007" spans="1:15" ht="14.4" x14ac:dyDescent="0.3">
      <c r="A1007" s="25" t="s">
        <v>84</v>
      </c>
      <c r="B1007" s="25"/>
      <c r="C1007" s="16" t="s">
        <v>19</v>
      </c>
      <c r="D1007" s="20">
        <v>1.3851</v>
      </c>
      <c r="E1007" s="20">
        <v>1.3851</v>
      </c>
      <c r="F1007" s="20">
        <v>1.3851</v>
      </c>
      <c r="G1007" s="20">
        <v>1.3851</v>
      </c>
      <c r="H1007" s="20">
        <v>1.3851</v>
      </c>
      <c r="I1007" s="20">
        <v>1.3851</v>
      </c>
      <c r="J1007" s="20">
        <v>1.5518000000000001</v>
      </c>
      <c r="K1007" s="20">
        <v>1.5518000000000001</v>
      </c>
      <c r="L1007" s="20">
        <v>1.5518000000000001</v>
      </c>
      <c r="M1007" s="20">
        <v>1.5518000000000001</v>
      </c>
      <c r="N1007" s="20">
        <v>1.5518000000000001</v>
      </c>
      <c r="O1007" s="20">
        <v>1.5518000000000001</v>
      </c>
    </row>
    <row r="1008" spans="1:15" ht="14.4" x14ac:dyDescent="0.3">
      <c r="A1008" s="25" t="s">
        <v>85</v>
      </c>
      <c r="B1008" s="25"/>
      <c r="C1008" s="16" t="s">
        <v>19</v>
      </c>
      <c r="D1008" s="20">
        <v>1.7222999999999999</v>
      </c>
      <c r="E1008" s="20">
        <v>1.7222999999999999</v>
      </c>
      <c r="F1008" s="20">
        <v>1.7222999999999999</v>
      </c>
      <c r="G1008" s="20">
        <v>1.7222999999999999</v>
      </c>
      <c r="H1008" s="20">
        <v>1.7222999999999999</v>
      </c>
      <c r="I1008" s="20">
        <v>1.7222999999999999</v>
      </c>
      <c r="J1008" s="20">
        <v>1.889</v>
      </c>
      <c r="K1008" s="20">
        <v>1.889</v>
      </c>
      <c r="L1008" s="20">
        <v>1.889</v>
      </c>
      <c r="M1008" s="20">
        <v>1.889</v>
      </c>
      <c r="N1008" s="20">
        <v>1.889</v>
      </c>
      <c r="O1008" s="20">
        <v>1.889</v>
      </c>
    </row>
    <row r="1009" spans="1:15" ht="14.4" x14ac:dyDescent="0.3">
      <c r="A1009" s="25" t="s">
        <v>86</v>
      </c>
      <c r="B1009" s="25"/>
      <c r="C1009" s="16" t="s">
        <v>19</v>
      </c>
      <c r="D1009" s="20">
        <v>2.3096000000000001</v>
      </c>
      <c r="E1009" s="20">
        <v>2.3096000000000001</v>
      </c>
      <c r="F1009" s="20">
        <v>2.3096000000000001</v>
      </c>
      <c r="G1009" s="20">
        <v>2.3096000000000001</v>
      </c>
      <c r="H1009" s="20">
        <v>2.3096000000000001</v>
      </c>
      <c r="I1009" s="20">
        <v>2.3096000000000001</v>
      </c>
      <c r="J1009" s="20">
        <v>2.4763000000000002</v>
      </c>
      <c r="K1009" s="20">
        <v>2.4763000000000002</v>
      </c>
      <c r="L1009" s="20">
        <v>2.4763000000000002</v>
      </c>
      <c r="M1009" s="20">
        <v>2.4763000000000002</v>
      </c>
      <c r="N1009" s="20">
        <v>2.4763000000000002</v>
      </c>
      <c r="O1009" s="20">
        <v>2.4763000000000002</v>
      </c>
    </row>
    <row r="1010" spans="1:15" x14ac:dyDescent="0.3">
      <c r="A1010" s="62"/>
      <c r="B1010" s="62"/>
      <c r="C1010" s="63"/>
      <c r="D1010" s="62"/>
      <c r="E1010" s="62"/>
      <c r="F1010" s="62"/>
      <c r="G1010" s="62"/>
      <c r="H1010" s="62"/>
      <c r="I1010" s="62"/>
      <c r="J1010" s="62"/>
      <c r="K1010" s="62"/>
      <c r="L1010" s="62"/>
      <c r="M1010" s="62"/>
      <c r="N1010" s="62"/>
      <c r="O1010" s="62"/>
    </row>
    <row r="1011" spans="1:15" ht="14.4" x14ac:dyDescent="0.3">
      <c r="A1011" s="61" t="s">
        <v>202</v>
      </c>
      <c r="B1011" s="62"/>
      <c r="C1011" s="63"/>
      <c r="D1011" s="62"/>
      <c r="E1011" s="62"/>
      <c r="F1011" s="62"/>
      <c r="G1011" s="62"/>
      <c r="H1011" s="62"/>
      <c r="I1011" s="62"/>
      <c r="J1011" s="62"/>
      <c r="K1011" s="62"/>
      <c r="L1011" s="62"/>
      <c r="M1011" s="62"/>
      <c r="N1011" s="62"/>
      <c r="O1011" s="62"/>
    </row>
    <row r="1012" spans="1:15" ht="14.4" x14ac:dyDescent="0.3">
      <c r="A1012" s="25" t="s">
        <v>68</v>
      </c>
      <c r="B1012" s="25"/>
      <c r="C1012" s="16"/>
      <c r="D1012" s="24"/>
      <c r="E1012" s="24"/>
      <c r="F1012" s="24"/>
      <c r="G1012" s="24"/>
      <c r="H1012" s="24"/>
      <c r="I1012" s="24"/>
      <c r="J1012" s="24"/>
      <c r="K1012" s="24"/>
      <c r="L1012" s="24"/>
      <c r="M1012" s="24"/>
      <c r="N1012" s="24"/>
      <c r="O1012" s="24"/>
    </row>
    <row r="1013" spans="1:15" ht="14.4" x14ac:dyDescent="0.3">
      <c r="A1013" s="25" t="s">
        <v>88</v>
      </c>
      <c r="B1013" s="25"/>
      <c r="C1013" s="16" t="s">
        <v>19</v>
      </c>
      <c r="D1013" s="20">
        <v>0.54749999999999999</v>
      </c>
      <c r="E1013" s="20">
        <v>0.54749999999999999</v>
      </c>
      <c r="F1013" s="20">
        <v>0.54749999999999999</v>
      </c>
      <c r="G1013" s="20">
        <v>0.54749999999999999</v>
      </c>
      <c r="H1013" s="20">
        <v>0.54749999999999999</v>
      </c>
      <c r="I1013" s="20">
        <v>0.54749999999999999</v>
      </c>
      <c r="J1013" s="20">
        <v>0.59499999999999997</v>
      </c>
      <c r="K1013" s="20">
        <v>0.59499999999999997</v>
      </c>
      <c r="L1013" s="20">
        <v>0.59499999999999997</v>
      </c>
      <c r="M1013" s="20">
        <v>0.59499999999999997</v>
      </c>
      <c r="N1013" s="20">
        <v>0.59499999999999997</v>
      </c>
      <c r="O1013" s="20">
        <v>0.59499999999999997</v>
      </c>
    </row>
    <row r="1014" spans="1:15" ht="14.4" x14ac:dyDescent="0.3">
      <c r="A1014" s="25" t="s">
        <v>203</v>
      </c>
      <c r="B1014" s="25"/>
      <c r="C1014" s="16" t="s">
        <v>19</v>
      </c>
      <c r="D1014" s="20">
        <v>0</v>
      </c>
      <c r="E1014" s="20">
        <v>0</v>
      </c>
      <c r="F1014" s="20">
        <v>0</v>
      </c>
      <c r="G1014" s="20">
        <v>0</v>
      </c>
      <c r="H1014" s="20">
        <v>0</v>
      </c>
      <c r="I1014" s="20">
        <v>0</v>
      </c>
      <c r="J1014" s="20">
        <v>0</v>
      </c>
      <c r="K1014" s="20">
        <v>0</v>
      </c>
      <c r="L1014" s="20">
        <v>0</v>
      </c>
      <c r="M1014" s="20">
        <v>0</v>
      </c>
      <c r="N1014" s="20">
        <v>0</v>
      </c>
      <c r="O1014" s="20">
        <v>0</v>
      </c>
    </row>
    <row r="1015" spans="1:15" ht="14.4" x14ac:dyDescent="0.3">
      <c r="A1015" s="25" t="s">
        <v>192</v>
      </c>
      <c r="B1015" s="25"/>
      <c r="C1015" s="16"/>
      <c r="D1015" s="24"/>
      <c r="E1015" s="24"/>
      <c r="F1015" s="24"/>
      <c r="G1015" s="24"/>
      <c r="H1015" s="24"/>
      <c r="I1015" s="24"/>
      <c r="J1015" s="24"/>
      <c r="K1015" s="24"/>
      <c r="L1015" s="24"/>
      <c r="M1015" s="24"/>
      <c r="N1015" s="24"/>
      <c r="O1015" s="24"/>
    </row>
    <row r="1016" spans="1:15" ht="14.4" x14ac:dyDescent="0.3">
      <c r="A1016" s="25" t="s">
        <v>88</v>
      </c>
      <c r="B1016" s="25"/>
      <c r="C1016" s="16" t="s">
        <v>19</v>
      </c>
      <c r="D1016" s="20">
        <v>0.5575</v>
      </c>
      <c r="E1016" s="20">
        <f>E1013+0.01</f>
        <v>0.5575</v>
      </c>
      <c r="F1016" s="20">
        <f t="shared" ref="F1016:O1016" si="59">F1013+0.01</f>
        <v>0.5575</v>
      </c>
      <c r="G1016" s="20">
        <f t="shared" si="59"/>
        <v>0.5575</v>
      </c>
      <c r="H1016" s="20">
        <f t="shared" si="59"/>
        <v>0.5575</v>
      </c>
      <c r="I1016" s="20">
        <f t="shared" si="59"/>
        <v>0.5575</v>
      </c>
      <c r="J1016" s="20">
        <f t="shared" si="59"/>
        <v>0.60499999999999998</v>
      </c>
      <c r="K1016" s="20">
        <f t="shared" si="59"/>
        <v>0.60499999999999998</v>
      </c>
      <c r="L1016" s="20">
        <f t="shared" si="59"/>
        <v>0.60499999999999998</v>
      </c>
      <c r="M1016" s="20">
        <f t="shared" si="59"/>
        <v>0.60499999999999998</v>
      </c>
      <c r="N1016" s="20">
        <f t="shared" si="59"/>
        <v>0.60499999999999998</v>
      </c>
      <c r="O1016" s="20">
        <f t="shared" si="59"/>
        <v>0.60499999999999998</v>
      </c>
    </row>
    <row r="1017" spans="1:15" ht="14.4" x14ac:dyDescent="0.3">
      <c r="A1017" s="25" t="s">
        <v>203</v>
      </c>
      <c r="B1017" s="25"/>
      <c r="C1017" s="16" t="s">
        <v>19</v>
      </c>
      <c r="D1017" s="20">
        <v>0.01</v>
      </c>
      <c r="E1017" s="20">
        <f t="shared" ref="E1017:O1017" si="60">E1015+0.01</f>
        <v>0.01</v>
      </c>
      <c r="F1017" s="20">
        <f t="shared" si="60"/>
        <v>0.01</v>
      </c>
      <c r="G1017" s="20">
        <f t="shared" si="60"/>
        <v>0.01</v>
      </c>
      <c r="H1017" s="20">
        <f t="shared" si="60"/>
        <v>0.01</v>
      </c>
      <c r="I1017" s="20">
        <f t="shared" si="60"/>
        <v>0.01</v>
      </c>
      <c r="J1017" s="20">
        <f t="shared" si="60"/>
        <v>0.01</v>
      </c>
      <c r="K1017" s="20">
        <f t="shared" si="60"/>
        <v>0.01</v>
      </c>
      <c r="L1017" s="20">
        <f t="shared" si="60"/>
        <v>0.01</v>
      </c>
      <c r="M1017" s="20">
        <f t="shared" si="60"/>
        <v>0.01</v>
      </c>
      <c r="N1017" s="20">
        <f t="shared" si="60"/>
        <v>0.01</v>
      </c>
      <c r="O1017" s="20">
        <f t="shared" si="60"/>
        <v>0.01</v>
      </c>
    </row>
    <row r="1018" spans="1:15" x14ac:dyDescent="0.3">
      <c r="A1018" s="62"/>
      <c r="B1018" s="62"/>
      <c r="C1018" s="63"/>
      <c r="D1018" s="62"/>
      <c r="E1018" s="62"/>
      <c r="F1018" s="62"/>
      <c r="G1018" s="62"/>
      <c r="H1018" s="62"/>
      <c r="I1018" s="62"/>
      <c r="J1018" s="62"/>
      <c r="K1018" s="62"/>
      <c r="L1018" s="62"/>
      <c r="M1018" s="62"/>
      <c r="N1018" s="62"/>
      <c r="O1018" s="62"/>
    </row>
    <row r="1019" spans="1:15" ht="14.4" x14ac:dyDescent="0.3">
      <c r="A1019" s="61" t="s">
        <v>90</v>
      </c>
      <c r="B1019" s="62"/>
      <c r="C1019" s="63"/>
      <c r="D1019" s="62"/>
      <c r="E1019" s="62"/>
      <c r="F1019" s="62"/>
      <c r="G1019" s="62"/>
      <c r="H1019" s="62"/>
      <c r="I1019" s="62"/>
      <c r="J1019" s="62"/>
      <c r="K1019" s="62"/>
      <c r="L1019" s="62"/>
      <c r="M1019" s="62"/>
      <c r="N1019" s="62"/>
      <c r="O1019" s="62"/>
    </row>
    <row r="1020" spans="1:15" ht="14.4" x14ac:dyDescent="0.3">
      <c r="A1020" s="25" t="s">
        <v>68</v>
      </c>
      <c r="B1020" s="25"/>
      <c r="C1020" s="16"/>
      <c r="D1020" s="24"/>
      <c r="E1020" s="24"/>
      <c r="F1020" s="24"/>
      <c r="G1020" s="24"/>
      <c r="H1020" s="24"/>
      <c r="I1020" s="24"/>
      <c r="J1020" s="24"/>
      <c r="K1020" s="24"/>
      <c r="L1020" s="24"/>
      <c r="M1020" s="24"/>
      <c r="N1020" s="24"/>
      <c r="O1020" s="24"/>
    </row>
    <row r="1021" spans="1:15" ht="14.4" x14ac:dyDescent="0.3">
      <c r="A1021" s="25" t="s">
        <v>204</v>
      </c>
      <c r="B1021" s="25"/>
      <c r="C1021" s="16"/>
      <c r="D1021" s="69">
        <v>18</v>
      </c>
      <c r="E1021" s="69">
        <v>18</v>
      </c>
      <c r="F1021" s="69">
        <v>18</v>
      </c>
      <c r="G1021" s="69">
        <v>18</v>
      </c>
      <c r="H1021" s="69">
        <v>18</v>
      </c>
      <c r="I1021" s="69">
        <v>18</v>
      </c>
      <c r="J1021" s="69">
        <v>19.57</v>
      </c>
      <c r="K1021" s="69">
        <v>19.57</v>
      </c>
      <c r="L1021" s="69">
        <v>19.57</v>
      </c>
      <c r="M1021" s="69">
        <v>19.57</v>
      </c>
      <c r="N1021" s="69">
        <v>19.57</v>
      </c>
      <c r="O1021" s="69">
        <v>19.57</v>
      </c>
    </row>
    <row r="1022" spans="1:15" ht="14.4" x14ac:dyDescent="0.3">
      <c r="A1022" s="25" t="s">
        <v>205</v>
      </c>
      <c r="B1022" s="25"/>
      <c r="C1022" s="16" t="s">
        <v>32</v>
      </c>
      <c r="D1022" s="69">
        <v>400</v>
      </c>
      <c r="E1022" s="69">
        <v>400</v>
      </c>
      <c r="F1022" s="69">
        <v>400</v>
      </c>
      <c r="G1022" s="69">
        <v>400</v>
      </c>
      <c r="H1022" s="69">
        <v>400</v>
      </c>
      <c r="I1022" s="69">
        <v>400</v>
      </c>
      <c r="J1022" s="69">
        <v>434.7</v>
      </c>
      <c r="K1022" s="69">
        <v>434.7</v>
      </c>
      <c r="L1022" s="69">
        <v>434.7</v>
      </c>
      <c r="M1022" s="69">
        <v>434.7</v>
      </c>
      <c r="N1022" s="69">
        <v>434.7</v>
      </c>
      <c r="O1022" s="69">
        <v>434.7</v>
      </c>
    </row>
    <row r="1023" spans="1:15" ht="14.4" x14ac:dyDescent="0.3">
      <c r="A1023" s="25" t="s">
        <v>206</v>
      </c>
      <c r="B1023" s="25"/>
      <c r="C1023" s="16" t="s">
        <v>32</v>
      </c>
      <c r="D1023" s="69">
        <v>910</v>
      </c>
      <c r="E1023" s="69">
        <v>910</v>
      </c>
      <c r="F1023" s="69">
        <v>910</v>
      </c>
      <c r="G1023" s="69">
        <v>910</v>
      </c>
      <c r="H1023" s="69">
        <v>910</v>
      </c>
      <c r="I1023" s="69">
        <v>910</v>
      </c>
      <c r="J1023" s="69">
        <v>989</v>
      </c>
      <c r="K1023" s="69">
        <v>989</v>
      </c>
      <c r="L1023" s="69">
        <v>989</v>
      </c>
      <c r="M1023" s="69">
        <v>989</v>
      </c>
      <c r="N1023" s="69">
        <v>989</v>
      </c>
      <c r="O1023" s="69">
        <v>989</v>
      </c>
    </row>
    <row r="1024" spans="1:15" ht="14.4" x14ac:dyDescent="0.3">
      <c r="A1024" s="25" t="s">
        <v>207</v>
      </c>
      <c r="B1024" s="25"/>
      <c r="C1024" s="16" t="s">
        <v>32</v>
      </c>
      <c r="D1024" s="69">
        <v>3775</v>
      </c>
      <c r="E1024" s="69">
        <v>3775</v>
      </c>
      <c r="F1024" s="69">
        <v>3775</v>
      </c>
      <c r="G1024" s="69">
        <v>3775</v>
      </c>
      <c r="H1024" s="69">
        <v>3775</v>
      </c>
      <c r="I1024" s="69">
        <v>3775</v>
      </c>
      <c r="J1024" s="69">
        <v>4102</v>
      </c>
      <c r="K1024" s="69">
        <v>4102</v>
      </c>
      <c r="L1024" s="69">
        <v>4102</v>
      </c>
      <c r="M1024" s="69">
        <v>4102</v>
      </c>
      <c r="N1024" s="69">
        <v>4102</v>
      </c>
      <c r="O1024" s="69">
        <v>4102</v>
      </c>
    </row>
    <row r="1025" spans="1:15" ht="14.4" x14ac:dyDescent="0.3">
      <c r="A1025" s="25" t="s">
        <v>208</v>
      </c>
      <c r="B1025" s="25"/>
      <c r="C1025" s="16" t="s">
        <v>32</v>
      </c>
      <c r="D1025" s="69">
        <v>13703</v>
      </c>
      <c r="E1025" s="69">
        <v>13703</v>
      </c>
      <c r="F1025" s="69">
        <v>13703</v>
      </c>
      <c r="G1025" s="69">
        <v>13703</v>
      </c>
      <c r="H1025" s="69">
        <v>13703</v>
      </c>
      <c r="I1025" s="69">
        <v>13703</v>
      </c>
      <c r="J1025" s="69">
        <v>14892</v>
      </c>
      <c r="K1025" s="69">
        <v>14892</v>
      </c>
      <c r="L1025" s="69">
        <v>14892</v>
      </c>
      <c r="M1025" s="69">
        <v>14892</v>
      </c>
      <c r="N1025" s="69">
        <v>14892</v>
      </c>
      <c r="O1025" s="69">
        <v>14892</v>
      </c>
    </row>
    <row r="1026" spans="1:15" ht="14.4" x14ac:dyDescent="0.3">
      <c r="A1026" s="25" t="s">
        <v>209</v>
      </c>
      <c r="B1026" s="25"/>
      <c r="C1026" s="16"/>
      <c r="D1026" s="24"/>
      <c r="E1026" s="24"/>
      <c r="F1026" s="24"/>
      <c r="G1026" s="24"/>
      <c r="H1026" s="24"/>
      <c r="I1026" s="24"/>
      <c r="J1026" s="24"/>
      <c r="K1026" s="24"/>
      <c r="L1026" s="24"/>
      <c r="M1026" s="24"/>
      <c r="N1026" s="24"/>
      <c r="O1026" s="24"/>
    </row>
    <row r="1027" spans="1:15" ht="14.4" x14ac:dyDescent="0.3">
      <c r="A1027" s="25" t="s">
        <v>204</v>
      </c>
      <c r="B1027" s="25"/>
      <c r="C1027" s="16"/>
      <c r="D1027" s="69">
        <f t="shared" ref="D1027:O1031" si="61">D1021*110%</f>
        <v>19.8</v>
      </c>
      <c r="E1027" s="69">
        <f t="shared" si="61"/>
        <v>19.8</v>
      </c>
      <c r="F1027" s="69">
        <f t="shared" si="61"/>
        <v>19.8</v>
      </c>
      <c r="G1027" s="69">
        <f t="shared" si="61"/>
        <v>19.8</v>
      </c>
      <c r="H1027" s="69">
        <f t="shared" si="61"/>
        <v>19.8</v>
      </c>
      <c r="I1027" s="69">
        <f t="shared" si="61"/>
        <v>19.8</v>
      </c>
      <c r="J1027" s="69">
        <f t="shared" si="61"/>
        <v>21.527000000000001</v>
      </c>
      <c r="K1027" s="69">
        <f t="shared" si="61"/>
        <v>21.527000000000001</v>
      </c>
      <c r="L1027" s="69">
        <f t="shared" si="61"/>
        <v>21.527000000000001</v>
      </c>
      <c r="M1027" s="69">
        <f t="shared" si="61"/>
        <v>21.527000000000001</v>
      </c>
      <c r="N1027" s="69">
        <f t="shared" si="61"/>
        <v>21.527000000000001</v>
      </c>
      <c r="O1027" s="69">
        <f t="shared" si="61"/>
        <v>21.527000000000001</v>
      </c>
    </row>
    <row r="1028" spans="1:15" ht="14.4" x14ac:dyDescent="0.3">
      <c r="A1028" s="25" t="s">
        <v>205</v>
      </c>
      <c r="B1028" s="25"/>
      <c r="C1028" s="16" t="s">
        <v>32</v>
      </c>
      <c r="D1028" s="69">
        <f>D1022*110%</f>
        <v>440.00000000000006</v>
      </c>
      <c r="E1028" s="69">
        <f t="shared" si="61"/>
        <v>440.00000000000006</v>
      </c>
      <c r="F1028" s="69">
        <f t="shared" si="61"/>
        <v>440.00000000000006</v>
      </c>
      <c r="G1028" s="69">
        <f t="shared" si="61"/>
        <v>440.00000000000006</v>
      </c>
      <c r="H1028" s="69">
        <f>H1022*110%</f>
        <v>440.00000000000006</v>
      </c>
      <c r="I1028" s="69">
        <f t="shared" si="61"/>
        <v>440.00000000000006</v>
      </c>
      <c r="J1028" s="69">
        <f t="shared" si="61"/>
        <v>478.17</v>
      </c>
      <c r="K1028" s="69">
        <f t="shared" si="61"/>
        <v>478.17</v>
      </c>
      <c r="L1028" s="69">
        <f t="shared" si="61"/>
        <v>478.17</v>
      </c>
      <c r="M1028" s="69">
        <f t="shared" si="61"/>
        <v>478.17</v>
      </c>
      <c r="N1028" s="69">
        <f t="shared" si="61"/>
        <v>478.17</v>
      </c>
      <c r="O1028" s="69">
        <f t="shared" si="61"/>
        <v>478.17</v>
      </c>
    </row>
    <row r="1029" spans="1:15" ht="14.4" x14ac:dyDescent="0.3">
      <c r="A1029" s="25" t="s">
        <v>206</v>
      </c>
      <c r="B1029" s="25"/>
      <c r="C1029" s="16" t="s">
        <v>32</v>
      </c>
      <c r="D1029" s="69">
        <f>D1023*110%</f>
        <v>1001.0000000000001</v>
      </c>
      <c r="E1029" s="69">
        <f t="shared" si="61"/>
        <v>1001.0000000000001</v>
      </c>
      <c r="F1029" s="69">
        <f t="shared" si="61"/>
        <v>1001.0000000000001</v>
      </c>
      <c r="G1029" s="69">
        <f t="shared" si="61"/>
        <v>1001.0000000000001</v>
      </c>
      <c r="H1029" s="69">
        <f>H1023*110%</f>
        <v>1001.0000000000001</v>
      </c>
      <c r="I1029" s="69">
        <f t="shared" si="61"/>
        <v>1001.0000000000001</v>
      </c>
      <c r="J1029" s="69">
        <f t="shared" si="61"/>
        <v>1087.9000000000001</v>
      </c>
      <c r="K1029" s="69">
        <f t="shared" si="61"/>
        <v>1087.9000000000001</v>
      </c>
      <c r="L1029" s="69">
        <f t="shared" si="61"/>
        <v>1087.9000000000001</v>
      </c>
      <c r="M1029" s="69">
        <f t="shared" si="61"/>
        <v>1087.9000000000001</v>
      </c>
      <c r="N1029" s="69">
        <f t="shared" si="61"/>
        <v>1087.9000000000001</v>
      </c>
      <c r="O1029" s="69">
        <f t="shared" si="61"/>
        <v>1087.9000000000001</v>
      </c>
    </row>
    <row r="1030" spans="1:15" ht="14.4" x14ac:dyDescent="0.3">
      <c r="A1030" s="25" t="s">
        <v>207</v>
      </c>
      <c r="B1030" s="25"/>
      <c r="C1030" s="16" t="s">
        <v>32</v>
      </c>
      <c r="D1030" s="69">
        <f>D1024*110%</f>
        <v>4152.5</v>
      </c>
      <c r="E1030" s="69">
        <f t="shared" si="61"/>
        <v>4152.5</v>
      </c>
      <c r="F1030" s="69">
        <f t="shared" si="61"/>
        <v>4152.5</v>
      </c>
      <c r="G1030" s="69">
        <f t="shared" si="61"/>
        <v>4152.5</v>
      </c>
      <c r="H1030" s="69">
        <f>H1024*110%</f>
        <v>4152.5</v>
      </c>
      <c r="I1030" s="69">
        <f t="shared" si="61"/>
        <v>4152.5</v>
      </c>
      <c r="J1030" s="69">
        <f t="shared" si="61"/>
        <v>4512.2000000000007</v>
      </c>
      <c r="K1030" s="69">
        <f t="shared" si="61"/>
        <v>4512.2000000000007</v>
      </c>
      <c r="L1030" s="69">
        <f t="shared" si="61"/>
        <v>4512.2000000000007</v>
      </c>
      <c r="M1030" s="69">
        <f t="shared" si="61"/>
        <v>4512.2000000000007</v>
      </c>
      <c r="N1030" s="69">
        <f t="shared" si="61"/>
        <v>4512.2000000000007</v>
      </c>
      <c r="O1030" s="69">
        <f t="shared" si="61"/>
        <v>4512.2000000000007</v>
      </c>
    </row>
    <row r="1031" spans="1:15" ht="14.4" x14ac:dyDescent="0.3">
      <c r="A1031" s="25" t="s">
        <v>208</v>
      </c>
      <c r="B1031" s="25"/>
      <c r="C1031" s="16" t="s">
        <v>32</v>
      </c>
      <c r="D1031" s="69">
        <f>D1025*110%</f>
        <v>15073.300000000001</v>
      </c>
      <c r="E1031" s="69">
        <f t="shared" si="61"/>
        <v>15073.300000000001</v>
      </c>
      <c r="F1031" s="69">
        <f t="shared" si="61"/>
        <v>15073.300000000001</v>
      </c>
      <c r="G1031" s="69">
        <f t="shared" si="61"/>
        <v>15073.300000000001</v>
      </c>
      <c r="H1031" s="69">
        <f>H1025*110%</f>
        <v>15073.300000000001</v>
      </c>
      <c r="I1031" s="69">
        <f t="shared" si="61"/>
        <v>15073.300000000001</v>
      </c>
      <c r="J1031" s="69">
        <f t="shared" si="61"/>
        <v>16381.2</v>
      </c>
      <c r="K1031" s="69">
        <f t="shared" si="61"/>
        <v>16381.2</v>
      </c>
      <c r="L1031" s="69">
        <f t="shared" si="61"/>
        <v>16381.2</v>
      </c>
      <c r="M1031" s="69">
        <f t="shared" si="61"/>
        <v>16381.2</v>
      </c>
      <c r="N1031" s="69">
        <f t="shared" si="61"/>
        <v>16381.2</v>
      </c>
      <c r="O1031" s="69">
        <f t="shared" si="61"/>
        <v>16381.2</v>
      </c>
    </row>
    <row r="1032" spans="1:15" ht="14.4" x14ac:dyDescent="0.3">
      <c r="A1032" s="25" t="s">
        <v>210</v>
      </c>
      <c r="B1032" s="25"/>
      <c r="C1032" s="16"/>
      <c r="D1032" s="24"/>
      <c r="E1032" s="24"/>
      <c r="F1032" s="24"/>
      <c r="G1032" s="24"/>
      <c r="H1032" s="24"/>
      <c r="I1032" s="24"/>
      <c r="J1032" s="24"/>
      <c r="K1032" s="24"/>
      <c r="L1032" s="24"/>
      <c r="M1032" s="24"/>
      <c r="N1032" s="24"/>
      <c r="O1032" s="24"/>
    </row>
    <row r="1033" spans="1:15" ht="14.4" x14ac:dyDescent="0.3">
      <c r="A1033" s="25" t="s">
        <v>204</v>
      </c>
      <c r="B1033" s="25"/>
      <c r="C1033" s="16"/>
      <c r="D1033" s="69">
        <f t="shared" ref="D1033:O1037" si="62">D1021+49.39</f>
        <v>67.39</v>
      </c>
      <c r="E1033" s="69">
        <f t="shared" si="62"/>
        <v>67.39</v>
      </c>
      <c r="F1033" s="69">
        <f t="shared" si="62"/>
        <v>67.39</v>
      </c>
      <c r="G1033" s="69">
        <f t="shared" si="62"/>
        <v>67.39</v>
      </c>
      <c r="H1033" s="69">
        <f t="shared" si="62"/>
        <v>67.39</v>
      </c>
      <c r="I1033" s="69">
        <f t="shared" si="62"/>
        <v>67.39</v>
      </c>
      <c r="J1033" s="69">
        <f t="shared" si="62"/>
        <v>68.960000000000008</v>
      </c>
      <c r="K1033" s="69">
        <f t="shared" si="62"/>
        <v>68.960000000000008</v>
      </c>
      <c r="L1033" s="69">
        <f t="shared" si="62"/>
        <v>68.960000000000008</v>
      </c>
      <c r="M1033" s="69">
        <f t="shared" si="62"/>
        <v>68.960000000000008</v>
      </c>
      <c r="N1033" s="69">
        <f t="shared" si="62"/>
        <v>68.960000000000008</v>
      </c>
      <c r="O1033" s="69">
        <f t="shared" si="62"/>
        <v>68.960000000000008</v>
      </c>
    </row>
    <row r="1034" spans="1:15" ht="14.4" x14ac:dyDescent="0.3">
      <c r="A1034" s="25" t="s">
        <v>205</v>
      </c>
      <c r="B1034" s="25"/>
      <c r="C1034" s="16" t="s">
        <v>32</v>
      </c>
      <c r="D1034" s="69">
        <f>D1022+49.39</f>
        <v>449.39</v>
      </c>
      <c r="E1034" s="69">
        <f t="shared" si="62"/>
        <v>449.39</v>
      </c>
      <c r="F1034" s="69">
        <f t="shared" si="62"/>
        <v>449.39</v>
      </c>
      <c r="G1034" s="69">
        <f t="shared" si="62"/>
        <v>449.39</v>
      </c>
      <c r="H1034" s="69">
        <f>H1022+49.39</f>
        <v>449.39</v>
      </c>
      <c r="I1034" s="69">
        <f t="shared" si="62"/>
        <v>449.39</v>
      </c>
      <c r="J1034" s="69">
        <f t="shared" si="62"/>
        <v>484.09</v>
      </c>
      <c r="K1034" s="69">
        <f t="shared" si="62"/>
        <v>484.09</v>
      </c>
      <c r="L1034" s="69">
        <f t="shared" si="62"/>
        <v>484.09</v>
      </c>
      <c r="M1034" s="69">
        <f t="shared" si="62"/>
        <v>484.09</v>
      </c>
      <c r="N1034" s="69">
        <f t="shared" si="62"/>
        <v>484.09</v>
      </c>
      <c r="O1034" s="69">
        <f t="shared" si="62"/>
        <v>484.09</v>
      </c>
    </row>
    <row r="1035" spans="1:15" ht="14.4" x14ac:dyDescent="0.3">
      <c r="A1035" s="25" t="s">
        <v>206</v>
      </c>
      <c r="B1035" s="25"/>
      <c r="C1035" s="16" t="s">
        <v>32</v>
      </c>
      <c r="D1035" s="69">
        <f>D1023+49.39</f>
        <v>959.39</v>
      </c>
      <c r="E1035" s="69">
        <f t="shared" si="62"/>
        <v>959.39</v>
      </c>
      <c r="F1035" s="69">
        <f t="shared" si="62"/>
        <v>959.39</v>
      </c>
      <c r="G1035" s="69">
        <f t="shared" si="62"/>
        <v>959.39</v>
      </c>
      <c r="H1035" s="69">
        <f>H1023+49.39</f>
        <v>959.39</v>
      </c>
      <c r="I1035" s="69">
        <f t="shared" si="62"/>
        <v>959.39</v>
      </c>
      <c r="J1035" s="69">
        <f>J1023+49.39</f>
        <v>1038.3900000000001</v>
      </c>
      <c r="K1035" s="69">
        <f t="shared" si="62"/>
        <v>1038.3900000000001</v>
      </c>
      <c r="L1035" s="69">
        <f t="shared" si="62"/>
        <v>1038.3900000000001</v>
      </c>
      <c r="M1035" s="69">
        <f t="shared" si="62"/>
        <v>1038.3900000000001</v>
      </c>
      <c r="N1035" s="69">
        <f t="shared" si="62"/>
        <v>1038.3900000000001</v>
      </c>
      <c r="O1035" s="69">
        <f t="shared" si="62"/>
        <v>1038.3900000000001</v>
      </c>
    </row>
    <row r="1036" spans="1:15" ht="14.4" x14ac:dyDescent="0.3">
      <c r="A1036" s="25" t="s">
        <v>207</v>
      </c>
      <c r="B1036" s="25"/>
      <c r="C1036" s="16" t="s">
        <v>32</v>
      </c>
      <c r="D1036" s="69">
        <f>D1024+49.39</f>
        <v>3824.39</v>
      </c>
      <c r="E1036" s="69">
        <f t="shared" si="62"/>
        <v>3824.39</v>
      </c>
      <c r="F1036" s="69">
        <f t="shared" si="62"/>
        <v>3824.39</v>
      </c>
      <c r="G1036" s="69">
        <f t="shared" si="62"/>
        <v>3824.39</v>
      </c>
      <c r="H1036" s="69">
        <f>H1024+49.39</f>
        <v>3824.39</v>
      </c>
      <c r="I1036" s="69">
        <f t="shared" si="62"/>
        <v>3824.39</v>
      </c>
      <c r="J1036" s="69">
        <f t="shared" si="62"/>
        <v>4151.3900000000003</v>
      </c>
      <c r="K1036" s="69">
        <f t="shared" si="62"/>
        <v>4151.3900000000003</v>
      </c>
      <c r="L1036" s="69">
        <f t="shared" si="62"/>
        <v>4151.3900000000003</v>
      </c>
      <c r="M1036" s="69">
        <f t="shared" si="62"/>
        <v>4151.3900000000003</v>
      </c>
      <c r="N1036" s="69">
        <f t="shared" si="62"/>
        <v>4151.3900000000003</v>
      </c>
      <c r="O1036" s="69">
        <f t="shared" si="62"/>
        <v>4151.3900000000003</v>
      </c>
    </row>
    <row r="1037" spans="1:15" ht="14.4" x14ac:dyDescent="0.3">
      <c r="A1037" s="25" t="s">
        <v>208</v>
      </c>
      <c r="B1037" s="25"/>
      <c r="C1037" s="16" t="s">
        <v>32</v>
      </c>
      <c r="D1037" s="69">
        <f>D1025+49.39</f>
        <v>13752.39</v>
      </c>
      <c r="E1037" s="69">
        <f t="shared" si="62"/>
        <v>13752.39</v>
      </c>
      <c r="F1037" s="69">
        <f t="shared" si="62"/>
        <v>13752.39</v>
      </c>
      <c r="G1037" s="69">
        <f>G1025+49.39</f>
        <v>13752.39</v>
      </c>
      <c r="H1037" s="69">
        <f>H1025+49.39</f>
        <v>13752.39</v>
      </c>
      <c r="I1037" s="69">
        <f t="shared" si="62"/>
        <v>13752.39</v>
      </c>
      <c r="J1037" s="69">
        <f t="shared" si="62"/>
        <v>14941.39</v>
      </c>
      <c r="K1037" s="69">
        <f t="shared" si="62"/>
        <v>14941.39</v>
      </c>
      <c r="L1037" s="69">
        <f t="shared" si="62"/>
        <v>14941.39</v>
      </c>
      <c r="M1037" s="69">
        <f t="shared" si="62"/>
        <v>14941.39</v>
      </c>
      <c r="N1037" s="69">
        <f t="shared" si="62"/>
        <v>14941.39</v>
      </c>
      <c r="O1037" s="69">
        <f t="shared" si="62"/>
        <v>14941.39</v>
      </c>
    </row>
    <row r="1038" spans="1:15" x14ac:dyDescent="0.3">
      <c r="A1038" s="62"/>
      <c r="B1038" s="62"/>
      <c r="C1038" s="63"/>
      <c r="D1038" s="181"/>
      <c r="E1038" s="181"/>
      <c r="F1038" s="181"/>
      <c r="G1038" s="181"/>
      <c r="H1038" s="181"/>
      <c r="I1038" s="181"/>
      <c r="J1038" s="181"/>
      <c r="K1038" s="181"/>
      <c r="L1038" s="181"/>
      <c r="M1038" s="181"/>
      <c r="N1038" s="181"/>
      <c r="O1038" s="181"/>
    </row>
    <row r="1039" spans="1:15" ht="14.4" x14ac:dyDescent="0.3">
      <c r="A1039" s="61" t="s">
        <v>96</v>
      </c>
      <c r="B1039" s="62"/>
      <c r="C1039" s="63"/>
      <c r="D1039" s="62"/>
      <c r="E1039" s="62"/>
      <c r="F1039" s="62"/>
      <c r="G1039" s="62"/>
      <c r="H1039" s="62"/>
      <c r="I1039" s="62"/>
      <c r="J1039" s="62"/>
      <c r="K1039" s="62"/>
      <c r="L1039" s="62"/>
      <c r="M1039" s="62"/>
      <c r="N1039" s="62"/>
      <c r="O1039" s="62"/>
    </row>
    <row r="1040" spans="1:15" ht="14.4" x14ac:dyDescent="0.3">
      <c r="A1040" s="25" t="s">
        <v>68</v>
      </c>
      <c r="B1040" s="25"/>
      <c r="C1040" s="16"/>
      <c r="D1040" s="24"/>
      <c r="E1040" s="24"/>
      <c r="F1040" s="24"/>
      <c r="G1040" s="24"/>
      <c r="H1040" s="24"/>
      <c r="I1040" s="24"/>
      <c r="J1040" s="24"/>
      <c r="K1040" s="24"/>
      <c r="L1040" s="24"/>
      <c r="M1040" s="24"/>
      <c r="N1040" s="24"/>
      <c r="O1040" s="24"/>
    </row>
    <row r="1041" spans="1:15" ht="14.4" x14ac:dyDescent="0.3">
      <c r="A1041" s="25" t="s">
        <v>204</v>
      </c>
      <c r="B1041" s="25"/>
      <c r="C1041" s="16" t="s">
        <v>32</v>
      </c>
      <c r="D1041" s="69">
        <v>5</v>
      </c>
      <c r="E1041" s="69">
        <v>5</v>
      </c>
      <c r="F1041" s="69">
        <v>5</v>
      </c>
      <c r="G1041" s="69">
        <v>5</v>
      </c>
      <c r="H1041" s="69">
        <v>5</v>
      </c>
      <c r="I1041" s="69">
        <v>5</v>
      </c>
      <c r="J1041" s="69">
        <v>5</v>
      </c>
      <c r="K1041" s="69">
        <v>5</v>
      </c>
      <c r="L1041" s="69">
        <v>5</v>
      </c>
      <c r="M1041" s="69">
        <v>5</v>
      </c>
      <c r="N1041" s="69">
        <v>5</v>
      </c>
      <c r="O1041" s="69">
        <v>5</v>
      </c>
    </row>
    <row r="1042" spans="1:15" ht="14.4" x14ac:dyDescent="0.3">
      <c r="A1042" s="25" t="s">
        <v>205</v>
      </c>
      <c r="B1042" s="25"/>
      <c r="C1042" s="16" t="s">
        <v>32</v>
      </c>
      <c r="D1042" s="69">
        <v>390</v>
      </c>
      <c r="E1042" s="69">
        <v>390</v>
      </c>
      <c r="F1042" s="69">
        <v>390</v>
      </c>
      <c r="G1042" s="69">
        <v>390</v>
      </c>
      <c r="H1042" s="69">
        <v>390</v>
      </c>
      <c r="I1042" s="69">
        <v>390</v>
      </c>
      <c r="J1042" s="69">
        <v>424</v>
      </c>
      <c r="K1042" s="69">
        <v>424</v>
      </c>
      <c r="L1042" s="69">
        <v>424</v>
      </c>
      <c r="M1042" s="69">
        <v>424</v>
      </c>
      <c r="N1042" s="69">
        <v>424</v>
      </c>
      <c r="O1042" s="69">
        <v>424</v>
      </c>
    </row>
    <row r="1043" spans="1:15" ht="14.4" x14ac:dyDescent="0.3">
      <c r="A1043" s="25" t="s">
        <v>206</v>
      </c>
      <c r="B1043" s="25"/>
      <c r="C1043" s="16" t="s">
        <v>32</v>
      </c>
      <c r="D1043" s="69">
        <v>915</v>
      </c>
      <c r="E1043" s="69">
        <v>915</v>
      </c>
      <c r="F1043" s="69">
        <v>915</v>
      </c>
      <c r="G1043" s="69">
        <v>915</v>
      </c>
      <c r="H1043" s="69">
        <v>915</v>
      </c>
      <c r="I1043" s="69">
        <v>915</v>
      </c>
      <c r="J1043" s="69">
        <v>994</v>
      </c>
      <c r="K1043" s="69">
        <v>994</v>
      </c>
      <c r="L1043" s="69">
        <v>994</v>
      </c>
      <c r="M1043" s="69">
        <v>994</v>
      </c>
      <c r="N1043" s="69">
        <v>994</v>
      </c>
      <c r="O1043" s="69">
        <v>994</v>
      </c>
    </row>
    <row r="1044" spans="1:15" ht="14.4" x14ac:dyDescent="0.3">
      <c r="A1044" s="25" t="s">
        <v>207</v>
      </c>
      <c r="B1044" s="25"/>
      <c r="C1044" s="16" t="s">
        <v>32</v>
      </c>
      <c r="D1044" s="69">
        <v>3795</v>
      </c>
      <c r="E1044" s="69">
        <v>3795</v>
      </c>
      <c r="F1044" s="69">
        <v>3795</v>
      </c>
      <c r="G1044" s="69">
        <v>3795</v>
      </c>
      <c r="H1044" s="69">
        <v>3795</v>
      </c>
      <c r="I1044" s="69">
        <v>3795</v>
      </c>
      <c r="J1044" s="69">
        <v>4125</v>
      </c>
      <c r="K1044" s="69">
        <v>4125</v>
      </c>
      <c r="L1044" s="69">
        <v>4125</v>
      </c>
      <c r="M1044" s="69">
        <v>4125</v>
      </c>
      <c r="N1044" s="69">
        <v>4125</v>
      </c>
      <c r="O1044" s="69">
        <v>4125</v>
      </c>
    </row>
    <row r="1045" spans="1:15" ht="14.4" x14ac:dyDescent="0.3">
      <c r="A1045" s="25" t="s">
        <v>208</v>
      </c>
      <c r="B1045" s="25"/>
      <c r="C1045" s="16" t="s">
        <v>32</v>
      </c>
      <c r="D1045" s="69">
        <v>13006</v>
      </c>
      <c r="E1045" s="69">
        <v>13006</v>
      </c>
      <c r="F1045" s="69">
        <v>13006</v>
      </c>
      <c r="G1045" s="69">
        <v>13006</v>
      </c>
      <c r="H1045" s="69">
        <v>13006</v>
      </c>
      <c r="I1045" s="69">
        <v>13006</v>
      </c>
      <c r="J1045" s="69">
        <v>14130</v>
      </c>
      <c r="K1045" s="69">
        <v>14130</v>
      </c>
      <c r="L1045" s="69">
        <v>14130</v>
      </c>
      <c r="M1045" s="69">
        <v>14130</v>
      </c>
      <c r="N1045" s="69">
        <v>14130</v>
      </c>
      <c r="O1045" s="69">
        <v>14130</v>
      </c>
    </row>
    <row r="1046" spans="1:15" ht="14.4" x14ac:dyDescent="0.3">
      <c r="A1046" s="25" t="s">
        <v>209</v>
      </c>
      <c r="B1046" s="25"/>
      <c r="C1046" s="16"/>
      <c r="D1046" s="24"/>
      <c r="E1046" s="24"/>
      <c r="F1046" s="24"/>
      <c r="G1046" s="24"/>
      <c r="H1046" s="24"/>
      <c r="I1046" s="24"/>
      <c r="J1046" s="24"/>
      <c r="K1046" s="24"/>
      <c r="L1046" s="24"/>
      <c r="M1046" s="24"/>
      <c r="N1046" s="24"/>
      <c r="O1046" s="24"/>
    </row>
    <row r="1047" spans="1:15" ht="14.4" x14ac:dyDescent="0.3">
      <c r="A1047" s="25" t="s">
        <v>204</v>
      </c>
      <c r="B1047" s="25"/>
      <c r="C1047" s="16"/>
      <c r="D1047" s="69">
        <f t="shared" ref="D1047:O1051" si="63">D1041*110%</f>
        <v>5.5</v>
      </c>
      <c r="E1047" s="69">
        <f t="shared" si="63"/>
        <v>5.5</v>
      </c>
      <c r="F1047" s="69">
        <f t="shared" si="63"/>
        <v>5.5</v>
      </c>
      <c r="G1047" s="69">
        <f t="shared" si="63"/>
        <v>5.5</v>
      </c>
      <c r="H1047" s="69">
        <f t="shared" si="63"/>
        <v>5.5</v>
      </c>
      <c r="I1047" s="69">
        <f t="shared" si="63"/>
        <v>5.5</v>
      </c>
      <c r="J1047" s="69">
        <f t="shared" si="63"/>
        <v>5.5</v>
      </c>
      <c r="K1047" s="69">
        <f t="shared" si="63"/>
        <v>5.5</v>
      </c>
      <c r="L1047" s="69">
        <f t="shared" si="63"/>
        <v>5.5</v>
      </c>
      <c r="M1047" s="69">
        <f t="shared" si="63"/>
        <v>5.5</v>
      </c>
      <c r="N1047" s="69">
        <f t="shared" si="63"/>
        <v>5.5</v>
      </c>
      <c r="O1047" s="69">
        <f t="shared" si="63"/>
        <v>5.5</v>
      </c>
    </row>
    <row r="1048" spans="1:15" ht="14.4" x14ac:dyDescent="0.3">
      <c r="A1048" s="25" t="s">
        <v>205</v>
      </c>
      <c r="B1048" s="25"/>
      <c r="C1048" s="16" t="s">
        <v>32</v>
      </c>
      <c r="D1048" s="69">
        <f>D1042*110%</f>
        <v>429.00000000000006</v>
      </c>
      <c r="E1048" s="69">
        <f t="shared" si="63"/>
        <v>429.00000000000006</v>
      </c>
      <c r="F1048" s="69">
        <f t="shared" si="63"/>
        <v>429.00000000000006</v>
      </c>
      <c r="G1048" s="69">
        <f t="shared" si="63"/>
        <v>429.00000000000006</v>
      </c>
      <c r="H1048" s="69">
        <f>H1042*110%</f>
        <v>429.00000000000006</v>
      </c>
      <c r="I1048" s="69">
        <f t="shared" si="63"/>
        <v>429.00000000000006</v>
      </c>
      <c r="J1048" s="69">
        <f t="shared" si="63"/>
        <v>466.40000000000003</v>
      </c>
      <c r="K1048" s="69">
        <f t="shared" si="63"/>
        <v>466.40000000000003</v>
      </c>
      <c r="L1048" s="69">
        <f t="shared" si="63"/>
        <v>466.40000000000003</v>
      </c>
      <c r="M1048" s="69">
        <f t="shared" si="63"/>
        <v>466.40000000000003</v>
      </c>
      <c r="N1048" s="69">
        <f t="shared" si="63"/>
        <v>466.40000000000003</v>
      </c>
      <c r="O1048" s="69">
        <f t="shared" si="63"/>
        <v>466.40000000000003</v>
      </c>
    </row>
    <row r="1049" spans="1:15" ht="14.4" x14ac:dyDescent="0.3">
      <c r="A1049" s="25" t="s">
        <v>206</v>
      </c>
      <c r="B1049" s="25"/>
      <c r="C1049" s="16" t="s">
        <v>32</v>
      </c>
      <c r="D1049" s="69">
        <f>D1043*110%</f>
        <v>1006.5000000000001</v>
      </c>
      <c r="E1049" s="69">
        <f t="shared" si="63"/>
        <v>1006.5000000000001</v>
      </c>
      <c r="F1049" s="69">
        <f t="shared" si="63"/>
        <v>1006.5000000000001</v>
      </c>
      <c r="G1049" s="69">
        <f t="shared" si="63"/>
        <v>1006.5000000000001</v>
      </c>
      <c r="H1049" s="69">
        <f>H1043*110%</f>
        <v>1006.5000000000001</v>
      </c>
      <c r="I1049" s="69">
        <f t="shared" si="63"/>
        <v>1006.5000000000001</v>
      </c>
      <c r="J1049" s="69">
        <f t="shared" si="63"/>
        <v>1093.4000000000001</v>
      </c>
      <c r="K1049" s="69">
        <f t="shared" si="63"/>
        <v>1093.4000000000001</v>
      </c>
      <c r="L1049" s="69">
        <f t="shared" si="63"/>
        <v>1093.4000000000001</v>
      </c>
      <c r="M1049" s="69">
        <f t="shared" si="63"/>
        <v>1093.4000000000001</v>
      </c>
      <c r="N1049" s="69">
        <f t="shared" si="63"/>
        <v>1093.4000000000001</v>
      </c>
      <c r="O1049" s="69">
        <f t="shared" si="63"/>
        <v>1093.4000000000001</v>
      </c>
    </row>
    <row r="1050" spans="1:15" ht="14.4" x14ac:dyDescent="0.3">
      <c r="A1050" s="25" t="s">
        <v>207</v>
      </c>
      <c r="B1050" s="25"/>
      <c r="C1050" s="16" t="s">
        <v>32</v>
      </c>
      <c r="D1050" s="69">
        <f>D1044*110%</f>
        <v>4174.5</v>
      </c>
      <c r="E1050" s="69">
        <f t="shared" si="63"/>
        <v>4174.5</v>
      </c>
      <c r="F1050" s="69">
        <f t="shared" si="63"/>
        <v>4174.5</v>
      </c>
      <c r="G1050" s="69">
        <f t="shared" si="63"/>
        <v>4174.5</v>
      </c>
      <c r="H1050" s="69">
        <f>H1044*110%</f>
        <v>4174.5</v>
      </c>
      <c r="I1050" s="69">
        <f t="shared" si="63"/>
        <v>4174.5</v>
      </c>
      <c r="J1050" s="69">
        <f t="shared" si="63"/>
        <v>4537.5</v>
      </c>
      <c r="K1050" s="69">
        <f t="shared" si="63"/>
        <v>4537.5</v>
      </c>
      <c r="L1050" s="69">
        <f t="shared" si="63"/>
        <v>4537.5</v>
      </c>
      <c r="M1050" s="69">
        <f t="shared" si="63"/>
        <v>4537.5</v>
      </c>
      <c r="N1050" s="69">
        <f t="shared" si="63"/>
        <v>4537.5</v>
      </c>
      <c r="O1050" s="69">
        <f t="shared" si="63"/>
        <v>4537.5</v>
      </c>
    </row>
    <row r="1051" spans="1:15" ht="14.4" x14ac:dyDescent="0.3">
      <c r="A1051" s="25" t="s">
        <v>208</v>
      </c>
      <c r="B1051" s="25"/>
      <c r="C1051" s="16" t="s">
        <v>32</v>
      </c>
      <c r="D1051" s="69">
        <f>D1045*110%</f>
        <v>14306.6</v>
      </c>
      <c r="E1051" s="69">
        <f t="shared" si="63"/>
        <v>14306.6</v>
      </c>
      <c r="F1051" s="69">
        <f t="shared" si="63"/>
        <v>14306.6</v>
      </c>
      <c r="G1051" s="69">
        <f t="shared" si="63"/>
        <v>14306.6</v>
      </c>
      <c r="H1051" s="69">
        <f>H1045*110%</f>
        <v>14306.6</v>
      </c>
      <c r="I1051" s="69">
        <f t="shared" si="63"/>
        <v>14306.6</v>
      </c>
      <c r="J1051" s="69">
        <f t="shared" si="63"/>
        <v>15543.000000000002</v>
      </c>
      <c r="K1051" s="69">
        <f t="shared" si="63"/>
        <v>15543.000000000002</v>
      </c>
      <c r="L1051" s="69">
        <f t="shared" si="63"/>
        <v>15543.000000000002</v>
      </c>
      <c r="M1051" s="69">
        <f t="shared" si="63"/>
        <v>15543.000000000002</v>
      </c>
      <c r="N1051" s="69">
        <f t="shared" si="63"/>
        <v>15543.000000000002</v>
      </c>
      <c r="O1051" s="69">
        <f t="shared" si="63"/>
        <v>15543.000000000002</v>
      </c>
    </row>
    <row r="1052" spans="1:15" ht="14.4" x14ac:dyDescent="0.3">
      <c r="A1052" s="25" t="s">
        <v>210</v>
      </c>
      <c r="B1052" s="25"/>
      <c r="C1052" s="16"/>
      <c r="D1052" s="24"/>
      <c r="E1052" s="24"/>
      <c r="F1052" s="24"/>
      <c r="G1052" s="24"/>
      <c r="H1052" s="24"/>
      <c r="I1052" s="24"/>
      <c r="J1052" s="24"/>
      <c r="K1052" s="24"/>
      <c r="L1052" s="24"/>
      <c r="M1052" s="24"/>
      <c r="N1052" s="24"/>
      <c r="O1052" s="24"/>
    </row>
    <row r="1053" spans="1:15" ht="14.4" x14ac:dyDescent="0.3">
      <c r="A1053" s="25" t="s">
        <v>206</v>
      </c>
      <c r="B1053" s="25"/>
      <c r="C1053" s="16" t="s">
        <v>32</v>
      </c>
      <c r="D1053" s="69">
        <f t="shared" ref="D1053:O1055" si="64">D1043+1620.67</f>
        <v>2535.67</v>
      </c>
      <c r="E1053" s="69">
        <f t="shared" si="64"/>
        <v>2535.67</v>
      </c>
      <c r="F1053" s="69">
        <f t="shared" si="64"/>
        <v>2535.67</v>
      </c>
      <c r="G1053" s="69">
        <f>G1043+1620.67</f>
        <v>2535.67</v>
      </c>
      <c r="H1053" s="69">
        <f t="shared" si="64"/>
        <v>2535.67</v>
      </c>
      <c r="I1053" s="69">
        <f t="shared" si="64"/>
        <v>2535.67</v>
      </c>
      <c r="J1053" s="69">
        <f t="shared" si="64"/>
        <v>2614.67</v>
      </c>
      <c r="K1053" s="69">
        <f t="shared" si="64"/>
        <v>2614.67</v>
      </c>
      <c r="L1053" s="69">
        <f t="shared" si="64"/>
        <v>2614.67</v>
      </c>
      <c r="M1053" s="69">
        <f t="shared" si="64"/>
        <v>2614.67</v>
      </c>
      <c r="N1053" s="69">
        <f t="shared" si="64"/>
        <v>2614.67</v>
      </c>
      <c r="O1053" s="69">
        <f t="shared" si="64"/>
        <v>2614.67</v>
      </c>
    </row>
    <row r="1054" spans="1:15" ht="14.4" x14ac:dyDescent="0.3">
      <c r="A1054" s="25" t="s">
        <v>207</v>
      </c>
      <c r="B1054" s="25"/>
      <c r="C1054" s="16" t="s">
        <v>32</v>
      </c>
      <c r="D1054" s="69">
        <f>D1044+1620.67</f>
        <v>5415.67</v>
      </c>
      <c r="E1054" s="69">
        <f t="shared" si="64"/>
        <v>5415.67</v>
      </c>
      <c r="F1054" s="69">
        <f t="shared" si="64"/>
        <v>5415.67</v>
      </c>
      <c r="G1054" s="69">
        <f t="shared" si="64"/>
        <v>5415.67</v>
      </c>
      <c r="H1054" s="69">
        <f>H1044+1620.67</f>
        <v>5415.67</v>
      </c>
      <c r="I1054" s="69">
        <f t="shared" si="64"/>
        <v>5415.67</v>
      </c>
      <c r="J1054" s="69">
        <f t="shared" si="64"/>
        <v>5745.67</v>
      </c>
      <c r="K1054" s="69">
        <f t="shared" si="64"/>
        <v>5745.67</v>
      </c>
      <c r="L1054" s="69">
        <f t="shared" si="64"/>
        <v>5745.67</v>
      </c>
      <c r="M1054" s="69">
        <f t="shared" si="64"/>
        <v>5745.67</v>
      </c>
      <c r="N1054" s="69">
        <f t="shared" si="64"/>
        <v>5745.67</v>
      </c>
      <c r="O1054" s="69">
        <f t="shared" si="64"/>
        <v>5745.67</v>
      </c>
    </row>
    <row r="1055" spans="1:15" ht="14.4" x14ac:dyDescent="0.3">
      <c r="A1055" s="25" t="s">
        <v>208</v>
      </c>
      <c r="B1055" s="25"/>
      <c r="C1055" s="16" t="s">
        <v>32</v>
      </c>
      <c r="D1055" s="69">
        <f>D1045+1620.67</f>
        <v>14626.67</v>
      </c>
      <c r="E1055" s="69">
        <f t="shared" si="64"/>
        <v>14626.67</v>
      </c>
      <c r="F1055" s="69">
        <f t="shared" si="64"/>
        <v>14626.67</v>
      </c>
      <c r="G1055" s="69">
        <f t="shared" si="64"/>
        <v>14626.67</v>
      </c>
      <c r="H1055" s="69">
        <f>H1045+1620.67</f>
        <v>14626.67</v>
      </c>
      <c r="I1055" s="69">
        <f t="shared" si="64"/>
        <v>14626.67</v>
      </c>
      <c r="J1055" s="69">
        <f t="shared" si="64"/>
        <v>15750.67</v>
      </c>
      <c r="K1055" s="69">
        <f t="shared" si="64"/>
        <v>15750.67</v>
      </c>
      <c r="L1055" s="69">
        <f t="shared" si="64"/>
        <v>15750.67</v>
      </c>
      <c r="M1055" s="69">
        <f t="shared" si="64"/>
        <v>15750.67</v>
      </c>
      <c r="N1055" s="69">
        <f t="shared" si="64"/>
        <v>15750.67</v>
      </c>
      <c r="O1055" s="69">
        <f t="shared" si="64"/>
        <v>15750.67</v>
      </c>
    </row>
    <row r="1056" spans="1:15" ht="14.4" x14ac:dyDescent="0.3">
      <c r="A1056" s="25"/>
      <c r="B1056" s="25"/>
      <c r="C1056" s="16"/>
      <c r="D1056" s="24"/>
      <c r="E1056" s="24"/>
      <c r="F1056" s="24"/>
      <c r="G1056" s="24"/>
      <c r="H1056" s="24"/>
      <c r="I1056" s="24"/>
      <c r="J1056" s="24"/>
      <c r="K1056" s="24"/>
      <c r="L1056" s="24"/>
      <c r="M1056" s="24"/>
      <c r="N1056" s="24"/>
      <c r="O1056" s="24"/>
    </row>
    <row r="1057" spans="1:15" ht="14.4" x14ac:dyDescent="0.3">
      <c r="A1057" s="61" t="s">
        <v>97</v>
      </c>
      <c r="B1057" s="62"/>
      <c r="C1057" s="63"/>
      <c r="D1057" s="62"/>
      <c r="E1057" s="62"/>
      <c r="F1057" s="62"/>
      <c r="G1057" s="62"/>
      <c r="H1057" s="62"/>
      <c r="I1057" s="62"/>
      <c r="J1057" s="62"/>
      <c r="K1057" s="62"/>
      <c r="L1057" s="62"/>
      <c r="M1057" s="62"/>
      <c r="N1057" s="62"/>
      <c r="O1057" s="62"/>
    </row>
    <row r="1058" spans="1:15" ht="14.4" x14ac:dyDescent="0.3">
      <c r="A1058" s="25" t="s">
        <v>98</v>
      </c>
      <c r="B1058" s="25"/>
      <c r="C1058" s="16" t="s">
        <v>44</v>
      </c>
      <c r="D1058" s="70">
        <v>1</v>
      </c>
      <c r="E1058" s="70">
        <v>1</v>
      </c>
      <c r="F1058" s="70">
        <v>1</v>
      </c>
      <c r="G1058" s="70">
        <v>1</v>
      </c>
      <c r="H1058" s="70">
        <v>1</v>
      </c>
      <c r="I1058" s="70">
        <v>1</v>
      </c>
      <c r="J1058" s="70">
        <v>1</v>
      </c>
      <c r="K1058" s="70">
        <v>1</v>
      </c>
      <c r="L1058" s="70">
        <v>1</v>
      </c>
      <c r="M1058" s="70">
        <v>1</v>
      </c>
      <c r="N1058" s="70">
        <v>1</v>
      </c>
      <c r="O1058" s="70">
        <v>1</v>
      </c>
    </row>
    <row r="1059" spans="1:15" ht="14.4" x14ac:dyDescent="0.3">
      <c r="A1059" s="25" t="s">
        <v>99</v>
      </c>
      <c r="B1059" s="25"/>
      <c r="C1059" s="16" t="s">
        <v>44</v>
      </c>
      <c r="D1059" s="70">
        <v>0.5</v>
      </c>
      <c r="E1059" s="70">
        <v>0.5</v>
      </c>
      <c r="F1059" s="70">
        <v>0.5</v>
      </c>
      <c r="G1059" s="70">
        <v>0.5</v>
      </c>
      <c r="H1059" s="70">
        <v>0.5</v>
      </c>
      <c r="I1059" s="70">
        <v>0.5</v>
      </c>
      <c r="J1059" s="70">
        <v>0.5</v>
      </c>
      <c r="K1059" s="70">
        <v>0.5</v>
      </c>
      <c r="L1059" s="70">
        <v>0.5</v>
      </c>
      <c r="M1059" s="70">
        <v>0.5</v>
      </c>
      <c r="N1059" s="70">
        <v>0.5</v>
      </c>
      <c r="O1059" s="70">
        <v>0.5</v>
      </c>
    </row>
    <row r="1060" spans="1:15" ht="14.4" x14ac:dyDescent="0.3">
      <c r="A1060" s="25" t="s">
        <v>100</v>
      </c>
      <c r="B1060" s="25"/>
      <c r="C1060" s="16" t="s">
        <v>44</v>
      </c>
      <c r="D1060" s="70">
        <v>0.35</v>
      </c>
      <c r="E1060" s="70">
        <v>0.35</v>
      </c>
      <c r="F1060" s="70">
        <v>0.35</v>
      </c>
      <c r="G1060" s="70">
        <v>0.35</v>
      </c>
      <c r="H1060" s="70">
        <v>0.35</v>
      </c>
      <c r="I1060" s="70">
        <v>0.35</v>
      </c>
      <c r="J1060" s="70">
        <v>0.35</v>
      </c>
      <c r="K1060" s="70">
        <v>0.35</v>
      </c>
      <c r="L1060" s="70">
        <v>0.35</v>
      </c>
      <c r="M1060" s="70">
        <v>0.35</v>
      </c>
      <c r="N1060" s="70">
        <v>0.35</v>
      </c>
      <c r="O1060" s="70">
        <v>0.35</v>
      </c>
    </row>
    <row r="1061" spans="1:15" ht="14.4" x14ac:dyDescent="0.3">
      <c r="A1061" s="25" t="s">
        <v>101</v>
      </c>
      <c r="B1061" s="25"/>
      <c r="C1061" s="16" t="s">
        <v>44</v>
      </c>
      <c r="D1061" s="70">
        <v>0.2</v>
      </c>
      <c r="E1061" s="70">
        <v>0.2</v>
      </c>
      <c r="F1061" s="70">
        <v>0.2</v>
      </c>
      <c r="G1061" s="70">
        <v>0.2</v>
      </c>
      <c r="H1061" s="70">
        <v>0.2</v>
      </c>
      <c r="I1061" s="70">
        <v>0.2</v>
      </c>
      <c r="J1061" s="70">
        <v>0.2</v>
      </c>
      <c r="K1061" s="70">
        <v>0.2</v>
      </c>
      <c r="L1061" s="70">
        <v>0.2</v>
      </c>
      <c r="M1061" s="70">
        <v>0.2</v>
      </c>
      <c r="N1061" s="70">
        <v>0.2</v>
      </c>
      <c r="O1061" s="70">
        <v>0.2</v>
      </c>
    </row>
    <row r="1062" spans="1:15" x14ac:dyDescent="0.3">
      <c r="A1062" s="62"/>
      <c r="B1062" s="62"/>
      <c r="C1062" s="63"/>
      <c r="D1062" s="62"/>
      <c r="E1062" s="62"/>
      <c r="F1062" s="62"/>
      <c r="G1062" s="62"/>
      <c r="H1062" s="62"/>
      <c r="I1062" s="62"/>
      <c r="J1062" s="62"/>
      <c r="K1062" s="62"/>
      <c r="L1062" s="62"/>
      <c r="M1062" s="62"/>
      <c r="N1062" s="62"/>
      <c r="O1062" s="62"/>
    </row>
    <row r="1063" spans="1:15" ht="14.4" x14ac:dyDescent="0.3">
      <c r="A1063" s="61" t="s">
        <v>102</v>
      </c>
      <c r="B1063" s="62"/>
      <c r="C1063" s="63"/>
      <c r="D1063" s="62"/>
      <c r="E1063" s="62"/>
      <c r="F1063" s="62"/>
      <c r="G1063" s="62"/>
      <c r="H1063" s="62"/>
      <c r="I1063" s="62"/>
      <c r="J1063" s="62"/>
      <c r="K1063" s="62"/>
      <c r="L1063" s="62"/>
      <c r="M1063" s="62"/>
      <c r="N1063" s="62"/>
      <c r="O1063" s="62"/>
    </row>
    <row r="1064" spans="1:15" ht="14.4" x14ac:dyDescent="0.3">
      <c r="A1064" s="25" t="s">
        <v>103</v>
      </c>
      <c r="B1064" s="25" t="s">
        <v>104</v>
      </c>
      <c r="C1064" s="16" t="s">
        <v>19</v>
      </c>
      <c r="D1064" s="20" t="s">
        <v>104</v>
      </c>
      <c r="E1064" s="20" t="s">
        <v>104</v>
      </c>
      <c r="F1064" s="20" t="s">
        <v>104</v>
      </c>
      <c r="G1064" s="20" t="s">
        <v>104</v>
      </c>
      <c r="H1064" s="20" t="s">
        <v>104</v>
      </c>
      <c r="I1064" s="20" t="s">
        <v>104</v>
      </c>
      <c r="J1064" s="20" t="s">
        <v>104</v>
      </c>
      <c r="K1064" s="20" t="s">
        <v>104</v>
      </c>
      <c r="L1064" s="20" t="s">
        <v>104</v>
      </c>
      <c r="M1064" s="20" t="s">
        <v>104</v>
      </c>
      <c r="N1064" s="20" t="s">
        <v>104</v>
      </c>
      <c r="O1064" s="20" t="s">
        <v>104</v>
      </c>
    </row>
    <row r="1065" spans="1:15" ht="14.4" x14ac:dyDescent="0.3">
      <c r="A1065" s="25" t="s">
        <v>105</v>
      </c>
      <c r="B1065" s="25" t="s">
        <v>106</v>
      </c>
      <c r="C1065" s="16" t="s">
        <v>19</v>
      </c>
      <c r="D1065" s="20">
        <v>0.1</v>
      </c>
      <c r="E1065" s="20">
        <v>0.1</v>
      </c>
      <c r="F1065" s="20">
        <v>0.1</v>
      </c>
      <c r="G1065" s="20">
        <v>0.1</v>
      </c>
      <c r="H1065" s="20">
        <v>0.1</v>
      </c>
      <c r="I1065" s="20">
        <v>0.1</v>
      </c>
      <c r="J1065" s="20">
        <v>0.1</v>
      </c>
      <c r="K1065" s="20">
        <v>0.1</v>
      </c>
      <c r="L1065" s="20">
        <v>0.1</v>
      </c>
      <c r="M1065" s="20">
        <v>0.1</v>
      </c>
      <c r="N1065" s="20">
        <v>0.1</v>
      </c>
      <c r="O1065" s="20">
        <v>0.1</v>
      </c>
    </row>
    <row r="1066" spans="1:15" ht="14.4" x14ac:dyDescent="0.3">
      <c r="A1066" s="25" t="s">
        <v>107</v>
      </c>
      <c r="B1066" s="25" t="s">
        <v>108</v>
      </c>
      <c r="C1066" s="16" t="s">
        <v>19</v>
      </c>
      <c r="D1066" s="20">
        <v>0.2</v>
      </c>
      <c r="E1066" s="20">
        <v>0.2</v>
      </c>
      <c r="F1066" s="20">
        <v>0.2</v>
      </c>
      <c r="G1066" s="20">
        <v>0.2</v>
      </c>
      <c r="H1066" s="20">
        <v>0.2</v>
      </c>
      <c r="I1066" s="20">
        <v>0.2</v>
      </c>
      <c r="J1066" s="20">
        <v>0.2</v>
      </c>
      <c r="K1066" s="20">
        <v>0.2</v>
      </c>
      <c r="L1066" s="20">
        <v>0.2</v>
      </c>
      <c r="M1066" s="20">
        <v>0.2</v>
      </c>
      <c r="N1066" s="20">
        <v>0.2</v>
      </c>
      <c r="O1066" s="20">
        <v>0.2</v>
      </c>
    </row>
    <row r="1067" spans="1:15" ht="14.4" x14ac:dyDescent="0.3">
      <c r="A1067" s="25" t="s">
        <v>211</v>
      </c>
      <c r="B1067" s="25" t="s">
        <v>110</v>
      </c>
      <c r="C1067" s="16" t="s">
        <v>19</v>
      </c>
      <c r="D1067" s="20">
        <v>0.35</v>
      </c>
      <c r="E1067" s="20">
        <v>0.35</v>
      </c>
      <c r="F1067" s="20">
        <v>0.35</v>
      </c>
      <c r="G1067" s="20">
        <v>0.35</v>
      </c>
      <c r="H1067" s="20">
        <v>0.35</v>
      </c>
      <c r="I1067" s="20">
        <v>0.35</v>
      </c>
      <c r="J1067" s="20">
        <v>0.35</v>
      </c>
      <c r="K1067" s="20">
        <v>0.35</v>
      </c>
      <c r="L1067" s="20">
        <v>0.35</v>
      </c>
      <c r="M1067" s="20">
        <v>0.35</v>
      </c>
      <c r="N1067" s="20">
        <v>0.35</v>
      </c>
      <c r="O1067" s="20">
        <v>0.35</v>
      </c>
    </row>
    <row r="1068" spans="1:15" x14ac:dyDescent="0.3">
      <c r="A1068" s="62"/>
      <c r="B1068" s="62"/>
      <c r="C1068" s="63"/>
      <c r="D1068" s="62"/>
      <c r="E1068" s="62"/>
      <c r="F1068" s="62"/>
      <c r="G1068" s="62"/>
      <c r="H1068" s="62"/>
      <c r="I1068" s="62"/>
      <c r="J1068" s="62"/>
      <c r="K1068" s="62"/>
      <c r="L1068" s="62"/>
      <c r="M1068" s="62"/>
      <c r="N1068" s="62"/>
      <c r="O1068" s="62"/>
    </row>
    <row r="1069" spans="1:15" ht="14.4" x14ac:dyDescent="0.3">
      <c r="A1069" s="61" t="s">
        <v>212</v>
      </c>
      <c r="B1069" s="62"/>
      <c r="C1069" s="63"/>
      <c r="D1069" s="181"/>
      <c r="E1069" s="181"/>
      <c r="F1069" s="181"/>
      <c r="G1069" s="181"/>
      <c r="H1069" s="181"/>
      <c r="I1069" s="181"/>
      <c r="J1069" s="181"/>
      <c r="K1069" s="181"/>
      <c r="L1069" s="181"/>
      <c r="M1069" s="181"/>
      <c r="N1069" s="181"/>
      <c r="O1069" s="181"/>
    </row>
    <row r="1070" spans="1:15" ht="14.4" x14ac:dyDescent="0.3">
      <c r="A1070" s="25" t="s">
        <v>213</v>
      </c>
      <c r="B1070" s="25"/>
      <c r="C1070" s="16" t="s">
        <v>44</v>
      </c>
      <c r="D1070" s="70">
        <f>'[40]DU VAT'!D15</f>
        <v>0.1095</v>
      </c>
      <c r="E1070" s="70">
        <f>'[40]DU VAT'!E15</f>
        <v>0.1114</v>
      </c>
      <c r="F1070" s="70">
        <f>'[40]DU VAT'!F15</f>
        <v>0.1114</v>
      </c>
      <c r="G1070" s="70">
        <f>'[40]DU VAT'!G15</f>
        <v>0.1135</v>
      </c>
      <c r="H1070" s="70">
        <f>'[40]DU VAT'!H15</f>
        <v>0.1147</v>
      </c>
      <c r="I1070" s="70">
        <f>'[40]DU VAT'!I15</f>
        <v>0.11409999999999999</v>
      </c>
      <c r="J1070" s="70">
        <f>'[40]DU VAT'!J15</f>
        <v>0.11020000000000001</v>
      </c>
      <c r="K1070" s="70">
        <f>'[40]DU VAT'!K15</f>
        <v>0.10290000000000001</v>
      </c>
      <c r="L1070" s="70">
        <f>'[40]DU VAT'!L15</f>
        <v>0.114</v>
      </c>
      <c r="M1070" s="70">
        <f>'[40]DU VAT'!M15</f>
        <v>0.10929999999999999</v>
      </c>
      <c r="N1070" s="70">
        <f>'[40]DU VAT'!N15</f>
        <v>0.10970000000000001</v>
      </c>
      <c r="O1070" s="70">
        <f>'[40]DU VAT'!O15</f>
        <v>0.1105</v>
      </c>
    </row>
    <row r="1071" spans="1:15" ht="14.4" x14ac:dyDescent="0.3">
      <c r="A1071" s="25" t="s">
        <v>193</v>
      </c>
      <c r="B1071" s="25"/>
      <c r="C1071" s="16" t="s">
        <v>44</v>
      </c>
      <c r="D1071" s="70">
        <f>'[40]DU VAT'!D16</f>
        <v>0.11940000000000001</v>
      </c>
      <c r="E1071" s="70">
        <f>'[40]DU VAT'!E16</f>
        <v>0.11940000000000001</v>
      </c>
      <c r="F1071" s="70">
        <f>'[40]DU VAT'!F16</f>
        <v>0.11940000000000001</v>
      </c>
      <c r="G1071" s="70">
        <f>'[40]DU VAT'!G16</f>
        <v>0.11940000000000001</v>
      </c>
      <c r="H1071" s="70">
        <f>'[40]DU VAT'!H16</f>
        <v>0.1195</v>
      </c>
      <c r="I1071" s="70">
        <f>'[40]DU VAT'!I16</f>
        <v>0.1195</v>
      </c>
      <c r="J1071" s="70">
        <f>'[40]DU VAT'!J16</f>
        <v>0.1148</v>
      </c>
      <c r="K1071" s="70">
        <f>'[40]DU VAT'!K16</f>
        <v>0.11550000000000001</v>
      </c>
      <c r="L1071" s="70">
        <f>'[40]DU VAT'!L16</f>
        <v>0.1166</v>
      </c>
      <c r="M1071" s="70">
        <f>'[40]DU VAT'!M16</f>
        <v>0.1168</v>
      </c>
      <c r="N1071" s="70">
        <f>'[40]DU VAT'!N16</f>
        <v>0.1166</v>
      </c>
      <c r="O1071" s="70">
        <f>'[40]DU VAT'!O16</f>
        <v>0.1037</v>
      </c>
    </row>
    <row r="1072" spans="1:15" ht="14.4" x14ac:dyDescent="0.3">
      <c r="A1072" s="25"/>
      <c r="B1072" s="25"/>
      <c r="C1072" s="16"/>
      <c r="D1072" s="70"/>
      <c r="E1072" s="70"/>
      <c r="F1072" s="70"/>
      <c r="G1072" s="70"/>
      <c r="H1072" s="70"/>
      <c r="I1072" s="70"/>
      <c r="J1072" s="70"/>
      <c r="K1072" s="70"/>
      <c r="L1072" s="70"/>
      <c r="M1072" s="70"/>
      <c r="N1072" s="70"/>
      <c r="O1072" s="70"/>
    </row>
    <row r="1073" spans="1:15" ht="14.4" x14ac:dyDescent="0.3">
      <c r="A1073" s="25" t="s">
        <v>214</v>
      </c>
      <c r="B1073" s="25"/>
      <c r="C1073" s="16" t="s">
        <v>44</v>
      </c>
      <c r="D1073" s="70">
        <v>0</v>
      </c>
      <c r="E1073" s="70">
        <v>0</v>
      </c>
      <c r="F1073" s="70">
        <v>0</v>
      </c>
      <c r="G1073" s="70">
        <v>0</v>
      </c>
      <c r="H1073" s="70">
        <v>0</v>
      </c>
      <c r="I1073" s="70">
        <v>0</v>
      </c>
      <c r="J1073" s="70">
        <v>0</v>
      </c>
      <c r="K1073" s="70">
        <v>0</v>
      </c>
      <c r="L1073" s="70">
        <v>0</v>
      </c>
      <c r="M1073" s="70">
        <v>0</v>
      </c>
      <c r="N1073" s="70">
        <v>0</v>
      </c>
      <c r="O1073" s="70">
        <v>0</v>
      </c>
    </row>
    <row r="1074" spans="1:15" x14ac:dyDescent="0.3">
      <c r="A1074" s="62"/>
      <c r="B1074" s="62"/>
      <c r="C1074" s="63"/>
      <c r="D1074" s="62"/>
      <c r="E1074" s="62"/>
      <c r="F1074" s="62"/>
      <c r="G1074" s="62"/>
      <c r="H1074" s="62"/>
      <c r="I1074" s="62"/>
      <c r="J1074" s="62"/>
      <c r="K1074" s="62"/>
      <c r="L1074" s="62"/>
      <c r="M1074" s="62"/>
      <c r="N1074" s="62"/>
      <c r="O1074" s="62"/>
    </row>
    <row r="1075" spans="1:15" ht="14.4" x14ac:dyDescent="0.3">
      <c r="A1075" s="64" t="s">
        <v>215</v>
      </c>
      <c r="B1075" s="64"/>
      <c r="C1075" s="65"/>
      <c r="D1075" s="66"/>
      <c r="E1075" s="66"/>
      <c r="F1075" s="66"/>
      <c r="G1075" s="66"/>
      <c r="H1075" s="66"/>
      <c r="I1075" s="66"/>
      <c r="J1075" s="66"/>
      <c r="K1075" s="66"/>
      <c r="L1075" s="66"/>
      <c r="M1075" s="66"/>
      <c r="N1075" s="66"/>
      <c r="O1075" s="66"/>
    </row>
    <row r="1076" spans="1:15" ht="14.4" x14ac:dyDescent="0.3">
      <c r="A1076" s="64" t="s">
        <v>216</v>
      </c>
      <c r="B1076" s="64"/>
      <c r="C1076" s="65" t="s">
        <v>19</v>
      </c>
      <c r="D1076" s="67">
        <f>[40]SLR!D143</f>
        <v>0.62029999999999996</v>
      </c>
      <c r="E1076" s="67">
        <f>[40]SLR!E143</f>
        <v>0.61709999999999998</v>
      </c>
      <c r="F1076" s="67">
        <f>[40]SLR!F143</f>
        <v>0.58540000000000003</v>
      </c>
      <c r="G1076" s="67">
        <f>[40]SLR!G143</f>
        <v>0.62060000000000004</v>
      </c>
      <c r="H1076" s="67">
        <f>[40]SLR!H143</f>
        <v>0.61240000000000006</v>
      </c>
      <c r="I1076" s="67">
        <f>[40]SLR!I143</f>
        <v>0.66930000000000001</v>
      </c>
      <c r="J1076" s="67">
        <f>[40]SLR!J143</f>
        <v>0.69289999999999996</v>
      </c>
      <c r="K1076" s="67">
        <f>[40]SLR!K143</f>
        <v>0.71860000000000002</v>
      </c>
      <c r="L1076" s="67">
        <f>[40]SLR!L143</f>
        <v>0.58040000000000003</v>
      </c>
      <c r="M1076" s="67">
        <f>[40]SLR!M143</f>
        <v>0.59199999999999997</v>
      </c>
      <c r="N1076" s="67">
        <f>[40]SLR!N143</f>
        <v>0.61439999999999995</v>
      </c>
      <c r="O1076" s="67">
        <f>[40]SLR!O143</f>
        <v>0.58899999999999997</v>
      </c>
    </row>
    <row r="1077" spans="1:15" ht="14.4" x14ac:dyDescent="0.3">
      <c r="A1077" s="64" t="s">
        <v>217</v>
      </c>
      <c r="B1077" s="64"/>
      <c r="C1077" s="65" t="s">
        <v>19</v>
      </c>
      <c r="D1077" s="67">
        <f>[40]SLR!D144</f>
        <v>0.2132</v>
      </c>
      <c r="E1077" s="67">
        <f>[40]SLR!E144</f>
        <v>0.21210000000000001</v>
      </c>
      <c r="F1077" s="67">
        <f>[40]SLR!F144</f>
        <v>0.20130000000000001</v>
      </c>
      <c r="G1077" s="67">
        <f>[40]SLR!G144</f>
        <v>0.21340000000000001</v>
      </c>
      <c r="H1077" s="67">
        <f>[40]SLR!H144</f>
        <v>0.21049999999999999</v>
      </c>
      <c r="I1077" s="67">
        <f>[40]SLR!I144</f>
        <v>0.2301</v>
      </c>
      <c r="J1077" s="67">
        <f>[40]SLR!J144</f>
        <v>0.2382</v>
      </c>
      <c r="K1077" s="67">
        <f>[40]SLR!K144</f>
        <v>0.247</v>
      </c>
      <c r="L1077" s="67">
        <f>[40]SLR!L144</f>
        <v>0.19950000000000001</v>
      </c>
      <c r="M1077" s="67">
        <f>[40]SLR!M144</f>
        <v>0.20349999999999999</v>
      </c>
      <c r="N1077" s="67">
        <f>[40]SLR!N144</f>
        <v>0.2112</v>
      </c>
      <c r="O1077" s="67">
        <f>[40]SLR!O144</f>
        <v>0.20250000000000001</v>
      </c>
    </row>
    <row r="1078" spans="1:15" ht="14.4" x14ac:dyDescent="0.3">
      <c r="A1078" s="64" t="s">
        <v>218</v>
      </c>
      <c r="B1078" s="64"/>
      <c r="C1078" s="65" t="s">
        <v>19</v>
      </c>
      <c r="D1078" s="67">
        <f>D945</f>
        <v>7.7100000000000002E-2</v>
      </c>
      <c r="E1078" s="67">
        <f>E945</f>
        <v>7.7600000000000002E-2</v>
      </c>
      <c r="F1078" s="67">
        <f>F945</f>
        <v>7.2900000000000006E-2</v>
      </c>
      <c r="G1078" s="67">
        <f>G945</f>
        <v>7.8E-2</v>
      </c>
      <c r="H1078" s="67">
        <f t="shared" ref="H1078:O1078" si="65">H945</f>
        <v>7.9899999999999999E-2</v>
      </c>
      <c r="I1078" s="67">
        <f t="shared" si="65"/>
        <v>8.09E-2</v>
      </c>
      <c r="J1078" s="67">
        <f t="shared" si="65"/>
        <v>8.5599999999999996E-2</v>
      </c>
      <c r="K1078" s="67">
        <f t="shared" si="65"/>
        <v>8.6300000000000002E-2</v>
      </c>
      <c r="L1078" s="67">
        <f t="shared" si="65"/>
        <v>6.9099999999999995E-2</v>
      </c>
      <c r="M1078" s="67">
        <f t="shared" si="65"/>
        <v>7.22E-2</v>
      </c>
      <c r="N1078" s="67">
        <f t="shared" si="65"/>
        <v>7.2700000000000001E-2</v>
      </c>
      <c r="O1078" s="67">
        <f t="shared" si="65"/>
        <v>6.7500000000000004E-2</v>
      </c>
    </row>
    <row r="1079" spans="1:15" ht="14.4" x14ac:dyDescent="0.3">
      <c r="A1079" s="64" t="s">
        <v>219</v>
      </c>
      <c r="B1079" s="64"/>
      <c r="C1079" s="65" t="s">
        <v>19</v>
      </c>
      <c r="D1079" s="67">
        <f>D1077</f>
        <v>0.2132</v>
      </c>
      <c r="E1079" s="67">
        <f>E1077</f>
        <v>0.21210000000000001</v>
      </c>
      <c r="F1079" s="67">
        <f>F1077</f>
        <v>0.20130000000000001</v>
      </c>
      <c r="G1079" s="67">
        <f>G1077</f>
        <v>0.21340000000000001</v>
      </c>
      <c r="H1079" s="67">
        <f t="shared" ref="H1079:O1079" si="66">H1077</f>
        <v>0.21049999999999999</v>
      </c>
      <c r="I1079" s="67">
        <f t="shared" si="66"/>
        <v>0.2301</v>
      </c>
      <c r="J1079" s="67">
        <f t="shared" si="66"/>
        <v>0.2382</v>
      </c>
      <c r="K1079" s="67">
        <f t="shared" si="66"/>
        <v>0.247</v>
      </c>
      <c r="L1079" s="67">
        <f t="shared" si="66"/>
        <v>0.19950000000000001</v>
      </c>
      <c r="M1079" s="67">
        <f t="shared" si="66"/>
        <v>0.20349999999999999</v>
      </c>
      <c r="N1079" s="67">
        <f t="shared" si="66"/>
        <v>0.2112</v>
      </c>
      <c r="O1079" s="67">
        <f t="shared" si="66"/>
        <v>0.20250000000000001</v>
      </c>
    </row>
    <row r="1080" spans="1:15" ht="14.4" x14ac:dyDescent="0.3">
      <c r="A1080" s="64" t="s">
        <v>220</v>
      </c>
      <c r="B1080" s="64"/>
      <c r="C1080" s="65" t="s">
        <v>19</v>
      </c>
      <c r="D1080" s="67">
        <v>0.60489999999999999</v>
      </c>
      <c r="E1080" s="67">
        <v>0.60170000000000001</v>
      </c>
      <c r="F1080" s="67">
        <v>0.57079999999999997</v>
      </c>
      <c r="G1080" s="67">
        <f>[40]SLR!G146</f>
        <v>0.60319999999999996</v>
      </c>
      <c r="H1080" s="67">
        <f>[40]SLR!H146</f>
        <v>0.59519999999999995</v>
      </c>
      <c r="I1080" s="67">
        <f>[40]SLR!I146</f>
        <v>0.65049999999999997</v>
      </c>
      <c r="J1080" s="67">
        <f>[40]SLR!J146</f>
        <v>0.67349999999999999</v>
      </c>
      <c r="K1080" s="67">
        <f>[40]SLR!K146</f>
        <v>0.69840000000000002</v>
      </c>
      <c r="L1080" s="67">
        <f>[40]SLR!L146</f>
        <v>0.56399999999999995</v>
      </c>
      <c r="M1080" s="67">
        <f>[40]SLR!M146</f>
        <v>0.57540000000000002</v>
      </c>
      <c r="N1080" s="67">
        <f>[40]SLR!N146</f>
        <v>0.59709999999999996</v>
      </c>
      <c r="O1080" s="67">
        <f>[40]SLR!O146</f>
        <v>0.57250000000000001</v>
      </c>
    </row>
    <row r="1081" spans="1:15" ht="14.4" x14ac:dyDescent="0.3">
      <c r="A1081" s="64" t="s">
        <v>221</v>
      </c>
      <c r="B1081" s="64"/>
      <c r="C1081" s="65" t="s">
        <v>19</v>
      </c>
      <c r="D1081" s="67">
        <f>D1080</f>
        <v>0.60489999999999999</v>
      </c>
      <c r="E1081" s="67">
        <f>E1080</f>
        <v>0.60170000000000001</v>
      </c>
      <c r="F1081" s="67">
        <f>F1080</f>
        <v>0.57079999999999997</v>
      </c>
      <c r="G1081" s="67">
        <f>[40]SLR!G146</f>
        <v>0.60319999999999996</v>
      </c>
      <c r="H1081" s="67">
        <f>[40]SLR!H146</f>
        <v>0.59519999999999995</v>
      </c>
      <c r="I1081" s="67">
        <f>[40]SLR!I146</f>
        <v>0.65049999999999997</v>
      </c>
      <c r="J1081" s="67">
        <f>[40]SLR!J146</f>
        <v>0.67349999999999999</v>
      </c>
      <c r="K1081" s="67">
        <f>[40]SLR!K146</f>
        <v>0.69840000000000002</v>
      </c>
      <c r="L1081" s="67">
        <f>[40]SLR!L146</f>
        <v>0.56399999999999995</v>
      </c>
      <c r="M1081" s="67">
        <f>[40]SLR!M146</f>
        <v>0.57540000000000002</v>
      </c>
      <c r="N1081" s="67">
        <f>[40]SLR!N146</f>
        <v>0.59709999999999996</v>
      </c>
      <c r="O1081" s="67">
        <f>[40]SLR!O146</f>
        <v>0.57250000000000001</v>
      </c>
    </row>
    <row r="1082" spans="1:15" ht="14.4" x14ac:dyDescent="0.3">
      <c r="A1082" s="64" t="s">
        <v>222</v>
      </c>
      <c r="B1082" s="64"/>
      <c r="C1082" s="65" t="s">
        <v>19</v>
      </c>
      <c r="D1082" s="67">
        <v>6.3700000000000007E-2</v>
      </c>
      <c r="E1082" s="67">
        <v>6.3399999999999998E-2</v>
      </c>
      <c r="F1082" s="67">
        <v>6.0100000000000001E-2</v>
      </c>
      <c r="G1082" s="67">
        <f>[40]SLR!G147</f>
        <v>6.3799999999999996E-2</v>
      </c>
      <c r="H1082" s="67">
        <f>[40]SLR!H147</f>
        <v>6.2899999999999998E-2</v>
      </c>
      <c r="I1082" s="67">
        <f>[40]SLR!I147</f>
        <v>6.8699999999999997E-2</v>
      </c>
      <c r="J1082" s="67">
        <f>[40]SLR!J147</f>
        <v>7.1199999999999999E-2</v>
      </c>
      <c r="K1082" s="67">
        <f>[40]SLR!K147</f>
        <v>7.3800000000000004E-2</v>
      </c>
      <c r="L1082" s="67">
        <f>[40]SLR!L147</f>
        <v>5.96E-2</v>
      </c>
      <c r="M1082" s="67">
        <f>[40]SLR!M147</f>
        <v>6.08E-2</v>
      </c>
      <c r="N1082" s="67">
        <f>[40]SLR!N147</f>
        <v>6.3100000000000003E-2</v>
      </c>
      <c r="O1082" s="67">
        <f>[40]SLR!O147</f>
        <v>6.0499999999999998E-2</v>
      </c>
    </row>
    <row r="1083" spans="1:15" ht="14.4" x14ac:dyDescent="0.3">
      <c r="A1083" s="64" t="s">
        <v>223</v>
      </c>
      <c r="B1083" s="64"/>
      <c r="C1083" s="65" t="s">
        <v>19</v>
      </c>
      <c r="D1083" s="67">
        <v>7.3200000000000001E-2</v>
      </c>
      <c r="E1083" s="67">
        <v>7.2800000000000004E-2</v>
      </c>
      <c r="F1083" s="67">
        <v>6.9099999999999995E-2</v>
      </c>
      <c r="G1083" s="67">
        <f>[40]SLR!G148</f>
        <v>7.3200000000000001E-2</v>
      </c>
      <c r="H1083" s="67">
        <f>[40]SLR!H148</f>
        <v>7.2300000000000003E-2</v>
      </c>
      <c r="I1083" s="67">
        <f>[40]SLR!I148</f>
        <v>7.9000000000000001E-2</v>
      </c>
      <c r="J1083" s="67">
        <f>[40]SLR!J148</f>
        <v>8.1799999999999998E-2</v>
      </c>
      <c r="K1083" s="67">
        <f>[40]SLR!K148</f>
        <v>8.6300000000000002E-2</v>
      </c>
      <c r="L1083" s="67">
        <f>[40]SLR!L148</f>
        <v>6.9099999999999995E-2</v>
      </c>
      <c r="M1083" s="67">
        <f>[40]SLR!M148</f>
        <v>7.22E-2</v>
      </c>
      <c r="N1083" s="67">
        <f>[40]SLR!N148</f>
        <v>7.2700000000000001E-2</v>
      </c>
      <c r="O1083" s="67">
        <f>[40]SLR!O148</f>
        <v>6.7500000000000004E-2</v>
      </c>
    </row>
    <row r="1084" spans="1:15" x14ac:dyDescent="0.3">
      <c r="A1084" s="71"/>
      <c r="B1084" s="71"/>
      <c r="C1084" s="72"/>
      <c r="D1084" s="71"/>
      <c r="E1084" s="71"/>
      <c r="F1084" s="71"/>
      <c r="G1084" s="71"/>
      <c r="H1084" s="71"/>
      <c r="I1084" s="71"/>
      <c r="J1084" s="71"/>
      <c r="K1084" s="71"/>
      <c r="L1084" s="71"/>
      <c r="M1084" s="71"/>
      <c r="N1084" s="71"/>
      <c r="O1084" s="71"/>
    </row>
    <row r="1085" spans="1:15" x14ac:dyDescent="0.3">
      <c r="A1085" s="33" t="s">
        <v>224</v>
      </c>
      <c r="B1085" s="71"/>
      <c r="C1085" s="72"/>
      <c r="D1085" s="71"/>
      <c r="E1085" s="71"/>
      <c r="F1085" s="71"/>
      <c r="G1085" s="71"/>
      <c r="H1085" s="71"/>
      <c r="I1085" s="71"/>
      <c r="J1085" s="71"/>
      <c r="K1085" s="71"/>
      <c r="L1085" s="71"/>
      <c r="M1085" s="71"/>
      <c r="N1085" s="71"/>
      <c r="O1085" s="71"/>
    </row>
    <row r="1086" spans="1:15" x14ac:dyDescent="0.3">
      <c r="A1086" s="71"/>
      <c r="B1086" s="71"/>
      <c r="C1086" s="72"/>
      <c r="D1086" s="71"/>
      <c r="E1086" s="71"/>
      <c r="F1086" s="71"/>
      <c r="G1086" s="71"/>
      <c r="H1086" s="71"/>
      <c r="I1086" s="71"/>
      <c r="J1086" s="71"/>
      <c r="K1086" s="71"/>
      <c r="L1086" s="71"/>
      <c r="M1086" s="71"/>
      <c r="N1086" s="71"/>
      <c r="O1086" s="71"/>
    </row>
    <row r="1087" spans="1:15" x14ac:dyDescent="0.3">
      <c r="A1087" s="3" t="s">
        <v>225</v>
      </c>
    </row>
    <row r="1088" spans="1:15" x14ac:dyDescent="0.3">
      <c r="A1088" s="33" t="s">
        <v>226</v>
      </c>
    </row>
  </sheetData>
  <printOptions horizontalCentered="1" verticalCentered="1"/>
  <pageMargins left="0.2" right="0.2" top="0.2" bottom="0.4" header="0.5" footer="0.1"/>
  <pageSetup paperSize="14" scale="67" orientation="landscape" r:id="rId1"/>
  <headerFooter alignWithMargins="0">
    <oddFooter>&amp;R&amp;"Calibri,Italic"&amp;8Actual Implemented Rates
Page &amp;P of &amp;N</oddFooter>
  </headerFooter>
  <rowBreaks count="11" manualBreakCount="11">
    <brk id="55" max="16383" man="1"/>
    <brk id="105" max="16383" man="1"/>
    <brk id="155" max="16383" man="1"/>
    <brk id="685" max="16383" man="1"/>
    <brk id="735" max="16383" man="1"/>
    <brk id="785" max="16383" man="1"/>
    <brk id="835" max="16383" man="1"/>
    <brk id="885" max="16383" man="1"/>
    <brk id="935" max="16383" man="1"/>
    <brk id="986" max="16383" man="1"/>
    <brk id="1037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Q1092"/>
  <sheetViews>
    <sheetView view="pageBreakPreview" topLeftCell="A45" zoomScale="85" zoomScaleNormal="85" zoomScaleSheetLayoutView="85" workbookViewId="0">
      <pane xSplit="1" topLeftCell="F1" activePane="topRight" state="frozen"/>
      <selection pane="topRight" activeCell="F65" sqref="F65"/>
    </sheetView>
  </sheetViews>
  <sheetFormatPr defaultColWidth="9.109375" defaultRowHeight="13.8" x14ac:dyDescent="0.3"/>
  <cols>
    <col min="1" max="1" width="39.109375" style="3" customWidth="1"/>
    <col min="2" max="2" width="1.109375" style="3" customWidth="1"/>
    <col min="3" max="3" width="14.5546875" style="32" customWidth="1"/>
    <col min="4" max="15" width="15.88671875" style="3" customWidth="1"/>
    <col min="16" max="16" width="15.88671875" style="3" hidden="1" customWidth="1"/>
    <col min="17" max="16384" width="9.109375" style="3"/>
  </cols>
  <sheetData>
    <row r="1" spans="1:17" ht="21" x14ac:dyDescent="0.4">
      <c r="A1" s="1" t="s">
        <v>0</v>
      </c>
      <c r="B1" s="1"/>
      <c r="C1" s="2"/>
    </row>
    <row r="2" spans="1:17" ht="21" x14ac:dyDescent="0.4">
      <c r="A2" s="4" t="s">
        <v>1</v>
      </c>
      <c r="B2" s="4"/>
      <c r="C2" s="5"/>
    </row>
    <row r="3" spans="1:17" ht="21" x14ac:dyDescent="0.4">
      <c r="A3" s="6" t="str">
        <f>'[41]Supplier &amp; Trans Data 2013'!A3</f>
        <v>For January - December 2013 Billing</v>
      </c>
      <c r="B3" s="6"/>
      <c r="C3" s="7"/>
    </row>
    <row r="4" spans="1:17" ht="21" x14ac:dyDescent="0.4">
      <c r="A4" s="4"/>
      <c r="B4" s="4"/>
      <c r="C4" s="5"/>
    </row>
    <row r="5" spans="1:17" ht="21" x14ac:dyDescent="0.4">
      <c r="A5" s="8"/>
      <c r="B5" s="4"/>
      <c r="C5" s="5"/>
    </row>
    <row r="6" spans="1:17" ht="18" x14ac:dyDescent="0.35">
      <c r="A6" s="9" t="s">
        <v>2</v>
      </c>
      <c r="B6" s="9"/>
      <c r="C6" s="5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</row>
    <row r="7" spans="1:17" s="13" customFormat="1" ht="14.4" x14ac:dyDescent="0.3">
      <c r="A7" s="11" t="s">
        <v>3</v>
      </c>
      <c r="B7" s="11"/>
      <c r="C7" s="11" t="s">
        <v>4</v>
      </c>
      <c r="D7" s="12" t="s">
        <v>5</v>
      </c>
      <c r="E7" s="12" t="s">
        <v>6</v>
      </c>
      <c r="F7" s="12" t="s">
        <v>7</v>
      </c>
      <c r="G7" s="12" t="s">
        <v>8</v>
      </c>
      <c r="H7" s="12" t="s">
        <v>9</v>
      </c>
      <c r="I7" s="12" t="s">
        <v>10</v>
      </c>
      <c r="J7" s="12" t="s">
        <v>11</v>
      </c>
      <c r="K7" s="12" t="s">
        <v>12</v>
      </c>
      <c r="L7" s="12" t="s">
        <v>13</v>
      </c>
      <c r="M7" s="12" t="s">
        <v>14</v>
      </c>
      <c r="N7" s="12" t="s">
        <v>15</v>
      </c>
      <c r="O7" s="12" t="s">
        <v>16</v>
      </c>
      <c r="P7" s="12" t="s">
        <v>5</v>
      </c>
    </row>
    <row r="8" spans="1:17" ht="14.4" x14ac:dyDescent="0.3">
      <c r="A8" s="14" t="s">
        <v>17</v>
      </c>
      <c r="B8" s="15"/>
      <c r="C8" s="16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</row>
    <row r="9" spans="1:17" ht="14.4" x14ac:dyDescent="0.3">
      <c r="A9" s="18" t="s">
        <v>18</v>
      </c>
      <c r="B9" s="19"/>
      <c r="C9" s="16" t="s">
        <v>19</v>
      </c>
      <c r="D9" s="20">
        <f>D999</f>
        <v>5.7910000000000004</v>
      </c>
      <c r="E9" s="20">
        <f t="shared" ref="E9:P9" si="0">E999</f>
        <v>5.2413999999999996</v>
      </c>
      <c r="F9" s="20">
        <f t="shared" si="0"/>
        <v>5.1864999999999997</v>
      </c>
      <c r="G9" s="20">
        <f t="shared" si="0"/>
        <v>5.3872999999999998</v>
      </c>
      <c r="H9" s="20">
        <f t="shared" si="0"/>
        <v>5.4703999999999997</v>
      </c>
      <c r="I9" s="20">
        <f t="shared" si="0"/>
        <v>5.6580000000000004</v>
      </c>
      <c r="J9" s="20">
        <f t="shared" si="0"/>
        <v>5.3269000000000002</v>
      </c>
      <c r="K9" s="20">
        <f t="shared" si="0"/>
        <v>5.0479000000000003</v>
      </c>
      <c r="L9" s="20">
        <f t="shared" si="0"/>
        <v>5.1746999999999996</v>
      </c>
      <c r="M9" s="20">
        <f t="shared" si="0"/>
        <v>4.6832000000000003</v>
      </c>
      <c r="N9" s="20">
        <f t="shared" si="0"/>
        <v>5.6673</v>
      </c>
      <c r="O9" s="20">
        <f t="shared" si="0"/>
        <v>5.6673</v>
      </c>
      <c r="P9" s="20" t="e">
        <f t="shared" si="0"/>
        <v>#DIV/0!</v>
      </c>
      <c r="Q9" s="68"/>
    </row>
    <row r="10" spans="1:17" ht="14.4" x14ac:dyDescent="0.3">
      <c r="A10" s="18" t="s">
        <v>66</v>
      </c>
      <c r="B10" s="19"/>
      <c r="C10" s="16" t="s">
        <v>19</v>
      </c>
      <c r="D10" s="20">
        <v>0</v>
      </c>
      <c r="E10" s="20">
        <v>0</v>
      </c>
      <c r="F10" s="20">
        <v>0</v>
      </c>
      <c r="G10" s="20">
        <v>0</v>
      </c>
      <c r="H10" s="20">
        <v>0</v>
      </c>
      <c r="I10" s="20">
        <v>0</v>
      </c>
      <c r="J10" s="20">
        <v>0</v>
      </c>
      <c r="K10" s="20">
        <v>0</v>
      </c>
      <c r="L10" s="20">
        <v>0</v>
      </c>
      <c r="M10" s="20">
        <v>0</v>
      </c>
      <c r="N10" s="20">
        <v>0</v>
      </c>
      <c r="O10" s="20">
        <v>0</v>
      </c>
      <c r="P10" s="20">
        <v>0</v>
      </c>
      <c r="Q10" s="68"/>
    </row>
    <row r="11" spans="1:17" ht="14.4" x14ac:dyDescent="0.3">
      <c r="A11" s="14" t="s">
        <v>20</v>
      </c>
      <c r="B11" s="15"/>
      <c r="C11" s="16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68"/>
    </row>
    <row r="12" spans="1:17" ht="14.4" x14ac:dyDescent="0.3">
      <c r="A12" s="18" t="s">
        <v>21</v>
      </c>
      <c r="B12" s="19"/>
      <c r="C12" s="16" t="s">
        <v>19</v>
      </c>
      <c r="D12" s="20">
        <f>[41]TR!D64</f>
        <v>0.85109999999999997</v>
      </c>
      <c r="E12" s="20">
        <f>[41]TR!E64</f>
        <v>0.91400000000000003</v>
      </c>
      <c r="F12" s="20">
        <f>[41]TR!F64</f>
        <v>0.89900000000000002</v>
      </c>
      <c r="G12" s="20">
        <f>[41]TR!G64</f>
        <v>0.89729999999999999</v>
      </c>
      <c r="H12" s="20">
        <f>[41]TR!H64</f>
        <v>0.78010000000000002</v>
      </c>
      <c r="I12" s="20">
        <f>[41]TR!I64</f>
        <v>0.80469999999999997</v>
      </c>
      <c r="J12" s="20">
        <f>[41]TR!J64</f>
        <v>0.80520000000000003</v>
      </c>
      <c r="K12" s="20">
        <f>[41]TR!K64</f>
        <v>0.79720000000000002</v>
      </c>
      <c r="L12" s="20">
        <f>[41]TR!L64</f>
        <v>0.876</v>
      </c>
      <c r="M12" s="20">
        <f>[41]TR!M64</f>
        <v>0.874</v>
      </c>
      <c r="N12" s="20">
        <f>[41]TR!N64</f>
        <v>0.93920000000000003</v>
      </c>
      <c r="O12" s="20">
        <f>[41]TR!O64</f>
        <v>0.93920000000000003</v>
      </c>
      <c r="P12" s="20">
        <f>[41]TR!P64</f>
        <v>0</v>
      </c>
      <c r="Q12" s="68"/>
    </row>
    <row r="13" spans="1:17" ht="14.4" x14ac:dyDescent="0.3">
      <c r="A13" s="18" t="s">
        <v>22</v>
      </c>
      <c r="B13" s="19"/>
      <c r="C13" s="16" t="s">
        <v>23</v>
      </c>
      <c r="D13" s="20">
        <v>0</v>
      </c>
      <c r="E13" s="20">
        <v>0</v>
      </c>
      <c r="F13" s="20">
        <v>0</v>
      </c>
      <c r="G13" s="20">
        <v>0</v>
      </c>
      <c r="H13" s="20">
        <v>0</v>
      </c>
      <c r="I13" s="20">
        <v>0</v>
      </c>
      <c r="J13" s="20">
        <v>0</v>
      </c>
      <c r="K13" s="20">
        <v>0</v>
      </c>
      <c r="L13" s="20">
        <v>0</v>
      </c>
      <c r="M13" s="20">
        <v>0</v>
      </c>
      <c r="N13" s="20">
        <v>0</v>
      </c>
      <c r="O13" s="20">
        <v>0</v>
      </c>
      <c r="P13" s="20">
        <v>0</v>
      </c>
      <c r="Q13" s="68"/>
    </row>
    <row r="14" spans="1:17" ht="14.4" x14ac:dyDescent="0.3">
      <c r="A14" s="14" t="s">
        <v>24</v>
      </c>
      <c r="B14" s="15"/>
      <c r="C14" s="16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68"/>
    </row>
    <row r="15" spans="1:17" ht="14.4" x14ac:dyDescent="0.3">
      <c r="A15" s="18" t="s">
        <v>25</v>
      </c>
      <c r="B15" s="19"/>
      <c r="C15" s="16" t="s">
        <v>19</v>
      </c>
      <c r="D15" s="20">
        <f>[41]SLR!D117</f>
        <v>0.65580000000000005</v>
      </c>
      <c r="E15" s="20">
        <f>[41]SLR!E117</f>
        <v>0.59</v>
      </c>
      <c r="F15" s="20">
        <f>[41]SLR!F117</f>
        <v>0.58030000000000004</v>
      </c>
      <c r="G15" s="20">
        <f>[41]SLR!G117</f>
        <v>0.62050000000000005</v>
      </c>
      <c r="H15" s="20">
        <f>[41]SLR!H117</f>
        <v>0.61280000000000001</v>
      </c>
      <c r="I15" s="20">
        <f>[41]SLR!I117</f>
        <v>0.61309999999999998</v>
      </c>
      <c r="J15" s="20">
        <f>[41]SLR!J117</f>
        <v>0.57599999999999996</v>
      </c>
      <c r="K15" s="20">
        <f>[41]SLR!K117</f>
        <v>0.53080000000000005</v>
      </c>
      <c r="L15" s="20">
        <f>[41]SLR!L117</f>
        <v>0.54369999999999996</v>
      </c>
      <c r="M15" s="20">
        <f>[41]SLR!M117</f>
        <v>0.505</v>
      </c>
      <c r="N15" s="20">
        <f>[41]SLR!N117</f>
        <v>0.60619999999999996</v>
      </c>
      <c r="O15" s="20">
        <f>[41]SLR!O117</f>
        <v>0.60619999999999996</v>
      </c>
      <c r="P15" s="20">
        <f>[41]SLR!P117</f>
        <v>0</v>
      </c>
      <c r="Q15" s="68"/>
    </row>
    <row r="16" spans="1:17" ht="14.4" x14ac:dyDescent="0.3">
      <c r="A16" s="14" t="s">
        <v>26</v>
      </c>
      <c r="B16" s="14"/>
      <c r="C16" s="16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68"/>
    </row>
    <row r="17" spans="1:17" ht="14.4" x14ac:dyDescent="0.3">
      <c r="A17" s="18" t="s">
        <v>27</v>
      </c>
      <c r="B17" s="18"/>
      <c r="C17" s="16" t="s">
        <v>19</v>
      </c>
      <c r="D17" s="20">
        <v>2.35</v>
      </c>
      <c r="E17" s="20">
        <v>2.35</v>
      </c>
      <c r="F17" s="20">
        <v>2.35</v>
      </c>
      <c r="G17" s="20">
        <v>2.35</v>
      </c>
      <c r="H17" s="20">
        <v>2.35</v>
      </c>
      <c r="I17" s="20">
        <v>2.35</v>
      </c>
      <c r="J17" s="20">
        <v>2.3866999999999998</v>
      </c>
      <c r="K17" s="20">
        <v>2.3866999999999998</v>
      </c>
      <c r="L17" s="20">
        <v>2.3866999999999998</v>
      </c>
      <c r="M17" s="20">
        <v>2.3866999999999998</v>
      </c>
      <c r="N17" s="20">
        <v>2.3866999999999998</v>
      </c>
      <c r="O17" s="20">
        <v>2.3866999999999998</v>
      </c>
      <c r="P17" s="20">
        <v>2.3866999999999998</v>
      </c>
      <c r="Q17" s="68"/>
    </row>
    <row r="18" spans="1:17" ht="14.4" x14ac:dyDescent="0.3">
      <c r="A18" s="18" t="s">
        <v>28</v>
      </c>
      <c r="B18" s="18"/>
      <c r="C18" s="16" t="s">
        <v>23</v>
      </c>
      <c r="D18" s="23">
        <v>0</v>
      </c>
      <c r="E18" s="23">
        <v>0</v>
      </c>
      <c r="F18" s="23">
        <v>0</v>
      </c>
      <c r="G18" s="23">
        <v>0</v>
      </c>
      <c r="H18" s="23">
        <v>0</v>
      </c>
      <c r="I18" s="23">
        <v>0</v>
      </c>
      <c r="J18" s="23">
        <v>0</v>
      </c>
      <c r="K18" s="23">
        <v>0</v>
      </c>
      <c r="L18" s="23">
        <v>0</v>
      </c>
      <c r="M18" s="23">
        <v>0</v>
      </c>
      <c r="N18" s="23">
        <v>0</v>
      </c>
      <c r="O18" s="23">
        <v>0</v>
      </c>
      <c r="P18" s="23">
        <v>0</v>
      </c>
      <c r="Q18" s="68"/>
    </row>
    <row r="19" spans="1:17" s="5" customFormat="1" ht="14.4" x14ac:dyDescent="0.3">
      <c r="A19" s="14" t="s">
        <v>29</v>
      </c>
      <c r="B19" s="14"/>
      <c r="C19" s="16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68"/>
    </row>
    <row r="20" spans="1:17" ht="14.4" x14ac:dyDescent="0.3">
      <c r="A20" s="18" t="s">
        <v>30</v>
      </c>
      <c r="B20" s="18"/>
      <c r="C20" s="16" t="s">
        <v>19</v>
      </c>
      <c r="D20" s="20">
        <v>0.76</v>
      </c>
      <c r="E20" s="20">
        <v>0.76</v>
      </c>
      <c r="F20" s="20">
        <v>0.76</v>
      </c>
      <c r="G20" s="20">
        <v>0.76</v>
      </c>
      <c r="H20" s="20">
        <v>0.76</v>
      </c>
      <c r="I20" s="20">
        <v>0.76</v>
      </c>
      <c r="J20" s="20">
        <v>0.77190000000000003</v>
      </c>
      <c r="K20" s="20">
        <v>0.77190000000000003</v>
      </c>
      <c r="L20" s="20">
        <v>0.77190000000000003</v>
      </c>
      <c r="M20" s="20">
        <v>0.77190000000000003</v>
      </c>
      <c r="N20" s="20">
        <v>0.77190000000000003</v>
      </c>
      <c r="O20" s="20">
        <v>0.77190000000000003</v>
      </c>
      <c r="P20" s="20">
        <v>0.77190000000000003</v>
      </c>
      <c r="Q20" s="68"/>
    </row>
    <row r="21" spans="1:17" ht="14.4" x14ac:dyDescent="0.3">
      <c r="A21" s="18" t="s">
        <v>31</v>
      </c>
      <c r="B21" s="18"/>
      <c r="C21" s="16" t="s">
        <v>32</v>
      </c>
      <c r="D21" s="23">
        <v>0</v>
      </c>
      <c r="E21" s="23">
        <v>0</v>
      </c>
      <c r="F21" s="23">
        <v>0</v>
      </c>
      <c r="G21" s="23">
        <v>0</v>
      </c>
      <c r="H21" s="23">
        <v>0</v>
      </c>
      <c r="I21" s="23">
        <v>0</v>
      </c>
      <c r="J21" s="23">
        <v>0</v>
      </c>
      <c r="K21" s="23">
        <v>0</v>
      </c>
      <c r="L21" s="23">
        <v>0</v>
      </c>
      <c r="M21" s="23">
        <v>0</v>
      </c>
      <c r="N21" s="23">
        <v>0</v>
      </c>
      <c r="O21" s="23">
        <v>0</v>
      </c>
      <c r="P21" s="23">
        <v>0</v>
      </c>
      <c r="Q21" s="68"/>
    </row>
    <row r="22" spans="1:17" ht="14.4" x14ac:dyDescent="0.3">
      <c r="A22" s="14" t="s">
        <v>33</v>
      </c>
      <c r="B22" s="14"/>
      <c r="C22" s="16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68"/>
    </row>
    <row r="23" spans="1:17" ht="14.4" x14ac:dyDescent="0.3">
      <c r="A23" s="18" t="s">
        <v>34</v>
      </c>
      <c r="B23" s="18"/>
      <c r="C23" s="16" t="s">
        <v>19</v>
      </c>
      <c r="D23" s="20">
        <v>0</v>
      </c>
      <c r="E23" s="20">
        <v>0</v>
      </c>
      <c r="F23" s="20">
        <v>0</v>
      </c>
      <c r="G23" s="20">
        <v>0</v>
      </c>
      <c r="H23" s="20">
        <v>0</v>
      </c>
      <c r="I23" s="20">
        <v>0</v>
      </c>
      <c r="J23" s="20">
        <v>0</v>
      </c>
      <c r="K23" s="20">
        <v>0</v>
      </c>
      <c r="L23" s="20">
        <v>0</v>
      </c>
      <c r="M23" s="20">
        <v>0</v>
      </c>
      <c r="N23" s="20">
        <v>0</v>
      </c>
      <c r="O23" s="20">
        <v>0</v>
      </c>
      <c r="P23" s="20">
        <v>0</v>
      </c>
      <c r="Q23" s="68"/>
    </row>
    <row r="24" spans="1:17" ht="14.4" x14ac:dyDescent="0.3">
      <c r="A24" s="18" t="s">
        <v>35</v>
      </c>
      <c r="B24" s="18"/>
      <c r="C24" s="16" t="s">
        <v>36</v>
      </c>
      <c r="D24" s="23">
        <v>0</v>
      </c>
      <c r="E24" s="23">
        <v>0</v>
      </c>
      <c r="F24" s="23">
        <v>0</v>
      </c>
      <c r="G24" s="23">
        <v>0</v>
      </c>
      <c r="H24" s="23">
        <v>0</v>
      </c>
      <c r="I24" s="23">
        <v>0</v>
      </c>
      <c r="J24" s="23">
        <v>0</v>
      </c>
      <c r="K24" s="23">
        <v>0</v>
      </c>
      <c r="L24" s="23">
        <v>0</v>
      </c>
      <c r="M24" s="23">
        <v>0</v>
      </c>
      <c r="N24" s="23">
        <v>0</v>
      </c>
      <c r="O24" s="23">
        <v>0</v>
      </c>
      <c r="P24" s="23">
        <v>0</v>
      </c>
      <c r="Q24" s="68"/>
    </row>
    <row r="25" spans="1:17" ht="14.4" x14ac:dyDescent="0.3">
      <c r="A25" s="14" t="s">
        <v>37</v>
      </c>
      <c r="B25" s="14"/>
      <c r="C25" s="16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68"/>
    </row>
    <row r="26" spans="1:17" ht="14.4" x14ac:dyDescent="0.3">
      <c r="A26" s="25" t="s">
        <v>38</v>
      </c>
      <c r="B26" s="18"/>
      <c r="C26" s="16" t="s">
        <v>19</v>
      </c>
      <c r="D26" s="20">
        <f>[41]LD!E36</f>
        <v>0.1333</v>
      </c>
      <c r="E26" s="20">
        <f>[41]LD!F36</f>
        <v>0.1497</v>
      </c>
      <c r="F26" s="20">
        <f>[41]LD!G36</f>
        <v>0.14410000000000001</v>
      </c>
      <c r="G26" s="20">
        <f>[41]LD!H36</f>
        <v>0.15459999999999999</v>
      </c>
      <c r="H26" s="20">
        <f>[41]LD!I36</f>
        <v>0.10920000000000001</v>
      </c>
      <c r="I26" s="20">
        <f>[41]LD!J36</f>
        <v>0.104</v>
      </c>
      <c r="J26" s="20">
        <f>[41]LD!K36</f>
        <v>0.1045</v>
      </c>
      <c r="K26" s="20">
        <f>[41]LD!L36</f>
        <v>0.11609999999999999</v>
      </c>
      <c r="L26" s="20">
        <f>[41]LD!M36</f>
        <v>0.1091</v>
      </c>
      <c r="M26" s="20">
        <f>[41]LD!N36</f>
        <v>0.1138</v>
      </c>
      <c r="N26" s="20">
        <f>[41]LD!O36</f>
        <v>0.1173</v>
      </c>
      <c r="O26" s="20">
        <f>[41]LD!P36</f>
        <v>0.1173</v>
      </c>
      <c r="P26" s="20">
        <f>[41]LD!Q36</f>
        <v>0</v>
      </c>
      <c r="Q26" s="68"/>
    </row>
    <row r="27" spans="1:17" ht="14.4" x14ac:dyDescent="0.3">
      <c r="A27" s="25" t="s">
        <v>39</v>
      </c>
      <c r="B27" s="18"/>
      <c r="C27" s="16" t="s">
        <v>19</v>
      </c>
      <c r="D27" s="20">
        <v>0</v>
      </c>
      <c r="E27" s="20">
        <v>0</v>
      </c>
      <c r="F27" s="20">
        <v>0</v>
      </c>
      <c r="G27" s="20">
        <v>0</v>
      </c>
      <c r="H27" s="20">
        <v>0</v>
      </c>
      <c r="I27" s="20">
        <v>0</v>
      </c>
      <c r="J27" s="20">
        <v>0</v>
      </c>
      <c r="K27" s="20">
        <v>0</v>
      </c>
      <c r="L27" s="20">
        <v>0</v>
      </c>
      <c r="M27" s="20">
        <v>0</v>
      </c>
      <c r="N27" s="20">
        <v>0</v>
      </c>
      <c r="O27" s="20">
        <v>0</v>
      </c>
      <c r="P27" s="20">
        <v>0</v>
      </c>
      <c r="Q27" s="68"/>
    </row>
    <row r="28" spans="1:17" ht="14.4" x14ac:dyDescent="0.3">
      <c r="A28" s="25" t="s">
        <v>180</v>
      </c>
      <c r="B28" s="18"/>
      <c r="C28" s="16" t="s">
        <v>19</v>
      </c>
      <c r="D28" s="20">
        <v>3.1399999999999997E-2</v>
      </c>
      <c r="E28" s="20">
        <v>3.1399999999999997E-2</v>
      </c>
      <c r="F28" s="20">
        <v>3.1399999999999997E-2</v>
      </c>
      <c r="G28" s="20">
        <v>3.1399999999999997E-2</v>
      </c>
      <c r="H28" s="20">
        <v>3.1399999999999997E-2</v>
      </c>
      <c r="I28" s="20">
        <v>3.1399999999999997E-2</v>
      </c>
      <c r="J28" s="20">
        <v>3.1399999999999997E-2</v>
      </c>
      <c r="K28" s="20">
        <v>3.1399999999999997E-2</v>
      </c>
      <c r="L28" s="20">
        <v>3.1399999999999997E-2</v>
      </c>
      <c r="M28" s="20">
        <v>3.1399999999999997E-2</v>
      </c>
      <c r="N28" s="20">
        <v>3.1399999999999997E-2</v>
      </c>
      <c r="O28" s="20">
        <v>3.1399999999999997E-2</v>
      </c>
      <c r="P28" s="20">
        <v>3.1399999999999997E-2</v>
      </c>
      <c r="Q28" s="68"/>
    </row>
    <row r="29" spans="1:17" ht="14.4" x14ac:dyDescent="0.3">
      <c r="A29" s="26" t="s">
        <v>40</v>
      </c>
      <c r="B29" s="18"/>
      <c r="C29" s="16" t="s">
        <v>19</v>
      </c>
      <c r="D29" s="20">
        <f>'[41]SR CIT. SUBSIDY'!E100</f>
        <v>1E-4</v>
      </c>
      <c r="E29" s="20">
        <f>'[41]SR CIT. SUBSIDY'!F100</f>
        <v>1E-4</v>
      </c>
      <c r="F29" s="20">
        <f>'[41]SR CIT. SUBSIDY'!G100</f>
        <v>1E-4</v>
      </c>
      <c r="G29" s="20">
        <f>'[41]SR CIT. SUBSIDY'!H100</f>
        <v>1E-4</v>
      </c>
      <c r="H29" s="20">
        <f>'[41]SR CIT. SUBSIDY'!I100</f>
        <v>1E-4</v>
      </c>
      <c r="I29" s="20">
        <f>'[41]SR CIT. SUBSIDY'!J100</f>
        <v>1E-4</v>
      </c>
      <c r="J29" s="20">
        <f>'[41]SR CIT. SUBSIDY'!K100</f>
        <v>1E-4</v>
      </c>
      <c r="K29" s="20">
        <f>'[41]SR CIT. SUBSIDY'!L100</f>
        <v>1E-4</v>
      </c>
      <c r="L29" s="20">
        <f>'[41]SR CIT. SUBSIDY'!M100</f>
        <v>1E-4</v>
      </c>
      <c r="M29" s="20">
        <f>'[41]SR CIT. SUBSIDY'!N100</f>
        <v>1E-4</v>
      </c>
      <c r="N29" s="20">
        <f>'[41]SR CIT. SUBSIDY'!O100</f>
        <v>1E-4</v>
      </c>
      <c r="O29" s="20">
        <f>'[41]SR CIT. SUBSIDY'!P100</f>
        <v>1E-4</v>
      </c>
      <c r="P29" s="20">
        <f>'[41]SR CIT. SUBSIDY'!Q100</f>
        <v>0</v>
      </c>
      <c r="Q29" s="68"/>
    </row>
    <row r="30" spans="1:17" ht="14.4" x14ac:dyDescent="0.3">
      <c r="A30" s="26" t="s">
        <v>41</v>
      </c>
      <c r="B30" s="18"/>
      <c r="C30" s="16" t="s">
        <v>19</v>
      </c>
      <c r="D30" s="20">
        <v>0</v>
      </c>
      <c r="E30" s="20">
        <v>0</v>
      </c>
      <c r="F30" s="20">
        <v>0</v>
      </c>
      <c r="G30" s="20">
        <v>0</v>
      </c>
      <c r="H30" s="20">
        <v>0</v>
      </c>
      <c r="I30" s="20">
        <v>0</v>
      </c>
      <c r="J30" s="20">
        <v>0</v>
      </c>
      <c r="K30" s="20">
        <v>0</v>
      </c>
      <c r="L30" s="20">
        <v>0</v>
      </c>
      <c r="M30" s="20">
        <v>0</v>
      </c>
      <c r="N30" s="20">
        <v>0</v>
      </c>
      <c r="O30" s="20">
        <v>0</v>
      </c>
      <c r="P30" s="20">
        <v>0</v>
      </c>
      <c r="Q30" s="68"/>
    </row>
    <row r="31" spans="1:17" ht="14.4" x14ac:dyDescent="0.3">
      <c r="A31" s="154" t="s">
        <v>181</v>
      </c>
      <c r="B31" s="155"/>
      <c r="C31" s="16" t="s">
        <v>19</v>
      </c>
      <c r="D31" s="20">
        <v>1.03E-2</v>
      </c>
      <c r="E31" s="20">
        <v>1.03E-2</v>
      </c>
      <c r="F31" s="20">
        <v>1.03E-2</v>
      </c>
      <c r="G31" s="20">
        <v>2.5999999999999999E-3</v>
      </c>
      <c r="H31" s="20">
        <v>0</v>
      </c>
      <c r="I31" s="20">
        <v>0</v>
      </c>
      <c r="J31" s="20">
        <v>0</v>
      </c>
      <c r="K31" s="20">
        <v>0</v>
      </c>
      <c r="L31" s="20">
        <v>0</v>
      </c>
      <c r="M31" s="20">
        <v>0</v>
      </c>
      <c r="N31" s="20">
        <v>0</v>
      </c>
      <c r="O31" s="20">
        <v>0</v>
      </c>
      <c r="P31" s="20">
        <v>0</v>
      </c>
      <c r="Q31" s="68"/>
    </row>
    <row r="32" spans="1:17" ht="16.2" hidden="1" x14ac:dyDescent="0.3">
      <c r="A32" s="154" t="s">
        <v>182</v>
      </c>
      <c r="B32" s="155"/>
      <c r="C32" s="16" t="s">
        <v>19</v>
      </c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68"/>
    </row>
    <row r="33" spans="1:17" ht="16.2" hidden="1" x14ac:dyDescent="0.3">
      <c r="A33" s="154" t="s">
        <v>182</v>
      </c>
      <c r="B33" s="156"/>
      <c r="C33" s="16" t="s">
        <v>19</v>
      </c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68"/>
    </row>
    <row r="34" spans="1:17" ht="14.4" x14ac:dyDescent="0.3">
      <c r="A34" s="14" t="s">
        <v>42</v>
      </c>
      <c r="B34" s="14"/>
      <c r="C34" s="16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68"/>
    </row>
    <row r="35" spans="1:17" ht="14.4" x14ac:dyDescent="0.3">
      <c r="A35" s="14" t="s">
        <v>43</v>
      </c>
      <c r="B35" s="14"/>
      <c r="C35" s="16" t="s">
        <v>44</v>
      </c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68"/>
    </row>
    <row r="36" spans="1:17" ht="14.4" hidden="1" x14ac:dyDescent="0.3">
      <c r="A36" s="14" t="s">
        <v>183</v>
      </c>
      <c r="B36" s="14"/>
      <c r="C36" s="16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68"/>
    </row>
    <row r="37" spans="1:17" ht="14.4" hidden="1" x14ac:dyDescent="0.3">
      <c r="A37" s="14" t="s">
        <v>184</v>
      </c>
      <c r="B37" s="14"/>
      <c r="C37" s="16" t="s">
        <v>19</v>
      </c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68"/>
    </row>
    <row r="38" spans="1:17" ht="14.4" x14ac:dyDescent="0.3">
      <c r="A38" s="14" t="s">
        <v>45</v>
      </c>
      <c r="B38" s="14"/>
      <c r="C38" s="16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68"/>
    </row>
    <row r="39" spans="1:17" ht="14.4" x14ac:dyDescent="0.3">
      <c r="A39" s="14" t="s">
        <v>46</v>
      </c>
      <c r="B39" s="14"/>
      <c r="C39" s="16" t="s">
        <v>19</v>
      </c>
      <c r="D39" s="20">
        <v>0</v>
      </c>
      <c r="E39" s="20">
        <v>0</v>
      </c>
      <c r="F39" s="20">
        <v>0</v>
      </c>
      <c r="G39" s="20">
        <v>0</v>
      </c>
      <c r="H39" s="20">
        <v>0</v>
      </c>
      <c r="I39" s="20">
        <v>0</v>
      </c>
      <c r="J39" s="20">
        <v>0</v>
      </c>
      <c r="K39" s="20">
        <v>0</v>
      </c>
      <c r="L39" s="20">
        <v>0</v>
      </c>
      <c r="M39" s="20">
        <v>0</v>
      </c>
      <c r="N39" s="20">
        <v>0</v>
      </c>
      <c r="O39" s="20">
        <v>0</v>
      </c>
      <c r="P39" s="20">
        <v>0</v>
      </c>
      <c r="Q39" s="68"/>
    </row>
    <row r="40" spans="1:17" ht="14.4" hidden="1" x14ac:dyDescent="0.3">
      <c r="A40" s="14" t="s">
        <v>185</v>
      </c>
      <c r="B40" s="14"/>
      <c r="C40" s="16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68"/>
    </row>
    <row r="41" spans="1:17" ht="14.4" hidden="1" x14ac:dyDescent="0.3">
      <c r="A41" s="14" t="s">
        <v>186</v>
      </c>
      <c r="B41" s="14"/>
      <c r="C41" s="16" t="s">
        <v>19</v>
      </c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68"/>
    </row>
    <row r="42" spans="1:17" ht="14.4" x14ac:dyDescent="0.3">
      <c r="A42" s="14" t="s">
        <v>47</v>
      </c>
      <c r="B42" s="14"/>
      <c r="C42" s="16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68"/>
    </row>
    <row r="43" spans="1:17" ht="14.4" x14ac:dyDescent="0.3">
      <c r="A43" s="18" t="s">
        <v>48</v>
      </c>
      <c r="B43" s="18"/>
      <c r="C43" s="16" t="s">
        <v>19</v>
      </c>
      <c r="D43" s="20">
        <v>0.1163</v>
      </c>
      <c r="E43" s="20">
        <v>0.1163</v>
      </c>
      <c r="F43" s="20">
        <v>0.1163</v>
      </c>
      <c r="G43" s="20">
        <v>0.1163</v>
      </c>
      <c r="H43" s="20">
        <v>0.1163</v>
      </c>
      <c r="I43" s="20">
        <v>0.1163</v>
      </c>
      <c r="J43" s="20">
        <v>0.1163</v>
      </c>
      <c r="K43" s="20">
        <v>0.1163</v>
      </c>
      <c r="L43" s="20">
        <v>0.1163</v>
      </c>
      <c r="M43" s="20">
        <v>0.1163</v>
      </c>
      <c r="N43" s="20">
        <v>0.1163</v>
      </c>
      <c r="O43" s="20">
        <v>0.1163</v>
      </c>
      <c r="P43" s="20">
        <v>0.1163</v>
      </c>
      <c r="Q43" s="68"/>
    </row>
    <row r="44" spans="1:17" ht="14.4" x14ac:dyDescent="0.3">
      <c r="A44" s="18" t="s">
        <v>49</v>
      </c>
      <c r="B44" s="18"/>
      <c r="C44" s="16" t="s">
        <v>19</v>
      </c>
      <c r="D44" s="20">
        <v>2.5000000000000001E-3</v>
      </c>
      <c r="E44" s="20">
        <v>2.5000000000000001E-3</v>
      </c>
      <c r="F44" s="20">
        <v>2.5000000000000001E-3</v>
      </c>
      <c r="G44" s="20">
        <v>2.5000000000000001E-3</v>
      </c>
      <c r="H44" s="20">
        <v>2.5000000000000001E-3</v>
      </c>
      <c r="I44" s="20">
        <v>2.5000000000000001E-3</v>
      </c>
      <c r="J44" s="20">
        <v>2.5000000000000001E-3</v>
      </c>
      <c r="K44" s="20">
        <v>2.5000000000000001E-3</v>
      </c>
      <c r="L44" s="20">
        <v>2.5000000000000001E-3</v>
      </c>
      <c r="M44" s="20">
        <v>2.5000000000000001E-3</v>
      </c>
      <c r="N44" s="20">
        <v>2.5000000000000001E-3</v>
      </c>
      <c r="O44" s="20">
        <v>2.5000000000000001E-3</v>
      </c>
      <c r="P44" s="20">
        <v>2.5000000000000001E-3</v>
      </c>
      <c r="Q44" s="68"/>
    </row>
    <row r="45" spans="1:17" ht="14.4" x14ac:dyDescent="0.3">
      <c r="A45" s="18" t="s">
        <v>50</v>
      </c>
      <c r="B45" s="18"/>
      <c r="C45" s="16"/>
      <c r="D45" s="20"/>
      <c r="E45" s="20"/>
      <c r="F45" s="20">
        <v>0.1938</v>
      </c>
      <c r="G45" s="20">
        <v>0.1938</v>
      </c>
      <c r="H45" s="20">
        <v>0.1938</v>
      </c>
      <c r="I45" s="20">
        <v>0.1938</v>
      </c>
      <c r="J45" s="20">
        <v>0.1938</v>
      </c>
      <c r="K45" s="20">
        <v>0.1938</v>
      </c>
      <c r="L45" s="20">
        <v>0.1938</v>
      </c>
      <c r="M45" s="20">
        <v>0.1938</v>
      </c>
      <c r="N45" s="20">
        <v>0.1938</v>
      </c>
      <c r="O45" s="20">
        <v>0.1938</v>
      </c>
      <c r="P45" s="20">
        <v>0.1938</v>
      </c>
      <c r="Q45" s="68"/>
    </row>
    <row r="46" spans="1:17" ht="14.4" x14ac:dyDescent="0.3">
      <c r="A46" s="14" t="s">
        <v>52</v>
      </c>
      <c r="B46" s="14"/>
      <c r="C46" s="29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68"/>
    </row>
    <row r="47" spans="1:17" ht="14.4" x14ac:dyDescent="0.3">
      <c r="A47" s="18" t="s">
        <v>53</v>
      </c>
      <c r="B47" s="18"/>
      <c r="C47" s="16" t="s">
        <v>44</v>
      </c>
      <c r="D47" s="30">
        <f>D1081</f>
        <v>0.10920000000000001</v>
      </c>
      <c r="E47" s="30">
        <f t="shared" ref="E47:P47" si="1">E1081</f>
        <v>0.1142</v>
      </c>
      <c r="F47" s="30">
        <f t="shared" si="1"/>
        <v>0.1147</v>
      </c>
      <c r="G47" s="30">
        <f t="shared" si="1"/>
        <v>0.1137</v>
      </c>
      <c r="H47" s="30">
        <f t="shared" si="1"/>
        <v>0.1094</v>
      </c>
      <c r="I47" s="30">
        <f t="shared" si="1"/>
        <v>0.1084</v>
      </c>
      <c r="J47" s="30">
        <f t="shared" si="1"/>
        <v>0.1182</v>
      </c>
      <c r="K47" s="30">
        <f t="shared" si="1"/>
        <v>0.1183</v>
      </c>
      <c r="L47" s="30">
        <f t="shared" si="1"/>
        <v>0.10920000000000001</v>
      </c>
      <c r="M47" s="30">
        <f t="shared" si="1"/>
        <v>0.11840000000000001</v>
      </c>
      <c r="N47" s="30">
        <f t="shared" si="1"/>
        <v>0.10970000000000001</v>
      </c>
      <c r="O47" s="30">
        <f t="shared" si="1"/>
        <v>0.10970000000000001</v>
      </c>
      <c r="P47" s="30" t="e">
        <f t="shared" si="1"/>
        <v>#DIV/0!</v>
      </c>
      <c r="Q47" s="68"/>
    </row>
    <row r="48" spans="1:17" ht="14.4" x14ac:dyDescent="0.3">
      <c r="A48" s="18" t="s">
        <v>54</v>
      </c>
      <c r="B48" s="18"/>
      <c r="C48" s="16" t="s">
        <v>44</v>
      </c>
      <c r="D48" s="30">
        <f>'[41]DU VAT'!D23</f>
        <v>0</v>
      </c>
      <c r="E48" s="30">
        <f>'[41]DU VAT'!E23</f>
        <v>0</v>
      </c>
      <c r="F48" s="30">
        <f>'[41]DU VAT'!F23</f>
        <v>0</v>
      </c>
      <c r="G48" s="30">
        <f>'[41]DU VAT'!G23</f>
        <v>0</v>
      </c>
      <c r="H48" s="30">
        <f>'[41]DU VAT'!H23</f>
        <v>0</v>
      </c>
      <c r="I48" s="30">
        <f>'[41]DU VAT'!I23</f>
        <v>0</v>
      </c>
      <c r="J48" s="30">
        <f>'[41]DU VAT'!J23</f>
        <v>0</v>
      </c>
      <c r="K48" s="30">
        <f>'[41]DU VAT'!K23</f>
        <v>0</v>
      </c>
      <c r="L48" s="30">
        <f>'[41]DU VAT'!L23</f>
        <v>0</v>
      </c>
      <c r="M48" s="30">
        <f>'[41]DU VAT'!M23</f>
        <v>2E-3</v>
      </c>
      <c r="N48" s="30">
        <f>'[41]DU VAT'!N23</f>
        <v>5.9999999999999995E-4</v>
      </c>
      <c r="O48" s="30">
        <f>'[41]DU VAT'!O23</f>
        <v>5.9999999999999984E-4</v>
      </c>
      <c r="P48" s="30" t="e">
        <f>'[41]DU VAT'!P23</f>
        <v>#DIV/0!</v>
      </c>
      <c r="Q48" s="68"/>
    </row>
    <row r="49" spans="1:17" ht="14.4" x14ac:dyDescent="0.3">
      <c r="A49" s="18" t="s">
        <v>55</v>
      </c>
      <c r="B49" s="18"/>
      <c r="C49" s="16" t="s">
        <v>44</v>
      </c>
      <c r="D49" s="30">
        <f>'[41]DU VAT'!D29</f>
        <v>9.4899999999999998E-2</v>
      </c>
      <c r="E49" s="30">
        <f>'[41]DU VAT'!E29</f>
        <v>9.69E-2</v>
      </c>
      <c r="F49" s="30">
        <f>'[41]DU VAT'!F29</f>
        <v>9.8100000000000007E-2</v>
      </c>
      <c r="G49" s="30">
        <f>'[41]DU VAT'!G29</f>
        <v>9.7000000000000003E-2</v>
      </c>
      <c r="H49" s="30">
        <f>'[41]DU VAT'!H29</f>
        <v>9.5899999999999999E-2</v>
      </c>
      <c r="I49" s="30">
        <f>'[41]DU VAT'!I29</f>
        <v>9.4799999999999995E-2</v>
      </c>
      <c r="J49" s="30">
        <f>'[41]DU VAT'!J29</f>
        <v>0.1028</v>
      </c>
      <c r="K49" s="30">
        <f>'[41]DU VAT'!K29</f>
        <v>0.1027</v>
      </c>
      <c r="L49" s="30">
        <f>'[41]DU VAT'!L29</f>
        <v>9.35E-2</v>
      </c>
      <c r="M49" s="30">
        <f>'[41]DU VAT'!M29</f>
        <v>0.1004</v>
      </c>
      <c r="N49" s="30">
        <f>'[41]DU VAT'!N29</f>
        <v>9.4299999999999995E-2</v>
      </c>
      <c r="O49" s="30">
        <f>'[41]DU VAT'!O29</f>
        <v>9.4299999999999995E-2</v>
      </c>
      <c r="P49" s="30" t="e">
        <f>'[41]DU VAT'!P29</f>
        <v>#DIV/0!</v>
      </c>
      <c r="Q49" s="68"/>
    </row>
    <row r="50" spans="1:17" ht="14.4" x14ac:dyDescent="0.3">
      <c r="A50" s="18" t="s">
        <v>187</v>
      </c>
      <c r="B50" s="18"/>
      <c r="C50" s="16" t="s">
        <v>44</v>
      </c>
      <c r="D50" s="27">
        <v>0</v>
      </c>
      <c r="E50" s="27">
        <v>0</v>
      </c>
      <c r="F50" s="27">
        <v>0</v>
      </c>
      <c r="G50" s="27">
        <v>0</v>
      </c>
      <c r="H50" s="27">
        <v>0</v>
      </c>
      <c r="I50" s="27">
        <v>0</v>
      </c>
      <c r="J50" s="27">
        <v>0</v>
      </c>
      <c r="K50" s="27">
        <v>0</v>
      </c>
      <c r="L50" s="27">
        <v>0</v>
      </c>
      <c r="M50" s="27">
        <v>0</v>
      </c>
      <c r="N50" s="27">
        <v>0</v>
      </c>
      <c r="O50" s="27">
        <v>0</v>
      </c>
      <c r="P50" s="27">
        <v>0</v>
      </c>
      <c r="Q50" s="68"/>
    </row>
    <row r="51" spans="1:17" ht="14.4" x14ac:dyDescent="0.3">
      <c r="A51" s="18" t="s">
        <v>188</v>
      </c>
      <c r="B51" s="18"/>
      <c r="C51" s="16" t="s">
        <v>44</v>
      </c>
      <c r="D51" s="30">
        <v>9.8799999999999999E-2</v>
      </c>
      <c r="E51" s="30">
        <v>9.8799999999999999E-2</v>
      </c>
      <c r="F51" s="30">
        <v>9.8799999999999999E-2</v>
      </c>
      <c r="G51" s="30">
        <v>9.8799999999999999E-2</v>
      </c>
      <c r="H51" s="30">
        <v>9.8799999999999999E-2</v>
      </c>
      <c r="I51" s="30">
        <v>9.8799999999999999E-2</v>
      </c>
      <c r="J51" s="30">
        <v>9.8799999999999999E-2</v>
      </c>
      <c r="K51" s="30">
        <v>9.8799999999999999E-2</v>
      </c>
      <c r="L51" s="30">
        <v>9.8799999999999999E-2</v>
      </c>
      <c r="M51" s="30">
        <v>9.8799999999999999E-2</v>
      </c>
      <c r="N51" s="30">
        <v>9.8799999999999999E-2</v>
      </c>
      <c r="O51" s="30">
        <v>9.8799999999999999E-2</v>
      </c>
      <c r="P51" s="30">
        <v>9.8799999999999999E-2</v>
      </c>
      <c r="Q51" s="68"/>
    </row>
    <row r="52" spans="1:17" ht="14.4" x14ac:dyDescent="0.3">
      <c r="A52" s="18" t="s">
        <v>56</v>
      </c>
      <c r="B52" s="18"/>
      <c r="C52" s="16" t="s">
        <v>44</v>
      </c>
      <c r="D52" s="30">
        <v>0.12</v>
      </c>
      <c r="E52" s="30">
        <v>0.12</v>
      </c>
      <c r="F52" s="30">
        <v>0.12</v>
      </c>
      <c r="G52" s="30">
        <v>0.12</v>
      </c>
      <c r="H52" s="30">
        <v>0.12</v>
      </c>
      <c r="I52" s="30">
        <v>0.12</v>
      </c>
      <c r="J52" s="30">
        <v>0.12</v>
      </c>
      <c r="K52" s="30">
        <v>0.12</v>
      </c>
      <c r="L52" s="30">
        <v>0.12</v>
      </c>
      <c r="M52" s="30">
        <v>0.12</v>
      </c>
      <c r="N52" s="30">
        <v>0.12</v>
      </c>
      <c r="O52" s="30">
        <v>0.12</v>
      </c>
      <c r="P52" s="30">
        <v>0.12</v>
      </c>
      <c r="Q52" s="68"/>
    </row>
    <row r="53" spans="1:17" ht="14.4" x14ac:dyDescent="0.3">
      <c r="A53" s="18" t="s">
        <v>57</v>
      </c>
      <c r="B53" s="18"/>
      <c r="C53" s="16" t="s">
        <v>44</v>
      </c>
      <c r="D53" s="30">
        <v>0.12</v>
      </c>
      <c r="E53" s="30">
        <v>0.12</v>
      </c>
      <c r="F53" s="30">
        <v>0.12</v>
      </c>
      <c r="G53" s="30">
        <v>0.12</v>
      </c>
      <c r="H53" s="30">
        <v>0.12</v>
      </c>
      <c r="I53" s="30">
        <v>0.12</v>
      </c>
      <c r="J53" s="30">
        <v>0.12</v>
      </c>
      <c r="K53" s="30">
        <v>0.12</v>
      </c>
      <c r="L53" s="30">
        <v>0.12</v>
      </c>
      <c r="M53" s="30">
        <v>0.12</v>
      </c>
      <c r="N53" s="30">
        <v>0.12</v>
      </c>
      <c r="O53" s="30">
        <v>0.12</v>
      </c>
      <c r="P53" s="30">
        <v>0.12</v>
      </c>
      <c r="Q53" s="68"/>
    </row>
    <row r="54" spans="1:17" s="5" customFormat="1" x14ac:dyDescent="0.3">
      <c r="A54" s="31"/>
      <c r="B54" s="31"/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68"/>
    </row>
    <row r="55" spans="1:17" x14ac:dyDescent="0.3">
      <c r="A55" s="3" t="s">
        <v>58</v>
      </c>
      <c r="Q55" s="68"/>
    </row>
    <row r="56" spans="1:17" x14ac:dyDescent="0.3">
      <c r="A56" s="33"/>
      <c r="Q56" s="68"/>
    </row>
    <row r="57" spans="1:17" ht="18" x14ac:dyDescent="0.35">
      <c r="A57" s="9" t="str">
        <f>'[41]Statistical data'!A206</f>
        <v xml:space="preserve">Residential </v>
      </c>
      <c r="B57" s="9"/>
      <c r="C57" s="5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68"/>
    </row>
    <row r="58" spans="1:17" s="13" customFormat="1" ht="14.4" x14ac:dyDescent="0.3">
      <c r="A58" s="11" t="s">
        <v>3</v>
      </c>
      <c r="B58" s="11"/>
      <c r="C58" s="11" t="s">
        <v>4</v>
      </c>
      <c r="D58" s="12" t="str">
        <f>D7</f>
        <v>JAN</v>
      </c>
      <c r="E58" s="12" t="str">
        <f t="shared" ref="E58:P58" si="2">E7</f>
        <v>FEB</v>
      </c>
      <c r="F58" s="12" t="str">
        <f t="shared" si="2"/>
        <v>MAR</v>
      </c>
      <c r="G58" s="12" t="str">
        <f t="shared" si="2"/>
        <v>APR</v>
      </c>
      <c r="H58" s="12" t="str">
        <f t="shared" si="2"/>
        <v>MAY</v>
      </c>
      <c r="I58" s="12" t="str">
        <f t="shared" si="2"/>
        <v>JUN</v>
      </c>
      <c r="J58" s="12" t="str">
        <f t="shared" si="2"/>
        <v>JUL</v>
      </c>
      <c r="K58" s="12" t="str">
        <f t="shared" si="2"/>
        <v>AUG</v>
      </c>
      <c r="L58" s="12" t="str">
        <f t="shared" si="2"/>
        <v>SEP</v>
      </c>
      <c r="M58" s="12" t="str">
        <f t="shared" si="2"/>
        <v>OCT</v>
      </c>
      <c r="N58" s="12" t="str">
        <f t="shared" si="2"/>
        <v>NOV</v>
      </c>
      <c r="O58" s="12" t="str">
        <f t="shared" si="2"/>
        <v>DEC</v>
      </c>
      <c r="P58" s="12" t="str">
        <f t="shared" si="2"/>
        <v>JAN</v>
      </c>
      <c r="Q58" s="68"/>
    </row>
    <row r="59" spans="1:17" ht="14.4" x14ac:dyDescent="0.3">
      <c r="A59" s="34" t="s">
        <v>17</v>
      </c>
      <c r="B59" s="35"/>
      <c r="C59" s="36"/>
      <c r="D59" s="37"/>
      <c r="E59" s="37"/>
      <c r="F59" s="37"/>
      <c r="G59" s="37"/>
      <c r="H59" s="37"/>
      <c r="I59" s="37"/>
      <c r="J59" s="37"/>
      <c r="K59" s="37"/>
      <c r="L59" s="37"/>
      <c r="M59" s="37"/>
      <c r="N59" s="37"/>
      <c r="O59" s="37"/>
      <c r="P59" s="37"/>
      <c r="Q59" s="68"/>
    </row>
    <row r="60" spans="1:17" ht="14.4" x14ac:dyDescent="0.3">
      <c r="A60" s="38" t="s">
        <v>18</v>
      </c>
      <c r="B60" s="39"/>
      <c r="C60" s="36" t="s">
        <v>19</v>
      </c>
      <c r="D60" s="40" t="s">
        <v>59</v>
      </c>
      <c r="E60" s="40" t="s">
        <v>59</v>
      </c>
      <c r="F60" s="40" t="s">
        <v>59</v>
      </c>
      <c r="G60" s="40" t="s">
        <v>59</v>
      </c>
      <c r="H60" s="40" t="s">
        <v>59</v>
      </c>
      <c r="I60" s="40" t="s">
        <v>59</v>
      </c>
      <c r="J60" s="40" t="s">
        <v>59</v>
      </c>
      <c r="K60" s="40" t="s">
        <v>59</v>
      </c>
      <c r="L60" s="40" t="s">
        <v>59</v>
      </c>
      <c r="M60" s="40" t="s">
        <v>59</v>
      </c>
      <c r="N60" s="40" t="s">
        <v>59</v>
      </c>
      <c r="O60" s="40" t="s">
        <v>59</v>
      </c>
      <c r="P60" s="40" t="s">
        <v>59</v>
      </c>
      <c r="Q60" s="68"/>
    </row>
    <row r="61" spans="1:17" ht="14.4" x14ac:dyDescent="0.3">
      <c r="A61" s="38" t="s">
        <v>66</v>
      </c>
      <c r="B61" s="39"/>
      <c r="C61" s="36" t="s">
        <v>19</v>
      </c>
      <c r="D61" s="42">
        <v>-1.1000000000000001E-3</v>
      </c>
      <c r="E61" s="42">
        <v>-2.3999999999999998E-3</v>
      </c>
      <c r="F61" s="42">
        <v>-1.2999999999999999E-3</v>
      </c>
      <c r="G61" s="42">
        <v>-1E-3</v>
      </c>
      <c r="H61" s="42">
        <v>-1.1999999999999999E-3</v>
      </c>
      <c r="I61" s="42">
        <v>-1.4E-3</v>
      </c>
      <c r="J61" s="42">
        <v>-1.5E-3</v>
      </c>
      <c r="K61" s="42"/>
      <c r="L61" s="42"/>
      <c r="M61" s="42"/>
      <c r="N61" s="42"/>
      <c r="O61" s="42"/>
      <c r="P61" s="42"/>
      <c r="Q61" s="68"/>
    </row>
    <row r="62" spans="1:17" ht="14.4" x14ac:dyDescent="0.3">
      <c r="A62" s="34" t="s">
        <v>20</v>
      </c>
      <c r="B62" s="35"/>
      <c r="C62" s="36"/>
      <c r="D62" s="41"/>
      <c r="E62" s="41"/>
      <c r="F62" s="41"/>
      <c r="G62" s="41"/>
      <c r="H62" s="41"/>
      <c r="I62" s="41"/>
      <c r="J62" s="41"/>
      <c r="K62" s="41"/>
      <c r="L62" s="41"/>
      <c r="M62" s="41"/>
      <c r="N62" s="41"/>
      <c r="O62" s="41"/>
      <c r="P62" s="41"/>
      <c r="Q62" s="68"/>
    </row>
    <row r="63" spans="1:17" ht="14.4" x14ac:dyDescent="0.3">
      <c r="A63" s="38" t="s">
        <v>21</v>
      </c>
      <c r="B63" s="39"/>
      <c r="C63" s="36" t="s">
        <v>19</v>
      </c>
      <c r="D63" s="42">
        <f>[41]TR!D65</f>
        <v>0.84489999999999998</v>
      </c>
      <c r="E63" s="42">
        <f>[41]TR!E65</f>
        <v>0.90910000000000002</v>
      </c>
      <c r="F63" s="42">
        <f>[41]TR!F65</f>
        <v>0.89049999999999996</v>
      </c>
      <c r="G63" s="42">
        <f>[41]TR!G65</f>
        <v>0.89639999999999997</v>
      </c>
      <c r="H63" s="42">
        <f>[41]TR!H65</f>
        <v>0.77249999999999996</v>
      </c>
      <c r="I63" s="42">
        <f>[41]TR!I65</f>
        <v>0.79420000000000002</v>
      </c>
      <c r="J63" s="42">
        <f>[41]TR!J65</f>
        <v>0.79420000000000002</v>
      </c>
      <c r="K63" s="42">
        <f>[41]TR!K65</f>
        <v>0.78969999999999996</v>
      </c>
      <c r="L63" s="42">
        <f>[41]TR!L65</f>
        <v>0.86709999999999998</v>
      </c>
      <c r="M63" s="42">
        <f>[41]TR!M65</f>
        <v>0.86519999999999997</v>
      </c>
      <c r="N63" s="42">
        <f>[41]TR!N65</f>
        <v>0.93330000000000002</v>
      </c>
      <c r="O63" s="42">
        <f>[41]TR!O65</f>
        <v>0.93330000000000002</v>
      </c>
      <c r="P63" s="42">
        <f>[41]TR!P65</f>
        <v>0</v>
      </c>
      <c r="Q63" s="68"/>
    </row>
    <row r="64" spans="1:17" ht="14.4" x14ac:dyDescent="0.3">
      <c r="A64" s="38" t="s">
        <v>22</v>
      </c>
      <c r="B64" s="39"/>
      <c r="C64" s="36" t="s">
        <v>23</v>
      </c>
      <c r="D64" s="43">
        <v>0</v>
      </c>
      <c r="E64" s="43">
        <v>0</v>
      </c>
      <c r="F64" s="43">
        <v>0</v>
      </c>
      <c r="G64" s="43">
        <v>0</v>
      </c>
      <c r="H64" s="43">
        <v>0</v>
      </c>
      <c r="I64" s="43">
        <v>0</v>
      </c>
      <c r="J64" s="43">
        <v>0</v>
      </c>
      <c r="K64" s="43">
        <v>0</v>
      </c>
      <c r="L64" s="43">
        <v>0</v>
      </c>
      <c r="M64" s="43">
        <v>0</v>
      </c>
      <c r="N64" s="43">
        <v>0</v>
      </c>
      <c r="O64" s="43">
        <v>0</v>
      </c>
      <c r="P64" s="43">
        <v>0</v>
      </c>
      <c r="Q64" s="68"/>
    </row>
    <row r="65" spans="1:17" ht="14.4" x14ac:dyDescent="0.3">
      <c r="A65" s="34" t="s">
        <v>24</v>
      </c>
      <c r="B65" s="35"/>
      <c r="C65" s="36"/>
      <c r="D65" s="41"/>
      <c r="E65" s="41"/>
      <c r="F65" s="41"/>
      <c r="G65" s="41"/>
      <c r="H65" s="41"/>
      <c r="I65" s="41"/>
      <c r="J65" s="41"/>
      <c r="K65" s="41"/>
      <c r="L65" s="41"/>
      <c r="M65" s="41"/>
      <c r="N65" s="41"/>
      <c r="O65" s="41"/>
      <c r="P65" s="41"/>
      <c r="Q65" s="68"/>
    </row>
    <row r="66" spans="1:17" ht="14.4" x14ac:dyDescent="0.3">
      <c r="A66" s="38" t="s">
        <v>25</v>
      </c>
      <c r="B66" s="39"/>
      <c r="C66" s="36" t="s">
        <v>19</v>
      </c>
      <c r="D66" s="42">
        <f>D15</f>
        <v>0.65580000000000005</v>
      </c>
      <c r="E66" s="42">
        <f t="shared" ref="E66:P66" si="3">E15</f>
        <v>0.59</v>
      </c>
      <c r="F66" s="42">
        <f t="shared" si="3"/>
        <v>0.58030000000000004</v>
      </c>
      <c r="G66" s="42">
        <f t="shared" si="3"/>
        <v>0.62050000000000005</v>
      </c>
      <c r="H66" s="42">
        <f t="shared" si="3"/>
        <v>0.61280000000000001</v>
      </c>
      <c r="I66" s="42">
        <f t="shared" si="3"/>
        <v>0.61309999999999998</v>
      </c>
      <c r="J66" s="42">
        <f t="shared" si="3"/>
        <v>0.57599999999999996</v>
      </c>
      <c r="K66" s="42">
        <f t="shared" si="3"/>
        <v>0.53080000000000005</v>
      </c>
      <c r="L66" s="42">
        <f t="shared" si="3"/>
        <v>0.54369999999999996</v>
      </c>
      <c r="M66" s="42">
        <f t="shared" si="3"/>
        <v>0.505</v>
      </c>
      <c r="N66" s="42">
        <f t="shared" si="3"/>
        <v>0.60619999999999996</v>
      </c>
      <c r="O66" s="42">
        <f t="shared" si="3"/>
        <v>0.60619999999999996</v>
      </c>
      <c r="P66" s="42">
        <f t="shared" si="3"/>
        <v>0</v>
      </c>
      <c r="Q66" s="68"/>
    </row>
    <row r="67" spans="1:17" ht="14.4" x14ac:dyDescent="0.3">
      <c r="A67" s="34" t="s">
        <v>26</v>
      </c>
      <c r="B67" s="34"/>
      <c r="C67" s="36"/>
      <c r="D67" s="44"/>
      <c r="E67" s="44"/>
      <c r="F67" s="44"/>
      <c r="G67" s="44"/>
      <c r="H67" s="44"/>
      <c r="I67" s="44"/>
      <c r="J67" s="44"/>
      <c r="K67" s="44"/>
      <c r="L67" s="44"/>
      <c r="M67" s="44"/>
      <c r="N67" s="44"/>
      <c r="O67" s="44"/>
      <c r="P67" s="44"/>
      <c r="Q67" s="68"/>
    </row>
    <row r="68" spans="1:17" ht="14.4" x14ac:dyDescent="0.3">
      <c r="A68" s="38" t="s">
        <v>27</v>
      </c>
      <c r="B68" s="38"/>
      <c r="C68" s="36" t="s">
        <v>19</v>
      </c>
      <c r="D68" s="40" t="s">
        <v>60</v>
      </c>
      <c r="E68" s="40" t="s">
        <v>60</v>
      </c>
      <c r="F68" s="40" t="s">
        <v>60</v>
      </c>
      <c r="G68" s="40" t="s">
        <v>60</v>
      </c>
      <c r="H68" s="40" t="s">
        <v>60</v>
      </c>
      <c r="I68" s="40" t="s">
        <v>60</v>
      </c>
      <c r="J68" s="40" t="s">
        <v>60</v>
      </c>
      <c r="K68" s="40" t="s">
        <v>60</v>
      </c>
      <c r="L68" s="40" t="s">
        <v>60</v>
      </c>
      <c r="M68" s="40" t="s">
        <v>60</v>
      </c>
      <c r="N68" s="40" t="s">
        <v>60</v>
      </c>
      <c r="O68" s="40" t="s">
        <v>60</v>
      </c>
      <c r="P68" s="40" t="s">
        <v>60</v>
      </c>
      <c r="Q68" s="68"/>
    </row>
    <row r="69" spans="1:17" ht="14.4" x14ac:dyDescent="0.3">
      <c r="A69" s="38" t="s">
        <v>28</v>
      </c>
      <c r="B69" s="38"/>
      <c r="C69" s="36" t="s">
        <v>23</v>
      </c>
      <c r="D69" s="43">
        <v>0</v>
      </c>
      <c r="E69" s="43">
        <v>0</v>
      </c>
      <c r="F69" s="43">
        <v>0</v>
      </c>
      <c r="G69" s="43">
        <v>0</v>
      </c>
      <c r="H69" s="43">
        <v>0</v>
      </c>
      <c r="I69" s="43">
        <v>0</v>
      </c>
      <c r="J69" s="43">
        <v>0</v>
      </c>
      <c r="K69" s="43">
        <v>0</v>
      </c>
      <c r="L69" s="43">
        <v>0</v>
      </c>
      <c r="M69" s="43">
        <v>0</v>
      </c>
      <c r="N69" s="43">
        <v>0</v>
      </c>
      <c r="O69" s="43">
        <v>0</v>
      </c>
      <c r="P69" s="43">
        <v>0</v>
      </c>
      <c r="Q69" s="68"/>
    </row>
    <row r="70" spans="1:17" ht="14.4" x14ac:dyDescent="0.3">
      <c r="A70" s="34" t="s">
        <v>29</v>
      </c>
      <c r="B70" s="34"/>
      <c r="C70" s="36"/>
      <c r="D70" s="45"/>
      <c r="E70" s="45"/>
      <c r="F70" s="45"/>
      <c r="G70" s="45"/>
      <c r="H70" s="45"/>
      <c r="I70" s="45"/>
      <c r="J70" s="45"/>
      <c r="K70" s="45"/>
      <c r="L70" s="45"/>
      <c r="M70" s="45"/>
      <c r="N70" s="45"/>
      <c r="O70" s="45"/>
      <c r="P70" s="45"/>
      <c r="Q70" s="68"/>
    </row>
    <row r="71" spans="1:17" ht="14.4" x14ac:dyDescent="0.3">
      <c r="A71" s="38" t="s">
        <v>30</v>
      </c>
      <c r="B71" s="38"/>
      <c r="C71" s="36" t="s">
        <v>19</v>
      </c>
      <c r="D71" s="40" t="s">
        <v>61</v>
      </c>
      <c r="E71" s="40" t="s">
        <v>61</v>
      </c>
      <c r="F71" s="40" t="s">
        <v>61</v>
      </c>
      <c r="G71" s="40" t="s">
        <v>61</v>
      </c>
      <c r="H71" s="40" t="s">
        <v>61</v>
      </c>
      <c r="I71" s="40" t="s">
        <v>61</v>
      </c>
      <c r="J71" s="40" t="s">
        <v>61</v>
      </c>
      <c r="K71" s="40" t="s">
        <v>61</v>
      </c>
      <c r="L71" s="40" t="s">
        <v>61</v>
      </c>
      <c r="M71" s="40" t="s">
        <v>61</v>
      </c>
      <c r="N71" s="40" t="s">
        <v>61</v>
      </c>
      <c r="O71" s="40" t="s">
        <v>61</v>
      </c>
      <c r="P71" s="40" t="s">
        <v>61</v>
      </c>
      <c r="Q71" s="68"/>
    </row>
    <row r="72" spans="1:17" ht="14.4" x14ac:dyDescent="0.3">
      <c r="A72" s="38" t="s">
        <v>31</v>
      </c>
      <c r="B72" s="38"/>
      <c r="C72" s="36" t="s">
        <v>32</v>
      </c>
      <c r="D72" s="40" t="s">
        <v>62</v>
      </c>
      <c r="E72" s="40" t="s">
        <v>62</v>
      </c>
      <c r="F72" s="40" t="s">
        <v>62</v>
      </c>
      <c r="G72" s="40" t="s">
        <v>62</v>
      </c>
      <c r="H72" s="40" t="s">
        <v>62</v>
      </c>
      <c r="I72" s="40" t="s">
        <v>62</v>
      </c>
      <c r="J72" s="40" t="s">
        <v>62</v>
      </c>
      <c r="K72" s="40" t="s">
        <v>62</v>
      </c>
      <c r="L72" s="40" t="s">
        <v>62</v>
      </c>
      <c r="M72" s="40" t="s">
        <v>62</v>
      </c>
      <c r="N72" s="40" t="s">
        <v>62</v>
      </c>
      <c r="O72" s="40" t="s">
        <v>62</v>
      </c>
      <c r="P72" s="40" t="s">
        <v>62</v>
      </c>
      <c r="Q72" s="68"/>
    </row>
    <row r="73" spans="1:17" ht="14.4" x14ac:dyDescent="0.3">
      <c r="A73" s="34" t="s">
        <v>33</v>
      </c>
      <c r="B73" s="34"/>
      <c r="C73" s="36"/>
      <c r="D73" s="45"/>
      <c r="E73" s="45"/>
      <c r="F73" s="45"/>
      <c r="G73" s="45"/>
      <c r="H73" s="45"/>
      <c r="I73" s="45"/>
      <c r="J73" s="45"/>
      <c r="K73" s="45"/>
      <c r="L73" s="45"/>
      <c r="M73" s="45"/>
      <c r="N73" s="45"/>
      <c r="O73" s="45"/>
      <c r="P73" s="45"/>
      <c r="Q73" s="68"/>
    </row>
    <row r="74" spans="1:17" ht="14.4" x14ac:dyDescent="0.3">
      <c r="A74" s="38" t="s">
        <v>34</v>
      </c>
      <c r="B74" s="38"/>
      <c r="C74" s="36" t="s">
        <v>19</v>
      </c>
      <c r="D74" s="42">
        <v>0.40029999999999999</v>
      </c>
      <c r="E74" s="42">
        <v>0.40029999999999999</v>
      </c>
      <c r="F74" s="42">
        <v>0.40029999999999999</v>
      </c>
      <c r="G74" s="42">
        <v>0.40029999999999999</v>
      </c>
      <c r="H74" s="42">
        <v>0.40029999999999999</v>
      </c>
      <c r="I74" s="42">
        <v>0.40029999999999999</v>
      </c>
      <c r="J74" s="42">
        <v>0.40660000000000002</v>
      </c>
      <c r="K74" s="42">
        <v>0.40660000000000002</v>
      </c>
      <c r="L74" s="42">
        <v>0.40660000000000002</v>
      </c>
      <c r="M74" s="42">
        <v>0.40660000000000002</v>
      </c>
      <c r="N74" s="42">
        <v>0.40660000000000002</v>
      </c>
      <c r="O74" s="42">
        <v>0.40660000000000002</v>
      </c>
      <c r="P74" s="42">
        <v>0.40660000000000002</v>
      </c>
      <c r="Q74" s="68"/>
    </row>
    <row r="75" spans="1:17" ht="14.4" x14ac:dyDescent="0.3">
      <c r="A75" s="38" t="s">
        <v>35</v>
      </c>
      <c r="B75" s="38"/>
      <c r="C75" s="36" t="s">
        <v>36</v>
      </c>
      <c r="D75" s="40" t="s">
        <v>63</v>
      </c>
      <c r="E75" s="40" t="s">
        <v>63</v>
      </c>
      <c r="F75" s="40" t="s">
        <v>63</v>
      </c>
      <c r="G75" s="40" t="s">
        <v>63</v>
      </c>
      <c r="H75" s="40" t="s">
        <v>63</v>
      </c>
      <c r="I75" s="40" t="s">
        <v>63</v>
      </c>
      <c r="J75" s="40" t="s">
        <v>63</v>
      </c>
      <c r="K75" s="40" t="s">
        <v>63</v>
      </c>
      <c r="L75" s="40" t="s">
        <v>63</v>
      </c>
      <c r="M75" s="40" t="s">
        <v>63</v>
      </c>
      <c r="N75" s="40" t="s">
        <v>63</v>
      </c>
      <c r="O75" s="40" t="s">
        <v>63</v>
      </c>
      <c r="P75" s="40" t="s">
        <v>63</v>
      </c>
      <c r="Q75" s="68"/>
    </row>
    <row r="76" spans="1:17" ht="14.4" x14ac:dyDescent="0.3">
      <c r="A76" s="34" t="s">
        <v>37</v>
      </c>
      <c r="B76" s="34"/>
      <c r="C76" s="36"/>
      <c r="D76" s="45"/>
      <c r="E76" s="45"/>
      <c r="F76" s="45"/>
      <c r="G76" s="45"/>
      <c r="H76" s="45"/>
      <c r="I76" s="45"/>
      <c r="J76" s="45"/>
      <c r="K76" s="45"/>
      <c r="L76" s="45"/>
      <c r="M76" s="45"/>
      <c r="N76" s="45"/>
      <c r="O76" s="45"/>
      <c r="P76" s="45"/>
      <c r="Q76" s="68"/>
    </row>
    <row r="77" spans="1:17" ht="14.4" x14ac:dyDescent="0.3">
      <c r="A77" s="46" t="s">
        <v>38</v>
      </c>
      <c r="B77" s="38"/>
      <c r="C77" s="36" t="s">
        <v>19</v>
      </c>
      <c r="D77" s="42">
        <f>D26</f>
        <v>0.1333</v>
      </c>
      <c r="E77" s="42">
        <f t="shared" ref="E77:P77" si="4">E26</f>
        <v>0.1497</v>
      </c>
      <c r="F77" s="42">
        <f t="shared" si="4"/>
        <v>0.14410000000000001</v>
      </c>
      <c r="G77" s="42">
        <f t="shared" si="4"/>
        <v>0.15459999999999999</v>
      </c>
      <c r="H77" s="42">
        <f t="shared" si="4"/>
        <v>0.10920000000000001</v>
      </c>
      <c r="I77" s="42">
        <f t="shared" si="4"/>
        <v>0.104</v>
      </c>
      <c r="J77" s="42">
        <f t="shared" si="4"/>
        <v>0.1045</v>
      </c>
      <c r="K77" s="42">
        <f t="shared" si="4"/>
        <v>0.11609999999999999</v>
      </c>
      <c r="L77" s="42">
        <f t="shared" si="4"/>
        <v>0.1091</v>
      </c>
      <c r="M77" s="42">
        <f t="shared" si="4"/>
        <v>0.1138</v>
      </c>
      <c r="N77" s="42">
        <f t="shared" si="4"/>
        <v>0.1173</v>
      </c>
      <c r="O77" s="42">
        <f t="shared" si="4"/>
        <v>0.1173</v>
      </c>
      <c r="P77" s="42">
        <f t="shared" si="4"/>
        <v>0</v>
      </c>
      <c r="Q77" s="68"/>
    </row>
    <row r="78" spans="1:17" ht="14.4" x14ac:dyDescent="0.3">
      <c r="A78" s="46" t="s">
        <v>39</v>
      </c>
      <c r="B78" s="38"/>
      <c r="C78" s="36" t="s">
        <v>19</v>
      </c>
      <c r="D78" s="40" t="s">
        <v>64</v>
      </c>
      <c r="E78" s="40" t="s">
        <v>64</v>
      </c>
      <c r="F78" s="40" t="s">
        <v>64</v>
      </c>
      <c r="G78" s="40" t="s">
        <v>64</v>
      </c>
      <c r="H78" s="40" t="s">
        <v>64</v>
      </c>
      <c r="I78" s="40" t="s">
        <v>64</v>
      </c>
      <c r="J78" s="40" t="s">
        <v>64</v>
      </c>
      <c r="K78" s="40" t="s">
        <v>64</v>
      </c>
      <c r="L78" s="40" t="s">
        <v>64</v>
      </c>
      <c r="M78" s="40" t="s">
        <v>64</v>
      </c>
      <c r="N78" s="40" t="s">
        <v>64</v>
      </c>
      <c r="O78" s="40" t="s">
        <v>64</v>
      </c>
      <c r="P78" s="40" t="s">
        <v>64</v>
      </c>
      <c r="Q78" s="68"/>
    </row>
    <row r="79" spans="1:17" ht="14.4" x14ac:dyDescent="0.3">
      <c r="A79" s="46" t="s">
        <v>180</v>
      </c>
      <c r="B79" s="38"/>
      <c r="C79" s="36" t="s">
        <v>19</v>
      </c>
      <c r="D79" s="42">
        <f>D28</f>
        <v>3.1399999999999997E-2</v>
      </c>
      <c r="E79" s="42">
        <f t="shared" ref="E79:P82" si="5">E28</f>
        <v>3.1399999999999997E-2</v>
      </c>
      <c r="F79" s="42">
        <f t="shared" si="5"/>
        <v>3.1399999999999997E-2</v>
      </c>
      <c r="G79" s="42">
        <f t="shared" si="5"/>
        <v>3.1399999999999997E-2</v>
      </c>
      <c r="H79" s="42">
        <f t="shared" si="5"/>
        <v>3.1399999999999997E-2</v>
      </c>
      <c r="I79" s="42">
        <f t="shared" si="5"/>
        <v>3.1399999999999997E-2</v>
      </c>
      <c r="J79" s="42">
        <f t="shared" si="5"/>
        <v>3.1399999999999997E-2</v>
      </c>
      <c r="K79" s="42">
        <f t="shared" si="5"/>
        <v>3.1399999999999997E-2</v>
      </c>
      <c r="L79" s="42">
        <f t="shared" si="5"/>
        <v>3.1399999999999997E-2</v>
      </c>
      <c r="M79" s="42">
        <f t="shared" si="5"/>
        <v>3.1399999999999997E-2</v>
      </c>
      <c r="N79" s="42">
        <f t="shared" si="5"/>
        <v>3.1399999999999997E-2</v>
      </c>
      <c r="O79" s="42">
        <f t="shared" si="5"/>
        <v>3.1399999999999997E-2</v>
      </c>
      <c r="P79" s="42">
        <f t="shared" si="5"/>
        <v>3.1399999999999997E-2</v>
      </c>
      <c r="Q79" s="68"/>
    </row>
    <row r="80" spans="1:17" ht="14.4" x14ac:dyDescent="0.3">
      <c r="A80" s="47" t="s">
        <v>40</v>
      </c>
      <c r="B80" s="38"/>
      <c r="C80" s="36" t="s">
        <v>19</v>
      </c>
      <c r="D80" s="42">
        <f>D29</f>
        <v>1E-4</v>
      </c>
      <c r="E80" s="42">
        <f t="shared" si="5"/>
        <v>1E-4</v>
      </c>
      <c r="F80" s="42">
        <f t="shared" si="5"/>
        <v>1E-4</v>
      </c>
      <c r="G80" s="42">
        <f t="shared" si="5"/>
        <v>1E-4</v>
      </c>
      <c r="H80" s="42">
        <f t="shared" si="5"/>
        <v>1E-4</v>
      </c>
      <c r="I80" s="42">
        <f t="shared" si="5"/>
        <v>1E-4</v>
      </c>
      <c r="J80" s="42">
        <f t="shared" si="5"/>
        <v>1E-4</v>
      </c>
      <c r="K80" s="42">
        <f t="shared" si="5"/>
        <v>1E-4</v>
      </c>
      <c r="L80" s="42">
        <f t="shared" si="5"/>
        <v>1E-4</v>
      </c>
      <c r="M80" s="42">
        <f t="shared" si="5"/>
        <v>1E-4</v>
      </c>
      <c r="N80" s="42">
        <f t="shared" si="5"/>
        <v>1E-4</v>
      </c>
      <c r="O80" s="42">
        <f t="shared" si="5"/>
        <v>1E-4</v>
      </c>
      <c r="P80" s="42">
        <f t="shared" si="5"/>
        <v>0</v>
      </c>
      <c r="Q80" s="68"/>
    </row>
    <row r="81" spans="1:17" ht="14.4" x14ac:dyDescent="0.3">
      <c r="A81" s="47" t="s">
        <v>41</v>
      </c>
      <c r="B81" s="38"/>
      <c r="C81" s="36" t="s">
        <v>19</v>
      </c>
      <c r="D81" s="42">
        <f>D30</f>
        <v>0</v>
      </c>
      <c r="E81" s="42">
        <f t="shared" si="5"/>
        <v>0</v>
      </c>
      <c r="F81" s="42">
        <f t="shared" si="5"/>
        <v>0</v>
      </c>
      <c r="G81" s="42">
        <f t="shared" si="5"/>
        <v>0</v>
      </c>
      <c r="H81" s="42">
        <f t="shared" si="5"/>
        <v>0</v>
      </c>
      <c r="I81" s="42">
        <f t="shared" si="5"/>
        <v>0</v>
      </c>
      <c r="J81" s="42">
        <f t="shared" si="5"/>
        <v>0</v>
      </c>
      <c r="K81" s="42">
        <f t="shared" si="5"/>
        <v>0</v>
      </c>
      <c r="L81" s="42">
        <f t="shared" si="5"/>
        <v>0</v>
      </c>
      <c r="M81" s="42">
        <f t="shared" si="5"/>
        <v>0</v>
      </c>
      <c r="N81" s="42">
        <f t="shared" si="5"/>
        <v>0</v>
      </c>
      <c r="O81" s="42">
        <f t="shared" si="5"/>
        <v>0</v>
      </c>
      <c r="P81" s="42">
        <f t="shared" si="5"/>
        <v>0</v>
      </c>
      <c r="Q81" s="68"/>
    </row>
    <row r="82" spans="1:17" ht="14.4" x14ac:dyDescent="0.3">
      <c r="A82" s="157" t="s">
        <v>181</v>
      </c>
      <c r="B82" s="158"/>
      <c r="C82" s="36" t="s">
        <v>19</v>
      </c>
      <c r="D82" s="42">
        <f>D31</f>
        <v>1.03E-2</v>
      </c>
      <c r="E82" s="42">
        <f t="shared" si="5"/>
        <v>1.03E-2</v>
      </c>
      <c r="F82" s="42">
        <f t="shared" si="5"/>
        <v>1.03E-2</v>
      </c>
      <c r="G82" s="42">
        <f t="shared" si="5"/>
        <v>2.5999999999999999E-3</v>
      </c>
      <c r="H82" s="42">
        <f t="shared" si="5"/>
        <v>0</v>
      </c>
      <c r="I82" s="42">
        <f t="shared" si="5"/>
        <v>0</v>
      </c>
      <c r="J82" s="42">
        <f t="shared" si="5"/>
        <v>0</v>
      </c>
      <c r="K82" s="42">
        <f t="shared" si="5"/>
        <v>0</v>
      </c>
      <c r="L82" s="42">
        <f t="shared" si="5"/>
        <v>0</v>
      </c>
      <c r="M82" s="42">
        <f t="shared" si="5"/>
        <v>0</v>
      </c>
      <c r="N82" s="42">
        <f t="shared" si="5"/>
        <v>0</v>
      </c>
      <c r="O82" s="42">
        <f t="shared" si="5"/>
        <v>0</v>
      </c>
      <c r="P82" s="42">
        <f t="shared" si="5"/>
        <v>0</v>
      </c>
      <c r="Q82" s="68"/>
    </row>
    <row r="83" spans="1:17" ht="16.2" hidden="1" x14ac:dyDescent="0.3">
      <c r="A83" s="157" t="s">
        <v>182</v>
      </c>
      <c r="B83" s="158"/>
      <c r="C83" s="36" t="s">
        <v>19</v>
      </c>
      <c r="D83" s="42"/>
      <c r="E83" s="42"/>
      <c r="F83" s="42"/>
      <c r="G83" s="42"/>
      <c r="H83" s="42"/>
      <c r="I83" s="42"/>
      <c r="J83" s="42"/>
      <c r="K83" s="42"/>
      <c r="L83" s="42"/>
      <c r="M83" s="42"/>
      <c r="N83" s="42"/>
      <c r="O83" s="42"/>
      <c r="P83" s="42"/>
      <c r="Q83" s="68"/>
    </row>
    <row r="84" spans="1:17" ht="16.2" hidden="1" x14ac:dyDescent="0.3">
      <c r="A84" s="157" t="s">
        <v>182</v>
      </c>
      <c r="B84" s="159"/>
      <c r="C84" s="36" t="s">
        <v>19</v>
      </c>
      <c r="D84" s="42"/>
      <c r="E84" s="42"/>
      <c r="F84" s="42"/>
      <c r="G84" s="42"/>
      <c r="H84" s="42"/>
      <c r="I84" s="42"/>
      <c r="J84" s="42"/>
      <c r="K84" s="42"/>
      <c r="L84" s="42"/>
      <c r="M84" s="42"/>
      <c r="N84" s="42"/>
      <c r="O84" s="42"/>
      <c r="P84" s="42"/>
      <c r="Q84" s="68"/>
    </row>
    <row r="85" spans="1:17" ht="14.4" x14ac:dyDescent="0.3">
      <c r="A85" s="34" t="s">
        <v>42</v>
      </c>
      <c r="B85" s="34"/>
      <c r="C85" s="36"/>
      <c r="D85" s="45"/>
      <c r="E85" s="45"/>
      <c r="F85" s="45"/>
      <c r="G85" s="45"/>
      <c r="H85" s="45"/>
      <c r="I85" s="45"/>
      <c r="J85" s="45"/>
      <c r="K85" s="45"/>
      <c r="L85" s="45"/>
      <c r="M85" s="45"/>
      <c r="N85" s="45"/>
      <c r="O85" s="45"/>
      <c r="P85" s="45"/>
      <c r="Q85" s="68"/>
    </row>
    <row r="86" spans="1:17" ht="14.4" x14ac:dyDescent="0.3">
      <c r="A86" s="34" t="s">
        <v>43</v>
      </c>
      <c r="B86" s="34"/>
      <c r="C86" s="36" t="s">
        <v>44</v>
      </c>
      <c r="D86" s="48"/>
      <c r="E86" s="48"/>
      <c r="F86" s="48"/>
      <c r="G86" s="48"/>
      <c r="H86" s="48"/>
      <c r="I86" s="48"/>
      <c r="J86" s="48"/>
      <c r="K86" s="48"/>
      <c r="L86" s="48"/>
      <c r="M86" s="48"/>
      <c r="N86" s="48"/>
      <c r="O86" s="48"/>
      <c r="P86" s="48"/>
      <c r="Q86" s="68"/>
    </row>
    <row r="87" spans="1:17" ht="14.4" hidden="1" x14ac:dyDescent="0.3">
      <c r="A87" s="34" t="s">
        <v>183</v>
      </c>
      <c r="B87" s="34"/>
      <c r="C87" s="36"/>
      <c r="D87" s="49"/>
      <c r="E87" s="49"/>
      <c r="F87" s="49"/>
      <c r="G87" s="49"/>
      <c r="H87" s="49"/>
      <c r="I87" s="49"/>
      <c r="J87" s="49"/>
      <c r="K87" s="49"/>
      <c r="L87" s="49"/>
      <c r="M87" s="49"/>
      <c r="N87" s="49"/>
      <c r="O87" s="49"/>
      <c r="P87" s="49"/>
      <c r="Q87" s="68"/>
    </row>
    <row r="88" spans="1:17" ht="14.4" hidden="1" x14ac:dyDescent="0.3">
      <c r="A88" s="34" t="s">
        <v>184</v>
      </c>
      <c r="B88" s="34"/>
      <c r="C88" s="36" t="s">
        <v>19</v>
      </c>
      <c r="D88" s="42"/>
      <c r="E88" s="42"/>
      <c r="F88" s="42"/>
      <c r="G88" s="42"/>
      <c r="H88" s="42"/>
      <c r="I88" s="42"/>
      <c r="J88" s="42"/>
      <c r="K88" s="42"/>
      <c r="L88" s="42"/>
      <c r="M88" s="42"/>
      <c r="N88" s="42"/>
      <c r="O88" s="42"/>
      <c r="P88" s="42"/>
      <c r="Q88" s="68"/>
    </row>
    <row r="89" spans="1:17" ht="14.4" x14ac:dyDescent="0.3">
      <c r="A89" s="34" t="s">
        <v>45</v>
      </c>
      <c r="B89" s="34"/>
      <c r="C89" s="36"/>
      <c r="D89" s="49"/>
      <c r="E89" s="49"/>
      <c r="F89" s="49"/>
      <c r="G89" s="49"/>
      <c r="H89" s="49"/>
      <c r="I89" s="49"/>
      <c r="J89" s="49"/>
      <c r="K89" s="49"/>
      <c r="L89" s="49"/>
      <c r="M89" s="49"/>
      <c r="N89" s="49"/>
      <c r="O89" s="49"/>
      <c r="P89" s="49"/>
      <c r="Q89" s="68"/>
    </row>
    <row r="90" spans="1:17" ht="14.4" x14ac:dyDescent="0.3">
      <c r="A90" s="34" t="s">
        <v>46</v>
      </c>
      <c r="B90" s="34"/>
      <c r="C90" s="36" t="s">
        <v>19</v>
      </c>
      <c r="D90" s="40" t="s">
        <v>65</v>
      </c>
      <c r="E90" s="40" t="s">
        <v>65</v>
      </c>
      <c r="F90" s="40" t="s">
        <v>65</v>
      </c>
      <c r="G90" s="40" t="s">
        <v>65</v>
      </c>
      <c r="H90" s="40" t="s">
        <v>65</v>
      </c>
      <c r="I90" s="40" t="s">
        <v>65</v>
      </c>
      <c r="J90" s="40" t="s">
        <v>65</v>
      </c>
      <c r="K90" s="40" t="s">
        <v>65</v>
      </c>
      <c r="L90" s="40" t="s">
        <v>65</v>
      </c>
      <c r="M90" s="40" t="s">
        <v>65</v>
      </c>
      <c r="N90" s="40" t="s">
        <v>65</v>
      </c>
      <c r="O90" s="40" t="s">
        <v>65</v>
      </c>
      <c r="P90" s="40" t="s">
        <v>65</v>
      </c>
      <c r="Q90" s="68"/>
    </row>
    <row r="91" spans="1:17" ht="14.4" hidden="1" x14ac:dyDescent="0.3">
      <c r="A91" s="34" t="s">
        <v>185</v>
      </c>
      <c r="B91" s="34"/>
      <c r="C91" s="36"/>
      <c r="D91" s="49"/>
      <c r="E91" s="49"/>
      <c r="F91" s="49"/>
      <c r="G91" s="49"/>
      <c r="H91" s="49"/>
      <c r="I91" s="49"/>
      <c r="J91" s="49"/>
      <c r="K91" s="49"/>
      <c r="L91" s="49"/>
      <c r="M91" s="49"/>
      <c r="N91" s="49"/>
      <c r="O91" s="49"/>
      <c r="P91" s="49"/>
      <c r="Q91" s="68"/>
    </row>
    <row r="92" spans="1:17" ht="14.4" hidden="1" x14ac:dyDescent="0.3">
      <c r="A92" s="34" t="s">
        <v>186</v>
      </c>
      <c r="B92" s="34"/>
      <c r="C92" s="36" t="s">
        <v>19</v>
      </c>
      <c r="D92" s="42"/>
      <c r="E92" s="42"/>
      <c r="F92" s="42"/>
      <c r="G92" s="42"/>
      <c r="H92" s="42"/>
      <c r="I92" s="42"/>
      <c r="J92" s="42"/>
      <c r="K92" s="42"/>
      <c r="L92" s="42"/>
      <c r="M92" s="42"/>
      <c r="N92" s="42"/>
      <c r="O92" s="42"/>
      <c r="P92" s="42"/>
      <c r="Q92" s="68"/>
    </row>
    <row r="93" spans="1:17" ht="14.4" x14ac:dyDescent="0.3">
      <c r="A93" s="34" t="s">
        <v>47</v>
      </c>
      <c r="B93" s="34"/>
      <c r="C93" s="36"/>
      <c r="D93" s="45"/>
      <c r="E93" s="45"/>
      <c r="F93" s="45"/>
      <c r="G93" s="45"/>
      <c r="H93" s="45"/>
      <c r="I93" s="45"/>
      <c r="J93" s="45"/>
      <c r="K93" s="45"/>
      <c r="L93" s="45"/>
      <c r="M93" s="45"/>
      <c r="N93" s="45"/>
      <c r="O93" s="45"/>
      <c r="P93" s="45"/>
      <c r="Q93" s="68"/>
    </row>
    <row r="94" spans="1:17" ht="14.4" x14ac:dyDescent="0.3">
      <c r="A94" s="38" t="s">
        <v>48</v>
      </c>
      <c r="B94" s="38"/>
      <c r="C94" s="36" t="s">
        <v>19</v>
      </c>
      <c r="D94" s="42">
        <f>D43</f>
        <v>0.1163</v>
      </c>
      <c r="E94" s="42">
        <f t="shared" ref="E94:P95" si="6">E43</f>
        <v>0.1163</v>
      </c>
      <c r="F94" s="42">
        <f t="shared" si="6"/>
        <v>0.1163</v>
      </c>
      <c r="G94" s="42">
        <f t="shared" si="6"/>
        <v>0.1163</v>
      </c>
      <c r="H94" s="42">
        <f t="shared" si="6"/>
        <v>0.1163</v>
      </c>
      <c r="I94" s="42">
        <f t="shared" si="6"/>
        <v>0.1163</v>
      </c>
      <c r="J94" s="42">
        <f t="shared" si="6"/>
        <v>0.1163</v>
      </c>
      <c r="K94" s="42">
        <f t="shared" si="6"/>
        <v>0.1163</v>
      </c>
      <c r="L94" s="42">
        <f t="shared" si="6"/>
        <v>0.1163</v>
      </c>
      <c r="M94" s="42">
        <f t="shared" si="6"/>
        <v>0.1163</v>
      </c>
      <c r="N94" s="42">
        <f t="shared" si="6"/>
        <v>0.1163</v>
      </c>
      <c r="O94" s="42">
        <f t="shared" si="6"/>
        <v>0.1163</v>
      </c>
      <c r="P94" s="42">
        <f t="shared" si="6"/>
        <v>0.1163</v>
      </c>
      <c r="Q94" s="68"/>
    </row>
    <row r="95" spans="1:17" ht="14.4" x14ac:dyDescent="0.3">
      <c r="A95" s="38" t="s">
        <v>49</v>
      </c>
      <c r="B95" s="38"/>
      <c r="C95" s="36" t="s">
        <v>19</v>
      </c>
      <c r="D95" s="42">
        <f>D44</f>
        <v>2.5000000000000001E-3</v>
      </c>
      <c r="E95" s="42">
        <f t="shared" si="6"/>
        <v>2.5000000000000001E-3</v>
      </c>
      <c r="F95" s="42">
        <f t="shared" si="6"/>
        <v>2.5000000000000001E-3</v>
      </c>
      <c r="G95" s="42">
        <f t="shared" si="6"/>
        <v>2.5000000000000001E-3</v>
      </c>
      <c r="H95" s="42">
        <f t="shared" si="6"/>
        <v>2.5000000000000001E-3</v>
      </c>
      <c r="I95" s="42">
        <f t="shared" si="6"/>
        <v>2.5000000000000001E-3</v>
      </c>
      <c r="J95" s="42">
        <f t="shared" si="6"/>
        <v>2.5000000000000001E-3</v>
      </c>
      <c r="K95" s="42">
        <f t="shared" si="6"/>
        <v>2.5000000000000001E-3</v>
      </c>
      <c r="L95" s="42">
        <f t="shared" si="6"/>
        <v>2.5000000000000001E-3</v>
      </c>
      <c r="M95" s="42">
        <f t="shared" si="6"/>
        <v>2.5000000000000001E-3</v>
      </c>
      <c r="N95" s="42">
        <f t="shared" si="6"/>
        <v>2.5000000000000001E-3</v>
      </c>
      <c r="O95" s="42">
        <f t="shared" si="6"/>
        <v>2.5000000000000001E-3</v>
      </c>
      <c r="P95" s="42">
        <f t="shared" si="6"/>
        <v>2.5000000000000001E-3</v>
      </c>
      <c r="Q95" s="68"/>
    </row>
    <row r="96" spans="1:17" ht="14.4" x14ac:dyDescent="0.3">
      <c r="A96" s="18" t="s">
        <v>50</v>
      </c>
      <c r="B96" s="18"/>
      <c r="C96" s="16"/>
      <c r="D96" s="20"/>
      <c r="E96" s="20"/>
      <c r="F96" s="20">
        <v>0.1938</v>
      </c>
      <c r="G96" s="20">
        <v>0.1938</v>
      </c>
      <c r="H96" s="20">
        <v>0.1938</v>
      </c>
      <c r="I96" s="20">
        <v>0.1938</v>
      </c>
      <c r="J96" s="20">
        <v>0.1938</v>
      </c>
      <c r="K96" s="20">
        <v>0.1938</v>
      </c>
      <c r="L96" s="20">
        <v>0.1938</v>
      </c>
      <c r="M96" s="20">
        <v>0.1938</v>
      </c>
      <c r="N96" s="20">
        <v>0.1938</v>
      </c>
      <c r="O96" s="20">
        <v>0.1938</v>
      </c>
      <c r="P96" s="20">
        <v>0.1938</v>
      </c>
      <c r="Q96" s="68"/>
    </row>
    <row r="97" spans="1:17" ht="14.4" x14ac:dyDescent="0.3">
      <c r="A97" s="34" t="s">
        <v>52</v>
      </c>
      <c r="B97" s="34"/>
      <c r="C97" s="50"/>
      <c r="D97" s="44"/>
      <c r="E97" s="44"/>
      <c r="F97" s="44"/>
      <c r="G97" s="44"/>
      <c r="H97" s="44"/>
      <c r="I97" s="44"/>
      <c r="J97" s="44"/>
      <c r="K97" s="44"/>
      <c r="L97" s="44"/>
      <c r="M97" s="44"/>
      <c r="N97" s="44"/>
      <c r="O97" s="44"/>
      <c r="P97" s="44"/>
      <c r="Q97" s="68"/>
    </row>
    <row r="98" spans="1:17" ht="14.4" x14ac:dyDescent="0.3">
      <c r="A98" s="38" t="s">
        <v>53</v>
      </c>
      <c r="B98" s="38"/>
      <c r="C98" s="36" t="s">
        <v>44</v>
      </c>
      <c r="D98" s="51">
        <f>'[41]DU VAT'!D17</f>
        <v>0.10920000000000001</v>
      </c>
      <c r="E98" s="51">
        <f>'[41]DU VAT'!E17</f>
        <v>0.1142</v>
      </c>
      <c r="F98" s="51">
        <f>'[41]DU VAT'!F17</f>
        <v>0.1147</v>
      </c>
      <c r="G98" s="51">
        <f>'[41]DU VAT'!G17</f>
        <v>0.1137</v>
      </c>
      <c r="H98" s="51">
        <f>'[41]DU VAT'!H17</f>
        <v>0.1094</v>
      </c>
      <c r="I98" s="51">
        <f>'[41]DU VAT'!I17</f>
        <v>0.1084</v>
      </c>
      <c r="J98" s="51">
        <f>'[41]DU VAT'!J17</f>
        <v>0.1182</v>
      </c>
      <c r="K98" s="51">
        <f>'[41]DU VAT'!K17</f>
        <v>0.1183</v>
      </c>
      <c r="L98" s="51">
        <f>'[41]DU VAT'!L17</f>
        <v>0.10920000000000001</v>
      </c>
      <c r="M98" s="51">
        <f>'[41]DU VAT'!M17</f>
        <v>0.11840000000000001</v>
      </c>
      <c r="N98" s="51">
        <f>'[41]DU VAT'!N17</f>
        <v>0.10970000000000001</v>
      </c>
      <c r="O98" s="51">
        <f>'[41]DU VAT'!O17</f>
        <v>0.10970000000000001</v>
      </c>
      <c r="P98" s="51" t="e">
        <f>'[41]DU VAT'!P17</f>
        <v>#DIV/0!</v>
      </c>
      <c r="Q98" s="68"/>
    </row>
    <row r="99" spans="1:17" ht="14.4" x14ac:dyDescent="0.3">
      <c r="A99" s="38" t="s">
        <v>54</v>
      </c>
      <c r="B99" s="38"/>
      <c r="C99" s="36" t="s">
        <v>44</v>
      </c>
      <c r="D99" s="51">
        <f t="shared" ref="D99:P104" si="7">D48</f>
        <v>0</v>
      </c>
      <c r="E99" s="51">
        <f t="shared" si="7"/>
        <v>0</v>
      </c>
      <c r="F99" s="51">
        <f t="shared" si="7"/>
        <v>0</v>
      </c>
      <c r="G99" s="51">
        <f t="shared" si="7"/>
        <v>0</v>
      </c>
      <c r="H99" s="51">
        <f t="shared" si="7"/>
        <v>0</v>
      </c>
      <c r="I99" s="51">
        <f t="shared" si="7"/>
        <v>0</v>
      </c>
      <c r="J99" s="51">
        <f t="shared" si="7"/>
        <v>0</v>
      </c>
      <c r="K99" s="51">
        <f t="shared" si="7"/>
        <v>0</v>
      </c>
      <c r="L99" s="51">
        <f t="shared" si="7"/>
        <v>0</v>
      </c>
      <c r="M99" s="51">
        <f t="shared" si="7"/>
        <v>2E-3</v>
      </c>
      <c r="N99" s="51">
        <f t="shared" si="7"/>
        <v>5.9999999999999995E-4</v>
      </c>
      <c r="O99" s="51">
        <f t="shared" si="7"/>
        <v>5.9999999999999984E-4</v>
      </c>
      <c r="P99" s="51" t="e">
        <f t="shared" si="7"/>
        <v>#DIV/0!</v>
      </c>
      <c r="Q99" s="68"/>
    </row>
    <row r="100" spans="1:17" ht="14.4" x14ac:dyDescent="0.3">
      <c r="A100" s="38" t="s">
        <v>55</v>
      </c>
      <c r="B100" s="38"/>
      <c r="C100" s="36" t="s">
        <v>44</v>
      </c>
      <c r="D100" s="51">
        <f t="shared" si="7"/>
        <v>9.4899999999999998E-2</v>
      </c>
      <c r="E100" s="51">
        <f t="shared" si="7"/>
        <v>9.69E-2</v>
      </c>
      <c r="F100" s="51">
        <f t="shared" si="7"/>
        <v>9.8100000000000007E-2</v>
      </c>
      <c r="G100" s="51">
        <f t="shared" si="7"/>
        <v>9.7000000000000003E-2</v>
      </c>
      <c r="H100" s="51">
        <f t="shared" si="7"/>
        <v>9.5899999999999999E-2</v>
      </c>
      <c r="I100" s="51">
        <f t="shared" si="7"/>
        <v>9.4799999999999995E-2</v>
      </c>
      <c r="J100" s="51">
        <f t="shared" si="7"/>
        <v>0.1028</v>
      </c>
      <c r="K100" s="51">
        <f t="shared" si="7"/>
        <v>0.1027</v>
      </c>
      <c r="L100" s="51">
        <f t="shared" si="7"/>
        <v>9.35E-2</v>
      </c>
      <c r="M100" s="51">
        <f t="shared" si="7"/>
        <v>0.1004</v>
      </c>
      <c r="N100" s="51">
        <f t="shared" si="7"/>
        <v>9.4299999999999995E-2</v>
      </c>
      <c r="O100" s="51">
        <f t="shared" si="7"/>
        <v>9.4299999999999995E-2</v>
      </c>
      <c r="P100" s="51" t="e">
        <f t="shared" si="7"/>
        <v>#DIV/0!</v>
      </c>
      <c r="Q100" s="68"/>
    </row>
    <row r="101" spans="1:17" ht="14.4" x14ac:dyDescent="0.3">
      <c r="A101" s="38" t="s">
        <v>187</v>
      </c>
      <c r="B101" s="38"/>
      <c r="C101" s="36" t="s">
        <v>44</v>
      </c>
      <c r="D101" s="51">
        <v>1.7597487188553744E-2</v>
      </c>
      <c r="E101" s="51">
        <v>8.9703843992837169E-3</v>
      </c>
      <c r="F101" s="51">
        <v>3.1899999999999998E-2</v>
      </c>
      <c r="G101" s="51">
        <f t="shared" si="7"/>
        <v>0</v>
      </c>
      <c r="H101" s="51">
        <v>2.0000000000000001E-4</v>
      </c>
      <c r="I101" s="51">
        <f t="shared" si="7"/>
        <v>0</v>
      </c>
      <c r="J101" s="51">
        <f t="shared" si="7"/>
        <v>0</v>
      </c>
      <c r="K101" s="51">
        <f t="shared" si="7"/>
        <v>0</v>
      </c>
      <c r="L101" s="51">
        <f t="shared" si="7"/>
        <v>0</v>
      </c>
      <c r="M101" s="51">
        <f t="shared" si="7"/>
        <v>0</v>
      </c>
      <c r="N101" s="51">
        <f t="shared" si="7"/>
        <v>0</v>
      </c>
      <c r="O101" s="51">
        <f t="shared" si="7"/>
        <v>0</v>
      </c>
      <c r="P101" s="51">
        <f t="shared" si="7"/>
        <v>0</v>
      </c>
      <c r="Q101" s="68"/>
    </row>
    <row r="102" spans="1:17" ht="14.4" x14ac:dyDescent="0.3">
      <c r="A102" s="38" t="s">
        <v>188</v>
      </c>
      <c r="B102" s="38"/>
      <c r="C102" s="36" t="s">
        <v>44</v>
      </c>
      <c r="D102" s="51">
        <f t="shared" si="7"/>
        <v>9.8799999999999999E-2</v>
      </c>
      <c r="E102" s="51">
        <f t="shared" si="7"/>
        <v>9.8799999999999999E-2</v>
      </c>
      <c r="F102" s="51">
        <f t="shared" si="7"/>
        <v>9.8799999999999999E-2</v>
      </c>
      <c r="G102" s="51">
        <f t="shared" si="7"/>
        <v>9.8799999999999999E-2</v>
      </c>
      <c r="H102" s="51">
        <f t="shared" si="7"/>
        <v>9.8799999999999999E-2</v>
      </c>
      <c r="I102" s="51">
        <f t="shared" si="7"/>
        <v>9.8799999999999999E-2</v>
      </c>
      <c r="J102" s="51">
        <f t="shared" si="7"/>
        <v>9.8799999999999999E-2</v>
      </c>
      <c r="K102" s="51">
        <f t="shared" si="7"/>
        <v>9.8799999999999999E-2</v>
      </c>
      <c r="L102" s="51">
        <f t="shared" si="7"/>
        <v>9.8799999999999999E-2</v>
      </c>
      <c r="M102" s="51">
        <f t="shared" si="7"/>
        <v>9.8799999999999999E-2</v>
      </c>
      <c r="N102" s="51">
        <f t="shared" si="7"/>
        <v>9.8799999999999999E-2</v>
      </c>
      <c r="O102" s="51">
        <f t="shared" si="7"/>
        <v>9.8799999999999999E-2</v>
      </c>
      <c r="P102" s="51">
        <f t="shared" si="7"/>
        <v>9.8799999999999999E-2</v>
      </c>
      <c r="Q102" s="68"/>
    </row>
    <row r="103" spans="1:17" ht="14.4" x14ac:dyDescent="0.3">
      <c r="A103" s="38" t="s">
        <v>56</v>
      </c>
      <c r="B103" s="38"/>
      <c r="C103" s="36" t="s">
        <v>44</v>
      </c>
      <c r="D103" s="51">
        <f t="shared" si="7"/>
        <v>0.12</v>
      </c>
      <c r="E103" s="51">
        <f t="shared" si="7"/>
        <v>0.12</v>
      </c>
      <c r="F103" s="51">
        <f t="shared" si="7"/>
        <v>0.12</v>
      </c>
      <c r="G103" s="51">
        <f t="shared" si="7"/>
        <v>0.12</v>
      </c>
      <c r="H103" s="51">
        <f t="shared" si="7"/>
        <v>0.12</v>
      </c>
      <c r="I103" s="51">
        <f t="shared" si="7"/>
        <v>0.12</v>
      </c>
      <c r="J103" s="51">
        <f t="shared" si="7"/>
        <v>0.12</v>
      </c>
      <c r="K103" s="51">
        <f t="shared" si="7"/>
        <v>0.12</v>
      </c>
      <c r="L103" s="51">
        <f t="shared" si="7"/>
        <v>0.12</v>
      </c>
      <c r="M103" s="51">
        <f t="shared" si="7"/>
        <v>0.12</v>
      </c>
      <c r="N103" s="51">
        <f t="shared" si="7"/>
        <v>0.12</v>
      </c>
      <c r="O103" s="51">
        <f t="shared" si="7"/>
        <v>0.12</v>
      </c>
      <c r="P103" s="51">
        <f t="shared" si="7"/>
        <v>0.12</v>
      </c>
      <c r="Q103" s="68"/>
    </row>
    <row r="104" spans="1:17" ht="14.4" x14ac:dyDescent="0.3">
      <c r="A104" s="38" t="s">
        <v>57</v>
      </c>
      <c r="B104" s="38"/>
      <c r="C104" s="36" t="s">
        <v>44</v>
      </c>
      <c r="D104" s="51">
        <f t="shared" si="7"/>
        <v>0.12</v>
      </c>
      <c r="E104" s="51">
        <f t="shared" si="7"/>
        <v>0.12</v>
      </c>
      <c r="F104" s="51">
        <f t="shared" si="7"/>
        <v>0.12</v>
      </c>
      <c r="G104" s="51">
        <f t="shared" si="7"/>
        <v>0.12</v>
      </c>
      <c r="H104" s="51">
        <f t="shared" si="7"/>
        <v>0.12</v>
      </c>
      <c r="I104" s="51">
        <f t="shared" si="7"/>
        <v>0.12</v>
      </c>
      <c r="J104" s="51">
        <f t="shared" si="7"/>
        <v>0.12</v>
      </c>
      <c r="K104" s="51">
        <f t="shared" si="7"/>
        <v>0.12</v>
      </c>
      <c r="L104" s="51">
        <f t="shared" si="7"/>
        <v>0.12</v>
      </c>
      <c r="M104" s="51">
        <f t="shared" si="7"/>
        <v>0.12</v>
      </c>
      <c r="N104" s="51">
        <f t="shared" si="7"/>
        <v>0.12</v>
      </c>
      <c r="O104" s="51">
        <f t="shared" si="7"/>
        <v>0.12</v>
      </c>
      <c r="P104" s="51">
        <f t="shared" si="7"/>
        <v>0.12</v>
      </c>
      <c r="Q104" s="68"/>
    </row>
    <row r="105" spans="1:17" x14ac:dyDescent="0.3">
      <c r="Q105" s="68"/>
    </row>
    <row r="106" spans="1:17" x14ac:dyDescent="0.3">
      <c r="A106" s="3" t="s">
        <v>58</v>
      </c>
      <c r="Q106" s="68"/>
    </row>
    <row r="107" spans="1:17" x14ac:dyDescent="0.3">
      <c r="A107" s="33"/>
      <c r="Q107" s="68"/>
    </row>
    <row r="108" spans="1:17" ht="18" x14ac:dyDescent="0.35">
      <c r="A108" s="9" t="str">
        <f>'[41]Statistical data'!A209</f>
        <v>General Service A</v>
      </c>
      <c r="B108" s="9"/>
      <c r="C108" s="5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68"/>
    </row>
    <row r="109" spans="1:17" s="13" customFormat="1" ht="14.4" x14ac:dyDescent="0.3">
      <c r="A109" s="11" t="s">
        <v>3</v>
      </c>
      <c r="B109" s="11"/>
      <c r="C109" s="11" t="s">
        <v>4</v>
      </c>
      <c r="D109" s="12" t="str">
        <f>D58</f>
        <v>JAN</v>
      </c>
      <c r="E109" s="12" t="str">
        <f t="shared" ref="E109:P109" si="8">E58</f>
        <v>FEB</v>
      </c>
      <c r="F109" s="12" t="str">
        <f t="shared" si="8"/>
        <v>MAR</v>
      </c>
      <c r="G109" s="12" t="str">
        <f t="shared" si="8"/>
        <v>APR</v>
      </c>
      <c r="H109" s="12" t="str">
        <f t="shared" si="8"/>
        <v>MAY</v>
      </c>
      <c r="I109" s="12" t="str">
        <f t="shared" si="8"/>
        <v>JUN</v>
      </c>
      <c r="J109" s="12" t="str">
        <f t="shared" si="8"/>
        <v>JUL</v>
      </c>
      <c r="K109" s="12" t="str">
        <f t="shared" si="8"/>
        <v>AUG</v>
      </c>
      <c r="L109" s="12" t="str">
        <f t="shared" si="8"/>
        <v>SEP</v>
      </c>
      <c r="M109" s="12" t="str">
        <f t="shared" si="8"/>
        <v>OCT</v>
      </c>
      <c r="N109" s="12" t="str">
        <f t="shared" si="8"/>
        <v>NOV</v>
      </c>
      <c r="O109" s="12" t="str">
        <f t="shared" si="8"/>
        <v>DEC</v>
      </c>
      <c r="P109" s="12" t="str">
        <f t="shared" si="8"/>
        <v>JAN</v>
      </c>
      <c r="Q109" s="68"/>
    </row>
    <row r="110" spans="1:17" ht="14.4" x14ac:dyDescent="0.3">
      <c r="A110" s="14" t="s">
        <v>17</v>
      </c>
      <c r="B110" s="15"/>
      <c r="C110" s="16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68"/>
    </row>
    <row r="111" spans="1:17" ht="14.4" x14ac:dyDescent="0.3">
      <c r="A111" s="18" t="s">
        <v>18</v>
      </c>
      <c r="B111" s="19"/>
      <c r="C111" s="16" t="s">
        <v>19</v>
      </c>
      <c r="D111" s="52" t="s">
        <v>59</v>
      </c>
      <c r="E111" s="20">
        <f>[41]GR!E21</f>
        <v>5.2413999999999996</v>
      </c>
      <c r="F111" s="20">
        <f>[41]GR!F21</f>
        <v>5.1864999999999997</v>
      </c>
      <c r="G111" s="20">
        <f>[41]GR!G21</f>
        <v>5.3872999999999998</v>
      </c>
      <c r="H111" s="20">
        <f>[41]GR!H21</f>
        <v>5.4703999999999997</v>
      </c>
      <c r="I111" s="20">
        <f>[41]GR!I21</f>
        <v>5.6580000000000004</v>
      </c>
      <c r="J111" s="20">
        <f>[41]GR!J21</f>
        <v>5.3269000000000002</v>
      </c>
      <c r="K111" s="20">
        <f>[41]GR!K21</f>
        <v>5.0479000000000003</v>
      </c>
      <c r="L111" s="20">
        <f>[41]GR!L21</f>
        <v>5.1746999999999996</v>
      </c>
      <c r="M111" s="20">
        <f>[41]GR!M21</f>
        <v>4.6832000000000003</v>
      </c>
      <c r="N111" s="20">
        <f>[41]GR!N21</f>
        <v>5.6673</v>
      </c>
      <c r="O111" s="182">
        <f>[41]GR!O21</f>
        <v>5.6673</v>
      </c>
      <c r="P111" s="182" t="e">
        <f>[41]GR!P21</f>
        <v>#DIV/0!</v>
      </c>
      <c r="Q111" s="68"/>
    </row>
    <row r="112" spans="1:17" ht="14.4" x14ac:dyDescent="0.3">
      <c r="A112" s="18" t="s">
        <v>66</v>
      </c>
      <c r="B112" s="19"/>
      <c r="C112" s="16" t="s">
        <v>19</v>
      </c>
      <c r="D112" s="20">
        <v>0</v>
      </c>
      <c r="E112" s="20">
        <v>0</v>
      </c>
      <c r="F112" s="20">
        <v>0</v>
      </c>
      <c r="G112" s="20">
        <v>0</v>
      </c>
      <c r="H112" s="20">
        <v>0</v>
      </c>
      <c r="I112" s="20">
        <v>0</v>
      </c>
      <c r="J112" s="20">
        <v>0</v>
      </c>
      <c r="K112" s="20">
        <v>0</v>
      </c>
      <c r="L112" s="20">
        <v>0</v>
      </c>
      <c r="M112" s="20">
        <v>0</v>
      </c>
      <c r="N112" s="20">
        <v>0</v>
      </c>
      <c r="O112" s="20">
        <v>0</v>
      </c>
      <c r="P112" s="20">
        <v>0</v>
      </c>
      <c r="Q112" s="68"/>
    </row>
    <row r="113" spans="1:17" ht="14.4" x14ac:dyDescent="0.3">
      <c r="A113" s="14" t="s">
        <v>20</v>
      </c>
      <c r="B113" s="15"/>
      <c r="C113" s="16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68"/>
    </row>
    <row r="114" spans="1:17" ht="14.4" x14ac:dyDescent="0.3">
      <c r="A114" s="18" t="s">
        <v>21</v>
      </c>
      <c r="B114" s="19"/>
      <c r="C114" s="16" t="s">
        <v>19</v>
      </c>
      <c r="D114" s="20">
        <f>D63</f>
        <v>0.84489999999999998</v>
      </c>
      <c r="E114" s="20">
        <f t="shared" ref="E114:P115" si="9">E63</f>
        <v>0.90910000000000002</v>
      </c>
      <c r="F114" s="20">
        <f t="shared" si="9"/>
        <v>0.89049999999999996</v>
      </c>
      <c r="G114" s="20">
        <f t="shared" si="9"/>
        <v>0.89639999999999997</v>
      </c>
      <c r="H114" s="20">
        <f t="shared" si="9"/>
        <v>0.77249999999999996</v>
      </c>
      <c r="I114" s="20">
        <f t="shared" si="9"/>
        <v>0.79420000000000002</v>
      </c>
      <c r="J114" s="20">
        <f t="shared" si="9"/>
        <v>0.79420000000000002</v>
      </c>
      <c r="K114" s="20">
        <f t="shared" si="9"/>
        <v>0.78969999999999996</v>
      </c>
      <c r="L114" s="20">
        <f t="shared" si="9"/>
        <v>0.86709999999999998</v>
      </c>
      <c r="M114" s="20">
        <f t="shared" si="9"/>
        <v>0.86519999999999997</v>
      </c>
      <c r="N114" s="20">
        <f t="shared" si="9"/>
        <v>0.93330000000000002</v>
      </c>
      <c r="O114" s="20">
        <f t="shared" si="9"/>
        <v>0.93330000000000002</v>
      </c>
      <c r="P114" s="20">
        <f t="shared" si="9"/>
        <v>0</v>
      </c>
      <c r="Q114" s="68"/>
    </row>
    <row r="115" spans="1:17" ht="14.4" x14ac:dyDescent="0.3">
      <c r="A115" s="18" t="s">
        <v>22</v>
      </c>
      <c r="B115" s="19"/>
      <c r="C115" s="16" t="s">
        <v>23</v>
      </c>
      <c r="D115" s="23">
        <f>D64</f>
        <v>0</v>
      </c>
      <c r="E115" s="23">
        <f t="shared" si="9"/>
        <v>0</v>
      </c>
      <c r="F115" s="23">
        <f t="shared" si="9"/>
        <v>0</v>
      </c>
      <c r="G115" s="23">
        <f t="shared" si="9"/>
        <v>0</v>
      </c>
      <c r="H115" s="23">
        <f t="shared" si="9"/>
        <v>0</v>
      </c>
      <c r="I115" s="23">
        <f t="shared" si="9"/>
        <v>0</v>
      </c>
      <c r="J115" s="23">
        <f t="shared" si="9"/>
        <v>0</v>
      </c>
      <c r="K115" s="23">
        <f t="shared" si="9"/>
        <v>0</v>
      </c>
      <c r="L115" s="23">
        <f t="shared" si="9"/>
        <v>0</v>
      </c>
      <c r="M115" s="23">
        <f t="shared" si="9"/>
        <v>0</v>
      </c>
      <c r="N115" s="23">
        <f t="shared" si="9"/>
        <v>0</v>
      </c>
      <c r="O115" s="23">
        <f t="shared" si="9"/>
        <v>0</v>
      </c>
      <c r="P115" s="23">
        <f t="shared" si="9"/>
        <v>0</v>
      </c>
      <c r="Q115" s="68"/>
    </row>
    <row r="116" spans="1:17" ht="14.4" x14ac:dyDescent="0.3">
      <c r="A116" s="14" t="s">
        <v>24</v>
      </c>
      <c r="B116" s="15"/>
      <c r="C116" s="16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68"/>
    </row>
    <row r="117" spans="1:17" ht="14.4" x14ac:dyDescent="0.3">
      <c r="A117" s="18" t="s">
        <v>25</v>
      </c>
      <c r="B117" s="19"/>
      <c r="C117" s="16" t="s">
        <v>19</v>
      </c>
      <c r="D117" s="20">
        <f>D66</f>
        <v>0.65580000000000005</v>
      </c>
      <c r="E117" s="20">
        <f t="shared" ref="E117:P117" si="10">E66</f>
        <v>0.59</v>
      </c>
      <c r="F117" s="20">
        <f t="shared" si="10"/>
        <v>0.58030000000000004</v>
      </c>
      <c r="G117" s="20">
        <f t="shared" si="10"/>
        <v>0.62050000000000005</v>
      </c>
      <c r="H117" s="20">
        <f t="shared" si="10"/>
        <v>0.61280000000000001</v>
      </c>
      <c r="I117" s="20">
        <f t="shared" si="10"/>
        <v>0.61309999999999998</v>
      </c>
      <c r="J117" s="20">
        <f t="shared" si="10"/>
        <v>0.57599999999999996</v>
      </c>
      <c r="K117" s="20">
        <f t="shared" si="10"/>
        <v>0.53080000000000005</v>
      </c>
      <c r="L117" s="20">
        <f t="shared" si="10"/>
        <v>0.54369999999999996</v>
      </c>
      <c r="M117" s="20">
        <f t="shared" si="10"/>
        <v>0.505</v>
      </c>
      <c r="N117" s="20">
        <f t="shared" si="10"/>
        <v>0.60619999999999996</v>
      </c>
      <c r="O117" s="20">
        <f t="shared" si="10"/>
        <v>0.60619999999999996</v>
      </c>
      <c r="P117" s="20">
        <f t="shared" si="10"/>
        <v>0</v>
      </c>
      <c r="Q117" s="68"/>
    </row>
    <row r="118" spans="1:17" ht="14.4" x14ac:dyDescent="0.3">
      <c r="A118" s="14" t="s">
        <v>26</v>
      </c>
      <c r="B118" s="14"/>
      <c r="C118" s="16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68"/>
    </row>
    <row r="119" spans="1:17" ht="14.4" x14ac:dyDescent="0.3">
      <c r="A119" s="18" t="s">
        <v>27</v>
      </c>
      <c r="B119" s="18"/>
      <c r="C119" s="16" t="s">
        <v>19</v>
      </c>
      <c r="D119" s="52" t="str">
        <f>D68</f>
        <v>See Schedule 2</v>
      </c>
      <c r="E119" s="52" t="str">
        <f t="shared" ref="E119:P120" si="11">E68</f>
        <v>See Schedule 2</v>
      </c>
      <c r="F119" s="52" t="str">
        <f t="shared" si="11"/>
        <v>See Schedule 2</v>
      </c>
      <c r="G119" s="52" t="str">
        <f t="shared" si="11"/>
        <v>See Schedule 2</v>
      </c>
      <c r="H119" s="52" t="str">
        <f t="shared" si="11"/>
        <v>See Schedule 2</v>
      </c>
      <c r="I119" s="52" t="str">
        <f t="shared" si="11"/>
        <v>See Schedule 2</v>
      </c>
      <c r="J119" s="52" t="str">
        <f t="shared" si="11"/>
        <v>See Schedule 2</v>
      </c>
      <c r="K119" s="52" t="str">
        <f t="shared" si="11"/>
        <v>See Schedule 2</v>
      </c>
      <c r="L119" s="52" t="str">
        <f t="shared" si="11"/>
        <v>See Schedule 2</v>
      </c>
      <c r="M119" s="52" t="str">
        <f t="shared" si="11"/>
        <v>See Schedule 2</v>
      </c>
      <c r="N119" s="52" t="str">
        <f t="shared" si="11"/>
        <v>See Schedule 2</v>
      </c>
      <c r="O119" s="52" t="str">
        <f t="shared" si="11"/>
        <v>See Schedule 2</v>
      </c>
      <c r="P119" s="52" t="str">
        <f t="shared" si="11"/>
        <v>See Schedule 2</v>
      </c>
      <c r="Q119" s="68"/>
    </row>
    <row r="120" spans="1:17" ht="14.4" x14ac:dyDescent="0.3">
      <c r="A120" s="18" t="s">
        <v>28</v>
      </c>
      <c r="B120" s="18"/>
      <c r="C120" s="16" t="s">
        <v>23</v>
      </c>
      <c r="D120" s="23">
        <f>D69</f>
        <v>0</v>
      </c>
      <c r="E120" s="23">
        <f t="shared" si="11"/>
        <v>0</v>
      </c>
      <c r="F120" s="23">
        <f t="shared" si="11"/>
        <v>0</v>
      </c>
      <c r="G120" s="23">
        <f t="shared" si="11"/>
        <v>0</v>
      </c>
      <c r="H120" s="23">
        <f t="shared" si="11"/>
        <v>0</v>
      </c>
      <c r="I120" s="23">
        <f t="shared" si="11"/>
        <v>0</v>
      </c>
      <c r="J120" s="23">
        <f t="shared" si="11"/>
        <v>0</v>
      </c>
      <c r="K120" s="23">
        <f t="shared" si="11"/>
        <v>0</v>
      </c>
      <c r="L120" s="23">
        <f t="shared" si="11"/>
        <v>0</v>
      </c>
      <c r="M120" s="23">
        <f t="shared" si="11"/>
        <v>0</v>
      </c>
      <c r="N120" s="23">
        <f t="shared" si="11"/>
        <v>0</v>
      </c>
      <c r="O120" s="23">
        <f t="shared" si="11"/>
        <v>0</v>
      </c>
      <c r="P120" s="23">
        <f t="shared" si="11"/>
        <v>0</v>
      </c>
      <c r="Q120" s="68"/>
    </row>
    <row r="121" spans="1:17" ht="14.4" x14ac:dyDescent="0.3">
      <c r="A121" s="14" t="s">
        <v>29</v>
      </c>
      <c r="B121" s="14"/>
      <c r="C121" s="16"/>
      <c r="D121" s="24"/>
      <c r="E121" s="24"/>
      <c r="F121" s="24"/>
      <c r="G121" s="24"/>
      <c r="H121" s="24"/>
      <c r="I121" s="24"/>
      <c r="J121" s="24"/>
      <c r="K121" s="24"/>
      <c r="L121" s="24"/>
      <c r="M121" s="24"/>
      <c r="N121" s="24"/>
      <c r="O121" s="24"/>
      <c r="P121" s="24"/>
      <c r="Q121" s="68"/>
    </row>
    <row r="122" spans="1:17" ht="14.4" x14ac:dyDescent="0.3">
      <c r="A122" s="18" t="s">
        <v>30</v>
      </c>
      <c r="B122" s="18"/>
      <c r="C122" s="16" t="s">
        <v>19</v>
      </c>
      <c r="D122" s="52" t="str">
        <f>D71</f>
        <v>See Schedule 3</v>
      </c>
      <c r="E122" s="20">
        <v>0.59499999999999997</v>
      </c>
      <c r="F122" s="20">
        <v>0.59499999999999997</v>
      </c>
      <c r="G122" s="20">
        <v>0.59499999999999997</v>
      </c>
      <c r="H122" s="20">
        <v>0.59499999999999997</v>
      </c>
      <c r="I122" s="20">
        <v>0.59499999999999997</v>
      </c>
      <c r="J122" s="20">
        <v>0.60429999999999995</v>
      </c>
      <c r="K122" s="20">
        <v>0.60429999999999995</v>
      </c>
      <c r="L122" s="20">
        <v>0.60429999999999995</v>
      </c>
      <c r="M122" s="20">
        <v>0.60429999999999995</v>
      </c>
      <c r="N122" s="20">
        <v>0.60429999999999995</v>
      </c>
      <c r="O122" s="20">
        <v>0.60429999999999995</v>
      </c>
      <c r="P122" s="20">
        <v>0.60429999999999995</v>
      </c>
      <c r="Q122" s="68"/>
    </row>
    <row r="123" spans="1:17" ht="14.4" x14ac:dyDescent="0.3">
      <c r="A123" s="18" t="s">
        <v>31</v>
      </c>
      <c r="B123" s="18"/>
      <c r="C123" s="16" t="s">
        <v>32</v>
      </c>
      <c r="D123" s="52" t="str">
        <f>D72</f>
        <v>See Schedule 4</v>
      </c>
      <c r="E123" s="23">
        <v>19.57</v>
      </c>
      <c r="F123" s="23">
        <v>19.57</v>
      </c>
      <c r="G123" s="23">
        <v>19.57</v>
      </c>
      <c r="H123" s="23">
        <v>19.57</v>
      </c>
      <c r="I123" s="23">
        <v>19.57</v>
      </c>
      <c r="J123" s="23">
        <v>19.88</v>
      </c>
      <c r="K123" s="23">
        <v>19.88</v>
      </c>
      <c r="L123" s="23">
        <v>19.88</v>
      </c>
      <c r="M123" s="23">
        <v>19.88</v>
      </c>
      <c r="N123" s="23">
        <v>19.88</v>
      </c>
      <c r="O123" s="23">
        <v>19.88</v>
      </c>
      <c r="P123" s="23">
        <v>19.88</v>
      </c>
      <c r="Q123" s="68"/>
    </row>
    <row r="124" spans="1:17" ht="14.4" x14ac:dyDescent="0.3">
      <c r="A124" s="14" t="s">
        <v>33</v>
      </c>
      <c r="B124" s="14"/>
      <c r="C124" s="16"/>
      <c r="D124" s="24"/>
      <c r="E124" s="24"/>
      <c r="F124" s="24"/>
      <c r="G124" s="24"/>
      <c r="H124" s="24"/>
      <c r="I124" s="24"/>
      <c r="J124" s="24"/>
      <c r="K124" s="24"/>
      <c r="L124" s="24"/>
      <c r="M124" s="24"/>
      <c r="N124" s="24"/>
      <c r="O124" s="24"/>
      <c r="P124" s="24"/>
      <c r="Q124" s="68"/>
    </row>
    <row r="125" spans="1:17" ht="14.4" x14ac:dyDescent="0.3">
      <c r="A125" s="18" t="s">
        <v>34</v>
      </c>
      <c r="B125" s="18"/>
      <c r="C125" s="16" t="s">
        <v>19</v>
      </c>
      <c r="D125" s="20">
        <f>D74</f>
        <v>0.40029999999999999</v>
      </c>
      <c r="E125" s="20">
        <f t="shared" ref="E125:P125" si="12">E74</f>
        <v>0.40029999999999999</v>
      </c>
      <c r="F125" s="20">
        <f t="shared" si="12"/>
        <v>0.40029999999999999</v>
      </c>
      <c r="G125" s="20">
        <f t="shared" si="12"/>
        <v>0.40029999999999999</v>
      </c>
      <c r="H125" s="20">
        <f t="shared" si="12"/>
        <v>0.40029999999999999</v>
      </c>
      <c r="I125" s="20">
        <f t="shared" si="12"/>
        <v>0.40029999999999999</v>
      </c>
      <c r="J125" s="20">
        <f>J74</f>
        <v>0.40660000000000002</v>
      </c>
      <c r="K125" s="20">
        <f t="shared" si="12"/>
        <v>0.40660000000000002</v>
      </c>
      <c r="L125" s="20">
        <f t="shared" si="12"/>
        <v>0.40660000000000002</v>
      </c>
      <c r="M125" s="20">
        <f t="shared" si="12"/>
        <v>0.40660000000000002</v>
      </c>
      <c r="N125" s="20">
        <f t="shared" si="12"/>
        <v>0.40660000000000002</v>
      </c>
      <c r="O125" s="20">
        <f t="shared" si="12"/>
        <v>0.40660000000000002</v>
      </c>
      <c r="P125" s="20">
        <f t="shared" si="12"/>
        <v>0.40660000000000002</v>
      </c>
      <c r="Q125" s="68"/>
    </row>
    <row r="126" spans="1:17" ht="14.4" x14ac:dyDescent="0.3">
      <c r="A126" s="18" t="s">
        <v>35</v>
      </c>
      <c r="B126" s="18"/>
      <c r="C126" s="16" t="s">
        <v>36</v>
      </c>
      <c r="D126" s="52" t="str">
        <f>D75</f>
        <v>See Schedule 5</v>
      </c>
      <c r="E126" s="23">
        <v>5</v>
      </c>
      <c r="F126" s="23">
        <v>5</v>
      </c>
      <c r="G126" s="23">
        <v>5</v>
      </c>
      <c r="H126" s="23">
        <v>5</v>
      </c>
      <c r="I126" s="23">
        <v>5</v>
      </c>
      <c r="J126" s="23">
        <v>5</v>
      </c>
      <c r="K126" s="23">
        <v>5</v>
      </c>
      <c r="L126" s="23">
        <v>5</v>
      </c>
      <c r="M126" s="23">
        <v>5</v>
      </c>
      <c r="N126" s="23">
        <v>5</v>
      </c>
      <c r="O126" s="23">
        <v>5</v>
      </c>
      <c r="P126" s="23">
        <v>5</v>
      </c>
      <c r="Q126" s="68"/>
    </row>
    <row r="127" spans="1:17" ht="14.4" x14ac:dyDescent="0.3">
      <c r="A127" s="14" t="s">
        <v>37</v>
      </c>
      <c r="B127" s="14"/>
      <c r="C127" s="16"/>
      <c r="D127" s="24"/>
      <c r="E127" s="24"/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68"/>
    </row>
    <row r="128" spans="1:17" ht="14.4" x14ac:dyDescent="0.3">
      <c r="A128" s="25" t="s">
        <v>38</v>
      </c>
      <c r="B128" s="18"/>
      <c r="C128" s="16" t="s">
        <v>19</v>
      </c>
      <c r="D128" s="20">
        <f>D77</f>
        <v>0.1333</v>
      </c>
      <c r="E128" s="20">
        <f t="shared" ref="E128:P128" si="13">E77</f>
        <v>0.1497</v>
      </c>
      <c r="F128" s="20">
        <f t="shared" si="13"/>
        <v>0.14410000000000001</v>
      </c>
      <c r="G128" s="20">
        <f t="shared" si="13"/>
        <v>0.15459999999999999</v>
      </c>
      <c r="H128" s="20">
        <f t="shared" si="13"/>
        <v>0.10920000000000001</v>
      </c>
      <c r="I128" s="20">
        <f t="shared" si="13"/>
        <v>0.104</v>
      </c>
      <c r="J128" s="20">
        <f t="shared" si="13"/>
        <v>0.1045</v>
      </c>
      <c r="K128" s="20">
        <f t="shared" si="13"/>
        <v>0.11609999999999999</v>
      </c>
      <c r="L128" s="20">
        <f t="shared" si="13"/>
        <v>0.1091</v>
      </c>
      <c r="M128" s="20">
        <f t="shared" si="13"/>
        <v>0.1138</v>
      </c>
      <c r="N128" s="20">
        <f t="shared" si="13"/>
        <v>0.1173</v>
      </c>
      <c r="O128" s="20">
        <f t="shared" si="13"/>
        <v>0.1173</v>
      </c>
      <c r="P128" s="20">
        <f t="shared" si="13"/>
        <v>0</v>
      </c>
      <c r="Q128" s="68"/>
    </row>
    <row r="129" spans="1:17" ht="14.4" x14ac:dyDescent="0.3">
      <c r="A129" s="25" t="s">
        <v>39</v>
      </c>
      <c r="B129" s="18"/>
      <c r="C129" s="16" t="s">
        <v>19</v>
      </c>
      <c r="D129" s="20">
        <v>0</v>
      </c>
      <c r="E129" s="20">
        <v>0</v>
      </c>
      <c r="F129" s="20">
        <v>0</v>
      </c>
      <c r="G129" s="20">
        <v>0</v>
      </c>
      <c r="H129" s="20">
        <v>0</v>
      </c>
      <c r="I129" s="20">
        <v>0</v>
      </c>
      <c r="J129" s="20">
        <v>0</v>
      </c>
      <c r="K129" s="20">
        <v>0</v>
      </c>
      <c r="L129" s="20">
        <v>0</v>
      </c>
      <c r="M129" s="20">
        <v>0</v>
      </c>
      <c r="N129" s="20">
        <v>0</v>
      </c>
      <c r="O129" s="20">
        <v>0</v>
      </c>
      <c r="P129" s="20">
        <v>0</v>
      </c>
      <c r="Q129" s="68"/>
    </row>
    <row r="130" spans="1:17" ht="14.4" x14ac:dyDescent="0.3">
      <c r="A130" s="25" t="s">
        <v>180</v>
      </c>
      <c r="B130" s="18"/>
      <c r="C130" s="16" t="s">
        <v>19</v>
      </c>
      <c r="D130" s="20">
        <f>D79</f>
        <v>3.1399999999999997E-2</v>
      </c>
      <c r="E130" s="20">
        <f t="shared" ref="E130:P133" si="14">E79</f>
        <v>3.1399999999999997E-2</v>
      </c>
      <c r="F130" s="20">
        <f t="shared" si="14"/>
        <v>3.1399999999999997E-2</v>
      </c>
      <c r="G130" s="20">
        <f t="shared" si="14"/>
        <v>3.1399999999999997E-2</v>
      </c>
      <c r="H130" s="20">
        <f t="shared" si="14"/>
        <v>3.1399999999999997E-2</v>
      </c>
      <c r="I130" s="20">
        <f t="shared" si="14"/>
        <v>3.1399999999999997E-2</v>
      </c>
      <c r="J130" s="20">
        <f t="shared" si="14"/>
        <v>3.1399999999999997E-2</v>
      </c>
      <c r="K130" s="20">
        <f t="shared" si="14"/>
        <v>3.1399999999999997E-2</v>
      </c>
      <c r="L130" s="20">
        <f t="shared" si="14"/>
        <v>3.1399999999999997E-2</v>
      </c>
      <c r="M130" s="20">
        <f t="shared" si="14"/>
        <v>3.1399999999999997E-2</v>
      </c>
      <c r="N130" s="20">
        <f t="shared" si="14"/>
        <v>3.1399999999999997E-2</v>
      </c>
      <c r="O130" s="20">
        <f t="shared" si="14"/>
        <v>3.1399999999999997E-2</v>
      </c>
      <c r="P130" s="20">
        <f t="shared" si="14"/>
        <v>3.1399999999999997E-2</v>
      </c>
      <c r="Q130" s="68"/>
    </row>
    <row r="131" spans="1:17" ht="14.4" x14ac:dyDescent="0.3">
      <c r="A131" s="26" t="s">
        <v>40</v>
      </c>
      <c r="B131" s="18"/>
      <c r="C131" s="16" t="s">
        <v>19</v>
      </c>
      <c r="D131" s="20">
        <f>D80</f>
        <v>1E-4</v>
      </c>
      <c r="E131" s="20">
        <f t="shared" si="14"/>
        <v>1E-4</v>
      </c>
      <c r="F131" s="20">
        <f t="shared" si="14"/>
        <v>1E-4</v>
      </c>
      <c r="G131" s="20">
        <f t="shared" si="14"/>
        <v>1E-4</v>
      </c>
      <c r="H131" s="20">
        <f t="shared" si="14"/>
        <v>1E-4</v>
      </c>
      <c r="I131" s="20">
        <f t="shared" si="14"/>
        <v>1E-4</v>
      </c>
      <c r="J131" s="20">
        <f t="shared" si="14"/>
        <v>1E-4</v>
      </c>
      <c r="K131" s="20">
        <f t="shared" si="14"/>
        <v>1E-4</v>
      </c>
      <c r="L131" s="20">
        <f t="shared" si="14"/>
        <v>1E-4</v>
      </c>
      <c r="M131" s="20">
        <f t="shared" si="14"/>
        <v>1E-4</v>
      </c>
      <c r="N131" s="20">
        <f t="shared" si="14"/>
        <v>1E-4</v>
      </c>
      <c r="O131" s="20">
        <f t="shared" si="14"/>
        <v>1E-4</v>
      </c>
      <c r="P131" s="20">
        <f t="shared" si="14"/>
        <v>0</v>
      </c>
      <c r="Q131" s="68"/>
    </row>
    <row r="132" spans="1:17" ht="14.4" x14ac:dyDescent="0.3">
      <c r="A132" s="26" t="s">
        <v>41</v>
      </c>
      <c r="B132" s="18"/>
      <c r="C132" s="16" t="s">
        <v>19</v>
      </c>
      <c r="D132" s="20">
        <f>D81</f>
        <v>0</v>
      </c>
      <c r="E132" s="20">
        <f t="shared" si="14"/>
        <v>0</v>
      </c>
      <c r="F132" s="20">
        <f t="shared" si="14"/>
        <v>0</v>
      </c>
      <c r="G132" s="20">
        <f t="shared" si="14"/>
        <v>0</v>
      </c>
      <c r="H132" s="20">
        <f t="shared" si="14"/>
        <v>0</v>
      </c>
      <c r="I132" s="20">
        <f t="shared" si="14"/>
        <v>0</v>
      </c>
      <c r="J132" s="20">
        <f t="shared" si="14"/>
        <v>0</v>
      </c>
      <c r="K132" s="20">
        <f t="shared" si="14"/>
        <v>0</v>
      </c>
      <c r="L132" s="20">
        <f t="shared" si="14"/>
        <v>0</v>
      </c>
      <c r="M132" s="20">
        <f t="shared" si="14"/>
        <v>0</v>
      </c>
      <c r="N132" s="20">
        <f t="shared" si="14"/>
        <v>0</v>
      </c>
      <c r="O132" s="20">
        <f t="shared" si="14"/>
        <v>0</v>
      </c>
      <c r="P132" s="20">
        <f t="shared" si="14"/>
        <v>0</v>
      </c>
      <c r="Q132" s="68"/>
    </row>
    <row r="133" spans="1:17" ht="14.4" x14ac:dyDescent="0.3">
      <c r="A133" s="154" t="s">
        <v>181</v>
      </c>
      <c r="B133" s="155"/>
      <c r="C133" s="16" t="s">
        <v>19</v>
      </c>
      <c r="D133" s="20">
        <f>D82</f>
        <v>1.03E-2</v>
      </c>
      <c r="E133" s="20">
        <f t="shared" si="14"/>
        <v>1.03E-2</v>
      </c>
      <c r="F133" s="20">
        <f t="shared" si="14"/>
        <v>1.03E-2</v>
      </c>
      <c r="G133" s="20">
        <f t="shared" si="14"/>
        <v>2.5999999999999999E-3</v>
      </c>
      <c r="H133" s="20">
        <f t="shared" si="14"/>
        <v>0</v>
      </c>
      <c r="I133" s="20">
        <f t="shared" si="14"/>
        <v>0</v>
      </c>
      <c r="J133" s="20">
        <f t="shared" si="14"/>
        <v>0</v>
      </c>
      <c r="K133" s="20">
        <f t="shared" si="14"/>
        <v>0</v>
      </c>
      <c r="L133" s="20">
        <f t="shared" si="14"/>
        <v>0</v>
      </c>
      <c r="M133" s="20">
        <f t="shared" si="14"/>
        <v>0</v>
      </c>
      <c r="N133" s="20">
        <f t="shared" si="14"/>
        <v>0</v>
      </c>
      <c r="O133" s="20">
        <f t="shared" si="14"/>
        <v>0</v>
      </c>
      <c r="P133" s="20">
        <f t="shared" si="14"/>
        <v>0</v>
      </c>
      <c r="Q133" s="68"/>
    </row>
    <row r="134" spans="1:17" ht="16.2" hidden="1" x14ac:dyDescent="0.3">
      <c r="A134" s="154" t="s">
        <v>182</v>
      </c>
      <c r="B134" s="155"/>
      <c r="C134" s="16" t="s">
        <v>19</v>
      </c>
      <c r="D134" s="20">
        <v>0</v>
      </c>
      <c r="E134" s="20">
        <v>0</v>
      </c>
      <c r="F134" s="20">
        <v>0</v>
      </c>
      <c r="G134" s="20">
        <v>0</v>
      </c>
      <c r="H134" s="20">
        <v>0</v>
      </c>
      <c r="I134" s="20">
        <v>0</v>
      </c>
      <c r="J134" s="20">
        <v>0</v>
      </c>
      <c r="K134" s="20">
        <v>0</v>
      </c>
      <c r="L134" s="20">
        <v>0</v>
      </c>
      <c r="M134" s="20">
        <v>0</v>
      </c>
      <c r="N134" s="20">
        <v>0</v>
      </c>
      <c r="O134" s="20">
        <v>0</v>
      </c>
      <c r="P134" s="20">
        <v>0</v>
      </c>
      <c r="Q134" s="68"/>
    </row>
    <row r="135" spans="1:17" ht="16.2" hidden="1" x14ac:dyDescent="0.3">
      <c r="A135" s="154" t="s">
        <v>182</v>
      </c>
      <c r="B135" s="156"/>
      <c r="C135" s="16" t="s">
        <v>19</v>
      </c>
      <c r="D135" s="20">
        <v>0</v>
      </c>
      <c r="E135" s="20">
        <v>0</v>
      </c>
      <c r="F135" s="20">
        <v>0</v>
      </c>
      <c r="G135" s="20">
        <v>0</v>
      </c>
      <c r="H135" s="20">
        <v>0</v>
      </c>
      <c r="I135" s="20">
        <v>0</v>
      </c>
      <c r="J135" s="20">
        <v>0</v>
      </c>
      <c r="K135" s="20">
        <v>0</v>
      </c>
      <c r="L135" s="20">
        <v>0</v>
      </c>
      <c r="M135" s="20">
        <v>0</v>
      </c>
      <c r="N135" s="20">
        <v>0</v>
      </c>
      <c r="O135" s="20">
        <v>0</v>
      </c>
      <c r="P135" s="20">
        <v>0</v>
      </c>
      <c r="Q135" s="68"/>
    </row>
    <row r="136" spans="1:17" ht="14.4" x14ac:dyDescent="0.3">
      <c r="A136" s="14" t="s">
        <v>42</v>
      </c>
      <c r="B136" s="14"/>
      <c r="C136" s="16"/>
      <c r="D136" s="24"/>
      <c r="E136" s="24"/>
      <c r="F136" s="24"/>
      <c r="G136" s="24"/>
      <c r="H136" s="24"/>
      <c r="I136" s="24"/>
      <c r="J136" s="24"/>
      <c r="K136" s="24"/>
      <c r="L136" s="24"/>
      <c r="M136" s="24"/>
      <c r="N136" s="24"/>
      <c r="O136" s="24"/>
      <c r="P136" s="24"/>
      <c r="Q136" s="68"/>
    </row>
    <row r="137" spans="1:17" ht="14.4" x14ac:dyDescent="0.3">
      <c r="A137" s="14" t="s">
        <v>43</v>
      </c>
      <c r="B137" s="14"/>
      <c r="C137" s="16" t="s">
        <v>44</v>
      </c>
      <c r="D137" s="27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68"/>
    </row>
    <row r="138" spans="1:17" ht="14.4" hidden="1" x14ac:dyDescent="0.3">
      <c r="A138" s="14" t="s">
        <v>183</v>
      </c>
      <c r="B138" s="14"/>
      <c r="C138" s="16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68"/>
    </row>
    <row r="139" spans="1:17" ht="14.4" hidden="1" x14ac:dyDescent="0.3">
      <c r="A139" s="14" t="s">
        <v>184</v>
      </c>
      <c r="B139" s="14"/>
      <c r="C139" s="16" t="s">
        <v>19</v>
      </c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68"/>
    </row>
    <row r="140" spans="1:17" ht="14.4" x14ac:dyDescent="0.3">
      <c r="A140" s="14" t="s">
        <v>45</v>
      </c>
      <c r="B140" s="14"/>
      <c r="C140" s="16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68"/>
    </row>
    <row r="141" spans="1:17" ht="14.4" x14ac:dyDescent="0.3">
      <c r="A141" s="14" t="s">
        <v>46</v>
      </c>
      <c r="B141" s="14"/>
      <c r="C141" s="16" t="s">
        <v>19</v>
      </c>
      <c r="D141" s="20">
        <v>0</v>
      </c>
      <c r="E141" s="20">
        <v>0</v>
      </c>
      <c r="F141" s="20">
        <v>0</v>
      </c>
      <c r="G141" s="20">
        <v>0</v>
      </c>
      <c r="H141" s="20">
        <v>0</v>
      </c>
      <c r="I141" s="20">
        <v>0</v>
      </c>
      <c r="J141" s="20">
        <v>0</v>
      </c>
      <c r="K141" s="20">
        <v>0</v>
      </c>
      <c r="L141" s="20">
        <v>0</v>
      </c>
      <c r="M141" s="20">
        <v>0</v>
      </c>
      <c r="N141" s="20">
        <v>0</v>
      </c>
      <c r="O141" s="20">
        <v>0</v>
      </c>
      <c r="P141" s="20">
        <v>0</v>
      </c>
      <c r="Q141" s="68"/>
    </row>
    <row r="142" spans="1:17" ht="14.4" hidden="1" x14ac:dyDescent="0.3">
      <c r="A142" s="14" t="s">
        <v>185</v>
      </c>
      <c r="B142" s="14"/>
      <c r="C142" s="16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68"/>
    </row>
    <row r="143" spans="1:17" ht="14.4" hidden="1" x14ac:dyDescent="0.3">
      <c r="A143" s="14" t="s">
        <v>186</v>
      </c>
      <c r="B143" s="14"/>
      <c r="C143" s="16" t="s">
        <v>19</v>
      </c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68"/>
    </row>
    <row r="144" spans="1:17" ht="14.4" x14ac:dyDescent="0.3">
      <c r="A144" s="14" t="s">
        <v>47</v>
      </c>
      <c r="B144" s="14"/>
      <c r="C144" s="16"/>
      <c r="D144" s="24"/>
      <c r="E144" s="24"/>
      <c r="F144" s="24"/>
      <c r="G144" s="24"/>
      <c r="H144" s="24"/>
      <c r="I144" s="24"/>
      <c r="J144" s="24"/>
      <c r="K144" s="24"/>
      <c r="L144" s="24"/>
      <c r="M144" s="24"/>
      <c r="N144" s="24"/>
      <c r="O144" s="24"/>
      <c r="P144" s="24"/>
      <c r="Q144" s="68"/>
    </row>
    <row r="145" spans="1:17" ht="14.4" x14ac:dyDescent="0.3">
      <c r="A145" s="18" t="s">
        <v>48</v>
      </c>
      <c r="B145" s="18"/>
      <c r="C145" s="16" t="s">
        <v>19</v>
      </c>
      <c r="D145" s="20">
        <f>D94</f>
        <v>0.1163</v>
      </c>
      <c r="E145" s="20">
        <f t="shared" ref="E145:P146" si="15">E94</f>
        <v>0.1163</v>
      </c>
      <c r="F145" s="20">
        <f t="shared" si="15"/>
        <v>0.1163</v>
      </c>
      <c r="G145" s="20">
        <f t="shared" si="15"/>
        <v>0.1163</v>
      </c>
      <c r="H145" s="20">
        <f t="shared" si="15"/>
        <v>0.1163</v>
      </c>
      <c r="I145" s="20">
        <f t="shared" si="15"/>
        <v>0.1163</v>
      </c>
      <c r="J145" s="20">
        <f t="shared" si="15"/>
        <v>0.1163</v>
      </c>
      <c r="K145" s="20">
        <f t="shared" si="15"/>
        <v>0.1163</v>
      </c>
      <c r="L145" s="20">
        <f t="shared" si="15"/>
        <v>0.1163</v>
      </c>
      <c r="M145" s="20">
        <f t="shared" si="15"/>
        <v>0.1163</v>
      </c>
      <c r="N145" s="20">
        <f t="shared" si="15"/>
        <v>0.1163</v>
      </c>
      <c r="O145" s="20">
        <f t="shared" si="15"/>
        <v>0.1163</v>
      </c>
      <c r="P145" s="20">
        <f t="shared" si="15"/>
        <v>0.1163</v>
      </c>
      <c r="Q145" s="68"/>
    </row>
    <row r="146" spans="1:17" ht="14.4" x14ac:dyDescent="0.3">
      <c r="A146" s="18" t="s">
        <v>49</v>
      </c>
      <c r="B146" s="18"/>
      <c r="C146" s="16" t="s">
        <v>19</v>
      </c>
      <c r="D146" s="20">
        <f>D95</f>
        <v>2.5000000000000001E-3</v>
      </c>
      <c r="E146" s="20">
        <f t="shared" si="15"/>
        <v>2.5000000000000001E-3</v>
      </c>
      <c r="F146" s="20">
        <f t="shared" si="15"/>
        <v>2.5000000000000001E-3</v>
      </c>
      <c r="G146" s="20">
        <f t="shared" si="15"/>
        <v>2.5000000000000001E-3</v>
      </c>
      <c r="H146" s="20">
        <f t="shared" si="15"/>
        <v>2.5000000000000001E-3</v>
      </c>
      <c r="I146" s="20">
        <f t="shared" si="15"/>
        <v>2.5000000000000001E-3</v>
      </c>
      <c r="J146" s="20">
        <f t="shared" si="15"/>
        <v>2.5000000000000001E-3</v>
      </c>
      <c r="K146" s="20">
        <f t="shared" si="15"/>
        <v>2.5000000000000001E-3</v>
      </c>
      <c r="L146" s="20">
        <f t="shared" si="15"/>
        <v>2.5000000000000001E-3</v>
      </c>
      <c r="M146" s="20">
        <f t="shared" si="15"/>
        <v>2.5000000000000001E-3</v>
      </c>
      <c r="N146" s="20">
        <f t="shared" si="15"/>
        <v>2.5000000000000001E-3</v>
      </c>
      <c r="O146" s="20">
        <f t="shared" si="15"/>
        <v>2.5000000000000001E-3</v>
      </c>
      <c r="P146" s="20">
        <f t="shared" si="15"/>
        <v>2.5000000000000001E-3</v>
      </c>
      <c r="Q146" s="68"/>
    </row>
    <row r="147" spans="1:17" ht="14.4" x14ac:dyDescent="0.3">
      <c r="A147" s="18" t="s">
        <v>50</v>
      </c>
      <c r="B147" s="18"/>
      <c r="C147" s="16"/>
      <c r="D147" s="20"/>
      <c r="E147" s="20"/>
      <c r="F147" s="20">
        <v>0.1938</v>
      </c>
      <c r="G147" s="20">
        <v>0.1938</v>
      </c>
      <c r="H147" s="20">
        <v>0.1938</v>
      </c>
      <c r="I147" s="20">
        <v>0.1938</v>
      </c>
      <c r="J147" s="20">
        <v>0.1938</v>
      </c>
      <c r="K147" s="20">
        <v>0.1938</v>
      </c>
      <c r="L147" s="20">
        <v>0.1938</v>
      </c>
      <c r="M147" s="20">
        <v>0.1938</v>
      </c>
      <c r="N147" s="20">
        <v>0.1938</v>
      </c>
      <c r="O147" s="20">
        <v>0.1938</v>
      </c>
      <c r="P147" s="20">
        <v>0.1938</v>
      </c>
      <c r="Q147" s="68"/>
    </row>
    <row r="148" spans="1:17" ht="14.4" x14ac:dyDescent="0.3">
      <c r="A148" s="14" t="s">
        <v>52</v>
      </c>
      <c r="B148" s="14"/>
      <c r="C148" s="29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68"/>
    </row>
    <row r="149" spans="1:17" ht="14.4" x14ac:dyDescent="0.3">
      <c r="A149" s="18" t="s">
        <v>53</v>
      </c>
      <c r="B149" s="18"/>
      <c r="C149" s="16" t="s">
        <v>44</v>
      </c>
      <c r="D149" s="52" t="s">
        <v>189</v>
      </c>
      <c r="E149" s="27">
        <f t="shared" ref="E149:P151" si="16">E98</f>
        <v>0.1142</v>
      </c>
      <c r="F149" s="27">
        <f t="shared" si="16"/>
        <v>0.1147</v>
      </c>
      <c r="G149" s="27">
        <f t="shared" si="16"/>
        <v>0.1137</v>
      </c>
      <c r="H149" s="27">
        <f t="shared" si="16"/>
        <v>0.1094</v>
      </c>
      <c r="I149" s="27">
        <f t="shared" si="16"/>
        <v>0.1084</v>
      </c>
      <c r="J149" s="27">
        <f t="shared" si="16"/>
        <v>0.1182</v>
      </c>
      <c r="K149" s="27">
        <f t="shared" si="16"/>
        <v>0.1183</v>
      </c>
      <c r="L149" s="27">
        <f t="shared" si="16"/>
        <v>0.10920000000000001</v>
      </c>
      <c r="M149" s="27">
        <f t="shared" si="16"/>
        <v>0.11840000000000001</v>
      </c>
      <c r="N149" s="27">
        <f t="shared" si="16"/>
        <v>0.10970000000000001</v>
      </c>
      <c r="O149" s="27">
        <f t="shared" si="16"/>
        <v>0.10970000000000001</v>
      </c>
      <c r="P149" s="27" t="e">
        <f t="shared" si="16"/>
        <v>#DIV/0!</v>
      </c>
      <c r="Q149" s="68"/>
    </row>
    <row r="150" spans="1:17" ht="14.4" x14ac:dyDescent="0.3">
      <c r="A150" s="18" t="s">
        <v>54</v>
      </c>
      <c r="B150" s="18"/>
      <c r="C150" s="16" t="s">
        <v>44</v>
      </c>
      <c r="D150" s="27">
        <f t="shared" ref="D150:P155" si="17">D99</f>
        <v>0</v>
      </c>
      <c r="E150" s="27">
        <f t="shared" si="16"/>
        <v>0</v>
      </c>
      <c r="F150" s="27">
        <f t="shared" si="16"/>
        <v>0</v>
      </c>
      <c r="G150" s="27">
        <f t="shared" si="16"/>
        <v>0</v>
      </c>
      <c r="H150" s="27">
        <f t="shared" si="16"/>
        <v>0</v>
      </c>
      <c r="I150" s="27">
        <f t="shared" si="16"/>
        <v>0</v>
      </c>
      <c r="J150" s="27">
        <f t="shared" si="16"/>
        <v>0</v>
      </c>
      <c r="K150" s="27">
        <f t="shared" si="16"/>
        <v>0</v>
      </c>
      <c r="L150" s="27">
        <f t="shared" si="16"/>
        <v>0</v>
      </c>
      <c r="M150" s="27">
        <f t="shared" si="16"/>
        <v>2E-3</v>
      </c>
      <c r="N150" s="27">
        <f t="shared" si="16"/>
        <v>5.9999999999999995E-4</v>
      </c>
      <c r="O150" s="27">
        <f t="shared" si="16"/>
        <v>5.9999999999999984E-4</v>
      </c>
      <c r="P150" s="27" t="e">
        <f t="shared" si="16"/>
        <v>#DIV/0!</v>
      </c>
      <c r="Q150" s="68"/>
    </row>
    <row r="151" spans="1:17" ht="14.4" x14ac:dyDescent="0.3">
      <c r="A151" s="18" t="s">
        <v>55</v>
      </c>
      <c r="B151" s="18"/>
      <c r="C151" s="16" t="s">
        <v>44</v>
      </c>
      <c r="D151" s="27">
        <f t="shared" si="17"/>
        <v>9.4899999999999998E-2</v>
      </c>
      <c r="E151" s="27">
        <f t="shared" si="16"/>
        <v>9.69E-2</v>
      </c>
      <c r="F151" s="27">
        <f t="shared" si="16"/>
        <v>9.8100000000000007E-2</v>
      </c>
      <c r="G151" s="27">
        <f t="shared" si="16"/>
        <v>9.7000000000000003E-2</v>
      </c>
      <c r="H151" s="27">
        <f t="shared" si="16"/>
        <v>9.5899999999999999E-2</v>
      </c>
      <c r="I151" s="27">
        <f t="shared" si="16"/>
        <v>9.4799999999999995E-2</v>
      </c>
      <c r="J151" s="27">
        <f t="shared" si="16"/>
        <v>0.1028</v>
      </c>
      <c r="K151" s="27">
        <f t="shared" si="16"/>
        <v>0.1027</v>
      </c>
      <c r="L151" s="27">
        <f t="shared" si="16"/>
        <v>9.35E-2</v>
      </c>
      <c r="M151" s="27">
        <f t="shared" si="16"/>
        <v>0.1004</v>
      </c>
      <c r="N151" s="27">
        <f t="shared" si="16"/>
        <v>9.4299999999999995E-2</v>
      </c>
      <c r="O151" s="27">
        <f t="shared" si="16"/>
        <v>9.4299999999999995E-2</v>
      </c>
      <c r="P151" s="27" t="e">
        <f t="shared" si="16"/>
        <v>#DIV/0!</v>
      </c>
      <c r="Q151" s="68"/>
    </row>
    <row r="152" spans="1:17" ht="14.4" x14ac:dyDescent="0.3">
      <c r="A152" s="18" t="s">
        <v>187</v>
      </c>
      <c r="B152" s="18"/>
      <c r="C152" s="16" t="s">
        <v>44</v>
      </c>
      <c r="D152" s="27">
        <v>0</v>
      </c>
      <c r="E152" s="27">
        <v>0</v>
      </c>
      <c r="F152" s="27">
        <v>0</v>
      </c>
      <c r="G152" s="27">
        <v>0</v>
      </c>
      <c r="H152" s="27">
        <v>0</v>
      </c>
      <c r="I152" s="27">
        <v>0</v>
      </c>
      <c r="J152" s="27">
        <v>0</v>
      </c>
      <c r="K152" s="27">
        <v>0</v>
      </c>
      <c r="L152" s="27">
        <v>0</v>
      </c>
      <c r="M152" s="27">
        <v>0</v>
      </c>
      <c r="N152" s="27">
        <v>0</v>
      </c>
      <c r="O152" s="27">
        <v>0</v>
      </c>
      <c r="P152" s="27">
        <v>0</v>
      </c>
      <c r="Q152" s="68"/>
    </row>
    <row r="153" spans="1:17" ht="14.4" x14ac:dyDescent="0.3">
      <c r="A153" s="18" t="s">
        <v>188</v>
      </c>
      <c r="B153" s="18"/>
      <c r="C153" s="16" t="s">
        <v>44</v>
      </c>
      <c r="D153" s="27">
        <f t="shared" si="17"/>
        <v>9.8799999999999999E-2</v>
      </c>
      <c r="E153" s="27">
        <f t="shared" si="17"/>
        <v>9.8799999999999999E-2</v>
      </c>
      <c r="F153" s="27">
        <f t="shared" si="17"/>
        <v>9.8799999999999999E-2</v>
      </c>
      <c r="G153" s="27">
        <f t="shared" si="17"/>
        <v>9.8799999999999999E-2</v>
      </c>
      <c r="H153" s="27">
        <f t="shared" si="17"/>
        <v>9.8799999999999999E-2</v>
      </c>
      <c r="I153" s="27">
        <f t="shared" si="17"/>
        <v>9.8799999999999999E-2</v>
      </c>
      <c r="J153" s="27">
        <f t="shared" si="17"/>
        <v>9.8799999999999999E-2</v>
      </c>
      <c r="K153" s="27">
        <f t="shared" si="17"/>
        <v>9.8799999999999999E-2</v>
      </c>
      <c r="L153" s="27">
        <f t="shared" si="17"/>
        <v>9.8799999999999999E-2</v>
      </c>
      <c r="M153" s="27">
        <f t="shared" si="17"/>
        <v>9.8799999999999999E-2</v>
      </c>
      <c r="N153" s="27">
        <f t="shared" si="17"/>
        <v>9.8799999999999999E-2</v>
      </c>
      <c r="O153" s="27">
        <f t="shared" si="17"/>
        <v>9.8799999999999999E-2</v>
      </c>
      <c r="P153" s="27">
        <f t="shared" si="17"/>
        <v>9.8799999999999999E-2</v>
      </c>
      <c r="Q153" s="68"/>
    </row>
    <row r="154" spans="1:17" ht="14.4" x14ac:dyDescent="0.3">
      <c r="A154" s="18" t="s">
        <v>56</v>
      </c>
      <c r="B154" s="18"/>
      <c r="C154" s="16" t="s">
        <v>44</v>
      </c>
      <c r="D154" s="27">
        <f t="shared" si="17"/>
        <v>0.12</v>
      </c>
      <c r="E154" s="27">
        <f t="shared" si="17"/>
        <v>0.12</v>
      </c>
      <c r="F154" s="27">
        <f t="shared" si="17"/>
        <v>0.12</v>
      </c>
      <c r="G154" s="27">
        <f t="shared" si="17"/>
        <v>0.12</v>
      </c>
      <c r="H154" s="27">
        <f t="shared" si="17"/>
        <v>0.12</v>
      </c>
      <c r="I154" s="27">
        <f t="shared" si="17"/>
        <v>0.12</v>
      </c>
      <c r="J154" s="27">
        <f t="shared" si="17"/>
        <v>0.12</v>
      </c>
      <c r="K154" s="27">
        <f t="shared" si="17"/>
        <v>0.12</v>
      </c>
      <c r="L154" s="27">
        <f t="shared" si="17"/>
        <v>0.12</v>
      </c>
      <c r="M154" s="27">
        <f t="shared" si="17"/>
        <v>0.12</v>
      </c>
      <c r="N154" s="27">
        <f t="shared" si="17"/>
        <v>0.12</v>
      </c>
      <c r="O154" s="27">
        <f t="shared" si="17"/>
        <v>0.12</v>
      </c>
      <c r="P154" s="27">
        <f t="shared" si="17"/>
        <v>0.12</v>
      </c>
      <c r="Q154" s="68"/>
    </row>
    <row r="155" spans="1:17" ht="14.4" x14ac:dyDescent="0.3">
      <c r="A155" s="18" t="s">
        <v>57</v>
      </c>
      <c r="B155" s="18"/>
      <c r="C155" s="16" t="s">
        <v>44</v>
      </c>
      <c r="D155" s="27">
        <f t="shared" si="17"/>
        <v>0.12</v>
      </c>
      <c r="E155" s="27">
        <f t="shared" si="17"/>
        <v>0.12</v>
      </c>
      <c r="F155" s="27">
        <f t="shared" si="17"/>
        <v>0.12</v>
      </c>
      <c r="G155" s="27">
        <f t="shared" si="17"/>
        <v>0.12</v>
      </c>
      <c r="H155" s="27">
        <f t="shared" si="17"/>
        <v>0.12</v>
      </c>
      <c r="I155" s="27">
        <f t="shared" si="17"/>
        <v>0.12</v>
      </c>
      <c r="J155" s="27">
        <f t="shared" si="17"/>
        <v>0.12</v>
      </c>
      <c r="K155" s="27">
        <f t="shared" si="17"/>
        <v>0.12</v>
      </c>
      <c r="L155" s="27">
        <f t="shared" si="17"/>
        <v>0.12</v>
      </c>
      <c r="M155" s="27">
        <f t="shared" si="17"/>
        <v>0.12</v>
      </c>
      <c r="N155" s="27">
        <f t="shared" si="17"/>
        <v>0.12</v>
      </c>
      <c r="O155" s="27">
        <f t="shared" si="17"/>
        <v>0.12</v>
      </c>
      <c r="P155" s="27">
        <f t="shared" si="17"/>
        <v>0.12</v>
      </c>
      <c r="Q155" s="68"/>
    </row>
    <row r="156" spans="1:17" x14ac:dyDescent="0.3">
      <c r="Q156" s="68"/>
    </row>
    <row r="157" spans="1:17" x14ac:dyDescent="0.3">
      <c r="A157" s="3" t="s">
        <v>58</v>
      </c>
      <c r="Q157" s="68"/>
    </row>
    <row r="158" spans="1:17" x14ac:dyDescent="0.3">
      <c r="A158" s="33"/>
      <c r="Q158" s="68"/>
    </row>
    <row r="159" spans="1:17" ht="18" x14ac:dyDescent="0.35">
      <c r="A159" s="9" t="str">
        <f>'[41]Statistical data'!A210</f>
        <v>GHMSCI</v>
      </c>
      <c r="B159" s="9"/>
      <c r="C159" s="5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68"/>
    </row>
    <row r="160" spans="1:17" s="13" customFormat="1" ht="14.4" x14ac:dyDescent="0.3">
      <c r="A160" s="11" t="s">
        <v>3</v>
      </c>
      <c r="B160" s="11"/>
      <c r="C160" s="11" t="s">
        <v>4</v>
      </c>
      <c r="D160" s="12" t="str">
        <f>D109</f>
        <v>JAN</v>
      </c>
      <c r="E160" s="12" t="str">
        <f t="shared" ref="E160:P160" si="18">E109</f>
        <v>FEB</v>
      </c>
      <c r="F160" s="12" t="str">
        <f t="shared" si="18"/>
        <v>MAR</v>
      </c>
      <c r="G160" s="12" t="str">
        <f t="shared" si="18"/>
        <v>APR</v>
      </c>
      <c r="H160" s="12" t="str">
        <f t="shared" si="18"/>
        <v>MAY</v>
      </c>
      <c r="I160" s="12" t="str">
        <f t="shared" si="18"/>
        <v>JUN</v>
      </c>
      <c r="J160" s="12" t="str">
        <f t="shared" si="18"/>
        <v>JUL</v>
      </c>
      <c r="K160" s="12" t="str">
        <f t="shared" si="18"/>
        <v>AUG</v>
      </c>
      <c r="L160" s="12" t="str">
        <f t="shared" si="18"/>
        <v>SEP</v>
      </c>
      <c r="M160" s="12" t="str">
        <f t="shared" si="18"/>
        <v>OCT</v>
      </c>
      <c r="N160" s="12" t="str">
        <f t="shared" si="18"/>
        <v>NOV</v>
      </c>
      <c r="O160" s="12" t="str">
        <f t="shared" si="18"/>
        <v>DEC</v>
      </c>
      <c r="P160" s="12" t="str">
        <f t="shared" si="18"/>
        <v>JAN</v>
      </c>
      <c r="Q160" s="68"/>
    </row>
    <row r="161" spans="1:17" ht="14.4" x14ac:dyDescent="0.3">
      <c r="A161" s="14" t="s">
        <v>17</v>
      </c>
      <c r="B161" s="15"/>
      <c r="C161" s="16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68"/>
    </row>
    <row r="162" spans="1:17" ht="14.4" x14ac:dyDescent="0.3">
      <c r="A162" s="18" t="s">
        <v>18</v>
      </c>
      <c r="B162" s="19"/>
      <c r="C162" s="16" t="s">
        <v>19</v>
      </c>
      <c r="D162" s="20">
        <f>D999</f>
        <v>5.7910000000000004</v>
      </c>
      <c r="E162" s="20">
        <f t="shared" ref="E162:P162" si="19">E999</f>
        <v>5.2413999999999996</v>
      </c>
      <c r="F162" s="20">
        <f t="shared" si="19"/>
        <v>5.1864999999999997</v>
      </c>
      <c r="G162" s="20">
        <f t="shared" si="19"/>
        <v>5.3872999999999998</v>
      </c>
      <c r="H162" s="20">
        <f t="shared" si="19"/>
        <v>5.4703999999999997</v>
      </c>
      <c r="I162" s="20">
        <f t="shared" si="19"/>
        <v>5.6580000000000004</v>
      </c>
      <c r="J162" s="20">
        <f t="shared" si="19"/>
        <v>5.3269000000000002</v>
      </c>
      <c r="K162" s="20">
        <f t="shared" si="19"/>
        <v>5.0479000000000003</v>
      </c>
      <c r="L162" s="20">
        <f t="shared" si="19"/>
        <v>5.1746999999999996</v>
      </c>
      <c r="M162" s="20">
        <f t="shared" si="19"/>
        <v>4.6832000000000003</v>
      </c>
      <c r="N162" s="20">
        <f t="shared" si="19"/>
        <v>5.6673</v>
      </c>
      <c r="O162" s="20">
        <f t="shared" si="19"/>
        <v>5.6673</v>
      </c>
      <c r="P162" s="20" t="e">
        <f t="shared" si="19"/>
        <v>#DIV/0!</v>
      </c>
      <c r="Q162" s="68"/>
    </row>
    <row r="163" spans="1:17" ht="14.4" x14ac:dyDescent="0.3">
      <c r="A163" s="18" t="s">
        <v>66</v>
      </c>
      <c r="B163" s="19"/>
      <c r="C163" s="16" t="s">
        <v>19</v>
      </c>
      <c r="D163" s="20">
        <v>0</v>
      </c>
      <c r="E163" s="20">
        <v>0</v>
      </c>
      <c r="F163" s="20">
        <v>0</v>
      </c>
      <c r="G163" s="20">
        <v>0</v>
      </c>
      <c r="H163" s="20">
        <v>0</v>
      </c>
      <c r="I163" s="20">
        <v>0</v>
      </c>
      <c r="J163" s="20">
        <v>0</v>
      </c>
      <c r="K163" s="20">
        <v>0</v>
      </c>
      <c r="L163" s="20">
        <v>0</v>
      </c>
      <c r="M163" s="20">
        <v>0</v>
      </c>
      <c r="N163" s="20">
        <v>0</v>
      </c>
      <c r="O163" s="20">
        <v>0</v>
      </c>
      <c r="P163" s="20">
        <v>0</v>
      </c>
      <c r="Q163" s="68"/>
    </row>
    <row r="164" spans="1:17" ht="14.4" x14ac:dyDescent="0.3">
      <c r="A164" s="14" t="s">
        <v>20</v>
      </c>
      <c r="B164" s="15"/>
      <c r="C164" s="16"/>
      <c r="D164" s="53"/>
      <c r="E164" s="53"/>
      <c r="F164" s="53"/>
      <c r="G164" s="53"/>
      <c r="H164" s="53"/>
      <c r="I164" s="53"/>
      <c r="J164" s="53"/>
      <c r="K164" s="53"/>
      <c r="L164" s="53"/>
      <c r="M164" s="53"/>
      <c r="N164" s="53"/>
      <c r="O164" s="53"/>
      <c r="P164" s="53"/>
      <c r="Q164" s="68"/>
    </row>
    <row r="165" spans="1:17" ht="14.4" x14ac:dyDescent="0.3">
      <c r="A165" s="18" t="s">
        <v>21</v>
      </c>
      <c r="B165" s="19"/>
      <c r="C165" s="16" t="s">
        <v>19</v>
      </c>
      <c r="D165" s="20">
        <f>[41]TR!D67</f>
        <v>0.98399999999999999</v>
      </c>
      <c r="E165" s="20">
        <f>[41]TR!E67</f>
        <v>1.0732999999999999</v>
      </c>
      <c r="F165" s="20">
        <f>[41]TR!F67</f>
        <v>0.94140000000000001</v>
      </c>
      <c r="G165" s="20">
        <f>[41]TR!G67</f>
        <v>1.0905</v>
      </c>
      <c r="H165" s="20">
        <f>[41]TR!H67</f>
        <v>0.84560000000000002</v>
      </c>
      <c r="I165" s="20">
        <f>[41]TR!I67</f>
        <v>0.90029999999999999</v>
      </c>
      <c r="J165" s="20">
        <f>[41]TR!J67</f>
        <v>0.87649999999999995</v>
      </c>
      <c r="K165" s="20">
        <f>[41]TR!K67</f>
        <v>0.90080000000000005</v>
      </c>
      <c r="L165" s="20">
        <f>[41]TR!L67</f>
        <v>0.99680000000000002</v>
      </c>
      <c r="M165" s="20">
        <f>[41]TR!M67</f>
        <v>0.98</v>
      </c>
      <c r="N165" s="20">
        <f>[41]TR!N67</f>
        <v>1.0762</v>
      </c>
      <c r="O165" s="20">
        <f>[41]TR!O67</f>
        <v>1.0762</v>
      </c>
      <c r="P165" s="20">
        <f>[41]TR!P67</f>
        <v>0</v>
      </c>
      <c r="Q165" s="68"/>
    </row>
    <row r="166" spans="1:17" ht="14.4" x14ac:dyDescent="0.3">
      <c r="A166" s="18" t="s">
        <v>22</v>
      </c>
      <c r="B166" s="19"/>
      <c r="C166" s="16" t="s">
        <v>23</v>
      </c>
      <c r="D166" s="23">
        <v>0</v>
      </c>
      <c r="E166" s="23">
        <v>0</v>
      </c>
      <c r="F166" s="23">
        <v>0</v>
      </c>
      <c r="G166" s="23">
        <v>0</v>
      </c>
      <c r="H166" s="23">
        <v>0</v>
      </c>
      <c r="I166" s="23">
        <v>0</v>
      </c>
      <c r="J166" s="23">
        <v>0</v>
      </c>
      <c r="K166" s="23">
        <v>0</v>
      </c>
      <c r="L166" s="23">
        <v>0</v>
      </c>
      <c r="M166" s="23">
        <v>0</v>
      </c>
      <c r="N166" s="23">
        <v>0</v>
      </c>
      <c r="O166" s="23">
        <v>0</v>
      </c>
      <c r="P166" s="23">
        <v>0</v>
      </c>
      <c r="Q166" s="68"/>
    </row>
    <row r="167" spans="1:17" ht="14.4" x14ac:dyDescent="0.3">
      <c r="A167" s="14" t="s">
        <v>24</v>
      </c>
      <c r="B167" s="15"/>
      <c r="C167" s="16"/>
      <c r="D167" s="53"/>
      <c r="E167" s="53"/>
      <c r="F167" s="53"/>
      <c r="G167" s="53"/>
      <c r="H167" s="53"/>
      <c r="I167" s="53"/>
      <c r="J167" s="53"/>
      <c r="K167" s="53"/>
      <c r="L167" s="53"/>
      <c r="M167" s="53"/>
      <c r="N167" s="53"/>
      <c r="O167" s="53"/>
      <c r="P167" s="53"/>
      <c r="Q167" s="68"/>
    </row>
    <row r="168" spans="1:17" ht="14.4" x14ac:dyDescent="0.3">
      <c r="A168" s="18" t="s">
        <v>25</v>
      </c>
      <c r="B168" s="19"/>
      <c r="C168" s="16" t="s">
        <v>19</v>
      </c>
      <c r="D168" s="20">
        <f>D117</f>
        <v>0.65580000000000005</v>
      </c>
      <c r="E168" s="20">
        <f t="shared" ref="E168:P168" si="20">E117</f>
        <v>0.59</v>
      </c>
      <c r="F168" s="20">
        <f t="shared" si="20"/>
        <v>0.58030000000000004</v>
      </c>
      <c r="G168" s="20">
        <f t="shared" si="20"/>
        <v>0.62050000000000005</v>
      </c>
      <c r="H168" s="20">
        <f t="shared" si="20"/>
        <v>0.61280000000000001</v>
      </c>
      <c r="I168" s="20">
        <f t="shared" si="20"/>
        <v>0.61309999999999998</v>
      </c>
      <c r="J168" s="20">
        <f t="shared" si="20"/>
        <v>0.57599999999999996</v>
      </c>
      <c r="K168" s="20">
        <f t="shared" si="20"/>
        <v>0.53080000000000005</v>
      </c>
      <c r="L168" s="20">
        <f t="shared" si="20"/>
        <v>0.54369999999999996</v>
      </c>
      <c r="M168" s="20">
        <f t="shared" si="20"/>
        <v>0.505</v>
      </c>
      <c r="N168" s="20">
        <f t="shared" si="20"/>
        <v>0.60619999999999996</v>
      </c>
      <c r="O168" s="20">
        <f t="shared" si="20"/>
        <v>0.60619999999999996</v>
      </c>
      <c r="P168" s="20">
        <f t="shared" si="20"/>
        <v>0</v>
      </c>
      <c r="Q168" s="68"/>
    </row>
    <row r="169" spans="1:17" ht="14.4" x14ac:dyDescent="0.3">
      <c r="A169" s="14" t="s">
        <v>26</v>
      </c>
      <c r="B169" s="14"/>
      <c r="C169" s="16"/>
      <c r="D169" s="54"/>
      <c r="E169" s="54"/>
      <c r="F169" s="54"/>
      <c r="G169" s="54"/>
      <c r="H169" s="54"/>
      <c r="I169" s="54"/>
      <c r="J169" s="54"/>
      <c r="K169" s="54"/>
      <c r="L169" s="54"/>
      <c r="M169" s="54"/>
      <c r="N169" s="54"/>
      <c r="O169" s="54"/>
      <c r="P169" s="54"/>
      <c r="Q169" s="68"/>
    </row>
    <row r="170" spans="1:17" ht="14.4" x14ac:dyDescent="0.3">
      <c r="A170" s="18" t="s">
        <v>27</v>
      </c>
      <c r="B170" s="18"/>
      <c r="C170" s="16" t="s">
        <v>19</v>
      </c>
      <c r="D170" s="20">
        <v>1.0143</v>
      </c>
      <c r="E170" s="20">
        <v>1.0143</v>
      </c>
      <c r="F170" s="20">
        <v>1.0143</v>
      </c>
      <c r="G170" s="20">
        <v>1.0143</v>
      </c>
      <c r="H170" s="20">
        <v>1.0143</v>
      </c>
      <c r="I170" s="20">
        <v>1.0143</v>
      </c>
      <c r="J170" s="20">
        <v>1.0301</v>
      </c>
      <c r="K170" s="20">
        <v>1.0301</v>
      </c>
      <c r="L170" s="20">
        <v>1.0301</v>
      </c>
      <c r="M170" s="20">
        <v>1.0301</v>
      </c>
      <c r="N170" s="20">
        <v>1.0301</v>
      </c>
      <c r="O170" s="20">
        <v>1.0301</v>
      </c>
      <c r="P170" s="20">
        <v>1.0301</v>
      </c>
      <c r="Q170" s="68"/>
    </row>
    <row r="171" spans="1:17" ht="14.4" x14ac:dyDescent="0.3">
      <c r="A171" s="18" t="s">
        <v>28</v>
      </c>
      <c r="B171" s="18"/>
      <c r="C171" s="16" t="s">
        <v>23</v>
      </c>
      <c r="D171" s="23">
        <v>0</v>
      </c>
      <c r="E171" s="23">
        <v>0</v>
      </c>
      <c r="F171" s="23">
        <v>0</v>
      </c>
      <c r="G171" s="23">
        <v>0</v>
      </c>
      <c r="H171" s="23">
        <v>0</v>
      </c>
      <c r="I171" s="23">
        <v>0</v>
      </c>
      <c r="J171" s="23">
        <v>0</v>
      </c>
      <c r="K171" s="23">
        <v>0</v>
      </c>
      <c r="L171" s="23">
        <v>0</v>
      </c>
      <c r="M171" s="23">
        <v>0</v>
      </c>
      <c r="N171" s="23">
        <v>0</v>
      </c>
      <c r="O171" s="23">
        <v>0</v>
      </c>
      <c r="P171" s="23">
        <v>0</v>
      </c>
      <c r="Q171" s="68"/>
    </row>
    <row r="172" spans="1:17" ht="14.4" x14ac:dyDescent="0.3">
      <c r="A172" s="14" t="s">
        <v>29</v>
      </c>
      <c r="B172" s="14"/>
      <c r="C172" s="16"/>
      <c r="D172" s="24"/>
      <c r="E172" s="24"/>
      <c r="F172" s="24"/>
      <c r="G172" s="24"/>
      <c r="H172" s="24"/>
      <c r="I172" s="24"/>
      <c r="J172" s="24"/>
      <c r="K172" s="24"/>
      <c r="L172" s="24"/>
      <c r="M172" s="24"/>
      <c r="N172" s="24"/>
      <c r="O172" s="24"/>
      <c r="P172" s="24"/>
      <c r="Q172" s="68"/>
    </row>
    <row r="173" spans="1:17" ht="14.4" x14ac:dyDescent="0.3">
      <c r="A173" s="18" t="s">
        <v>30</v>
      </c>
      <c r="B173" s="18"/>
      <c r="C173" s="16" t="s">
        <v>19</v>
      </c>
      <c r="D173" s="20">
        <v>0</v>
      </c>
      <c r="E173" s="20">
        <v>0</v>
      </c>
      <c r="F173" s="20">
        <v>0</v>
      </c>
      <c r="G173" s="20">
        <v>0</v>
      </c>
      <c r="H173" s="20">
        <v>0</v>
      </c>
      <c r="I173" s="20">
        <v>0</v>
      </c>
      <c r="J173" s="20">
        <v>0</v>
      </c>
      <c r="K173" s="20">
        <v>0</v>
      </c>
      <c r="L173" s="20">
        <v>0</v>
      </c>
      <c r="M173" s="20">
        <v>0</v>
      </c>
      <c r="N173" s="20">
        <v>0</v>
      </c>
      <c r="O173" s="20">
        <v>0</v>
      </c>
      <c r="P173" s="20">
        <v>0</v>
      </c>
      <c r="Q173" s="68"/>
    </row>
    <row r="174" spans="1:17" ht="14.4" x14ac:dyDescent="0.3">
      <c r="A174" s="18" t="s">
        <v>31</v>
      </c>
      <c r="B174" s="18"/>
      <c r="C174" s="16" t="s">
        <v>32</v>
      </c>
      <c r="D174" s="23">
        <v>326</v>
      </c>
      <c r="E174" s="23">
        <v>326</v>
      </c>
      <c r="F174" s="23">
        <v>326</v>
      </c>
      <c r="G174" s="23">
        <v>326</v>
      </c>
      <c r="H174" s="23">
        <v>326</v>
      </c>
      <c r="I174" s="23">
        <v>326</v>
      </c>
      <c r="J174" s="23">
        <v>331.09</v>
      </c>
      <c r="K174" s="23">
        <v>331.09</v>
      </c>
      <c r="L174" s="23">
        <v>331.09</v>
      </c>
      <c r="M174" s="23">
        <v>331.09</v>
      </c>
      <c r="N174" s="23">
        <v>331.09</v>
      </c>
      <c r="O174" s="23">
        <v>331.09</v>
      </c>
      <c r="P174" s="23">
        <v>331.09</v>
      </c>
      <c r="Q174" s="68"/>
    </row>
    <row r="175" spans="1:17" ht="14.4" x14ac:dyDescent="0.3">
      <c r="A175" s="14" t="s">
        <v>33</v>
      </c>
      <c r="B175" s="14"/>
      <c r="C175" s="16"/>
      <c r="D175" s="24"/>
      <c r="E175" s="24"/>
      <c r="F175" s="24"/>
      <c r="G175" s="24"/>
      <c r="H175" s="24"/>
      <c r="I175" s="24"/>
      <c r="J175" s="24"/>
      <c r="K175" s="24"/>
      <c r="L175" s="24"/>
      <c r="M175" s="24"/>
      <c r="N175" s="24"/>
      <c r="O175" s="24"/>
      <c r="P175" s="24"/>
      <c r="Q175" s="68"/>
    </row>
    <row r="176" spans="1:17" ht="14.4" x14ac:dyDescent="0.3">
      <c r="A176" s="18" t="s">
        <v>34</v>
      </c>
      <c r="B176" s="18"/>
      <c r="C176" s="16" t="s">
        <v>19</v>
      </c>
      <c r="D176" s="20">
        <v>0</v>
      </c>
      <c r="E176" s="20">
        <v>0</v>
      </c>
      <c r="F176" s="20">
        <v>0</v>
      </c>
      <c r="G176" s="20">
        <v>0</v>
      </c>
      <c r="H176" s="20">
        <v>0</v>
      </c>
      <c r="I176" s="20">
        <v>0</v>
      </c>
      <c r="J176" s="20">
        <v>0</v>
      </c>
      <c r="K176" s="20">
        <v>0</v>
      </c>
      <c r="L176" s="20">
        <v>0</v>
      </c>
      <c r="M176" s="20">
        <v>0</v>
      </c>
      <c r="N176" s="20">
        <v>0</v>
      </c>
      <c r="O176" s="20">
        <v>0</v>
      </c>
      <c r="P176" s="20">
        <v>0</v>
      </c>
      <c r="Q176" s="68"/>
    </row>
    <row r="177" spans="1:17" ht="14.4" x14ac:dyDescent="0.3">
      <c r="A177" s="18" t="s">
        <v>35</v>
      </c>
      <c r="B177" s="18"/>
      <c r="C177" s="16" t="s">
        <v>36</v>
      </c>
      <c r="D177" s="23">
        <v>325.83999999999997</v>
      </c>
      <c r="E177" s="23">
        <v>325.83999999999997</v>
      </c>
      <c r="F177" s="23">
        <v>325.83999999999997</v>
      </c>
      <c r="G177" s="23">
        <v>325.83999999999997</v>
      </c>
      <c r="H177" s="23">
        <v>325.83999999999997</v>
      </c>
      <c r="I177" s="23">
        <v>325.83999999999997</v>
      </c>
      <c r="J177" s="23">
        <v>330.93</v>
      </c>
      <c r="K177" s="23">
        <v>330.93</v>
      </c>
      <c r="L177" s="23">
        <v>330.93</v>
      </c>
      <c r="M177" s="23">
        <v>330.93</v>
      </c>
      <c r="N177" s="23">
        <v>330.93</v>
      </c>
      <c r="O177" s="23">
        <v>330.93</v>
      </c>
      <c r="P177" s="23">
        <v>330.93</v>
      </c>
      <c r="Q177" s="68"/>
    </row>
    <row r="178" spans="1:17" ht="14.4" x14ac:dyDescent="0.3">
      <c r="A178" s="14" t="s">
        <v>37</v>
      </c>
      <c r="B178" s="14"/>
      <c r="C178" s="16"/>
      <c r="D178" s="24"/>
      <c r="E178" s="24"/>
      <c r="F178" s="24"/>
      <c r="G178" s="24"/>
      <c r="H178" s="24"/>
      <c r="I178" s="24"/>
      <c r="J178" s="24"/>
      <c r="K178" s="24"/>
      <c r="L178" s="24"/>
      <c r="M178" s="24"/>
      <c r="N178" s="24"/>
      <c r="O178" s="24"/>
      <c r="P178" s="24"/>
      <c r="Q178" s="68"/>
    </row>
    <row r="179" spans="1:17" ht="14.4" x14ac:dyDescent="0.3">
      <c r="A179" s="25" t="s">
        <v>38</v>
      </c>
      <c r="B179" s="18"/>
      <c r="C179" s="16" t="s">
        <v>19</v>
      </c>
      <c r="D179" s="20">
        <f>D128</f>
        <v>0.1333</v>
      </c>
      <c r="E179" s="20">
        <f t="shared" ref="E179:P179" si="21">E128</f>
        <v>0.1497</v>
      </c>
      <c r="F179" s="20">
        <f t="shared" si="21"/>
        <v>0.14410000000000001</v>
      </c>
      <c r="G179" s="20">
        <f t="shared" si="21"/>
        <v>0.15459999999999999</v>
      </c>
      <c r="H179" s="20">
        <f t="shared" si="21"/>
        <v>0.10920000000000001</v>
      </c>
      <c r="I179" s="20">
        <f t="shared" si="21"/>
        <v>0.104</v>
      </c>
      <c r="J179" s="20">
        <f t="shared" si="21"/>
        <v>0.1045</v>
      </c>
      <c r="K179" s="20">
        <f t="shared" si="21"/>
        <v>0.11609999999999999</v>
      </c>
      <c r="L179" s="20">
        <f t="shared" si="21"/>
        <v>0.1091</v>
      </c>
      <c r="M179" s="20">
        <f t="shared" si="21"/>
        <v>0.1138</v>
      </c>
      <c r="N179" s="20">
        <f t="shared" si="21"/>
        <v>0.1173</v>
      </c>
      <c r="O179" s="20">
        <f t="shared" si="21"/>
        <v>0.1173</v>
      </c>
      <c r="P179" s="20">
        <f t="shared" si="21"/>
        <v>0</v>
      </c>
      <c r="Q179" s="68"/>
    </row>
    <row r="180" spans="1:17" ht="14.4" x14ac:dyDescent="0.3">
      <c r="A180" s="25" t="s">
        <v>39</v>
      </c>
      <c r="B180" s="18"/>
      <c r="C180" s="16" t="s">
        <v>19</v>
      </c>
      <c r="D180" s="20">
        <v>0</v>
      </c>
      <c r="E180" s="20">
        <v>0</v>
      </c>
      <c r="F180" s="20">
        <v>0</v>
      </c>
      <c r="G180" s="20">
        <v>0</v>
      </c>
      <c r="H180" s="20">
        <v>0</v>
      </c>
      <c r="I180" s="20">
        <v>0</v>
      </c>
      <c r="J180" s="20">
        <v>0</v>
      </c>
      <c r="K180" s="20">
        <v>0</v>
      </c>
      <c r="L180" s="20">
        <v>0</v>
      </c>
      <c r="M180" s="20">
        <v>0</v>
      </c>
      <c r="N180" s="20">
        <v>0</v>
      </c>
      <c r="O180" s="20">
        <v>0</v>
      </c>
      <c r="P180" s="20">
        <v>0</v>
      </c>
      <c r="Q180" s="68"/>
    </row>
    <row r="181" spans="1:17" ht="14.4" x14ac:dyDescent="0.3">
      <c r="A181" s="25" t="s">
        <v>180</v>
      </c>
      <c r="B181" s="18"/>
      <c r="C181" s="16" t="s">
        <v>19</v>
      </c>
      <c r="D181" s="20">
        <f>D130</f>
        <v>3.1399999999999997E-2</v>
      </c>
      <c r="E181" s="20">
        <f t="shared" ref="E181:P184" si="22">E130</f>
        <v>3.1399999999999997E-2</v>
      </c>
      <c r="F181" s="20">
        <f t="shared" si="22"/>
        <v>3.1399999999999997E-2</v>
      </c>
      <c r="G181" s="20">
        <f t="shared" si="22"/>
        <v>3.1399999999999997E-2</v>
      </c>
      <c r="H181" s="20">
        <f t="shared" si="22"/>
        <v>3.1399999999999997E-2</v>
      </c>
      <c r="I181" s="20">
        <f t="shared" si="22"/>
        <v>3.1399999999999997E-2</v>
      </c>
      <c r="J181" s="20">
        <f t="shared" si="22"/>
        <v>3.1399999999999997E-2</v>
      </c>
      <c r="K181" s="20">
        <f t="shared" si="22"/>
        <v>3.1399999999999997E-2</v>
      </c>
      <c r="L181" s="20">
        <f t="shared" si="22"/>
        <v>3.1399999999999997E-2</v>
      </c>
      <c r="M181" s="20">
        <f t="shared" si="22"/>
        <v>3.1399999999999997E-2</v>
      </c>
      <c r="N181" s="20">
        <f t="shared" si="22"/>
        <v>3.1399999999999997E-2</v>
      </c>
      <c r="O181" s="20">
        <f t="shared" si="22"/>
        <v>3.1399999999999997E-2</v>
      </c>
      <c r="P181" s="20">
        <f t="shared" si="22"/>
        <v>3.1399999999999997E-2</v>
      </c>
      <c r="Q181" s="68"/>
    </row>
    <row r="182" spans="1:17" ht="14.4" x14ac:dyDescent="0.3">
      <c r="A182" s="26" t="s">
        <v>40</v>
      </c>
      <c r="B182" s="18"/>
      <c r="C182" s="16" t="s">
        <v>19</v>
      </c>
      <c r="D182" s="20">
        <f>D131</f>
        <v>1E-4</v>
      </c>
      <c r="E182" s="20">
        <f t="shared" si="22"/>
        <v>1E-4</v>
      </c>
      <c r="F182" s="20">
        <f t="shared" si="22"/>
        <v>1E-4</v>
      </c>
      <c r="G182" s="20">
        <f t="shared" si="22"/>
        <v>1E-4</v>
      </c>
      <c r="H182" s="20">
        <f t="shared" si="22"/>
        <v>1E-4</v>
      </c>
      <c r="I182" s="20">
        <f t="shared" si="22"/>
        <v>1E-4</v>
      </c>
      <c r="J182" s="20">
        <f t="shared" si="22"/>
        <v>1E-4</v>
      </c>
      <c r="K182" s="20">
        <f t="shared" si="22"/>
        <v>1E-4</v>
      </c>
      <c r="L182" s="20">
        <f t="shared" si="22"/>
        <v>1E-4</v>
      </c>
      <c r="M182" s="20">
        <f t="shared" si="22"/>
        <v>1E-4</v>
      </c>
      <c r="N182" s="20">
        <f t="shared" si="22"/>
        <v>1E-4</v>
      </c>
      <c r="O182" s="20">
        <f t="shared" si="22"/>
        <v>1E-4</v>
      </c>
      <c r="P182" s="20">
        <f t="shared" si="22"/>
        <v>0</v>
      </c>
      <c r="Q182" s="68"/>
    </row>
    <row r="183" spans="1:17" ht="14.4" x14ac:dyDescent="0.3">
      <c r="A183" s="26" t="s">
        <v>41</v>
      </c>
      <c r="B183" s="18"/>
      <c r="C183" s="16" t="s">
        <v>19</v>
      </c>
      <c r="D183" s="20">
        <f>D132</f>
        <v>0</v>
      </c>
      <c r="E183" s="20">
        <f t="shared" si="22"/>
        <v>0</v>
      </c>
      <c r="F183" s="20">
        <f t="shared" si="22"/>
        <v>0</v>
      </c>
      <c r="G183" s="20">
        <f t="shared" si="22"/>
        <v>0</v>
      </c>
      <c r="H183" s="20">
        <f t="shared" si="22"/>
        <v>0</v>
      </c>
      <c r="I183" s="20">
        <f t="shared" si="22"/>
        <v>0</v>
      </c>
      <c r="J183" s="20">
        <f t="shared" si="22"/>
        <v>0</v>
      </c>
      <c r="K183" s="20">
        <f t="shared" si="22"/>
        <v>0</v>
      </c>
      <c r="L183" s="20">
        <f t="shared" si="22"/>
        <v>0</v>
      </c>
      <c r="M183" s="20">
        <f t="shared" si="22"/>
        <v>0</v>
      </c>
      <c r="N183" s="20">
        <f t="shared" si="22"/>
        <v>0</v>
      </c>
      <c r="O183" s="20">
        <f t="shared" si="22"/>
        <v>0</v>
      </c>
      <c r="P183" s="20">
        <f t="shared" si="22"/>
        <v>0</v>
      </c>
      <c r="Q183" s="68"/>
    </row>
    <row r="184" spans="1:17" ht="14.4" x14ac:dyDescent="0.3">
      <c r="A184" s="154" t="s">
        <v>181</v>
      </c>
      <c r="B184" s="155"/>
      <c r="C184" s="16" t="s">
        <v>19</v>
      </c>
      <c r="D184" s="20">
        <f>D133</f>
        <v>1.03E-2</v>
      </c>
      <c r="E184" s="20">
        <f t="shared" si="22"/>
        <v>1.03E-2</v>
      </c>
      <c r="F184" s="20">
        <f t="shared" si="22"/>
        <v>1.03E-2</v>
      </c>
      <c r="G184" s="20">
        <f t="shared" si="22"/>
        <v>2.5999999999999999E-3</v>
      </c>
      <c r="H184" s="20">
        <f t="shared" si="22"/>
        <v>0</v>
      </c>
      <c r="I184" s="20">
        <f t="shared" si="22"/>
        <v>0</v>
      </c>
      <c r="J184" s="20">
        <f t="shared" si="22"/>
        <v>0</v>
      </c>
      <c r="K184" s="20">
        <f t="shared" si="22"/>
        <v>0</v>
      </c>
      <c r="L184" s="20">
        <f t="shared" si="22"/>
        <v>0</v>
      </c>
      <c r="M184" s="20">
        <f t="shared" si="22"/>
        <v>0</v>
      </c>
      <c r="N184" s="20">
        <f t="shared" si="22"/>
        <v>0</v>
      </c>
      <c r="O184" s="20">
        <f t="shared" si="22"/>
        <v>0</v>
      </c>
      <c r="P184" s="20">
        <f t="shared" si="22"/>
        <v>0</v>
      </c>
      <c r="Q184" s="68"/>
    </row>
    <row r="185" spans="1:17" ht="16.2" hidden="1" x14ac:dyDescent="0.3">
      <c r="A185" s="154" t="s">
        <v>182</v>
      </c>
      <c r="B185" s="155"/>
      <c r="C185" s="16" t="s">
        <v>19</v>
      </c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68"/>
    </row>
    <row r="186" spans="1:17" ht="16.2" hidden="1" x14ac:dyDescent="0.3">
      <c r="A186" s="154" t="s">
        <v>182</v>
      </c>
      <c r="B186" s="156"/>
      <c r="C186" s="16" t="s">
        <v>19</v>
      </c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68"/>
    </row>
    <row r="187" spans="1:17" ht="14.4" x14ac:dyDescent="0.3">
      <c r="A187" s="14" t="s">
        <v>42</v>
      </c>
      <c r="B187" s="14"/>
      <c r="C187" s="16"/>
      <c r="D187" s="24"/>
      <c r="E187" s="24"/>
      <c r="F187" s="24"/>
      <c r="G187" s="24"/>
      <c r="H187" s="24"/>
      <c r="I187" s="24"/>
      <c r="J187" s="24"/>
      <c r="K187" s="24"/>
      <c r="L187" s="24"/>
      <c r="M187" s="24"/>
      <c r="N187" s="24"/>
      <c r="O187" s="24"/>
      <c r="P187" s="24"/>
      <c r="Q187" s="68"/>
    </row>
    <row r="188" spans="1:17" ht="14.4" x14ac:dyDescent="0.3">
      <c r="A188" s="14" t="s">
        <v>43</v>
      </c>
      <c r="B188" s="14"/>
      <c r="C188" s="16" t="s">
        <v>44</v>
      </c>
      <c r="D188" s="27"/>
      <c r="E188" s="27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68"/>
    </row>
    <row r="189" spans="1:17" ht="14.4" hidden="1" x14ac:dyDescent="0.3">
      <c r="A189" s="14" t="s">
        <v>183</v>
      </c>
      <c r="B189" s="14"/>
      <c r="C189" s="16"/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68"/>
    </row>
    <row r="190" spans="1:17" ht="14.4" hidden="1" x14ac:dyDescent="0.3">
      <c r="A190" s="14" t="s">
        <v>184</v>
      </c>
      <c r="B190" s="14"/>
      <c r="C190" s="16" t="s">
        <v>19</v>
      </c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68"/>
    </row>
    <row r="191" spans="1:17" ht="14.4" x14ac:dyDescent="0.3">
      <c r="A191" s="14" t="s">
        <v>45</v>
      </c>
      <c r="B191" s="14"/>
      <c r="C191" s="16"/>
      <c r="D191" s="28"/>
      <c r="E191" s="28"/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68"/>
    </row>
    <row r="192" spans="1:17" ht="14.4" x14ac:dyDescent="0.3">
      <c r="A192" s="14" t="s">
        <v>46</v>
      </c>
      <c r="B192" s="14"/>
      <c r="C192" s="16" t="s">
        <v>19</v>
      </c>
      <c r="D192" s="20">
        <v>0</v>
      </c>
      <c r="E192" s="20">
        <v>0</v>
      </c>
      <c r="F192" s="20">
        <v>0</v>
      </c>
      <c r="G192" s="20">
        <v>0</v>
      </c>
      <c r="H192" s="20">
        <v>0</v>
      </c>
      <c r="I192" s="20">
        <v>0</v>
      </c>
      <c r="J192" s="20">
        <v>0</v>
      </c>
      <c r="K192" s="20">
        <v>0</v>
      </c>
      <c r="L192" s="20">
        <v>0</v>
      </c>
      <c r="M192" s="20">
        <v>0</v>
      </c>
      <c r="N192" s="20">
        <v>0</v>
      </c>
      <c r="O192" s="20">
        <v>0</v>
      </c>
      <c r="P192" s="20">
        <v>0</v>
      </c>
      <c r="Q192" s="68"/>
    </row>
    <row r="193" spans="1:17" ht="14.4" hidden="1" x14ac:dyDescent="0.3">
      <c r="A193" s="14" t="s">
        <v>185</v>
      </c>
      <c r="B193" s="14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68"/>
    </row>
    <row r="194" spans="1:17" ht="14.4" hidden="1" x14ac:dyDescent="0.3">
      <c r="A194" s="14" t="s">
        <v>186</v>
      </c>
      <c r="B194" s="14"/>
      <c r="C194" s="16" t="s">
        <v>19</v>
      </c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68"/>
    </row>
    <row r="195" spans="1:17" ht="14.4" x14ac:dyDescent="0.3">
      <c r="A195" s="14" t="s">
        <v>47</v>
      </c>
      <c r="B195" s="14"/>
      <c r="C195" s="16"/>
      <c r="D195" s="24"/>
      <c r="E195" s="24"/>
      <c r="F195" s="24"/>
      <c r="G195" s="24"/>
      <c r="H195" s="24"/>
      <c r="I195" s="24"/>
      <c r="J195" s="24"/>
      <c r="K195" s="24"/>
      <c r="L195" s="24"/>
      <c r="M195" s="24"/>
      <c r="N195" s="24"/>
      <c r="O195" s="24"/>
      <c r="P195" s="24"/>
      <c r="Q195" s="68"/>
    </row>
    <row r="196" spans="1:17" ht="14.4" x14ac:dyDescent="0.3">
      <c r="A196" s="18" t="s">
        <v>48</v>
      </c>
      <c r="B196" s="18"/>
      <c r="C196" s="16" t="s">
        <v>19</v>
      </c>
      <c r="D196" s="20">
        <f>D145</f>
        <v>0.1163</v>
      </c>
      <c r="E196" s="20">
        <f t="shared" ref="E196:P197" si="23">E145</f>
        <v>0.1163</v>
      </c>
      <c r="F196" s="20">
        <f t="shared" si="23"/>
        <v>0.1163</v>
      </c>
      <c r="G196" s="20">
        <f t="shared" si="23"/>
        <v>0.1163</v>
      </c>
      <c r="H196" s="20">
        <f t="shared" si="23"/>
        <v>0.1163</v>
      </c>
      <c r="I196" s="20">
        <f t="shared" si="23"/>
        <v>0.1163</v>
      </c>
      <c r="J196" s="20">
        <f t="shared" si="23"/>
        <v>0.1163</v>
      </c>
      <c r="K196" s="20">
        <f t="shared" si="23"/>
        <v>0.1163</v>
      </c>
      <c r="L196" s="20">
        <f t="shared" si="23"/>
        <v>0.1163</v>
      </c>
      <c r="M196" s="20">
        <f t="shared" si="23"/>
        <v>0.1163</v>
      </c>
      <c r="N196" s="20">
        <f t="shared" si="23"/>
        <v>0.1163</v>
      </c>
      <c r="O196" s="20">
        <f t="shared" si="23"/>
        <v>0.1163</v>
      </c>
      <c r="P196" s="20">
        <f t="shared" si="23"/>
        <v>0.1163</v>
      </c>
      <c r="Q196" s="68"/>
    </row>
    <row r="197" spans="1:17" ht="14.4" x14ac:dyDescent="0.3">
      <c r="A197" s="18" t="s">
        <v>49</v>
      </c>
      <c r="B197" s="18"/>
      <c r="C197" s="16" t="s">
        <v>19</v>
      </c>
      <c r="D197" s="20">
        <f>D146</f>
        <v>2.5000000000000001E-3</v>
      </c>
      <c r="E197" s="20">
        <f t="shared" si="23"/>
        <v>2.5000000000000001E-3</v>
      </c>
      <c r="F197" s="20">
        <f t="shared" si="23"/>
        <v>2.5000000000000001E-3</v>
      </c>
      <c r="G197" s="20">
        <f t="shared" si="23"/>
        <v>2.5000000000000001E-3</v>
      </c>
      <c r="H197" s="20">
        <f t="shared" si="23"/>
        <v>2.5000000000000001E-3</v>
      </c>
      <c r="I197" s="20">
        <f t="shared" si="23"/>
        <v>2.5000000000000001E-3</v>
      </c>
      <c r="J197" s="20">
        <f t="shared" si="23"/>
        <v>2.5000000000000001E-3</v>
      </c>
      <c r="K197" s="20">
        <f t="shared" si="23"/>
        <v>2.5000000000000001E-3</v>
      </c>
      <c r="L197" s="20">
        <f t="shared" si="23"/>
        <v>2.5000000000000001E-3</v>
      </c>
      <c r="M197" s="20">
        <f t="shared" si="23"/>
        <v>2.5000000000000001E-3</v>
      </c>
      <c r="N197" s="20">
        <f t="shared" si="23"/>
        <v>2.5000000000000001E-3</v>
      </c>
      <c r="O197" s="20">
        <f t="shared" si="23"/>
        <v>2.5000000000000001E-3</v>
      </c>
      <c r="P197" s="20">
        <f t="shared" si="23"/>
        <v>2.5000000000000001E-3</v>
      </c>
      <c r="Q197" s="68"/>
    </row>
    <row r="198" spans="1:17" ht="14.4" x14ac:dyDescent="0.3">
      <c r="A198" s="18" t="s">
        <v>50</v>
      </c>
      <c r="B198" s="18"/>
      <c r="C198" s="16"/>
      <c r="D198" s="20"/>
      <c r="E198" s="20"/>
      <c r="F198" s="20">
        <v>0.1938</v>
      </c>
      <c r="G198" s="20">
        <v>0.1938</v>
      </c>
      <c r="H198" s="20">
        <v>0.1938</v>
      </c>
      <c r="I198" s="20">
        <v>0.1938</v>
      </c>
      <c r="J198" s="20">
        <v>0.1938</v>
      </c>
      <c r="K198" s="20">
        <v>0.1938</v>
      </c>
      <c r="L198" s="20">
        <v>0.1938</v>
      </c>
      <c r="M198" s="20">
        <v>0.1938</v>
      </c>
      <c r="N198" s="20">
        <v>0.1938</v>
      </c>
      <c r="O198" s="20">
        <v>0.1938</v>
      </c>
      <c r="P198" s="20">
        <v>0.1938</v>
      </c>
      <c r="Q198" s="68"/>
    </row>
    <row r="199" spans="1:17" ht="14.4" x14ac:dyDescent="0.3">
      <c r="A199" s="14" t="s">
        <v>52</v>
      </c>
      <c r="B199" s="14"/>
      <c r="C199" s="29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68"/>
    </row>
    <row r="200" spans="1:17" ht="14.4" x14ac:dyDescent="0.3">
      <c r="A200" s="18" t="s">
        <v>53</v>
      </c>
      <c r="B200" s="18"/>
      <c r="C200" s="16" t="s">
        <v>44</v>
      </c>
      <c r="D200" s="30">
        <f>D1081</f>
        <v>0.10920000000000001</v>
      </c>
      <c r="E200" s="30">
        <f t="shared" ref="E200:P200" si="24">E1081</f>
        <v>0.1142</v>
      </c>
      <c r="F200" s="30">
        <f t="shared" si="24"/>
        <v>0.1147</v>
      </c>
      <c r="G200" s="30">
        <f t="shared" si="24"/>
        <v>0.1137</v>
      </c>
      <c r="H200" s="30">
        <f t="shared" si="24"/>
        <v>0.1094</v>
      </c>
      <c r="I200" s="30">
        <f t="shared" si="24"/>
        <v>0.1084</v>
      </c>
      <c r="J200" s="30">
        <f t="shared" si="24"/>
        <v>0.1182</v>
      </c>
      <c r="K200" s="30">
        <f t="shared" si="24"/>
        <v>0.1183</v>
      </c>
      <c r="L200" s="30">
        <f t="shared" si="24"/>
        <v>0.10920000000000001</v>
      </c>
      <c r="M200" s="30">
        <f t="shared" si="24"/>
        <v>0.11840000000000001</v>
      </c>
      <c r="N200" s="30">
        <f t="shared" si="24"/>
        <v>0.10970000000000001</v>
      </c>
      <c r="O200" s="30">
        <f t="shared" si="24"/>
        <v>0.10970000000000001</v>
      </c>
      <c r="P200" s="30" t="e">
        <f t="shared" si="24"/>
        <v>#DIV/0!</v>
      </c>
      <c r="Q200" s="68"/>
    </row>
    <row r="201" spans="1:17" ht="14.4" x14ac:dyDescent="0.3">
      <c r="A201" s="18" t="s">
        <v>54</v>
      </c>
      <c r="B201" s="18"/>
      <c r="C201" s="16" t="s">
        <v>44</v>
      </c>
      <c r="D201" s="30">
        <f t="shared" ref="D201:P206" si="25">D150</f>
        <v>0</v>
      </c>
      <c r="E201" s="30">
        <f t="shared" si="25"/>
        <v>0</v>
      </c>
      <c r="F201" s="30">
        <f t="shared" si="25"/>
        <v>0</v>
      </c>
      <c r="G201" s="30">
        <f t="shared" si="25"/>
        <v>0</v>
      </c>
      <c r="H201" s="30">
        <f t="shared" si="25"/>
        <v>0</v>
      </c>
      <c r="I201" s="30">
        <f t="shared" si="25"/>
        <v>0</v>
      </c>
      <c r="J201" s="30">
        <f t="shared" si="25"/>
        <v>0</v>
      </c>
      <c r="K201" s="30">
        <f t="shared" si="25"/>
        <v>0</v>
      </c>
      <c r="L201" s="30">
        <f t="shared" si="25"/>
        <v>0</v>
      </c>
      <c r="M201" s="30">
        <f t="shared" si="25"/>
        <v>2E-3</v>
      </c>
      <c r="N201" s="30">
        <f t="shared" si="25"/>
        <v>5.9999999999999995E-4</v>
      </c>
      <c r="O201" s="30">
        <f t="shared" si="25"/>
        <v>5.9999999999999984E-4</v>
      </c>
      <c r="P201" s="30" t="e">
        <f t="shared" si="25"/>
        <v>#DIV/0!</v>
      </c>
      <c r="Q201" s="68"/>
    </row>
    <row r="202" spans="1:17" ht="14.4" x14ac:dyDescent="0.3">
      <c r="A202" s="18" t="s">
        <v>55</v>
      </c>
      <c r="B202" s="18"/>
      <c r="C202" s="16" t="s">
        <v>44</v>
      </c>
      <c r="D202" s="30">
        <f t="shared" si="25"/>
        <v>9.4899999999999998E-2</v>
      </c>
      <c r="E202" s="30">
        <f t="shared" si="25"/>
        <v>9.69E-2</v>
      </c>
      <c r="F202" s="30">
        <f t="shared" si="25"/>
        <v>9.8100000000000007E-2</v>
      </c>
      <c r="G202" s="30">
        <f t="shared" si="25"/>
        <v>9.7000000000000003E-2</v>
      </c>
      <c r="H202" s="30">
        <f t="shared" si="25"/>
        <v>9.5899999999999999E-2</v>
      </c>
      <c r="I202" s="30">
        <f t="shared" si="25"/>
        <v>9.4799999999999995E-2</v>
      </c>
      <c r="J202" s="30">
        <f t="shared" si="25"/>
        <v>0.1028</v>
      </c>
      <c r="K202" s="30">
        <f t="shared" si="25"/>
        <v>0.1027</v>
      </c>
      <c r="L202" s="30">
        <f t="shared" si="25"/>
        <v>9.35E-2</v>
      </c>
      <c r="M202" s="30">
        <f t="shared" si="25"/>
        <v>0.1004</v>
      </c>
      <c r="N202" s="30">
        <f t="shared" si="25"/>
        <v>9.4299999999999995E-2</v>
      </c>
      <c r="O202" s="30">
        <f t="shared" si="25"/>
        <v>9.4299999999999995E-2</v>
      </c>
      <c r="P202" s="30" t="e">
        <f t="shared" si="25"/>
        <v>#DIV/0!</v>
      </c>
      <c r="Q202" s="68"/>
    </row>
    <row r="203" spans="1:17" ht="14.4" x14ac:dyDescent="0.3">
      <c r="A203" s="18" t="s">
        <v>187</v>
      </c>
      <c r="B203" s="18"/>
      <c r="C203" s="16" t="s">
        <v>44</v>
      </c>
      <c r="D203" s="27">
        <v>0</v>
      </c>
      <c r="E203" s="27">
        <v>0</v>
      </c>
      <c r="F203" s="27">
        <v>0</v>
      </c>
      <c r="G203" s="27">
        <v>0</v>
      </c>
      <c r="H203" s="27">
        <v>0</v>
      </c>
      <c r="I203" s="27">
        <v>0</v>
      </c>
      <c r="J203" s="27">
        <v>0</v>
      </c>
      <c r="K203" s="27">
        <v>0</v>
      </c>
      <c r="L203" s="27">
        <v>0</v>
      </c>
      <c r="M203" s="27">
        <v>0</v>
      </c>
      <c r="N203" s="27">
        <v>0</v>
      </c>
      <c r="O203" s="27">
        <v>0</v>
      </c>
      <c r="P203" s="27">
        <v>0</v>
      </c>
      <c r="Q203" s="68"/>
    </row>
    <row r="204" spans="1:17" ht="14.4" x14ac:dyDescent="0.3">
      <c r="A204" s="18" t="s">
        <v>188</v>
      </c>
      <c r="B204" s="18"/>
      <c r="C204" s="16" t="s">
        <v>44</v>
      </c>
      <c r="D204" s="30">
        <f t="shared" si="25"/>
        <v>9.8799999999999999E-2</v>
      </c>
      <c r="E204" s="30">
        <f t="shared" si="25"/>
        <v>9.8799999999999999E-2</v>
      </c>
      <c r="F204" s="30">
        <f t="shared" si="25"/>
        <v>9.8799999999999999E-2</v>
      </c>
      <c r="G204" s="30">
        <f t="shared" si="25"/>
        <v>9.8799999999999999E-2</v>
      </c>
      <c r="H204" s="30">
        <f t="shared" si="25"/>
        <v>9.8799999999999999E-2</v>
      </c>
      <c r="I204" s="30">
        <f t="shared" si="25"/>
        <v>9.8799999999999999E-2</v>
      </c>
      <c r="J204" s="30">
        <f t="shared" si="25"/>
        <v>9.8799999999999999E-2</v>
      </c>
      <c r="K204" s="30">
        <f t="shared" si="25"/>
        <v>9.8799999999999999E-2</v>
      </c>
      <c r="L204" s="30">
        <f t="shared" si="25"/>
        <v>9.8799999999999999E-2</v>
      </c>
      <c r="M204" s="30">
        <f t="shared" si="25"/>
        <v>9.8799999999999999E-2</v>
      </c>
      <c r="N204" s="30">
        <f t="shared" si="25"/>
        <v>9.8799999999999999E-2</v>
      </c>
      <c r="O204" s="30">
        <f t="shared" si="25"/>
        <v>9.8799999999999999E-2</v>
      </c>
      <c r="P204" s="30">
        <f t="shared" si="25"/>
        <v>9.8799999999999999E-2</v>
      </c>
      <c r="Q204" s="68"/>
    </row>
    <row r="205" spans="1:17" ht="14.4" x14ac:dyDescent="0.3">
      <c r="A205" s="18" t="s">
        <v>56</v>
      </c>
      <c r="B205" s="18"/>
      <c r="C205" s="16" t="s">
        <v>44</v>
      </c>
      <c r="D205" s="30">
        <f t="shared" si="25"/>
        <v>0.12</v>
      </c>
      <c r="E205" s="30">
        <f t="shared" si="25"/>
        <v>0.12</v>
      </c>
      <c r="F205" s="30">
        <f t="shared" si="25"/>
        <v>0.12</v>
      </c>
      <c r="G205" s="30">
        <f t="shared" si="25"/>
        <v>0.12</v>
      </c>
      <c r="H205" s="30">
        <f t="shared" si="25"/>
        <v>0.12</v>
      </c>
      <c r="I205" s="30">
        <f t="shared" si="25"/>
        <v>0.12</v>
      </c>
      <c r="J205" s="30">
        <f t="shared" si="25"/>
        <v>0.12</v>
      </c>
      <c r="K205" s="30">
        <f t="shared" si="25"/>
        <v>0.12</v>
      </c>
      <c r="L205" s="30">
        <f t="shared" si="25"/>
        <v>0.12</v>
      </c>
      <c r="M205" s="30">
        <f t="shared" si="25"/>
        <v>0.12</v>
      </c>
      <c r="N205" s="30">
        <f t="shared" si="25"/>
        <v>0.12</v>
      </c>
      <c r="O205" s="30">
        <f t="shared" si="25"/>
        <v>0.12</v>
      </c>
      <c r="P205" s="30">
        <f t="shared" si="25"/>
        <v>0.12</v>
      </c>
      <c r="Q205" s="68"/>
    </row>
    <row r="206" spans="1:17" ht="14.4" x14ac:dyDescent="0.3">
      <c r="A206" s="18" t="s">
        <v>57</v>
      </c>
      <c r="B206" s="18"/>
      <c r="C206" s="16" t="s">
        <v>44</v>
      </c>
      <c r="D206" s="30">
        <f t="shared" si="25"/>
        <v>0.12</v>
      </c>
      <c r="E206" s="30">
        <f t="shared" si="25"/>
        <v>0.12</v>
      </c>
      <c r="F206" s="30">
        <f t="shared" si="25"/>
        <v>0.12</v>
      </c>
      <c r="G206" s="30">
        <f t="shared" si="25"/>
        <v>0.12</v>
      </c>
      <c r="H206" s="30">
        <f t="shared" si="25"/>
        <v>0.12</v>
      </c>
      <c r="I206" s="30">
        <f t="shared" si="25"/>
        <v>0.12</v>
      </c>
      <c r="J206" s="30">
        <f t="shared" si="25"/>
        <v>0.12</v>
      </c>
      <c r="K206" s="30">
        <f t="shared" si="25"/>
        <v>0.12</v>
      </c>
      <c r="L206" s="30">
        <f t="shared" si="25"/>
        <v>0.12</v>
      </c>
      <c r="M206" s="30">
        <f t="shared" si="25"/>
        <v>0.12</v>
      </c>
      <c r="N206" s="30">
        <f t="shared" si="25"/>
        <v>0.12</v>
      </c>
      <c r="O206" s="30">
        <f t="shared" si="25"/>
        <v>0.12</v>
      </c>
      <c r="P206" s="30">
        <f t="shared" si="25"/>
        <v>0.12</v>
      </c>
      <c r="Q206" s="68"/>
    </row>
    <row r="207" spans="1:17" s="5" customFormat="1" ht="14.4" x14ac:dyDescent="0.3">
      <c r="A207" s="55"/>
      <c r="B207" s="55"/>
      <c r="C207" s="56"/>
      <c r="D207" s="57"/>
      <c r="E207" s="57"/>
      <c r="F207" s="57"/>
      <c r="G207" s="57"/>
      <c r="H207" s="57"/>
      <c r="I207" s="57"/>
      <c r="J207" s="57"/>
      <c r="K207" s="57"/>
      <c r="L207" s="57"/>
      <c r="M207" s="57"/>
      <c r="N207" s="57"/>
      <c r="O207" s="57"/>
      <c r="P207" s="57"/>
      <c r="Q207" s="68"/>
    </row>
    <row r="208" spans="1:17" x14ac:dyDescent="0.3">
      <c r="A208" s="3" t="s">
        <v>58</v>
      </c>
      <c r="Q208" s="68"/>
    </row>
    <row r="209" spans="1:17" x14ac:dyDescent="0.3">
      <c r="A209" s="33"/>
      <c r="Q209" s="68"/>
    </row>
    <row r="210" spans="1:17" ht="18" hidden="1" x14ac:dyDescent="0.35">
      <c r="A210" s="9" t="str">
        <f>'[41]Statistical data'!A211</f>
        <v>Customer Class3</v>
      </c>
      <c r="B210" s="9"/>
      <c r="C210" s="5" t="s">
        <v>190</v>
      </c>
      <c r="D210" s="160"/>
      <c r="E210" s="160"/>
      <c r="F210" s="160"/>
      <c r="G210" s="160"/>
      <c r="H210" s="160"/>
      <c r="I210" s="160"/>
      <c r="J210" s="160"/>
      <c r="K210" s="160"/>
      <c r="L210" s="160"/>
      <c r="M210" s="160"/>
      <c r="N210" s="160"/>
      <c r="O210" s="160"/>
      <c r="P210" s="160"/>
      <c r="Q210" s="68"/>
    </row>
    <row r="211" spans="1:17" ht="31.5" hidden="1" customHeight="1" x14ac:dyDescent="0.3">
      <c r="A211" s="161" t="s">
        <v>3</v>
      </c>
      <c r="B211" s="161"/>
      <c r="C211" s="161" t="s">
        <v>4</v>
      </c>
      <c r="D211" s="161" t="s">
        <v>15</v>
      </c>
      <c r="E211" s="161" t="s">
        <v>15</v>
      </c>
      <c r="F211" s="161" t="s">
        <v>15</v>
      </c>
      <c r="G211" s="161" t="s">
        <v>15</v>
      </c>
      <c r="H211" s="161" t="s">
        <v>15</v>
      </c>
      <c r="I211" s="161" t="s">
        <v>15</v>
      </c>
      <c r="J211" s="161" t="s">
        <v>15</v>
      </c>
      <c r="K211" s="161" t="s">
        <v>15</v>
      </c>
      <c r="L211" s="161" t="s">
        <v>15</v>
      </c>
      <c r="M211" s="161" t="s">
        <v>15</v>
      </c>
      <c r="N211" s="161" t="s">
        <v>15</v>
      </c>
      <c r="O211" s="161" t="s">
        <v>15</v>
      </c>
      <c r="P211" s="161" t="s">
        <v>15</v>
      </c>
      <c r="Q211" s="68"/>
    </row>
    <row r="212" spans="1:17" ht="14.4" hidden="1" x14ac:dyDescent="0.3">
      <c r="A212" s="162" t="s">
        <v>17</v>
      </c>
      <c r="B212" s="163"/>
      <c r="C212" s="56"/>
      <c r="D212" s="164"/>
      <c r="E212" s="164"/>
      <c r="F212" s="164"/>
      <c r="G212" s="164"/>
      <c r="H212" s="164"/>
      <c r="I212" s="164"/>
      <c r="J212" s="164"/>
      <c r="K212" s="164"/>
      <c r="L212" s="164"/>
      <c r="M212" s="164"/>
      <c r="N212" s="164"/>
      <c r="O212" s="164"/>
      <c r="P212" s="164"/>
      <c r="Q212" s="68"/>
    </row>
    <row r="213" spans="1:17" ht="14.4" hidden="1" x14ac:dyDescent="0.3">
      <c r="A213" s="55" t="s">
        <v>18</v>
      </c>
      <c r="B213" s="165"/>
      <c r="C213" s="56" t="s">
        <v>19</v>
      </c>
      <c r="D213" s="166"/>
      <c r="E213" s="166"/>
      <c r="F213" s="166"/>
      <c r="G213" s="166"/>
      <c r="H213" s="166"/>
      <c r="I213" s="166"/>
      <c r="J213" s="166"/>
      <c r="K213" s="166"/>
      <c r="L213" s="166"/>
      <c r="M213" s="166"/>
      <c r="N213" s="166"/>
      <c r="O213" s="166"/>
      <c r="P213" s="166"/>
      <c r="Q213" s="68"/>
    </row>
    <row r="214" spans="1:17" ht="14.4" hidden="1" x14ac:dyDescent="0.3">
      <c r="A214" s="55" t="s">
        <v>66</v>
      </c>
      <c r="B214" s="165"/>
      <c r="C214" s="56" t="s">
        <v>19</v>
      </c>
      <c r="D214" s="166"/>
      <c r="E214" s="166"/>
      <c r="F214" s="166"/>
      <c r="G214" s="166"/>
      <c r="H214" s="166"/>
      <c r="I214" s="166"/>
      <c r="J214" s="166"/>
      <c r="K214" s="166"/>
      <c r="L214" s="166"/>
      <c r="M214" s="166"/>
      <c r="N214" s="166"/>
      <c r="O214" s="166"/>
      <c r="P214" s="166"/>
      <c r="Q214" s="68"/>
    </row>
    <row r="215" spans="1:17" ht="14.4" hidden="1" x14ac:dyDescent="0.3">
      <c r="A215" s="162" t="s">
        <v>20</v>
      </c>
      <c r="B215" s="163"/>
      <c r="C215" s="56"/>
      <c r="D215" s="168"/>
      <c r="E215" s="168"/>
      <c r="F215" s="168"/>
      <c r="G215" s="168"/>
      <c r="H215" s="168"/>
      <c r="I215" s="168"/>
      <c r="J215" s="168"/>
      <c r="K215" s="168"/>
      <c r="L215" s="168"/>
      <c r="M215" s="168"/>
      <c r="N215" s="168"/>
      <c r="O215" s="168"/>
      <c r="P215" s="168"/>
      <c r="Q215" s="68"/>
    </row>
    <row r="216" spans="1:17" ht="14.4" hidden="1" x14ac:dyDescent="0.3">
      <c r="A216" s="55" t="s">
        <v>21</v>
      </c>
      <c r="B216" s="165"/>
      <c r="C216" s="56" t="s">
        <v>19</v>
      </c>
      <c r="D216" s="166"/>
      <c r="E216" s="166"/>
      <c r="F216" s="166"/>
      <c r="G216" s="166"/>
      <c r="H216" s="166"/>
      <c r="I216" s="166"/>
      <c r="J216" s="166"/>
      <c r="K216" s="166"/>
      <c r="L216" s="166"/>
      <c r="M216" s="166"/>
      <c r="N216" s="166"/>
      <c r="O216" s="166"/>
      <c r="P216" s="166"/>
      <c r="Q216" s="68"/>
    </row>
    <row r="217" spans="1:17" ht="14.4" hidden="1" x14ac:dyDescent="0.3">
      <c r="A217" s="55" t="s">
        <v>22</v>
      </c>
      <c r="B217" s="165"/>
      <c r="C217" s="56" t="s">
        <v>23</v>
      </c>
      <c r="D217" s="166"/>
      <c r="E217" s="166"/>
      <c r="F217" s="166"/>
      <c r="G217" s="166"/>
      <c r="H217" s="166"/>
      <c r="I217" s="166"/>
      <c r="J217" s="166"/>
      <c r="K217" s="166"/>
      <c r="L217" s="166"/>
      <c r="M217" s="166"/>
      <c r="N217" s="166"/>
      <c r="O217" s="166"/>
      <c r="P217" s="166"/>
      <c r="Q217" s="68"/>
    </row>
    <row r="218" spans="1:17" ht="14.4" hidden="1" x14ac:dyDescent="0.3">
      <c r="A218" s="162" t="s">
        <v>24</v>
      </c>
      <c r="B218" s="163"/>
      <c r="C218" s="56"/>
      <c r="D218" s="168"/>
      <c r="E218" s="168"/>
      <c r="F218" s="168"/>
      <c r="G218" s="168"/>
      <c r="H218" s="168"/>
      <c r="I218" s="168"/>
      <c r="J218" s="168"/>
      <c r="K218" s="168"/>
      <c r="L218" s="168"/>
      <c r="M218" s="168"/>
      <c r="N218" s="168"/>
      <c r="O218" s="168"/>
      <c r="P218" s="168"/>
      <c r="Q218" s="68"/>
    </row>
    <row r="219" spans="1:17" ht="14.4" hidden="1" x14ac:dyDescent="0.3">
      <c r="A219" s="55" t="s">
        <v>25</v>
      </c>
      <c r="B219" s="165"/>
      <c r="C219" s="56" t="s">
        <v>19</v>
      </c>
      <c r="D219" s="166"/>
      <c r="E219" s="166"/>
      <c r="F219" s="166"/>
      <c r="G219" s="166"/>
      <c r="H219" s="166"/>
      <c r="I219" s="166"/>
      <c r="J219" s="166"/>
      <c r="K219" s="166"/>
      <c r="L219" s="166"/>
      <c r="M219" s="166"/>
      <c r="N219" s="166"/>
      <c r="O219" s="166"/>
      <c r="P219" s="166"/>
      <c r="Q219" s="68"/>
    </row>
    <row r="220" spans="1:17" ht="14.4" hidden="1" x14ac:dyDescent="0.3">
      <c r="A220" s="162" t="s">
        <v>26</v>
      </c>
      <c r="B220" s="162"/>
      <c r="C220" s="56"/>
      <c r="D220" s="170"/>
      <c r="E220" s="170"/>
      <c r="F220" s="170"/>
      <c r="G220" s="170"/>
      <c r="H220" s="170"/>
      <c r="I220" s="170"/>
      <c r="J220" s="170"/>
      <c r="K220" s="170"/>
      <c r="L220" s="170"/>
      <c r="M220" s="170"/>
      <c r="N220" s="170"/>
      <c r="O220" s="170"/>
      <c r="P220" s="170"/>
      <c r="Q220" s="68"/>
    </row>
    <row r="221" spans="1:17" ht="14.4" hidden="1" x14ac:dyDescent="0.3">
      <c r="A221" s="55" t="s">
        <v>27</v>
      </c>
      <c r="B221" s="55"/>
      <c r="C221" s="56" t="s">
        <v>19</v>
      </c>
      <c r="D221" s="167"/>
      <c r="E221" s="167"/>
      <c r="F221" s="167"/>
      <c r="G221" s="167"/>
      <c r="H221" s="167"/>
      <c r="I221" s="167"/>
      <c r="J221" s="167"/>
      <c r="K221" s="167"/>
      <c r="L221" s="167"/>
      <c r="M221" s="167"/>
      <c r="N221" s="167"/>
      <c r="O221" s="167"/>
      <c r="P221" s="167"/>
      <c r="Q221" s="68"/>
    </row>
    <row r="222" spans="1:17" ht="14.4" hidden="1" x14ac:dyDescent="0.3">
      <c r="A222" s="55" t="s">
        <v>28</v>
      </c>
      <c r="B222" s="55"/>
      <c r="C222" s="56" t="s">
        <v>23</v>
      </c>
      <c r="D222" s="167"/>
      <c r="E222" s="167"/>
      <c r="F222" s="167"/>
      <c r="G222" s="167"/>
      <c r="H222" s="167"/>
      <c r="I222" s="167"/>
      <c r="J222" s="167"/>
      <c r="K222" s="167"/>
      <c r="L222" s="167"/>
      <c r="M222" s="167"/>
      <c r="N222" s="167"/>
      <c r="O222" s="167"/>
      <c r="P222" s="167"/>
      <c r="Q222" s="68"/>
    </row>
    <row r="223" spans="1:17" ht="14.4" hidden="1" x14ac:dyDescent="0.3">
      <c r="A223" s="162" t="s">
        <v>29</v>
      </c>
      <c r="B223" s="162"/>
      <c r="C223" s="56"/>
      <c r="D223" s="171"/>
      <c r="E223" s="171"/>
      <c r="F223" s="171"/>
      <c r="G223" s="171"/>
      <c r="H223" s="171"/>
      <c r="I223" s="171"/>
      <c r="J223" s="171"/>
      <c r="K223" s="171"/>
      <c r="L223" s="171"/>
      <c r="M223" s="171"/>
      <c r="N223" s="171"/>
      <c r="O223" s="171"/>
      <c r="P223" s="171"/>
      <c r="Q223" s="68"/>
    </row>
    <row r="224" spans="1:17" ht="14.4" hidden="1" x14ac:dyDescent="0.3">
      <c r="A224" s="55" t="s">
        <v>30</v>
      </c>
      <c r="B224" s="55"/>
      <c r="C224" s="56" t="s">
        <v>19</v>
      </c>
      <c r="D224" s="167"/>
      <c r="E224" s="167"/>
      <c r="F224" s="167"/>
      <c r="G224" s="167"/>
      <c r="H224" s="167"/>
      <c r="I224" s="167"/>
      <c r="J224" s="167"/>
      <c r="K224" s="167"/>
      <c r="L224" s="167"/>
      <c r="M224" s="167"/>
      <c r="N224" s="167"/>
      <c r="O224" s="167"/>
      <c r="P224" s="167"/>
      <c r="Q224" s="68"/>
    </row>
    <row r="225" spans="1:17" ht="14.4" hidden="1" x14ac:dyDescent="0.3">
      <c r="A225" s="55" t="s">
        <v>31</v>
      </c>
      <c r="B225" s="55"/>
      <c r="C225" s="56" t="s">
        <v>32</v>
      </c>
      <c r="D225" s="167"/>
      <c r="E225" s="167"/>
      <c r="F225" s="167"/>
      <c r="G225" s="167"/>
      <c r="H225" s="167"/>
      <c r="I225" s="167"/>
      <c r="J225" s="167"/>
      <c r="K225" s="167"/>
      <c r="L225" s="167"/>
      <c r="M225" s="167"/>
      <c r="N225" s="167"/>
      <c r="O225" s="167"/>
      <c r="P225" s="167"/>
      <c r="Q225" s="68"/>
    </row>
    <row r="226" spans="1:17" ht="14.4" hidden="1" x14ac:dyDescent="0.3">
      <c r="A226" s="162" t="s">
        <v>33</v>
      </c>
      <c r="B226" s="162"/>
      <c r="C226" s="56"/>
      <c r="D226" s="171"/>
      <c r="E226" s="171"/>
      <c r="F226" s="171"/>
      <c r="G226" s="171"/>
      <c r="H226" s="171"/>
      <c r="I226" s="171"/>
      <c r="J226" s="171"/>
      <c r="K226" s="171"/>
      <c r="L226" s="171"/>
      <c r="M226" s="171"/>
      <c r="N226" s="171"/>
      <c r="O226" s="171"/>
      <c r="P226" s="171"/>
      <c r="Q226" s="68"/>
    </row>
    <row r="227" spans="1:17" ht="14.4" hidden="1" x14ac:dyDescent="0.3">
      <c r="A227" s="55" t="s">
        <v>34</v>
      </c>
      <c r="B227" s="55"/>
      <c r="C227" s="56" t="s">
        <v>19</v>
      </c>
      <c r="D227" s="167"/>
      <c r="E227" s="167"/>
      <c r="F227" s="167"/>
      <c r="G227" s="167"/>
      <c r="H227" s="167"/>
      <c r="I227" s="167"/>
      <c r="J227" s="167"/>
      <c r="K227" s="167"/>
      <c r="L227" s="167"/>
      <c r="M227" s="167"/>
      <c r="N227" s="167"/>
      <c r="O227" s="167"/>
      <c r="P227" s="167"/>
      <c r="Q227" s="68"/>
    </row>
    <row r="228" spans="1:17" ht="14.4" hidden="1" x14ac:dyDescent="0.3">
      <c r="A228" s="55" t="s">
        <v>35</v>
      </c>
      <c r="B228" s="55"/>
      <c r="C228" s="56" t="s">
        <v>36</v>
      </c>
      <c r="D228" s="167"/>
      <c r="E228" s="167"/>
      <c r="F228" s="167"/>
      <c r="G228" s="167"/>
      <c r="H228" s="167"/>
      <c r="I228" s="167"/>
      <c r="J228" s="167"/>
      <c r="K228" s="167"/>
      <c r="L228" s="167"/>
      <c r="M228" s="167"/>
      <c r="N228" s="167"/>
      <c r="O228" s="167"/>
      <c r="P228" s="167"/>
      <c r="Q228" s="68"/>
    </row>
    <row r="229" spans="1:17" ht="14.4" hidden="1" x14ac:dyDescent="0.3">
      <c r="A229" s="162" t="s">
        <v>37</v>
      </c>
      <c r="B229" s="162"/>
      <c r="C229" s="56"/>
      <c r="D229" s="171"/>
      <c r="E229" s="171"/>
      <c r="F229" s="171"/>
      <c r="G229" s="171"/>
      <c r="H229" s="171"/>
      <c r="I229" s="171"/>
      <c r="J229" s="171"/>
      <c r="K229" s="171"/>
      <c r="L229" s="171"/>
      <c r="M229" s="171"/>
      <c r="N229" s="171"/>
      <c r="O229" s="171"/>
      <c r="P229" s="171"/>
      <c r="Q229" s="68"/>
    </row>
    <row r="230" spans="1:17" ht="14.4" hidden="1" x14ac:dyDescent="0.3">
      <c r="A230" s="172" t="s">
        <v>38</v>
      </c>
      <c r="B230" s="55"/>
      <c r="C230" s="56" t="s">
        <v>19</v>
      </c>
      <c r="D230" s="167"/>
      <c r="E230" s="167"/>
      <c r="F230" s="167"/>
      <c r="G230" s="167"/>
      <c r="H230" s="167"/>
      <c r="I230" s="167"/>
      <c r="J230" s="167"/>
      <c r="K230" s="167"/>
      <c r="L230" s="167"/>
      <c r="M230" s="167"/>
      <c r="N230" s="167"/>
      <c r="O230" s="167"/>
      <c r="P230" s="167"/>
      <c r="Q230" s="68"/>
    </row>
    <row r="231" spans="1:17" ht="14.4" hidden="1" x14ac:dyDescent="0.3">
      <c r="A231" s="172" t="s">
        <v>39</v>
      </c>
      <c r="B231" s="55"/>
      <c r="C231" s="56" t="s">
        <v>19</v>
      </c>
      <c r="D231" s="167"/>
      <c r="E231" s="167"/>
      <c r="F231" s="167"/>
      <c r="G231" s="167"/>
      <c r="H231" s="167"/>
      <c r="I231" s="167"/>
      <c r="J231" s="167"/>
      <c r="K231" s="167"/>
      <c r="L231" s="167"/>
      <c r="M231" s="167"/>
      <c r="N231" s="167"/>
      <c r="O231" s="167"/>
      <c r="P231" s="167"/>
      <c r="Q231" s="68"/>
    </row>
    <row r="232" spans="1:17" ht="14.4" hidden="1" x14ac:dyDescent="0.3">
      <c r="A232" s="172" t="s">
        <v>180</v>
      </c>
      <c r="B232" s="55"/>
      <c r="C232" s="56" t="s">
        <v>19</v>
      </c>
      <c r="D232" s="167"/>
      <c r="E232" s="167"/>
      <c r="F232" s="167"/>
      <c r="G232" s="167"/>
      <c r="H232" s="167"/>
      <c r="I232" s="167"/>
      <c r="J232" s="167"/>
      <c r="K232" s="167"/>
      <c r="L232" s="167"/>
      <c r="M232" s="167"/>
      <c r="N232" s="167"/>
      <c r="O232" s="167"/>
      <c r="P232" s="167"/>
      <c r="Q232" s="68"/>
    </row>
    <row r="233" spans="1:17" ht="14.4" hidden="1" x14ac:dyDescent="0.3">
      <c r="A233" s="173" t="s">
        <v>40</v>
      </c>
      <c r="B233" s="55"/>
      <c r="C233" s="56" t="s">
        <v>19</v>
      </c>
      <c r="D233" s="167"/>
      <c r="E233" s="167"/>
      <c r="F233" s="167"/>
      <c r="G233" s="167"/>
      <c r="H233" s="167"/>
      <c r="I233" s="167"/>
      <c r="J233" s="167"/>
      <c r="K233" s="167"/>
      <c r="L233" s="167"/>
      <c r="M233" s="167"/>
      <c r="N233" s="167"/>
      <c r="O233" s="167"/>
      <c r="P233" s="167"/>
      <c r="Q233" s="68"/>
    </row>
    <row r="234" spans="1:17" ht="14.4" hidden="1" x14ac:dyDescent="0.3">
      <c r="A234" s="173" t="s">
        <v>41</v>
      </c>
      <c r="B234" s="55"/>
      <c r="C234" s="56" t="s">
        <v>19</v>
      </c>
      <c r="D234" s="167"/>
      <c r="E234" s="167"/>
      <c r="F234" s="167"/>
      <c r="G234" s="167"/>
      <c r="H234" s="167"/>
      <c r="I234" s="167"/>
      <c r="J234" s="167"/>
      <c r="K234" s="167"/>
      <c r="L234" s="167"/>
      <c r="M234" s="167"/>
      <c r="N234" s="167"/>
      <c r="O234" s="167"/>
      <c r="P234" s="167"/>
      <c r="Q234" s="68"/>
    </row>
    <row r="235" spans="1:17" ht="16.2" hidden="1" x14ac:dyDescent="0.3">
      <c r="A235" s="174" t="s">
        <v>182</v>
      </c>
      <c r="B235" s="175"/>
      <c r="C235" s="56" t="s">
        <v>19</v>
      </c>
      <c r="D235" s="167"/>
      <c r="E235" s="167"/>
      <c r="F235" s="167"/>
      <c r="G235" s="167"/>
      <c r="H235" s="167"/>
      <c r="I235" s="167"/>
      <c r="J235" s="167"/>
      <c r="K235" s="167"/>
      <c r="L235" s="167"/>
      <c r="M235" s="167"/>
      <c r="N235" s="167"/>
      <c r="O235" s="167"/>
      <c r="P235" s="167"/>
      <c r="Q235" s="68"/>
    </row>
    <row r="236" spans="1:17" ht="16.2" hidden="1" x14ac:dyDescent="0.3">
      <c r="A236" s="174" t="s">
        <v>182</v>
      </c>
      <c r="B236" s="175"/>
      <c r="C236" s="56" t="s">
        <v>19</v>
      </c>
      <c r="D236" s="167"/>
      <c r="E236" s="167"/>
      <c r="F236" s="167"/>
      <c r="G236" s="167"/>
      <c r="H236" s="167"/>
      <c r="I236" s="167"/>
      <c r="J236" s="167"/>
      <c r="K236" s="167"/>
      <c r="L236" s="167"/>
      <c r="M236" s="167"/>
      <c r="N236" s="167"/>
      <c r="O236" s="167"/>
      <c r="P236" s="167"/>
      <c r="Q236" s="68"/>
    </row>
    <row r="237" spans="1:17" ht="16.2" hidden="1" x14ac:dyDescent="0.3">
      <c r="A237" s="174" t="s">
        <v>182</v>
      </c>
      <c r="B237" s="176"/>
      <c r="C237" s="56" t="s">
        <v>19</v>
      </c>
      <c r="D237" s="167"/>
      <c r="E237" s="167"/>
      <c r="F237" s="167"/>
      <c r="G237" s="167"/>
      <c r="H237" s="167"/>
      <c r="I237" s="167"/>
      <c r="J237" s="167"/>
      <c r="K237" s="167"/>
      <c r="L237" s="167"/>
      <c r="M237" s="167"/>
      <c r="N237" s="167"/>
      <c r="O237" s="167"/>
      <c r="P237" s="167"/>
      <c r="Q237" s="68"/>
    </row>
    <row r="238" spans="1:17" ht="14.4" hidden="1" x14ac:dyDescent="0.3">
      <c r="A238" s="162" t="s">
        <v>42</v>
      </c>
      <c r="B238" s="162"/>
      <c r="C238" s="56"/>
      <c r="D238" s="171"/>
      <c r="E238" s="171"/>
      <c r="F238" s="171"/>
      <c r="G238" s="171"/>
      <c r="H238" s="171"/>
      <c r="I238" s="171"/>
      <c r="J238" s="171"/>
      <c r="K238" s="171"/>
      <c r="L238" s="171"/>
      <c r="M238" s="171"/>
      <c r="N238" s="171"/>
      <c r="O238" s="171"/>
      <c r="P238" s="171"/>
      <c r="Q238" s="68"/>
    </row>
    <row r="239" spans="1:17" ht="14.4" hidden="1" x14ac:dyDescent="0.3">
      <c r="A239" s="162" t="s">
        <v>191</v>
      </c>
      <c r="B239" s="162"/>
      <c r="C239" s="56" t="s">
        <v>44</v>
      </c>
      <c r="D239" s="177"/>
      <c r="E239" s="177"/>
      <c r="F239" s="177"/>
      <c r="G239" s="177"/>
      <c r="H239" s="177"/>
      <c r="I239" s="177"/>
      <c r="J239" s="177"/>
      <c r="K239" s="177"/>
      <c r="L239" s="177"/>
      <c r="M239" s="177"/>
      <c r="N239" s="177"/>
      <c r="O239" s="177"/>
      <c r="P239" s="177"/>
      <c r="Q239" s="68"/>
    </row>
    <row r="240" spans="1:17" ht="14.4" hidden="1" x14ac:dyDescent="0.3">
      <c r="A240" s="162" t="s">
        <v>183</v>
      </c>
      <c r="B240" s="162"/>
      <c r="C240" s="56"/>
      <c r="D240" s="178"/>
      <c r="E240" s="178"/>
      <c r="F240" s="178"/>
      <c r="G240" s="178"/>
      <c r="H240" s="178"/>
      <c r="I240" s="178"/>
      <c r="J240" s="178"/>
      <c r="K240" s="178"/>
      <c r="L240" s="178"/>
      <c r="M240" s="178"/>
      <c r="N240" s="178"/>
      <c r="O240" s="178"/>
      <c r="P240" s="178"/>
      <c r="Q240" s="68"/>
    </row>
    <row r="241" spans="1:17" ht="14.4" hidden="1" x14ac:dyDescent="0.3">
      <c r="A241" s="162" t="s">
        <v>184</v>
      </c>
      <c r="B241" s="162"/>
      <c r="C241" s="56" t="s">
        <v>19</v>
      </c>
      <c r="D241" s="167"/>
      <c r="E241" s="167"/>
      <c r="F241" s="167"/>
      <c r="G241" s="167"/>
      <c r="H241" s="167"/>
      <c r="I241" s="167"/>
      <c r="J241" s="167"/>
      <c r="K241" s="167"/>
      <c r="L241" s="167"/>
      <c r="M241" s="167"/>
      <c r="N241" s="167"/>
      <c r="O241" s="167"/>
      <c r="P241" s="167"/>
      <c r="Q241" s="68"/>
    </row>
    <row r="242" spans="1:17" ht="14.4" hidden="1" x14ac:dyDescent="0.3">
      <c r="A242" s="162" t="s">
        <v>45</v>
      </c>
      <c r="B242" s="162"/>
      <c r="C242" s="56"/>
      <c r="D242" s="178"/>
      <c r="E242" s="178"/>
      <c r="F242" s="178"/>
      <c r="G242" s="178"/>
      <c r="H242" s="178"/>
      <c r="I242" s="178"/>
      <c r="J242" s="178"/>
      <c r="K242" s="178"/>
      <c r="L242" s="178"/>
      <c r="M242" s="178"/>
      <c r="N242" s="178"/>
      <c r="O242" s="178"/>
      <c r="P242" s="178"/>
      <c r="Q242" s="68"/>
    </row>
    <row r="243" spans="1:17" ht="14.4" hidden="1" x14ac:dyDescent="0.3">
      <c r="A243" s="162" t="s">
        <v>46</v>
      </c>
      <c r="B243" s="162"/>
      <c r="C243" s="56" t="s">
        <v>19</v>
      </c>
      <c r="D243" s="167"/>
      <c r="E243" s="167"/>
      <c r="F243" s="167"/>
      <c r="G243" s="167"/>
      <c r="H243" s="167"/>
      <c r="I243" s="167"/>
      <c r="J243" s="167"/>
      <c r="K243" s="167"/>
      <c r="L243" s="167"/>
      <c r="M243" s="167"/>
      <c r="N243" s="167"/>
      <c r="O243" s="167"/>
      <c r="P243" s="167"/>
      <c r="Q243" s="68"/>
    </row>
    <row r="244" spans="1:17" ht="14.4" hidden="1" x14ac:dyDescent="0.3">
      <c r="A244" s="162" t="s">
        <v>185</v>
      </c>
      <c r="B244" s="162"/>
      <c r="C244" s="56"/>
      <c r="D244" s="56"/>
      <c r="E244" s="56"/>
      <c r="F244" s="56"/>
      <c r="G244" s="56"/>
      <c r="H244" s="56"/>
      <c r="I244" s="56"/>
      <c r="J244" s="56"/>
      <c r="K244" s="56"/>
      <c r="L244" s="56"/>
      <c r="M244" s="56"/>
      <c r="N244" s="56"/>
      <c r="O244" s="56"/>
      <c r="P244" s="56"/>
      <c r="Q244" s="68"/>
    </row>
    <row r="245" spans="1:17" ht="14.4" hidden="1" x14ac:dyDescent="0.3">
      <c r="A245" s="162" t="s">
        <v>186</v>
      </c>
      <c r="B245" s="162"/>
      <c r="C245" s="56" t="s">
        <v>19</v>
      </c>
      <c r="D245" s="167"/>
      <c r="E245" s="167"/>
      <c r="F245" s="167"/>
      <c r="G245" s="167"/>
      <c r="H245" s="167"/>
      <c r="I245" s="167"/>
      <c r="J245" s="167"/>
      <c r="K245" s="167"/>
      <c r="L245" s="167"/>
      <c r="M245" s="167"/>
      <c r="N245" s="167"/>
      <c r="O245" s="167"/>
      <c r="P245" s="167"/>
      <c r="Q245" s="68"/>
    </row>
    <row r="246" spans="1:17" ht="14.4" hidden="1" x14ac:dyDescent="0.3">
      <c r="A246" s="162" t="s">
        <v>47</v>
      </c>
      <c r="B246" s="162"/>
      <c r="C246" s="56"/>
      <c r="D246" s="171"/>
      <c r="E246" s="171"/>
      <c r="F246" s="171"/>
      <c r="G246" s="171"/>
      <c r="H246" s="171"/>
      <c r="I246" s="171"/>
      <c r="J246" s="171"/>
      <c r="K246" s="171"/>
      <c r="L246" s="171"/>
      <c r="M246" s="171"/>
      <c r="N246" s="171"/>
      <c r="O246" s="171"/>
      <c r="P246" s="171"/>
      <c r="Q246" s="68"/>
    </row>
    <row r="247" spans="1:17" ht="14.4" hidden="1" x14ac:dyDescent="0.3">
      <c r="A247" s="55" t="s">
        <v>48</v>
      </c>
      <c r="B247" s="55"/>
      <c r="C247" s="56" t="s">
        <v>19</v>
      </c>
      <c r="D247" s="167"/>
      <c r="E247" s="167"/>
      <c r="F247" s="167"/>
      <c r="G247" s="167"/>
      <c r="H247" s="167"/>
      <c r="I247" s="167"/>
      <c r="J247" s="167"/>
      <c r="K247" s="167"/>
      <c r="L247" s="167"/>
      <c r="M247" s="167"/>
      <c r="N247" s="167"/>
      <c r="O247" s="167"/>
      <c r="P247" s="167"/>
      <c r="Q247" s="68"/>
    </row>
    <row r="248" spans="1:17" ht="14.4" hidden="1" x14ac:dyDescent="0.3">
      <c r="A248" s="55" t="s">
        <v>49</v>
      </c>
      <c r="B248" s="55"/>
      <c r="C248" s="56" t="s">
        <v>19</v>
      </c>
      <c r="D248" s="167"/>
      <c r="E248" s="167"/>
      <c r="F248" s="167"/>
      <c r="G248" s="167"/>
      <c r="H248" s="167"/>
      <c r="I248" s="167"/>
      <c r="J248" s="167"/>
      <c r="K248" s="167"/>
      <c r="L248" s="167"/>
      <c r="M248" s="167"/>
      <c r="N248" s="167"/>
      <c r="O248" s="167"/>
      <c r="P248" s="167"/>
      <c r="Q248" s="68"/>
    </row>
    <row r="249" spans="1:17" ht="14.4" hidden="1" x14ac:dyDescent="0.3">
      <c r="A249" s="162" t="s">
        <v>52</v>
      </c>
      <c r="B249" s="162"/>
      <c r="C249" s="179"/>
      <c r="D249" s="170"/>
      <c r="E249" s="170"/>
      <c r="F249" s="170"/>
      <c r="G249" s="170"/>
      <c r="H249" s="170"/>
      <c r="I249" s="170"/>
      <c r="J249" s="170"/>
      <c r="K249" s="170"/>
      <c r="L249" s="170"/>
      <c r="M249" s="170"/>
      <c r="N249" s="170"/>
      <c r="O249" s="170"/>
      <c r="P249" s="170"/>
      <c r="Q249" s="68"/>
    </row>
    <row r="250" spans="1:17" ht="14.4" hidden="1" x14ac:dyDescent="0.3">
      <c r="A250" s="55" t="s">
        <v>53</v>
      </c>
      <c r="B250" s="55"/>
      <c r="C250" s="56" t="s">
        <v>44</v>
      </c>
      <c r="D250" s="167"/>
      <c r="E250" s="167"/>
      <c r="F250" s="167"/>
      <c r="G250" s="167"/>
      <c r="H250" s="167"/>
      <c r="I250" s="167"/>
      <c r="J250" s="167"/>
      <c r="K250" s="167"/>
      <c r="L250" s="167"/>
      <c r="M250" s="167"/>
      <c r="N250" s="167"/>
      <c r="O250" s="167"/>
      <c r="P250" s="167"/>
      <c r="Q250" s="68"/>
    </row>
    <row r="251" spans="1:17" ht="14.4" hidden="1" x14ac:dyDescent="0.3">
      <c r="A251" s="55" t="s">
        <v>54</v>
      </c>
      <c r="B251" s="55"/>
      <c r="C251" s="56" t="s">
        <v>44</v>
      </c>
      <c r="D251" s="167"/>
      <c r="E251" s="167"/>
      <c r="F251" s="167"/>
      <c r="G251" s="167"/>
      <c r="H251" s="167"/>
      <c r="I251" s="167"/>
      <c r="J251" s="167"/>
      <c r="K251" s="167"/>
      <c r="L251" s="167"/>
      <c r="M251" s="167"/>
      <c r="N251" s="167"/>
      <c r="O251" s="167"/>
      <c r="P251" s="167"/>
      <c r="Q251" s="68"/>
    </row>
    <row r="252" spans="1:17" ht="14.4" hidden="1" x14ac:dyDescent="0.3">
      <c r="A252" s="55" t="s">
        <v>55</v>
      </c>
      <c r="B252" s="55"/>
      <c r="C252" s="56" t="s">
        <v>44</v>
      </c>
      <c r="D252" s="167"/>
      <c r="E252" s="167"/>
      <c r="F252" s="167"/>
      <c r="G252" s="167"/>
      <c r="H252" s="167"/>
      <c r="I252" s="167"/>
      <c r="J252" s="167"/>
      <c r="K252" s="167"/>
      <c r="L252" s="167"/>
      <c r="M252" s="167"/>
      <c r="N252" s="167"/>
      <c r="O252" s="167"/>
      <c r="P252" s="167"/>
      <c r="Q252" s="68"/>
    </row>
    <row r="253" spans="1:17" ht="14.4" hidden="1" x14ac:dyDescent="0.3">
      <c r="A253" s="55" t="s">
        <v>187</v>
      </c>
      <c r="B253" s="55"/>
      <c r="C253" s="56" t="s">
        <v>44</v>
      </c>
      <c r="D253" s="167"/>
      <c r="E253" s="167"/>
      <c r="F253" s="167"/>
      <c r="G253" s="167"/>
      <c r="H253" s="167"/>
      <c r="I253" s="167"/>
      <c r="J253" s="167"/>
      <c r="K253" s="167"/>
      <c r="L253" s="167"/>
      <c r="M253" s="167"/>
      <c r="N253" s="167"/>
      <c r="O253" s="167"/>
      <c r="P253" s="167"/>
      <c r="Q253" s="68"/>
    </row>
    <row r="254" spans="1:17" ht="14.4" hidden="1" x14ac:dyDescent="0.3">
      <c r="A254" s="55" t="s">
        <v>188</v>
      </c>
      <c r="B254" s="55"/>
      <c r="C254" s="56" t="s">
        <v>44</v>
      </c>
      <c r="D254" s="167"/>
      <c r="E254" s="167"/>
      <c r="F254" s="167"/>
      <c r="G254" s="167"/>
      <c r="H254" s="167"/>
      <c r="I254" s="167"/>
      <c r="J254" s="167"/>
      <c r="K254" s="167"/>
      <c r="L254" s="167"/>
      <c r="M254" s="167"/>
      <c r="N254" s="167"/>
      <c r="O254" s="167"/>
      <c r="P254" s="167"/>
      <c r="Q254" s="68"/>
    </row>
    <row r="255" spans="1:17" ht="14.4" hidden="1" x14ac:dyDescent="0.3">
      <c r="A255" s="55" t="s">
        <v>56</v>
      </c>
      <c r="B255" s="55"/>
      <c r="C255" s="56" t="s">
        <v>44</v>
      </c>
      <c r="D255" s="180"/>
      <c r="E255" s="180"/>
      <c r="F255" s="180"/>
      <c r="G255" s="180"/>
      <c r="H255" s="180"/>
      <c r="I255" s="180"/>
      <c r="J255" s="180"/>
      <c r="K255" s="180"/>
      <c r="L255" s="180"/>
      <c r="M255" s="180"/>
      <c r="N255" s="180"/>
      <c r="O255" s="180"/>
      <c r="P255" s="180"/>
      <c r="Q255" s="68"/>
    </row>
    <row r="256" spans="1:17" ht="14.4" hidden="1" x14ac:dyDescent="0.3">
      <c r="A256" s="55" t="s">
        <v>57</v>
      </c>
      <c r="B256" s="55"/>
      <c r="C256" s="56" t="s">
        <v>44</v>
      </c>
      <c r="D256" s="180"/>
      <c r="E256" s="180"/>
      <c r="F256" s="180"/>
      <c r="G256" s="180"/>
      <c r="H256" s="180"/>
      <c r="I256" s="180"/>
      <c r="J256" s="180"/>
      <c r="K256" s="180"/>
      <c r="L256" s="180"/>
      <c r="M256" s="180"/>
      <c r="N256" s="180"/>
      <c r="O256" s="180"/>
      <c r="P256" s="180"/>
      <c r="Q256" s="68"/>
    </row>
    <row r="257" spans="1:17" hidden="1" x14ac:dyDescent="0.3">
      <c r="Q257" s="68"/>
    </row>
    <row r="258" spans="1:17" ht="18" hidden="1" x14ac:dyDescent="0.35">
      <c r="A258" s="9" t="str">
        <f>'[41]Statistical data'!A212</f>
        <v>Customer Class4</v>
      </c>
      <c r="B258" s="9"/>
      <c r="C258" s="5" t="s">
        <v>190</v>
      </c>
      <c r="D258" s="160"/>
      <c r="E258" s="160"/>
      <c r="F258" s="160"/>
      <c r="G258" s="160"/>
      <c r="H258" s="160"/>
      <c r="I258" s="160"/>
      <c r="J258" s="160"/>
      <c r="K258" s="160"/>
      <c r="L258" s="160"/>
      <c r="M258" s="160"/>
      <c r="N258" s="160"/>
      <c r="O258" s="160"/>
      <c r="P258" s="160"/>
      <c r="Q258" s="68"/>
    </row>
    <row r="259" spans="1:17" ht="14.4" hidden="1" x14ac:dyDescent="0.3">
      <c r="A259" s="161" t="s">
        <v>3</v>
      </c>
      <c r="B259" s="161"/>
      <c r="C259" s="161" t="s">
        <v>4</v>
      </c>
      <c r="D259" s="161" t="s">
        <v>15</v>
      </c>
      <c r="E259" s="161" t="s">
        <v>15</v>
      </c>
      <c r="F259" s="161" t="s">
        <v>15</v>
      </c>
      <c r="G259" s="161" t="s">
        <v>15</v>
      </c>
      <c r="H259" s="161" t="s">
        <v>15</v>
      </c>
      <c r="I259" s="161" t="s">
        <v>15</v>
      </c>
      <c r="J259" s="161" t="s">
        <v>15</v>
      </c>
      <c r="K259" s="161" t="s">
        <v>15</v>
      </c>
      <c r="L259" s="161" t="s">
        <v>15</v>
      </c>
      <c r="M259" s="161" t="s">
        <v>15</v>
      </c>
      <c r="N259" s="161" t="s">
        <v>15</v>
      </c>
      <c r="O259" s="161" t="s">
        <v>15</v>
      </c>
      <c r="P259" s="161" t="s">
        <v>15</v>
      </c>
      <c r="Q259" s="68"/>
    </row>
    <row r="260" spans="1:17" ht="14.4" hidden="1" x14ac:dyDescent="0.3">
      <c r="A260" s="162" t="s">
        <v>17</v>
      </c>
      <c r="B260" s="163"/>
      <c r="C260" s="56"/>
      <c r="D260" s="164"/>
      <c r="E260" s="164"/>
      <c r="F260" s="164"/>
      <c r="G260" s="164"/>
      <c r="H260" s="164"/>
      <c r="I260" s="164"/>
      <c r="J260" s="164"/>
      <c r="K260" s="164"/>
      <c r="L260" s="164"/>
      <c r="M260" s="164"/>
      <c r="N260" s="164"/>
      <c r="O260" s="164"/>
      <c r="P260" s="164"/>
      <c r="Q260" s="68"/>
    </row>
    <row r="261" spans="1:17" ht="14.4" hidden="1" x14ac:dyDescent="0.3">
      <c r="A261" s="55" t="s">
        <v>18</v>
      </c>
      <c r="B261" s="165"/>
      <c r="C261" s="56" t="s">
        <v>19</v>
      </c>
      <c r="D261" s="166"/>
      <c r="E261" s="166"/>
      <c r="F261" s="166"/>
      <c r="G261" s="166"/>
      <c r="H261" s="166"/>
      <c r="I261" s="166"/>
      <c r="J261" s="166"/>
      <c r="K261" s="166"/>
      <c r="L261" s="166"/>
      <c r="M261" s="166"/>
      <c r="N261" s="166"/>
      <c r="O261" s="166"/>
      <c r="P261" s="166"/>
      <c r="Q261" s="68"/>
    </row>
    <row r="262" spans="1:17" ht="14.4" hidden="1" x14ac:dyDescent="0.3">
      <c r="A262" s="55" t="s">
        <v>66</v>
      </c>
      <c r="B262" s="165"/>
      <c r="C262" s="56" t="s">
        <v>19</v>
      </c>
      <c r="D262" s="166"/>
      <c r="E262" s="166"/>
      <c r="F262" s="166"/>
      <c r="G262" s="166"/>
      <c r="H262" s="166"/>
      <c r="I262" s="166"/>
      <c r="J262" s="166"/>
      <c r="K262" s="166"/>
      <c r="L262" s="166"/>
      <c r="M262" s="166"/>
      <c r="N262" s="166"/>
      <c r="O262" s="166"/>
      <c r="P262" s="166"/>
      <c r="Q262" s="68"/>
    </row>
    <row r="263" spans="1:17" ht="14.4" hidden="1" x14ac:dyDescent="0.3">
      <c r="A263" s="162" t="s">
        <v>20</v>
      </c>
      <c r="B263" s="163"/>
      <c r="C263" s="56"/>
      <c r="D263" s="168"/>
      <c r="E263" s="168"/>
      <c r="F263" s="168"/>
      <c r="G263" s="168"/>
      <c r="H263" s="168"/>
      <c r="I263" s="168"/>
      <c r="J263" s="168"/>
      <c r="K263" s="168"/>
      <c r="L263" s="168"/>
      <c r="M263" s="168"/>
      <c r="N263" s="168"/>
      <c r="O263" s="168"/>
      <c r="P263" s="168"/>
      <c r="Q263" s="68"/>
    </row>
    <row r="264" spans="1:17" ht="14.4" hidden="1" x14ac:dyDescent="0.3">
      <c r="A264" s="55" t="s">
        <v>21</v>
      </c>
      <c r="B264" s="165"/>
      <c r="C264" s="56" t="s">
        <v>19</v>
      </c>
      <c r="D264" s="166"/>
      <c r="E264" s="166"/>
      <c r="F264" s="166"/>
      <c r="G264" s="166"/>
      <c r="H264" s="166"/>
      <c r="I264" s="166"/>
      <c r="J264" s="166"/>
      <c r="K264" s="166"/>
      <c r="L264" s="166"/>
      <c r="M264" s="166"/>
      <c r="N264" s="166"/>
      <c r="O264" s="166"/>
      <c r="P264" s="166"/>
      <c r="Q264" s="68"/>
    </row>
    <row r="265" spans="1:17" ht="14.4" hidden="1" x14ac:dyDescent="0.3">
      <c r="A265" s="55" t="s">
        <v>22</v>
      </c>
      <c r="B265" s="165"/>
      <c r="C265" s="56" t="s">
        <v>23</v>
      </c>
      <c r="D265" s="166"/>
      <c r="E265" s="166"/>
      <c r="F265" s="166"/>
      <c r="G265" s="166"/>
      <c r="H265" s="166"/>
      <c r="I265" s="166"/>
      <c r="J265" s="166"/>
      <c r="K265" s="166"/>
      <c r="L265" s="166"/>
      <c r="M265" s="166"/>
      <c r="N265" s="166"/>
      <c r="O265" s="166"/>
      <c r="P265" s="166"/>
      <c r="Q265" s="68"/>
    </row>
    <row r="266" spans="1:17" ht="14.4" hidden="1" x14ac:dyDescent="0.3">
      <c r="A266" s="162" t="s">
        <v>24</v>
      </c>
      <c r="B266" s="163"/>
      <c r="C266" s="56"/>
      <c r="D266" s="168"/>
      <c r="E266" s="168"/>
      <c r="F266" s="168"/>
      <c r="G266" s="168"/>
      <c r="H266" s="168"/>
      <c r="I266" s="168"/>
      <c r="J266" s="168"/>
      <c r="K266" s="168"/>
      <c r="L266" s="168"/>
      <c r="M266" s="168"/>
      <c r="N266" s="168"/>
      <c r="O266" s="168"/>
      <c r="P266" s="168"/>
      <c r="Q266" s="68"/>
    </row>
    <row r="267" spans="1:17" ht="14.4" hidden="1" x14ac:dyDescent="0.3">
      <c r="A267" s="55" t="s">
        <v>25</v>
      </c>
      <c r="B267" s="165"/>
      <c r="C267" s="56" t="s">
        <v>19</v>
      </c>
      <c r="D267" s="166"/>
      <c r="E267" s="166"/>
      <c r="F267" s="166"/>
      <c r="G267" s="166"/>
      <c r="H267" s="166"/>
      <c r="I267" s="166"/>
      <c r="J267" s="166"/>
      <c r="K267" s="166"/>
      <c r="L267" s="166"/>
      <c r="M267" s="166"/>
      <c r="N267" s="166"/>
      <c r="O267" s="166"/>
      <c r="P267" s="166"/>
      <c r="Q267" s="68"/>
    </row>
    <row r="268" spans="1:17" ht="14.4" hidden="1" x14ac:dyDescent="0.3">
      <c r="A268" s="162" t="s">
        <v>26</v>
      </c>
      <c r="B268" s="162"/>
      <c r="C268" s="56"/>
      <c r="D268" s="170"/>
      <c r="E268" s="170"/>
      <c r="F268" s="170"/>
      <c r="G268" s="170"/>
      <c r="H268" s="170"/>
      <c r="I268" s="170"/>
      <c r="J268" s="170"/>
      <c r="K268" s="170"/>
      <c r="L268" s="170"/>
      <c r="M268" s="170"/>
      <c r="N268" s="170"/>
      <c r="O268" s="170"/>
      <c r="P268" s="170"/>
      <c r="Q268" s="68"/>
    </row>
    <row r="269" spans="1:17" ht="14.4" hidden="1" x14ac:dyDescent="0.3">
      <c r="A269" s="55" t="s">
        <v>27</v>
      </c>
      <c r="B269" s="55"/>
      <c r="C269" s="56" t="s">
        <v>19</v>
      </c>
      <c r="D269" s="167"/>
      <c r="E269" s="167"/>
      <c r="F269" s="167"/>
      <c r="G269" s="167"/>
      <c r="H269" s="167"/>
      <c r="I269" s="167"/>
      <c r="J269" s="167"/>
      <c r="K269" s="167"/>
      <c r="L269" s="167"/>
      <c r="M269" s="167"/>
      <c r="N269" s="167"/>
      <c r="O269" s="167"/>
      <c r="P269" s="167"/>
      <c r="Q269" s="68"/>
    </row>
    <row r="270" spans="1:17" ht="14.4" hidden="1" x14ac:dyDescent="0.3">
      <c r="A270" s="55" t="s">
        <v>28</v>
      </c>
      <c r="B270" s="55"/>
      <c r="C270" s="56" t="s">
        <v>23</v>
      </c>
      <c r="D270" s="167"/>
      <c r="E270" s="167"/>
      <c r="F270" s="167"/>
      <c r="G270" s="167"/>
      <c r="H270" s="167"/>
      <c r="I270" s="167"/>
      <c r="J270" s="167"/>
      <c r="K270" s="167"/>
      <c r="L270" s="167"/>
      <c r="M270" s="167"/>
      <c r="N270" s="167"/>
      <c r="O270" s="167"/>
      <c r="P270" s="167"/>
      <c r="Q270" s="68"/>
    </row>
    <row r="271" spans="1:17" ht="14.4" hidden="1" x14ac:dyDescent="0.3">
      <c r="A271" s="162" t="s">
        <v>29</v>
      </c>
      <c r="B271" s="162"/>
      <c r="C271" s="56"/>
      <c r="D271" s="171"/>
      <c r="E271" s="171"/>
      <c r="F271" s="171"/>
      <c r="G271" s="171"/>
      <c r="H271" s="171"/>
      <c r="I271" s="171"/>
      <c r="J271" s="171"/>
      <c r="K271" s="171"/>
      <c r="L271" s="171"/>
      <c r="M271" s="171"/>
      <c r="N271" s="171"/>
      <c r="O271" s="171"/>
      <c r="P271" s="171"/>
      <c r="Q271" s="68"/>
    </row>
    <row r="272" spans="1:17" ht="14.4" hidden="1" x14ac:dyDescent="0.3">
      <c r="A272" s="55" t="s">
        <v>30</v>
      </c>
      <c r="B272" s="55"/>
      <c r="C272" s="56" t="s">
        <v>19</v>
      </c>
      <c r="D272" s="167"/>
      <c r="E272" s="167"/>
      <c r="F272" s="167"/>
      <c r="G272" s="167"/>
      <c r="H272" s="167"/>
      <c r="I272" s="167"/>
      <c r="J272" s="167"/>
      <c r="K272" s="167"/>
      <c r="L272" s="167"/>
      <c r="M272" s="167"/>
      <c r="N272" s="167"/>
      <c r="O272" s="167"/>
      <c r="P272" s="167"/>
      <c r="Q272" s="68"/>
    </row>
    <row r="273" spans="1:17" ht="14.4" hidden="1" x14ac:dyDescent="0.3">
      <c r="A273" s="55" t="s">
        <v>31</v>
      </c>
      <c r="B273" s="55"/>
      <c r="C273" s="56" t="s">
        <v>32</v>
      </c>
      <c r="D273" s="167"/>
      <c r="E273" s="167"/>
      <c r="F273" s="167"/>
      <c r="G273" s="167"/>
      <c r="H273" s="167"/>
      <c r="I273" s="167"/>
      <c r="J273" s="167"/>
      <c r="K273" s="167"/>
      <c r="L273" s="167"/>
      <c r="M273" s="167"/>
      <c r="N273" s="167"/>
      <c r="O273" s="167"/>
      <c r="P273" s="167"/>
      <c r="Q273" s="68"/>
    </row>
    <row r="274" spans="1:17" ht="14.4" hidden="1" x14ac:dyDescent="0.3">
      <c r="A274" s="162" t="s">
        <v>33</v>
      </c>
      <c r="B274" s="162"/>
      <c r="C274" s="56"/>
      <c r="D274" s="171"/>
      <c r="E274" s="171"/>
      <c r="F274" s="171"/>
      <c r="G274" s="171"/>
      <c r="H274" s="171"/>
      <c r="I274" s="171"/>
      <c r="J274" s="171"/>
      <c r="K274" s="171"/>
      <c r="L274" s="171"/>
      <c r="M274" s="171"/>
      <c r="N274" s="171"/>
      <c r="O274" s="171"/>
      <c r="P274" s="171"/>
      <c r="Q274" s="68"/>
    </row>
    <row r="275" spans="1:17" ht="14.4" hidden="1" x14ac:dyDescent="0.3">
      <c r="A275" s="55" t="s">
        <v>34</v>
      </c>
      <c r="B275" s="55"/>
      <c r="C275" s="56" t="s">
        <v>19</v>
      </c>
      <c r="D275" s="167"/>
      <c r="E275" s="167"/>
      <c r="F275" s="167"/>
      <c r="G275" s="167"/>
      <c r="H275" s="167"/>
      <c r="I275" s="167"/>
      <c r="J275" s="167"/>
      <c r="K275" s="167"/>
      <c r="L275" s="167"/>
      <c r="M275" s="167"/>
      <c r="N275" s="167"/>
      <c r="O275" s="167"/>
      <c r="P275" s="167"/>
      <c r="Q275" s="68"/>
    </row>
    <row r="276" spans="1:17" ht="14.4" hidden="1" x14ac:dyDescent="0.3">
      <c r="A276" s="55" t="s">
        <v>35</v>
      </c>
      <c r="B276" s="55"/>
      <c r="C276" s="56" t="s">
        <v>36</v>
      </c>
      <c r="D276" s="167"/>
      <c r="E276" s="167"/>
      <c r="F276" s="167"/>
      <c r="G276" s="167"/>
      <c r="H276" s="167"/>
      <c r="I276" s="167"/>
      <c r="J276" s="167"/>
      <c r="K276" s="167"/>
      <c r="L276" s="167"/>
      <c r="M276" s="167"/>
      <c r="N276" s="167"/>
      <c r="O276" s="167"/>
      <c r="P276" s="167"/>
      <c r="Q276" s="68"/>
    </row>
    <row r="277" spans="1:17" ht="14.4" hidden="1" x14ac:dyDescent="0.3">
      <c r="A277" s="162" t="s">
        <v>37</v>
      </c>
      <c r="B277" s="162"/>
      <c r="C277" s="56"/>
      <c r="D277" s="171"/>
      <c r="E277" s="171"/>
      <c r="F277" s="171"/>
      <c r="G277" s="171"/>
      <c r="H277" s="171"/>
      <c r="I277" s="171"/>
      <c r="J277" s="171"/>
      <c r="K277" s="171"/>
      <c r="L277" s="171"/>
      <c r="M277" s="171"/>
      <c r="N277" s="171"/>
      <c r="O277" s="171"/>
      <c r="P277" s="171"/>
      <c r="Q277" s="68"/>
    </row>
    <row r="278" spans="1:17" ht="14.4" hidden="1" x14ac:dyDescent="0.3">
      <c r="A278" s="172" t="s">
        <v>38</v>
      </c>
      <c r="B278" s="55"/>
      <c r="C278" s="56" t="s">
        <v>19</v>
      </c>
      <c r="D278" s="167"/>
      <c r="E278" s="167"/>
      <c r="F278" s="167"/>
      <c r="G278" s="167"/>
      <c r="H278" s="167"/>
      <c r="I278" s="167"/>
      <c r="J278" s="167"/>
      <c r="K278" s="167"/>
      <c r="L278" s="167"/>
      <c r="M278" s="167"/>
      <c r="N278" s="167"/>
      <c r="O278" s="167"/>
      <c r="P278" s="167"/>
      <c r="Q278" s="68"/>
    </row>
    <row r="279" spans="1:17" ht="14.4" hidden="1" x14ac:dyDescent="0.3">
      <c r="A279" s="172" t="s">
        <v>39</v>
      </c>
      <c r="B279" s="55"/>
      <c r="C279" s="56" t="s">
        <v>19</v>
      </c>
      <c r="D279" s="167"/>
      <c r="E279" s="167"/>
      <c r="F279" s="167"/>
      <c r="G279" s="167"/>
      <c r="H279" s="167"/>
      <c r="I279" s="167"/>
      <c r="J279" s="167"/>
      <c r="K279" s="167"/>
      <c r="L279" s="167"/>
      <c r="M279" s="167"/>
      <c r="N279" s="167"/>
      <c r="O279" s="167"/>
      <c r="P279" s="167"/>
      <c r="Q279" s="68"/>
    </row>
    <row r="280" spans="1:17" ht="14.4" hidden="1" x14ac:dyDescent="0.3">
      <c r="A280" s="172" t="s">
        <v>180</v>
      </c>
      <c r="B280" s="55"/>
      <c r="C280" s="56" t="s">
        <v>19</v>
      </c>
      <c r="D280" s="167"/>
      <c r="E280" s="167"/>
      <c r="F280" s="167"/>
      <c r="G280" s="167"/>
      <c r="H280" s="167"/>
      <c r="I280" s="167"/>
      <c r="J280" s="167"/>
      <c r="K280" s="167"/>
      <c r="L280" s="167"/>
      <c r="M280" s="167"/>
      <c r="N280" s="167"/>
      <c r="O280" s="167"/>
      <c r="P280" s="167"/>
      <c r="Q280" s="68"/>
    </row>
    <row r="281" spans="1:17" ht="14.4" hidden="1" x14ac:dyDescent="0.3">
      <c r="A281" s="173" t="s">
        <v>40</v>
      </c>
      <c r="B281" s="55"/>
      <c r="C281" s="56" t="s">
        <v>19</v>
      </c>
      <c r="D281" s="167"/>
      <c r="E281" s="167"/>
      <c r="F281" s="167"/>
      <c r="G281" s="167"/>
      <c r="H281" s="167"/>
      <c r="I281" s="167"/>
      <c r="J281" s="167"/>
      <c r="K281" s="167"/>
      <c r="L281" s="167"/>
      <c r="M281" s="167"/>
      <c r="N281" s="167"/>
      <c r="O281" s="167"/>
      <c r="P281" s="167"/>
      <c r="Q281" s="68"/>
    </row>
    <row r="282" spans="1:17" ht="14.4" hidden="1" x14ac:dyDescent="0.3">
      <c r="A282" s="173" t="s">
        <v>41</v>
      </c>
      <c r="B282" s="55"/>
      <c r="C282" s="56" t="s">
        <v>19</v>
      </c>
      <c r="D282" s="167"/>
      <c r="E282" s="167"/>
      <c r="F282" s="167"/>
      <c r="G282" s="167"/>
      <c r="H282" s="167"/>
      <c r="I282" s="167"/>
      <c r="J282" s="167"/>
      <c r="K282" s="167"/>
      <c r="L282" s="167"/>
      <c r="M282" s="167"/>
      <c r="N282" s="167"/>
      <c r="O282" s="167"/>
      <c r="P282" s="167"/>
      <c r="Q282" s="68"/>
    </row>
    <row r="283" spans="1:17" ht="16.2" hidden="1" x14ac:dyDescent="0.3">
      <c r="A283" s="174" t="s">
        <v>182</v>
      </c>
      <c r="B283" s="175"/>
      <c r="C283" s="56" t="s">
        <v>19</v>
      </c>
      <c r="D283" s="167"/>
      <c r="E283" s="167"/>
      <c r="F283" s="167"/>
      <c r="G283" s="167"/>
      <c r="H283" s="167"/>
      <c r="I283" s="167"/>
      <c r="J283" s="167"/>
      <c r="K283" s="167"/>
      <c r="L283" s="167"/>
      <c r="M283" s="167"/>
      <c r="N283" s="167"/>
      <c r="O283" s="167"/>
      <c r="P283" s="167"/>
      <c r="Q283" s="68"/>
    </row>
    <row r="284" spans="1:17" ht="16.2" hidden="1" x14ac:dyDescent="0.3">
      <c r="A284" s="174" t="s">
        <v>182</v>
      </c>
      <c r="B284" s="175"/>
      <c r="C284" s="56" t="s">
        <v>19</v>
      </c>
      <c r="D284" s="167"/>
      <c r="E284" s="167"/>
      <c r="F284" s="167"/>
      <c r="G284" s="167"/>
      <c r="H284" s="167"/>
      <c r="I284" s="167"/>
      <c r="J284" s="167"/>
      <c r="K284" s="167"/>
      <c r="L284" s="167"/>
      <c r="M284" s="167"/>
      <c r="N284" s="167"/>
      <c r="O284" s="167"/>
      <c r="P284" s="167"/>
      <c r="Q284" s="68"/>
    </row>
    <row r="285" spans="1:17" ht="16.2" hidden="1" x14ac:dyDescent="0.3">
      <c r="A285" s="174" t="s">
        <v>182</v>
      </c>
      <c r="B285" s="176"/>
      <c r="C285" s="56" t="s">
        <v>19</v>
      </c>
      <c r="D285" s="167"/>
      <c r="E285" s="167"/>
      <c r="F285" s="167"/>
      <c r="G285" s="167"/>
      <c r="H285" s="167"/>
      <c r="I285" s="167"/>
      <c r="J285" s="167"/>
      <c r="K285" s="167"/>
      <c r="L285" s="167"/>
      <c r="M285" s="167"/>
      <c r="N285" s="167"/>
      <c r="O285" s="167"/>
      <c r="P285" s="167"/>
      <c r="Q285" s="68"/>
    </row>
    <row r="286" spans="1:17" ht="14.4" hidden="1" x14ac:dyDescent="0.3">
      <c r="A286" s="162" t="s">
        <v>42</v>
      </c>
      <c r="B286" s="162"/>
      <c r="C286" s="56"/>
      <c r="D286" s="171"/>
      <c r="E286" s="171"/>
      <c r="F286" s="171"/>
      <c r="G286" s="171"/>
      <c r="H286" s="171"/>
      <c r="I286" s="171"/>
      <c r="J286" s="171"/>
      <c r="K286" s="171"/>
      <c r="L286" s="171"/>
      <c r="M286" s="171"/>
      <c r="N286" s="171"/>
      <c r="O286" s="171"/>
      <c r="P286" s="171"/>
      <c r="Q286" s="68"/>
    </row>
    <row r="287" spans="1:17" ht="14.4" hidden="1" x14ac:dyDescent="0.3">
      <c r="A287" s="162" t="s">
        <v>191</v>
      </c>
      <c r="B287" s="162"/>
      <c r="C287" s="56" t="s">
        <v>44</v>
      </c>
      <c r="D287" s="177"/>
      <c r="E287" s="177"/>
      <c r="F287" s="177"/>
      <c r="G287" s="177"/>
      <c r="H287" s="177"/>
      <c r="I287" s="177"/>
      <c r="J287" s="177"/>
      <c r="K287" s="177"/>
      <c r="L287" s="177"/>
      <c r="M287" s="177"/>
      <c r="N287" s="177"/>
      <c r="O287" s="177"/>
      <c r="P287" s="177"/>
      <c r="Q287" s="68"/>
    </row>
    <row r="288" spans="1:17" ht="14.4" hidden="1" x14ac:dyDescent="0.3">
      <c r="A288" s="162" t="s">
        <v>183</v>
      </c>
      <c r="B288" s="162"/>
      <c r="C288" s="56"/>
      <c r="D288" s="178"/>
      <c r="E288" s="178"/>
      <c r="F288" s="178"/>
      <c r="G288" s="178"/>
      <c r="H288" s="178"/>
      <c r="I288" s="178"/>
      <c r="J288" s="178"/>
      <c r="K288" s="178"/>
      <c r="L288" s="178"/>
      <c r="M288" s="178"/>
      <c r="N288" s="178"/>
      <c r="O288" s="178"/>
      <c r="P288" s="178"/>
      <c r="Q288" s="68"/>
    </row>
    <row r="289" spans="1:17" ht="14.4" hidden="1" x14ac:dyDescent="0.3">
      <c r="A289" s="162" t="s">
        <v>184</v>
      </c>
      <c r="B289" s="162"/>
      <c r="C289" s="56" t="s">
        <v>19</v>
      </c>
      <c r="D289" s="167"/>
      <c r="E289" s="167"/>
      <c r="F289" s="167"/>
      <c r="G289" s="167"/>
      <c r="H289" s="167"/>
      <c r="I289" s="167"/>
      <c r="J289" s="167"/>
      <c r="K289" s="167"/>
      <c r="L289" s="167"/>
      <c r="M289" s="167"/>
      <c r="N289" s="167"/>
      <c r="O289" s="167"/>
      <c r="P289" s="167"/>
      <c r="Q289" s="68"/>
    </row>
    <row r="290" spans="1:17" ht="14.4" hidden="1" x14ac:dyDescent="0.3">
      <c r="A290" s="162" t="s">
        <v>45</v>
      </c>
      <c r="B290" s="162"/>
      <c r="C290" s="56"/>
      <c r="D290" s="178"/>
      <c r="E290" s="178"/>
      <c r="F290" s="178"/>
      <c r="G290" s="178"/>
      <c r="H290" s="178"/>
      <c r="I290" s="178"/>
      <c r="J290" s="178"/>
      <c r="K290" s="178"/>
      <c r="L290" s="178"/>
      <c r="M290" s="178"/>
      <c r="N290" s="178"/>
      <c r="O290" s="178"/>
      <c r="P290" s="178"/>
      <c r="Q290" s="68"/>
    </row>
    <row r="291" spans="1:17" ht="14.4" hidden="1" x14ac:dyDescent="0.3">
      <c r="A291" s="162" t="s">
        <v>46</v>
      </c>
      <c r="B291" s="162"/>
      <c r="C291" s="56" t="s">
        <v>19</v>
      </c>
      <c r="D291" s="167"/>
      <c r="E291" s="167"/>
      <c r="F291" s="167"/>
      <c r="G291" s="167"/>
      <c r="H291" s="167"/>
      <c r="I291" s="167"/>
      <c r="J291" s="167"/>
      <c r="K291" s="167"/>
      <c r="L291" s="167"/>
      <c r="M291" s="167"/>
      <c r="N291" s="167"/>
      <c r="O291" s="167"/>
      <c r="P291" s="167"/>
      <c r="Q291" s="68"/>
    </row>
    <row r="292" spans="1:17" ht="14.4" hidden="1" x14ac:dyDescent="0.3">
      <c r="A292" s="162" t="s">
        <v>185</v>
      </c>
      <c r="B292" s="162"/>
      <c r="C292" s="56"/>
      <c r="D292" s="178"/>
      <c r="E292" s="178"/>
      <c r="F292" s="178"/>
      <c r="G292" s="178"/>
      <c r="H292" s="178"/>
      <c r="I292" s="178"/>
      <c r="J292" s="178"/>
      <c r="K292" s="178"/>
      <c r="L292" s="178"/>
      <c r="M292" s="178"/>
      <c r="N292" s="178"/>
      <c r="O292" s="178"/>
      <c r="P292" s="178"/>
      <c r="Q292" s="68"/>
    </row>
    <row r="293" spans="1:17" ht="14.4" hidden="1" x14ac:dyDescent="0.3">
      <c r="A293" s="162" t="s">
        <v>186</v>
      </c>
      <c r="B293" s="162"/>
      <c r="C293" s="56" t="s">
        <v>19</v>
      </c>
      <c r="D293" s="167"/>
      <c r="E293" s="167"/>
      <c r="F293" s="167"/>
      <c r="G293" s="167"/>
      <c r="H293" s="167"/>
      <c r="I293" s="167"/>
      <c r="J293" s="167"/>
      <c r="K293" s="167"/>
      <c r="L293" s="167"/>
      <c r="M293" s="167"/>
      <c r="N293" s="167"/>
      <c r="O293" s="167"/>
      <c r="P293" s="167"/>
      <c r="Q293" s="68"/>
    </row>
    <row r="294" spans="1:17" ht="14.4" hidden="1" x14ac:dyDescent="0.3">
      <c r="A294" s="162" t="s">
        <v>47</v>
      </c>
      <c r="B294" s="162"/>
      <c r="C294" s="56"/>
      <c r="D294" s="171"/>
      <c r="E294" s="171"/>
      <c r="F294" s="171"/>
      <c r="G294" s="171"/>
      <c r="H294" s="171"/>
      <c r="I294" s="171"/>
      <c r="J294" s="171"/>
      <c r="K294" s="171"/>
      <c r="L294" s="171"/>
      <c r="M294" s="171"/>
      <c r="N294" s="171"/>
      <c r="O294" s="171"/>
      <c r="P294" s="171"/>
      <c r="Q294" s="68"/>
    </row>
    <row r="295" spans="1:17" ht="14.4" hidden="1" x14ac:dyDescent="0.3">
      <c r="A295" s="55" t="s">
        <v>48</v>
      </c>
      <c r="B295" s="55"/>
      <c r="C295" s="56" t="s">
        <v>19</v>
      </c>
      <c r="D295" s="167"/>
      <c r="E295" s="167"/>
      <c r="F295" s="167"/>
      <c r="G295" s="167"/>
      <c r="H295" s="167"/>
      <c r="I295" s="167"/>
      <c r="J295" s="167"/>
      <c r="K295" s="167"/>
      <c r="L295" s="167"/>
      <c r="M295" s="167"/>
      <c r="N295" s="167"/>
      <c r="O295" s="167"/>
      <c r="P295" s="167"/>
      <c r="Q295" s="68"/>
    </row>
    <row r="296" spans="1:17" ht="14.4" hidden="1" x14ac:dyDescent="0.3">
      <c r="A296" s="55" t="s">
        <v>49</v>
      </c>
      <c r="B296" s="55"/>
      <c r="C296" s="56" t="s">
        <v>19</v>
      </c>
      <c r="D296" s="167"/>
      <c r="E296" s="167"/>
      <c r="F296" s="167"/>
      <c r="G296" s="167"/>
      <c r="H296" s="167"/>
      <c r="I296" s="167"/>
      <c r="J296" s="167"/>
      <c r="K296" s="167"/>
      <c r="L296" s="167"/>
      <c r="M296" s="167"/>
      <c r="N296" s="167"/>
      <c r="O296" s="167"/>
      <c r="P296" s="167"/>
      <c r="Q296" s="68"/>
    </row>
    <row r="297" spans="1:17" ht="14.4" hidden="1" x14ac:dyDescent="0.3">
      <c r="A297" s="162" t="s">
        <v>52</v>
      </c>
      <c r="B297" s="162"/>
      <c r="C297" s="179"/>
      <c r="D297" s="170"/>
      <c r="E297" s="170"/>
      <c r="F297" s="170"/>
      <c r="G297" s="170"/>
      <c r="H297" s="170"/>
      <c r="I297" s="170"/>
      <c r="J297" s="170"/>
      <c r="K297" s="170"/>
      <c r="L297" s="170"/>
      <c r="M297" s="170"/>
      <c r="N297" s="170"/>
      <c r="O297" s="170"/>
      <c r="P297" s="170"/>
      <c r="Q297" s="68"/>
    </row>
    <row r="298" spans="1:17" ht="14.4" hidden="1" x14ac:dyDescent="0.3">
      <c r="A298" s="55" t="s">
        <v>53</v>
      </c>
      <c r="B298" s="55"/>
      <c r="C298" s="56" t="s">
        <v>44</v>
      </c>
      <c r="D298" s="167"/>
      <c r="E298" s="167"/>
      <c r="F298" s="167"/>
      <c r="G298" s="167"/>
      <c r="H298" s="167"/>
      <c r="I298" s="167"/>
      <c r="J298" s="167"/>
      <c r="K298" s="167"/>
      <c r="L298" s="167"/>
      <c r="M298" s="167"/>
      <c r="N298" s="167"/>
      <c r="O298" s="167"/>
      <c r="P298" s="167"/>
      <c r="Q298" s="68"/>
    </row>
    <row r="299" spans="1:17" ht="14.4" hidden="1" x14ac:dyDescent="0.3">
      <c r="A299" s="55" t="s">
        <v>54</v>
      </c>
      <c r="B299" s="55"/>
      <c r="C299" s="56" t="s">
        <v>44</v>
      </c>
      <c r="D299" s="167"/>
      <c r="E299" s="167"/>
      <c r="F299" s="167"/>
      <c r="G299" s="167"/>
      <c r="H299" s="167"/>
      <c r="I299" s="167"/>
      <c r="J299" s="167"/>
      <c r="K299" s="167"/>
      <c r="L299" s="167"/>
      <c r="M299" s="167"/>
      <c r="N299" s="167"/>
      <c r="O299" s="167"/>
      <c r="P299" s="167"/>
      <c r="Q299" s="68"/>
    </row>
    <row r="300" spans="1:17" ht="14.4" hidden="1" x14ac:dyDescent="0.3">
      <c r="A300" s="55" t="s">
        <v>55</v>
      </c>
      <c r="B300" s="55"/>
      <c r="C300" s="56" t="s">
        <v>44</v>
      </c>
      <c r="D300" s="167"/>
      <c r="E300" s="167"/>
      <c r="F300" s="167"/>
      <c r="G300" s="167"/>
      <c r="H300" s="167"/>
      <c r="I300" s="167"/>
      <c r="J300" s="167"/>
      <c r="K300" s="167"/>
      <c r="L300" s="167"/>
      <c r="M300" s="167"/>
      <c r="N300" s="167"/>
      <c r="O300" s="167"/>
      <c r="P300" s="167"/>
      <c r="Q300" s="68"/>
    </row>
    <row r="301" spans="1:17" ht="14.4" hidden="1" x14ac:dyDescent="0.3">
      <c r="A301" s="55" t="s">
        <v>187</v>
      </c>
      <c r="B301" s="55"/>
      <c r="C301" s="56" t="s">
        <v>44</v>
      </c>
      <c r="D301" s="167"/>
      <c r="E301" s="167"/>
      <c r="F301" s="167"/>
      <c r="G301" s="167"/>
      <c r="H301" s="167"/>
      <c r="I301" s="167"/>
      <c r="J301" s="167"/>
      <c r="K301" s="167"/>
      <c r="L301" s="167"/>
      <c r="M301" s="167"/>
      <c r="N301" s="167"/>
      <c r="O301" s="167"/>
      <c r="P301" s="167"/>
      <c r="Q301" s="68"/>
    </row>
    <row r="302" spans="1:17" ht="14.4" hidden="1" x14ac:dyDescent="0.3">
      <c r="A302" s="55" t="s">
        <v>188</v>
      </c>
      <c r="B302" s="55"/>
      <c r="C302" s="56" t="s">
        <v>44</v>
      </c>
      <c r="D302" s="167"/>
      <c r="E302" s="167"/>
      <c r="F302" s="167"/>
      <c r="G302" s="167"/>
      <c r="H302" s="167"/>
      <c r="I302" s="167"/>
      <c r="J302" s="167"/>
      <c r="K302" s="167"/>
      <c r="L302" s="167"/>
      <c r="M302" s="167"/>
      <c r="N302" s="167"/>
      <c r="O302" s="167"/>
      <c r="P302" s="167"/>
      <c r="Q302" s="68"/>
    </row>
    <row r="303" spans="1:17" ht="14.4" hidden="1" x14ac:dyDescent="0.3">
      <c r="A303" s="55" t="s">
        <v>56</v>
      </c>
      <c r="B303" s="55"/>
      <c r="C303" s="56" t="s">
        <v>44</v>
      </c>
      <c r="D303" s="180"/>
      <c r="E303" s="180"/>
      <c r="F303" s="180"/>
      <c r="G303" s="180"/>
      <c r="H303" s="180"/>
      <c r="I303" s="180"/>
      <c r="J303" s="180"/>
      <c r="K303" s="180"/>
      <c r="L303" s="180"/>
      <c r="M303" s="180"/>
      <c r="N303" s="180"/>
      <c r="O303" s="180"/>
      <c r="P303" s="180"/>
      <c r="Q303" s="68"/>
    </row>
    <row r="304" spans="1:17" ht="14.4" hidden="1" x14ac:dyDescent="0.3">
      <c r="A304" s="55" t="s">
        <v>57</v>
      </c>
      <c r="B304" s="55"/>
      <c r="C304" s="56" t="s">
        <v>44</v>
      </c>
      <c r="D304" s="180"/>
      <c r="E304" s="180"/>
      <c r="F304" s="180"/>
      <c r="G304" s="180"/>
      <c r="H304" s="180"/>
      <c r="I304" s="180"/>
      <c r="J304" s="180"/>
      <c r="K304" s="180"/>
      <c r="L304" s="180"/>
      <c r="M304" s="180"/>
      <c r="N304" s="180"/>
      <c r="O304" s="180"/>
      <c r="P304" s="180"/>
      <c r="Q304" s="68"/>
    </row>
    <row r="305" spans="1:17" hidden="1" x14ac:dyDescent="0.3">
      <c r="Q305" s="68"/>
    </row>
    <row r="306" spans="1:17" ht="18" hidden="1" x14ac:dyDescent="0.35">
      <c r="A306" s="9" t="str">
        <f>'[41]Statistical data'!A213</f>
        <v>Customer Class5</v>
      </c>
      <c r="B306" s="9"/>
      <c r="C306" s="5" t="s">
        <v>190</v>
      </c>
      <c r="D306" s="160"/>
      <c r="E306" s="160"/>
      <c r="F306" s="160"/>
      <c r="G306" s="160"/>
      <c r="H306" s="160"/>
      <c r="I306" s="160"/>
      <c r="J306" s="160"/>
      <c r="K306" s="160"/>
      <c r="L306" s="160"/>
      <c r="M306" s="160"/>
      <c r="N306" s="160"/>
      <c r="O306" s="160"/>
      <c r="P306" s="160"/>
      <c r="Q306" s="68"/>
    </row>
    <row r="307" spans="1:17" ht="14.4" hidden="1" x14ac:dyDescent="0.3">
      <c r="A307" s="161" t="s">
        <v>3</v>
      </c>
      <c r="B307" s="161"/>
      <c r="C307" s="161" t="s">
        <v>4</v>
      </c>
      <c r="D307" s="161" t="s">
        <v>15</v>
      </c>
      <c r="E307" s="161" t="s">
        <v>15</v>
      </c>
      <c r="F307" s="161" t="s">
        <v>15</v>
      </c>
      <c r="G307" s="161" t="s">
        <v>15</v>
      </c>
      <c r="H307" s="161" t="s">
        <v>15</v>
      </c>
      <c r="I307" s="161" t="s">
        <v>15</v>
      </c>
      <c r="J307" s="161" t="s">
        <v>15</v>
      </c>
      <c r="K307" s="161" t="s">
        <v>15</v>
      </c>
      <c r="L307" s="161" t="s">
        <v>15</v>
      </c>
      <c r="M307" s="161" t="s">
        <v>15</v>
      </c>
      <c r="N307" s="161" t="s">
        <v>15</v>
      </c>
      <c r="O307" s="161" t="s">
        <v>15</v>
      </c>
      <c r="P307" s="161" t="s">
        <v>15</v>
      </c>
      <c r="Q307" s="68"/>
    </row>
    <row r="308" spans="1:17" ht="14.4" hidden="1" x14ac:dyDescent="0.3">
      <c r="A308" s="162" t="s">
        <v>17</v>
      </c>
      <c r="B308" s="163"/>
      <c r="C308" s="56"/>
      <c r="D308" s="164"/>
      <c r="E308" s="164"/>
      <c r="F308" s="164"/>
      <c r="G308" s="164"/>
      <c r="H308" s="164"/>
      <c r="I308" s="164"/>
      <c r="J308" s="164"/>
      <c r="K308" s="164"/>
      <c r="L308" s="164"/>
      <c r="M308" s="164"/>
      <c r="N308" s="164"/>
      <c r="O308" s="164"/>
      <c r="P308" s="164"/>
      <c r="Q308" s="68"/>
    </row>
    <row r="309" spans="1:17" ht="14.4" hidden="1" x14ac:dyDescent="0.3">
      <c r="A309" s="55" t="s">
        <v>18</v>
      </c>
      <c r="B309" s="165"/>
      <c r="C309" s="56" t="s">
        <v>19</v>
      </c>
      <c r="D309" s="166"/>
      <c r="E309" s="166"/>
      <c r="F309" s="166"/>
      <c r="G309" s="166"/>
      <c r="H309" s="166"/>
      <c r="I309" s="166"/>
      <c r="J309" s="166"/>
      <c r="K309" s="166"/>
      <c r="L309" s="166"/>
      <c r="M309" s="166"/>
      <c r="N309" s="166"/>
      <c r="O309" s="166"/>
      <c r="P309" s="166"/>
      <c r="Q309" s="68"/>
    </row>
    <row r="310" spans="1:17" ht="14.4" hidden="1" x14ac:dyDescent="0.3">
      <c r="A310" s="55" t="s">
        <v>66</v>
      </c>
      <c r="B310" s="165"/>
      <c r="C310" s="56" t="s">
        <v>19</v>
      </c>
      <c r="D310" s="166"/>
      <c r="E310" s="166"/>
      <c r="F310" s="166"/>
      <c r="G310" s="166"/>
      <c r="H310" s="166"/>
      <c r="I310" s="166"/>
      <c r="J310" s="166"/>
      <c r="K310" s="166"/>
      <c r="L310" s="166"/>
      <c r="M310" s="166"/>
      <c r="N310" s="166"/>
      <c r="O310" s="166"/>
      <c r="P310" s="166"/>
      <c r="Q310" s="68"/>
    </row>
    <row r="311" spans="1:17" ht="14.4" hidden="1" x14ac:dyDescent="0.3">
      <c r="A311" s="162" t="s">
        <v>20</v>
      </c>
      <c r="B311" s="163"/>
      <c r="C311" s="56"/>
      <c r="D311" s="168"/>
      <c r="E311" s="168"/>
      <c r="F311" s="168"/>
      <c r="G311" s="168"/>
      <c r="H311" s="168"/>
      <c r="I311" s="168"/>
      <c r="J311" s="168"/>
      <c r="K311" s="168"/>
      <c r="L311" s="168"/>
      <c r="M311" s="168"/>
      <c r="N311" s="168"/>
      <c r="O311" s="168"/>
      <c r="P311" s="168"/>
      <c r="Q311" s="68"/>
    </row>
    <row r="312" spans="1:17" ht="14.4" hidden="1" x14ac:dyDescent="0.3">
      <c r="A312" s="55" t="s">
        <v>21</v>
      </c>
      <c r="B312" s="165"/>
      <c r="C312" s="56" t="s">
        <v>19</v>
      </c>
      <c r="D312" s="166"/>
      <c r="E312" s="166"/>
      <c r="F312" s="166"/>
      <c r="G312" s="166"/>
      <c r="H312" s="166"/>
      <c r="I312" s="166"/>
      <c r="J312" s="166"/>
      <c r="K312" s="166"/>
      <c r="L312" s="166"/>
      <c r="M312" s="166"/>
      <c r="N312" s="166"/>
      <c r="O312" s="166"/>
      <c r="P312" s="166"/>
      <c r="Q312" s="68"/>
    </row>
    <row r="313" spans="1:17" ht="14.4" hidden="1" x14ac:dyDescent="0.3">
      <c r="A313" s="55" t="s">
        <v>22</v>
      </c>
      <c r="B313" s="165"/>
      <c r="C313" s="56" t="s">
        <v>23</v>
      </c>
      <c r="D313" s="166"/>
      <c r="E313" s="166"/>
      <c r="F313" s="166"/>
      <c r="G313" s="166"/>
      <c r="H313" s="166"/>
      <c r="I313" s="166"/>
      <c r="J313" s="166"/>
      <c r="K313" s="166"/>
      <c r="L313" s="166"/>
      <c r="M313" s="166"/>
      <c r="N313" s="166"/>
      <c r="O313" s="166"/>
      <c r="P313" s="166"/>
      <c r="Q313" s="68"/>
    </row>
    <row r="314" spans="1:17" ht="14.4" hidden="1" x14ac:dyDescent="0.3">
      <c r="A314" s="162" t="s">
        <v>24</v>
      </c>
      <c r="B314" s="163"/>
      <c r="C314" s="56"/>
      <c r="D314" s="168"/>
      <c r="E314" s="168"/>
      <c r="F314" s="168"/>
      <c r="G314" s="168"/>
      <c r="H314" s="168"/>
      <c r="I314" s="168"/>
      <c r="J314" s="168"/>
      <c r="K314" s="168"/>
      <c r="L314" s="168"/>
      <c r="M314" s="168"/>
      <c r="N314" s="168"/>
      <c r="O314" s="168"/>
      <c r="P314" s="168"/>
      <c r="Q314" s="68"/>
    </row>
    <row r="315" spans="1:17" ht="14.4" hidden="1" x14ac:dyDescent="0.3">
      <c r="A315" s="55" t="s">
        <v>25</v>
      </c>
      <c r="B315" s="165"/>
      <c r="C315" s="56" t="s">
        <v>19</v>
      </c>
      <c r="D315" s="166"/>
      <c r="E315" s="166"/>
      <c r="F315" s="166"/>
      <c r="G315" s="166"/>
      <c r="H315" s="166"/>
      <c r="I315" s="166"/>
      <c r="J315" s="166"/>
      <c r="K315" s="166"/>
      <c r="L315" s="166"/>
      <c r="M315" s="166"/>
      <c r="N315" s="166"/>
      <c r="O315" s="166"/>
      <c r="P315" s="166"/>
      <c r="Q315" s="68"/>
    </row>
    <row r="316" spans="1:17" ht="14.4" hidden="1" x14ac:dyDescent="0.3">
      <c r="A316" s="162" t="s">
        <v>26</v>
      </c>
      <c r="B316" s="162"/>
      <c r="C316" s="56"/>
      <c r="D316" s="170"/>
      <c r="E316" s="170"/>
      <c r="F316" s="170"/>
      <c r="G316" s="170"/>
      <c r="H316" s="170"/>
      <c r="I316" s="170"/>
      <c r="J316" s="170"/>
      <c r="K316" s="170"/>
      <c r="L316" s="170"/>
      <c r="M316" s="170"/>
      <c r="N316" s="170"/>
      <c r="O316" s="170"/>
      <c r="P316" s="170"/>
      <c r="Q316" s="68"/>
    </row>
    <row r="317" spans="1:17" ht="14.4" hidden="1" x14ac:dyDescent="0.3">
      <c r="A317" s="55" t="s">
        <v>27</v>
      </c>
      <c r="B317" s="55"/>
      <c r="C317" s="56" t="s">
        <v>19</v>
      </c>
      <c r="D317" s="167"/>
      <c r="E317" s="167"/>
      <c r="F317" s="167"/>
      <c r="G317" s="167"/>
      <c r="H317" s="167"/>
      <c r="I317" s="167"/>
      <c r="J317" s="167"/>
      <c r="K317" s="167"/>
      <c r="L317" s="167"/>
      <c r="M317" s="167"/>
      <c r="N317" s="167"/>
      <c r="O317" s="167"/>
      <c r="P317" s="167"/>
      <c r="Q317" s="68"/>
    </row>
    <row r="318" spans="1:17" ht="14.4" hidden="1" x14ac:dyDescent="0.3">
      <c r="A318" s="55" t="s">
        <v>28</v>
      </c>
      <c r="B318" s="55"/>
      <c r="C318" s="56" t="s">
        <v>23</v>
      </c>
      <c r="D318" s="167"/>
      <c r="E318" s="167"/>
      <c r="F318" s="167"/>
      <c r="G318" s="167"/>
      <c r="H318" s="167"/>
      <c r="I318" s="167"/>
      <c r="J318" s="167"/>
      <c r="K318" s="167"/>
      <c r="L318" s="167"/>
      <c r="M318" s="167"/>
      <c r="N318" s="167"/>
      <c r="O318" s="167"/>
      <c r="P318" s="167"/>
      <c r="Q318" s="68"/>
    </row>
    <row r="319" spans="1:17" ht="14.4" hidden="1" x14ac:dyDescent="0.3">
      <c r="A319" s="162" t="s">
        <v>29</v>
      </c>
      <c r="B319" s="162"/>
      <c r="C319" s="56"/>
      <c r="D319" s="171"/>
      <c r="E319" s="171"/>
      <c r="F319" s="171"/>
      <c r="G319" s="171"/>
      <c r="H319" s="171"/>
      <c r="I319" s="171"/>
      <c r="J319" s="171"/>
      <c r="K319" s="171"/>
      <c r="L319" s="171"/>
      <c r="M319" s="171"/>
      <c r="N319" s="171"/>
      <c r="O319" s="171"/>
      <c r="P319" s="171"/>
      <c r="Q319" s="68"/>
    </row>
    <row r="320" spans="1:17" ht="14.4" hidden="1" x14ac:dyDescent="0.3">
      <c r="A320" s="55" t="s">
        <v>30</v>
      </c>
      <c r="B320" s="55"/>
      <c r="C320" s="56" t="s">
        <v>19</v>
      </c>
      <c r="D320" s="167"/>
      <c r="E320" s="167"/>
      <c r="F320" s="167"/>
      <c r="G320" s="167"/>
      <c r="H320" s="167"/>
      <c r="I320" s="167"/>
      <c r="J320" s="167"/>
      <c r="K320" s="167"/>
      <c r="L320" s="167"/>
      <c r="M320" s="167"/>
      <c r="N320" s="167"/>
      <c r="O320" s="167"/>
      <c r="P320" s="167"/>
      <c r="Q320" s="68"/>
    </row>
    <row r="321" spans="1:17" ht="14.4" hidden="1" x14ac:dyDescent="0.3">
      <c r="A321" s="55" t="s">
        <v>31</v>
      </c>
      <c r="B321" s="55"/>
      <c r="C321" s="56" t="s">
        <v>32</v>
      </c>
      <c r="D321" s="167"/>
      <c r="E321" s="167"/>
      <c r="F321" s="167"/>
      <c r="G321" s="167"/>
      <c r="H321" s="167"/>
      <c r="I321" s="167"/>
      <c r="J321" s="167"/>
      <c r="K321" s="167"/>
      <c r="L321" s="167"/>
      <c r="M321" s="167"/>
      <c r="N321" s="167"/>
      <c r="O321" s="167"/>
      <c r="P321" s="167"/>
      <c r="Q321" s="68"/>
    </row>
    <row r="322" spans="1:17" ht="14.4" hidden="1" x14ac:dyDescent="0.3">
      <c r="A322" s="162" t="s">
        <v>33</v>
      </c>
      <c r="B322" s="162"/>
      <c r="C322" s="56"/>
      <c r="D322" s="171"/>
      <c r="E322" s="171"/>
      <c r="F322" s="171"/>
      <c r="G322" s="171"/>
      <c r="H322" s="171"/>
      <c r="I322" s="171"/>
      <c r="J322" s="171"/>
      <c r="K322" s="171"/>
      <c r="L322" s="171"/>
      <c r="M322" s="171"/>
      <c r="N322" s="171"/>
      <c r="O322" s="171"/>
      <c r="P322" s="171"/>
      <c r="Q322" s="68"/>
    </row>
    <row r="323" spans="1:17" ht="14.4" hidden="1" x14ac:dyDescent="0.3">
      <c r="A323" s="55" t="s">
        <v>34</v>
      </c>
      <c r="B323" s="55"/>
      <c r="C323" s="56" t="s">
        <v>19</v>
      </c>
      <c r="D323" s="167"/>
      <c r="E323" s="167"/>
      <c r="F323" s="167"/>
      <c r="G323" s="167"/>
      <c r="H323" s="167"/>
      <c r="I323" s="167"/>
      <c r="J323" s="167"/>
      <c r="K323" s="167"/>
      <c r="L323" s="167"/>
      <c r="M323" s="167"/>
      <c r="N323" s="167"/>
      <c r="O323" s="167"/>
      <c r="P323" s="167"/>
      <c r="Q323" s="68"/>
    </row>
    <row r="324" spans="1:17" ht="14.4" hidden="1" x14ac:dyDescent="0.3">
      <c r="A324" s="55" t="s">
        <v>35</v>
      </c>
      <c r="B324" s="55"/>
      <c r="C324" s="56" t="s">
        <v>36</v>
      </c>
      <c r="D324" s="167"/>
      <c r="E324" s="167"/>
      <c r="F324" s="167"/>
      <c r="G324" s="167"/>
      <c r="H324" s="167"/>
      <c r="I324" s="167"/>
      <c r="J324" s="167"/>
      <c r="K324" s="167"/>
      <c r="L324" s="167"/>
      <c r="M324" s="167"/>
      <c r="N324" s="167"/>
      <c r="O324" s="167"/>
      <c r="P324" s="167"/>
      <c r="Q324" s="68"/>
    </row>
    <row r="325" spans="1:17" ht="14.4" hidden="1" x14ac:dyDescent="0.3">
      <c r="A325" s="162" t="s">
        <v>37</v>
      </c>
      <c r="B325" s="162"/>
      <c r="C325" s="56"/>
      <c r="D325" s="171"/>
      <c r="E325" s="171"/>
      <c r="F325" s="171"/>
      <c r="G325" s="171"/>
      <c r="H325" s="171"/>
      <c r="I325" s="171"/>
      <c r="J325" s="171"/>
      <c r="K325" s="171"/>
      <c r="L325" s="171"/>
      <c r="M325" s="171"/>
      <c r="N325" s="171"/>
      <c r="O325" s="171"/>
      <c r="P325" s="171"/>
      <c r="Q325" s="68"/>
    </row>
    <row r="326" spans="1:17" ht="14.4" hidden="1" x14ac:dyDescent="0.3">
      <c r="A326" s="172" t="s">
        <v>38</v>
      </c>
      <c r="B326" s="55"/>
      <c r="C326" s="56" t="s">
        <v>19</v>
      </c>
      <c r="D326" s="167"/>
      <c r="E326" s="167"/>
      <c r="F326" s="167"/>
      <c r="G326" s="167"/>
      <c r="H326" s="167"/>
      <c r="I326" s="167"/>
      <c r="J326" s="167"/>
      <c r="K326" s="167"/>
      <c r="L326" s="167"/>
      <c r="M326" s="167"/>
      <c r="N326" s="167"/>
      <c r="O326" s="167"/>
      <c r="P326" s="167"/>
      <c r="Q326" s="68"/>
    </row>
    <row r="327" spans="1:17" ht="14.4" hidden="1" x14ac:dyDescent="0.3">
      <c r="A327" s="172" t="s">
        <v>39</v>
      </c>
      <c r="B327" s="55"/>
      <c r="C327" s="56" t="s">
        <v>19</v>
      </c>
      <c r="D327" s="167"/>
      <c r="E327" s="167"/>
      <c r="F327" s="167"/>
      <c r="G327" s="167"/>
      <c r="H327" s="167"/>
      <c r="I327" s="167"/>
      <c r="J327" s="167"/>
      <c r="K327" s="167"/>
      <c r="L327" s="167"/>
      <c r="M327" s="167"/>
      <c r="N327" s="167"/>
      <c r="O327" s="167"/>
      <c r="P327" s="167"/>
      <c r="Q327" s="68"/>
    </row>
    <row r="328" spans="1:17" ht="14.4" hidden="1" x14ac:dyDescent="0.3">
      <c r="A328" s="172" t="s">
        <v>180</v>
      </c>
      <c r="B328" s="55"/>
      <c r="C328" s="56" t="s">
        <v>19</v>
      </c>
      <c r="D328" s="167"/>
      <c r="E328" s="167"/>
      <c r="F328" s="167"/>
      <c r="G328" s="167"/>
      <c r="H328" s="167"/>
      <c r="I328" s="167"/>
      <c r="J328" s="167"/>
      <c r="K328" s="167"/>
      <c r="L328" s="167"/>
      <c r="M328" s="167"/>
      <c r="N328" s="167"/>
      <c r="O328" s="167"/>
      <c r="P328" s="167"/>
      <c r="Q328" s="68"/>
    </row>
    <row r="329" spans="1:17" ht="14.4" hidden="1" x14ac:dyDescent="0.3">
      <c r="A329" s="173" t="s">
        <v>40</v>
      </c>
      <c r="B329" s="55"/>
      <c r="C329" s="56" t="s">
        <v>19</v>
      </c>
      <c r="D329" s="167"/>
      <c r="E329" s="167"/>
      <c r="F329" s="167"/>
      <c r="G329" s="167"/>
      <c r="H329" s="167"/>
      <c r="I329" s="167"/>
      <c r="J329" s="167"/>
      <c r="K329" s="167"/>
      <c r="L329" s="167"/>
      <c r="M329" s="167"/>
      <c r="N329" s="167"/>
      <c r="O329" s="167"/>
      <c r="P329" s="167"/>
      <c r="Q329" s="68"/>
    </row>
    <row r="330" spans="1:17" ht="14.4" hidden="1" x14ac:dyDescent="0.3">
      <c r="A330" s="173" t="s">
        <v>41</v>
      </c>
      <c r="B330" s="55"/>
      <c r="C330" s="56" t="s">
        <v>19</v>
      </c>
      <c r="D330" s="167"/>
      <c r="E330" s="167"/>
      <c r="F330" s="167"/>
      <c r="G330" s="167"/>
      <c r="H330" s="167"/>
      <c r="I330" s="167"/>
      <c r="J330" s="167"/>
      <c r="K330" s="167"/>
      <c r="L330" s="167"/>
      <c r="M330" s="167"/>
      <c r="N330" s="167"/>
      <c r="O330" s="167"/>
      <c r="P330" s="167"/>
      <c r="Q330" s="68"/>
    </row>
    <row r="331" spans="1:17" ht="16.2" hidden="1" x14ac:dyDescent="0.3">
      <c r="A331" s="174" t="s">
        <v>182</v>
      </c>
      <c r="B331" s="175"/>
      <c r="C331" s="56" t="s">
        <v>19</v>
      </c>
      <c r="D331" s="167"/>
      <c r="E331" s="167"/>
      <c r="F331" s="167"/>
      <c r="G331" s="167"/>
      <c r="H331" s="167"/>
      <c r="I331" s="167"/>
      <c r="J331" s="167"/>
      <c r="K331" s="167"/>
      <c r="L331" s="167"/>
      <c r="M331" s="167"/>
      <c r="N331" s="167"/>
      <c r="O331" s="167"/>
      <c r="P331" s="167"/>
      <c r="Q331" s="68"/>
    </row>
    <row r="332" spans="1:17" ht="16.2" hidden="1" x14ac:dyDescent="0.3">
      <c r="A332" s="174" t="s">
        <v>182</v>
      </c>
      <c r="B332" s="175"/>
      <c r="C332" s="56" t="s">
        <v>19</v>
      </c>
      <c r="D332" s="167"/>
      <c r="E332" s="167"/>
      <c r="F332" s="167"/>
      <c r="G332" s="167"/>
      <c r="H332" s="167"/>
      <c r="I332" s="167"/>
      <c r="J332" s="167"/>
      <c r="K332" s="167"/>
      <c r="L332" s="167"/>
      <c r="M332" s="167"/>
      <c r="N332" s="167"/>
      <c r="O332" s="167"/>
      <c r="P332" s="167"/>
      <c r="Q332" s="68"/>
    </row>
    <row r="333" spans="1:17" ht="16.2" hidden="1" x14ac:dyDescent="0.3">
      <c r="A333" s="174" t="s">
        <v>182</v>
      </c>
      <c r="B333" s="176"/>
      <c r="C333" s="56" t="s">
        <v>19</v>
      </c>
      <c r="D333" s="167"/>
      <c r="E333" s="167"/>
      <c r="F333" s="167"/>
      <c r="G333" s="167"/>
      <c r="H333" s="167"/>
      <c r="I333" s="167"/>
      <c r="J333" s="167"/>
      <c r="K333" s="167"/>
      <c r="L333" s="167"/>
      <c r="M333" s="167"/>
      <c r="N333" s="167"/>
      <c r="O333" s="167"/>
      <c r="P333" s="167"/>
      <c r="Q333" s="68"/>
    </row>
    <row r="334" spans="1:17" ht="14.4" hidden="1" x14ac:dyDescent="0.3">
      <c r="A334" s="162" t="s">
        <v>42</v>
      </c>
      <c r="B334" s="162"/>
      <c r="C334" s="56"/>
      <c r="D334" s="171"/>
      <c r="E334" s="171"/>
      <c r="F334" s="171"/>
      <c r="G334" s="171"/>
      <c r="H334" s="171"/>
      <c r="I334" s="171"/>
      <c r="J334" s="171"/>
      <c r="K334" s="171"/>
      <c r="L334" s="171"/>
      <c r="M334" s="171"/>
      <c r="N334" s="171"/>
      <c r="O334" s="171"/>
      <c r="P334" s="171"/>
      <c r="Q334" s="68"/>
    </row>
    <row r="335" spans="1:17" ht="14.4" hidden="1" x14ac:dyDescent="0.3">
      <c r="A335" s="162" t="s">
        <v>191</v>
      </c>
      <c r="B335" s="162"/>
      <c r="C335" s="56" t="s">
        <v>44</v>
      </c>
      <c r="D335" s="177"/>
      <c r="E335" s="177"/>
      <c r="F335" s="177"/>
      <c r="G335" s="177"/>
      <c r="H335" s="177"/>
      <c r="I335" s="177"/>
      <c r="J335" s="177"/>
      <c r="K335" s="177"/>
      <c r="L335" s="177"/>
      <c r="M335" s="177"/>
      <c r="N335" s="177"/>
      <c r="O335" s="177"/>
      <c r="P335" s="177"/>
      <c r="Q335" s="68"/>
    </row>
    <row r="336" spans="1:17" ht="14.4" hidden="1" x14ac:dyDescent="0.3">
      <c r="A336" s="162" t="s">
        <v>183</v>
      </c>
      <c r="B336" s="162"/>
      <c r="C336" s="56"/>
      <c r="D336" s="178"/>
      <c r="E336" s="178"/>
      <c r="F336" s="178"/>
      <c r="G336" s="178"/>
      <c r="H336" s="178"/>
      <c r="I336" s="178"/>
      <c r="J336" s="178"/>
      <c r="K336" s="178"/>
      <c r="L336" s="178"/>
      <c r="M336" s="178"/>
      <c r="N336" s="178"/>
      <c r="O336" s="178"/>
      <c r="P336" s="178"/>
      <c r="Q336" s="68"/>
    </row>
    <row r="337" spans="1:17" ht="14.4" hidden="1" x14ac:dyDescent="0.3">
      <c r="A337" s="162" t="s">
        <v>184</v>
      </c>
      <c r="B337" s="162"/>
      <c r="C337" s="56" t="s">
        <v>19</v>
      </c>
      <c r="D337" s="167"/>
      <c r="E337" s="167"/>
      <c r="F337" s="167"/>
      <c r="G337" s="167"/>
      <c r="H337" s="167"/>
      <c r="I337" s="167"/>
      <c r="J337" s="167"/>
      <c r="K337" s="167"/>
      <c r="L337" s="167"/>
      <c r="M337" s="167"/>
      <c r="N337" s="167"/>
      <c r="O337" s="167"/>
      <c r="P337" s="167"/>
      <c r="Q337" s="68"/>
    </row>
    <row r="338" spans="1:17" ht="14.4" hidden="1" x14ac:dyDescent="0.3">
      <c r="A338" s="162" t="s">
        <v>45</v>
      </c>
      <c r="B338" s="162"/>
      <c r="C338" s="56"/>
      <c r="D338" s="178"/>
      <c r="E338" s="178"/>
      <c r="F338" s="178"/>
      <c r="G338" s="178"/>
      <c r="H338" s="178"/>
      <c r="I338" s="178"/>
      <c r="J338" s="178"/>
      <c r="K338" s="178"/>
      <c r="L338" s="178"/>
      <c r="M338" s="178"/>
      <c r="N338" s="178"/>
      <c r="O338" s="178"/>
      <c r="P338" s="178"/>
      <c r="Q338" s="68"/>
    </row>
    <row r="339" spans="1:17" ht="14.4" hidden="1" x14ac:dyDescent="0.3">
      <c r="A339" s="162" t="s">
        <v>46</v>
      </c>
      <c r="B339" s="162"/>
      <c r="C339" s="56" t="s">
        <v>19</v>
      </c>
      <c r="D339" s="167"/>
      <c r="E339" s="167"/>
      <c r="F339" s="167"/>
      <c r="G339" s="167"/>
      <c r="H339" s="167"/>
      <c r="I339" s="167"/>
      <c r="J339" s="167"/>
      <c r="K339" s="167"/>
      <c r="L339" s="167"/>
      <c r="M339" s="167"/>
      <c r="N339" s="167"/>
      <c r="O339" s="167"/>
      <c r="P339" s="167"/>
      <c r="Q339" s="68"/>
    </row>
    <row r="340" spans="1:17" ht="14.4" hidden="1" x14ac:dyDescent="0.3">
      <c r="A340" s="162" t="s">
        <v>185</v>
      </c>
      <c r="B340" s="162"/>
      <c r="C340" s="56"/>
      <c r="D340" s="167"/>
      <c r="E340" s="167"/>
      <c r="F340" s="167"/>
      <c r="G340" s="167"/>
      <c r="H340" s="167"/>
      <c r="I340" s="167"/>
      <c r="J340" s="167"/>
      <c r="K340" s="167"/>
      <c r="L340" s="167"/>
      <c r="M340" s="167"/>
      <c r="N340" s="167"/>
      <c r="O340" s="167"/>
      <c r="P340" s="167"/>
      <c r="Q340" s="68"/>
    </row>
    <row r="341" spans="1:17" ht="14.4" hidden="1" x14ac:dyDescent="0.3">
      <c r="A341" s="162" t="s">
        <v>186</v>
      </c>
      <c r="B341" s="162"/>
      <c r="C341" s="56" t="s">
        <v>19</v>
      </c>
      <c r="D341" s="167"/>
      <c r="E341" s="167"/>
      <c r="F341" s="167"/>
      <c r="G341" s="167"/>
      <c r="H341" s="167"/>
      <c r="I341" s="167"/>
      <c r="J341" s="167"/>
      <c r="K341" s="167"/>
      <c r="L341" s="167"/>
      <c r="M341" s="167"/>
      <c r="N341" s="167"/>
      <c r="O341" s="167"/>
      <c r="P341" s="167"/>
      <c r="Q341" s="68"/>
    </row>
    <row r="342" spans="1:17" ht="14.4" hidden="1" x14ac:dyDescent="0.3">
      <c r="A342" s="162" t="s">
        <v>47</v>
      </c>
      <c r="B342" s="162"/>
      <c r="C342" s="56"/>
      <c r="D342" s="171"/>
      <c r="E342" s="171"/>
      <c r="F342" s="171"/>
      <c r="G342" s="171"/>
      <c r="H342" s="171"/>
      <c r="I342" s="171"/>
      <c r="J342" s="171"/>
      <c r="K342" s="171"/>
      <c r="L342" s="171"/>
      <c r="M342" s="171"/>
      <c r="N342" s="171"/>
      <c r="O342" s="171"/>
      <c r="P342" s="171"/>
      <c r="Q342" s="68"/>
    </row>
    <row r="343" spans="1:17" ht="14.4" hidden="1" x14ac:dyDescent="0.3">
      <c r="A343" s="55" t="s">
        <v>48</v>
      </c>
      <c r="B343" s="55"/>
      <c r="C343" s="56" t="s">
        <v>19</v>
      </c>
      <c r="D343" s="167"/>
      <c r="E343" s="167"/>
      <c r="F343" s="167"/>
      <c r="G343" s="167"/>
      <c r="H343" s="167"/>
      <c r="I343" s="167"/>
      <c r="J343" s="167"/>
      <c r="K343" s="167"/>
      <c r="L343" s="167"/>
      <c r="M343" s="167"/>
      <c r="N343" s="167"/>
      <c r="O343" s="167"/>
      <c r="P343" s="167"/>
      <c r="Q343" s="68"/>
    </row>
    <row r="344" spans="1:17" ht="14.4" hidden="1" x14ac:dyDescent="0.3">
      <c r="A344" s="55" t="s">
        <v>49</v>
      </c>
      <c r="B344" s="55"/>
      <c r="C344" s="56" t="s">
        <v>19</v>
      </c>
      <c r="D344" s="167"/>
      <c r="E344" s="167"/>
      <c r="F344" s="167"/>
      <c r="G344" s="167"/>
      <c r="H344" s="167"/>
      <c r="I344" s="167"/>
      <c r="J344" s="167"/>
      <c r="K344" s="167"/>
      <c r="L344" s="167"/>
      <c r="M344" s="167"/>
      <c r="N344" s="167"/>
      <c r="O344" s="167"/>
      <c r="P344" s="167"/>
      <c r="Q344" s="68"/>
    </row>
    <row r="345" spans="1:17" ht="14.4" hidden="1" x14ac:dyDescent="0.3">
      <c r="A345" s="162" t="s">
        <v>52</v>
      </c>
      <c r="B345" s="162"/>
      <c r="C345" s="179"/>
      <c r="D345" s="170"/>
      <c r="E345" s="170"/>
      <c r="F345" s="170"/>
      <c r="G345" s="170"/>
      <c r="H345" s="170"/>
      <c r="I345" s="170"/>
      <c r="J345" s="170"/>
      <c r="K345" s="170"/>
      <c r="L345" s="170"/>
      <c r="M345" s="170"/>
      <c r="N345" s="170"/>
      <c r="O345" s="170"/>
      <c r="P345" s="170"/>
      <c r="Q345" s="68"/>
    </row>
    <row r="346" spans="1:17" ht="14.4" hidden="1" x14ac:dyDescent="0.3">
      <c r="A346" s="55" t="s">
        <v>53</v>
      </c>
      <c r="B346" s="55"/>
      <c r="C346" s="56" t="s">
        <v>44</v>
      </c>
      <c r="D346" s="167"/>
      <c r="E346" s="167"/>
      <c r="F346" s="167"/>
      <c r="G346" s="167"/>
      <c r="H346" s="167"/>
      <c r="I346" s="167"/>
      <c r="J346" s="167"/>
      <c r="K346" s="167"/>
      <c r="L346" s="167"/>
      <c r="M346" s="167"/>
      <c r="N346" s="167"/>
      <c r="O346" s="167"/>
      <c r="P346" s="167"/>
      <c r="Q346" s="68"/>
    </row>
    <row r="347" spans="1:17" ht="14.4" hidden="1" x14ac:dyDescent="0.3">
      <c r="A347" s="55" t="s">
        <v>54</v>
      </c>
      <c r="B347" s="55"/>
      <c r="C347" s="56" t="s">
        <v>44</v>
      </c>
      <c r="D347" s="167"/>
      <c r="E347" s="167"/>
      <c r="F347" s="167"/>
      <c r="G347" s="167"/>
      <c r="H347" s="167"/>
      <c r="I347" s="167"/>
      <c r="J347" s="167"/>
      <c r="K347" s="167"/>
      <c r="L347" s="167"/>
      <c r="M347" s="167"/>
      <c r="N347" s="167"/>
      <c r="O347" s="167"/>
      <c r="P347" s="167"/>
      <c r="Q347" s="68"/>
    </row>
    <row r="348" spans="1:17" ht="14.4" hidden="1" x14ac:dyDescent="0.3">
      <c r="A348" s="55" t="s">
        <v>55</v>
      </c>
      <c r="B348" s="55"/>
      <c r="C348" s="56" t="s">
        <v>44</v>
      </c>
      <c r="D348" s="167"/>
      <c r="E348" s="167"/>
      <c r="F348" s="167"/>
      <c r="G348" s="167"/>
      <c r="H348" s="167"/>
      <c r="I348" s="167"/>
      <c r="J348" s="167"/>
      <c r="K348" s="167"/>
      <c r="L348" s="167"/>
      <c r="M348" s="167"/>
      <c r="N348" s="167"/>
      <c r="O348" s="167"/>
      <c r="P348" s="167"/>
      <c r="Q348" s="68"/>
    </row>
    <row r="349" spans="1:17" ht="14.4" hidden="1" x14ac:dyDescent="0.3">
      <c r="A349" s="55" t="s">
        <v>187</v>
      </c>
      <c r="B349" s="55"/>
      <c r="C349" s="56" t="s">
        <v>44</v>
      </c>
      <c r="D349" s="167"/>
      <c r="E349" s="167"/>
      <c r="F349" s="167"/>
      <c r="G349" s="167"/>
      <c r="H349" s="167"/>
      <c r="I349" s="167"/>
      <c r="J349" s="167"/>
      <c r="K349" s="167"/>
      <c r="L349" s="167"/>
      <c r="M349" s="167"/>
      <c r="N349" s="167"/>
      <c r="O349" s="167"/>
      <c r="P349" s="167"/>
      <c r="Q349" s="68"/>
    </row>
    <row r="350" spans="1:17" ht="14.4" hidden="1" x14ac:dyDescent="0.3">
      <c r="A350" s="55" t="s">
        <v>188</v>
      </c>
      <c r="B350" s="55"/>
      <c r="C350" s="56" t="s">
        <v>44</v>
      </c>
      <c r="D350" s="167"/>
      <c r="E350" s="167"/>
      <c r="F350" s="167"/>
      <c r="G350" s="167"/>
      <c r="H350" s="167"/>
      <c r="I350" s="167"/>
      <c r="J350" s="167"/>
      <c r="K350" s="167"/>
      <c r="L350" s="167"/>
      <c r="M350" s="167"/>
      <c r="N350" s="167"/>
      <c r="O350" s="167"/>
      <c r="P350" s="167"/>
      <c r="Q350" s="68"/>
    </row>
    <row r="351" spans="1:17" ht="14.4" hidden="1" x14ac:dyDescent="0.3">
      <c r="A351" s="55" t="s">
        <v>56</v>
      </c>
      <c r="B351" s="55"/>
      <c r="C351" s="56" t="s">
        <v>44</v>
      </c>
      <c r="D351" s="180"/>
      <c r="E351" s="180"/>
      <c r="F351" s="180"/>
      <c r="G351" s="180"/>
      <c r="H351" s="180"/>
      <c r="I351" s="180"/>
      <c r="J351" s="180"/>
      <c r="K351" s="180"/>
      <c r="L351" s="180"/>
      <c r="M351" s="180"/>
      <c r="N351" s="180"/>
      <c r="O351" s="180"/>
      <c r="P351" s="180"/>
      <c r="Q351" s="68"/>
    </row>
    <row r="352" spans="1:17" ht="14.4" hidden="1" x14ac:dyDescent="0.3">
      <c r="A352" s="55" t="s">
        <v>57</v>
      </c>
      <c r="B352" s="55"/>
      <c r="C352" s="56" t="s">
        <v>44</v>
      </c>
      <c r="D352" s="180"/>
      <c r="E352" s="180"/>
      <c r="F352" s="180"/>
      <c r="G352" s="180"/>
      <c r="H352" s="180"/>
      <c r="I352" s="180"/>
      <c r="J352" s="180"/>
      <c r="K352" s="180"/>
      <c r="L352" s="180"/>
      <c r="M352" s="180"/>
      <c r="N352" s="180"/>
      <c r="O352" s="180"/>
      <c r="P352" s="180"/>
      <c r="Q352" s="68"/>
    </row>
    <row r="353" spans="1:17" hidden="1" x14ac:dyDescent="0.3">
      <c r="Q353" s="68"/>
    </row>
    <row r="354" spans="1:17" ht="18" hidden="1" x14ac:dyDescent="0.35">
      <c r="A354" s="59" t="str">
        <f>'[41]Statistical data'!A214</f>
        <v>Customer Class with mix rate1</v>
      </c>
      <c r="B354" s="59"/>
      <c r="C354" s="5" t="s">
        <v>190</v>
      </c>
      <c r="D354" s="160"/>
      <c r="E354" s="160"/>
      <c r="F354" s="160"/>
      <c r="G354" s="160"/>
      <c r="H354" s="160"/>
      <c r="I354" s="160"/>
      <c r="J354" s="160"/>
      <c r="K354" s="160"/>
      <c r="L354" s="160"/>
      <c r="M354" s="160"/>
      <c r="N354" s="160"/>
      <c r="O354" s="160"/>
      <c r="P354" s="160"/>
      <c r="Q354" s="68"/>
    </row>
    <row r="355" spans="1:17" ht="27" hidden="1" customHeight="1" x14ac:dyDescent="0.3">
      <c r="A355" s="161" t="s">
        <v>3</v>
      </c>
      <c r="B355" s="161"/>
      <c r="C355" s="161" t="s">
        <v>4</v>
      </c>
      <c r="D355" s="161" t="s">
        <v>15</v>
      </c>
      <c r="E355" s="161" t="s">
        <v>15</v>
      </c>
      <c r="F355" s="161" t="s">
        <v>15</v>
      </c>
      <c r="G355" s="161" t="s">
        <v>15</v>
      </c>
      <c r="H355" s="161" t="s">
        <v>15</v>
      </c>
      <c r="I355" s="161" t="s">
        <v>15</v>
      </c>
      <c r="J355" s="161" t="s">
        <v>15</v>
      </c>
      <c r="K355" s="161" t="s">
        <v>15</v>
      </c>
      <c r="L355" s="161" t="s">
        <v>15</v>
      </c>
      <c r="M355" s="161" t="s">
        <v>15</v>
      </c>
      <c r="N355" s="161" t="s">
        <v>15</v>
      </c>
      <c r="O355" s="161" t="s">
        <v>15</v>
      </c>
      <c r="P355" s="161" t="s">
        <v>15</v>
      </c>
      <c r="Q355" s="68"/>
    </row>
    <row r="356" spans="1:17" ht="14.4" hidden="1" x14ac:dyDescent="0.3">
      <c r="A356" s="162" t="s">
        <v>17</v>
      </c>
      <c r="B356" s="163"/>
      <c r="C356" s="56"/>
      <c r="D356" s="164"/>
      <c r="E356" s="164"/>
      <c r="F356" s="164"/>
      <c r="G356" s="164"/>
      <c r="H356" s="164"/>
      <c r="I356" s="164"/>
      <c r="J356" s="164"/>
      <c r="K356" s="164"/>
      <c r="L356" s="164"/>
      <c r="M356" s="164"/>
      <c r="N356" s="164"/>
      <c r="O356" s="164"/>
      <c r="P356" s="164"/>
      <c r="Q356" s="68"/>
    </row>
    <row r="357" spans="1:17" ht="14.4" hidden="1" x14ac:dyDescent="0.3">
      <c r="A357" s="55" t="s">
        <v>18</v>
      </c>
      <c r="B357" s="165"/>
      <c r="C357" s="56" t="s">
        <v>19</v>
      </c>
      <c r="D357" s="166"/>
      <c r="E357" s="166"/>
      <c r="F357" s="166"/>
      <c r="G357" s="166"/>
      <c r="H357" s="166"/>
      <c r="I357" s="166"/>
      <c r="J357" s="166"/>
      <c r="K357" s="166"/>
      <c r="L357" s="166"/>
      <c r="M357" s="166"/>
      <c r="N357" s="166"/>
      <c r="O357" s="166"/>
      <c r="P357" s="166"/>
      <c r="Q357" s="68"/>
    </row>
    <row r="358" spans="1:17" ht="14.4" hidden="1" x14ac:dyDescent="0.3">
      <c r="A358" s="55" t="s">
        <v>66</v>
      </c>
      <c r="B358" s="165"/>
      <c r="C358" s="56" t="s">
        <v>19</v>
      </c>
      <c r="D358" s="166"/>
      <c r="E358" s="166"/>
      <c r="F358" s="166"/>
      <c r="G358" s="166"/>
      <c r="H358" s="166"/>
      <c r="I358" s="166"/>
      <c r="J358" s="166"/>
      <c r="K358" s="166"/>
      <c r="L358" s="166"/>
      <c r="M358" s="166"/>
      <c r="N358" s="166"/>
      <c r="O358" s="166"/>
      <c r="P358" s="166"/>
      <c r="Q358" s="68"/>
    </row>
    <row r="359" spans="1:17" ht="14.4" hidden="1" x14ac:dyDescent="0.3">
      <c r="A359" s="162" t="s">
        <v>20</v>
      </c>
      <c r="B359" s="163"/>
      <c r="C359" s="56"/>
      <c r="D359" s="168"/>
      <c r="E359" s="168"/>
      <c r="F359" s="168"/>
      <c r="G359" s="168"/>
      <c r="H359" s="168"/>
      <c r="I359" s="168"/>
      <c r="J359" s="168"/>
      <c r="K359" s="168"/>
      <c r="L359" s="168"/>
      <c r="M359" s="168"/>
      <c r="N359" s="168"/>
      <c r="O359" s="168"/>
      <c r="P359" s="168"/>
      <c r="Q359" s="68"/>
    </row>
    <row r="360" spans="1:17" ht="14.4" hidden="1" x14ac:dyDescent="0.3">
      <c r="A360" s="55" t="s">
        <v>21</v>
      </c>
      <c r="B360" s="165"/>
      <c r="C360" s="56" t="s">
        <v>19</v>
      </c>
      <c r="D360" s="166"/>
      <c r="E360" s="166"/>
      <c r="F360" s="166"/>
      <c r="G360" s="166"/>
      <c r="H360" s="166"/>
      <c r="I360" s="166"/>
      <c r="J360" s="166"/>
      <c r="K360" s="166"/>
      <c r="L360" s="166"/>
      <c r="M360" s="166"/>
      <c r="N360" s="166"/>
      <c r="O360" s="166"/>
      <c r="P360" s="166"/>
      <c r="Q360" s="68"/>
    </row>
    <row r="361" spans="1:17" ht="14.4" hidden="1" x14ac:dyDescent="0.3">
      <c r="A361" s="55" t="s">
        <v>22</v>
      </c>
      <c r="B361" s="165"/>
      <c r="C361" s="56" t="s">
        <v>23</v>
      </c>
      <c r="D361" s="166"/>
      <c r="E361" s="166"/>
      <c r="F361" s="166"/>
      <c r="G361" s="166"/>
      <c r="H361" s="166"/>
      <c r="I361" s="166"/>
      <c r="J361" s="166"/>
      <c r="K361" s="166"/>
      <c r="L361" s="166"/>
      <c r="M361" s="166"/>
      <c r="N361" s="166"/>
      <c r="O361" s="166"/>
      <c r="P361" s="166"/>
      <c r="Q361" s="68"/>
    </row>
    <row r="362" spans="1:17" ht="14.4" hidden="1" x14ac:dyDescent="0.3">
      <c r="A362" s="162" t="s">
        <v>24</v>
      </c>
      <c r="B362" s="163"/>
      <c r="C362" s="56"/>
      <c r="D362" s="168"/>
      <c r="E362" s="168"/>
      <c r="F362" s="168"/>
      <c r="G362" s="168"/>
      <c r="H362" s="168"/>
      <c r="I362" s="168"/>
      <c r="J362" s="168"/>
      <c r="K362" s="168"/>
      <c r="L362" s="168"/>
      <c r="M362" s="168"/>
      <c r="N362" s="168"/>
      <c r="O362" s="168"/>
      <c r="P362" s="168"/>
      <c r="Q362" s="68"/>
    </row>
    <row r="363" spans="1:17" ht="14.4" hidden="1" x14ac:dyDescent="0.3">
      <c r="A363" s="55" t="s">
        <v>25</v>
      </c>
      <c r="B363" s="165"/>
      <c r="C363" s="56" t="s">
        <v>19</v>
      </c>
      <c r="D363" s="166"/>
      <c r="E363" s="166"/>
      <c r="F363" s="166"/>
      <c r="G363" s="166"/>
      <c r="H363" s="166"/>
      <c r="I363" s="166"/>
      <c r="J363" s="166"/>
      <c r="K363" s="166"/>
      <c r="L363" s="166"/>
      <c r="M363" s="166"/>
      <c r="N363" s="166"/>
      <c r="O363" s="166"/>
      <c r="P363" s="166"/>
      <c r="Q363" s="68"/>
    </row>
    <row r="364" spans="1:17" ht="14.4" hidden="1" x14ac:dyDescent="0.3">
      <c r="A364" s="162" t="s">
        <v>26</v>
      </c>
      <c r="B364" s="162"/>
      <c r="C364" s="56"/>
      <c r="D364" s="170"/>
      <c r="E364" s="170"/>
      <c r="F364" s="170"/>
      <c r="G364" s="170"/>
      <c r="H364" s="170"/>
      <c r="I364" s="170"/>
      <c r="J364" s="170"/>
      <c r="K364" s="170"/>
      <c r="L364" s="170"/>
      <c r="M364" s="170"/>
      <c r="N364" s="170"/>
      <c r="O364" s="170"/>
      <c r="P364" s="170"/>
      <c r="Q364" s="68"/>
    </row>
    <row r="365" spans="1:17" ht="14.4" hidden="1" x14ac:dyDescent="0.3">
      <c r="A365" s="55" t="s">
        <v>27</v>
      </c>
      <c r="B365" s="55"/>
      <c r="C365" s="56" t="s">
        <v>19</v>
      </c>
      <c r="D365" s="167"/>
      <c r="E365" s="167"/>
      <c r="F365" s="167"/>
      <c r="G365" s="167"/>
      <c r="H365" s="167"/>
      <c r="I365" s="167"/>
      <c r="J365" s="167"/>
      <c r="K365" s="167"/>
      <c r="L365" s="167"/>
      <c r="M365" s="167"/>
      <c r="N365" s="167"/>
      <c r="O365" s="167"/>
      <c r="P365" s="167"/>
      <c r="Q365" s="68"/>
    </row>
    <row r="366" spans="1:17" ht="14.4" hidden="1" x14ac:dyDescent="0.3">
      <c r="A366" s="55" t="s">
        <v>28</v>
      </c>
      <c r="B366" s="55"/>
      <c r="C366" s="56" t="s">
        <v>23</v>
      </c>
      <c r="D366" s="167"/>
      <c r="E366" s="167"/>
      <c r="F366" s="167"/>
      <c r="G366" s="167"/>
      <c r="H366" s="167"/>
      <c r="I366" s="167"/>
      <c r="J366" s="167"/>
      <c r="K366" s="167"/>
      <c r="L366" s="167"/>
      <c r="M366" s="167"/>
      <c r="N366" s="167"/>
      <c r="O366" s="167"/>
      <c r="P366" s="167"/>
      <c r="Q366" s="68"/>
    </row>
    <row r="367" spans="1:17" ht="14.4" hidden="1" x14ac:dyDescent="0.3">
      <c r="A367" s="162" t="s">
        <v>29</v>
      </c>
      <c r="B367" s="162"/>
      <c r="C367" s="56"/>
      <c r="D367" s="171"/>
      <c r="E367" s="171"/>
      <c r="F367" s="171"/>
      <c r="G367" s="171"/>
      <c r="H367" s="171"/>
      <c r="I367" s="171"/>
      <c r="J367" s="171"/>
      <c r="K367" s="171"/>
      <c r="L367" s="171"/>
      <c r="M367" s="171"/>
      <c r="N367" s="171"/>
      <c r="O367" s="171"/>
      <c r="P367" s="171"/>
      <c r="Q367" s="68"/>
    </row>
    <row r="368" spans="1:17" ht="14.4" hidden="1" x14ac:dyDescent="0.3">
      <c r="A368" s="55" t="s">
        <v>30</v>
      </c>
      <c r="B368" s="55"/>
      <c r="C368" s="56" t="s">
        <v>19</v>
      </c>
      <c r="D368" s="167"/>
      <c r="E368" s="167"/>
      <c r="F368" s="167"/>
      <c r="G368" s="167"/>
      <c r="H368" s="167"/>
      <c r="I368" s="167"/>
      <c r="J368" s="167"/>
      <c r="K368" s="167"/>
      <c r="L368" s="167"/>
      <c r="M368" s="167"/>
      <c r="N368" s="167"/>
      <c r="O368" s="167"/>
      <c r="P368" s="167"/>
      <c r="Q368" s="68"/>
    </row>
    <row r="369" spans="1:17" ht="14.4" hidden="1" x14ac:dyDescent="0.3">
      <c r="A369" s="55" t="s">
        <v>31</v>
      </c>
      <c r="B369" s="55"/>
      <c r="C369" s="56" t="s">
        <v>32</v>
      </c>
      <c r="D369" s="167"/>
      <c r="E369" s="167"/>
      <c r="F369" s="167"/>
      <c r="G369" s="167"/>
      <c r="H369" s="167"/>
      <c r="I369" s="167"/>
      <c r="J369" s="167"/>
      <c r="K369" s="167"/>
      <c r="L369" s="167"/>
      <c r="M369" s="167"/>
      <c r="N369" s="167"/>
      <c r="O369" s="167"/>
      <c r="P369" s="167"/>
      <c r="Q369" s="68"/>
    </row>
    <row r="370" spans="1:17" ht="14.4" hidden="1" x14ac:dyDescent="0.3">
      <c r="A370" s="162" t="s">
        <v>33</v>
      </c>
      <c r="B370" s="162"/>
      <c r="C370" s="56"/>
      <c r="D370" s="171"/>
      <c r="E370" s="171"/>
      <c r="F370" s="171"/>
      <c r="G370" s="171"/>
      <c r="H370" s="171"/>
      <c r="I370" s="171"/>
      <c r="J370" s="171"/>
      <c r="K370" s="171"/>
      <c r="L370" s="171"/>
      <c r="M370" s="171"/>
      <c r="N370" s="171"/>
      <c r="O370" s="171"/>
      <c r="P370" s="171"/>
      <c r="Q370" s="68"/>
    </row>
    <row r="371" spans="1:17" ht="14.4" hidden="1" x14ac:dyDescent="0.3">
      <c r="A371" s="55" t="s">
        <v>34</v>
      </c>
      <c r="B371" s="55"/>
      <c r="C371" s="56" t="s">
        <v>19</v>
      </c>
      <c r="D371" s="167"/>
      <c r="E371" s="167"/>
      <c r="F371" s="167"/>
      <c r="G371" s="167"/>
      <c r="H371" s="167"/>
      <c r="I371" s="167"/>
      <c r="J371" s="167"/>
      <c r="K371" s="167"/>
      <c r="L371" s="167"/>
      <c r="M371" s="167"/>
      <c r="N371" s="167"/>
      <c r="O371" s="167"/>
      <c r="P371" s="167"/>
      <c r="Q371" s="68"/>
    </row>
    <row r="372" spans="1:17" ht="14.4" hidden="1" x14ac:dyDescent="0.3">
      <c r="A372" s="55" t="s">
        <v>35</v>
      </c>
      <c r="B372" s="55"/>
      <c r="C372" s="56" t="s">
        <v>36</v>
      </c>
      <c r="D372" s="167"/>
      <c r="E372" s="167"/>
      <c r="F372" s="167"/>
      <c r="G372" s="167"/>
      <c r="H372" s="167"/>
      <c r="I372" s="167"/>
      <c r="J372" s="167"/>
      <c r="K372" s="167"/>
      <c r="L372" s="167"/>
      <c r="M372" s="167"/>
      <c r="N372" s="167"/>
      <c r="O372" s="167"/>
      <c r="P372" s="167"/>
      <c r="Q372" s="68"/>
    </row>
    <row r="373" spans="1:17" ht="14.4" hidden="1" x14ac:dyDescent="0.3">
      <c r="A373" s="162" t="s">
        <v>37</v>
      </c>
      <c r="B373" s="162"/>
      <c r="C373" s="56"/>
      <c r="D373" s="171"/>
      <c r="E373" s="171"/>
      <c r="F373" s="171"/>
      <c r="G373" s="171"/>
      <c r="H373" s="171"/>
      <c r="I373" s="171"/>
      <c r="J373" s="171"/>
      <c r="K373" s="171"/>
      <c r="L373" s="171"/>
      <c r="M373" s="171"/>
      <c r="N373" s="171"/>
      <c r="O373" s="171"/>
      <c r="P373" s="171"/>
      <c r="Q373" s="68"/>
    </row>
    <row r="374" spans="1:17" ht="14.4" hidden="1" x14ac:dyDescent="0.3">
      <c r="A374" s="172" t="s">
        <v>38</v>
      </c>
      <c r="B374" s="55"/>
      <c r="C374" s="56" t="s">
        <v>19</v>
      </c>
      <c r="D374" s="167"/>
      <c r="E374" s="167"/>
      <c r="F374" s="167"/>
      <c r="G374" s="167"/>
      <c r="H374" s="167"/>
      <c r="I374" s="167"/>
      <c r="J374" s="167"/>
      <c r="K374" s="167"/>
      <c r="L374" s="167"/>
      <c r="M374" s="167"/>
      <c r="N374" s="167"/>
      <c r="O374" s="167"/>
      <c r="P374" s="167"/>
      <c r="Q374" s="68"/>
    </row>
    <row r="375" spans="1:17" ht="14.4" hidden="1" x14ac:dyDescent="0.3">
      <c r="A375" s="172" t="s">
        <v>39</v>
      </c>
      <c r="B375" s="55"/>
      <c r="C375" s="56" t="s">
        <v>19</v>
      </c>
      <c r="D375" s="167"/>
      <c r="E375" s="167"/>
      <c r="F375" s="167"/>
      <c r="G375" s="167"/>
      <c r="H375" s="167"/>
      <c r="I375" s="167"/>
      <c r="J375" s="167"/>
      <c r="K375" s="167"/>
      <c r="L375" s="167"/>
      <c r="M375" s="167"/>
      <c r="N375" s="167"/>
      <c r="O375" s="167"/>
      <c r="P375" s="167"/>
      <c r="Q375" s="68"/>
    </row>
    <row r="376" spans="1:17" ht="14.4" hidden="1" x14ac:dyDescent="0.3">
      <c r="A376" s="172" t="s">
        <v>180</v>
      </c>
      <c r="B376" s="55"/>
      <c r="C376" s="56" t="s">
        <v>19</v>
      </c>
      <c r="D376" s="167"/>
      <c r="E376" s="167"/>
      <c r="F376" s="167"/>
      <c r="G376" s="167"/>
      <c r="H376" s="167"/>
      <c r="I376" s="167"/>
      <c r="J376" s="167"/>
      <c r="K376" s="167"/>
      <c r="L376" s="167"/>
      <c r="M376" s="167"/>
      <c r="N376" s="167"/>
      <c r="O376" s="167"/>
      <c r="P376" s="167"/>
      <c r="Q376" s="68"/>
    </row>
    <row r="377" spans="1:17" ht="14.4" hidden="1" x14ac:dyDescent="0.3">
      <c r="A377" s="173" t="s">
        <v>40</v>
      </c>
      <c r="B377" s="55"/>
      <c r="C377" s="56" t="s">
        <v>19</v>
      </c>
      <c r="D377" s="167"/>
      <c r="E377" s="167"/>
      <c r="F377" s="167"/>
      <c r="G377" s="167"/>
      <c r="H377" s="167"/>
      <c r="I377" s="167"/>
      <c r="J377" s="167"/>
      <c r="K377" s="167"/>
      <c r="L377" s="167"/>
      <c r="M377" s="167"/>
      <c r="N377" s="167"/>
      <c r="O377" s="167"/>
      <c r="P377" s="167"/>
      <c r="Q377" s="68"/>
    </row>
    <row r="378" spans="1:17" ht="14.4" hidden="1" x14ac:dyDescent="0.3">
      <c r="A378" s="173" t="s">
        <v>41</v>
      </c>
      <c r="B378" s="55"/>
      <c r="C378" s="56" t="s">
        <v>19</v>
      </c>
      <c r="D378" s="167"/>
      <c r="E378" s="167"/>
      <c r="F378" s="167"/>
      <c r="G378" s="167"/>
      <c r="H378" s="167"/>
      <c r="I378" s="167"/>
      <c r="J378" s="167"/>
      <c r="K378" s="167"/>
      <c r="L378" s="167"/>
      <c r="M378" s="167"/>
      <c r="N378" s="167"/>
      <c r="O378" s="167"/>
      <c r="P378" s="167"/>
      <c r="Q378" s="68"/>
    </row>
    <row r="379" spans="1:17" ht="16.2" hidden="1" x14ac:dyDescent="0.3">
      <c r="A379" s="174" t="s">
        <v>182</v>
      </c>
      <c r="B379" s="175"/>
      <c r="C379" s="56" t="s">
        <v>19</v>
      </c>
      <c r="D379" s="167"/>
      <c r="E379" s="167"/>
      <c r="F379" s="167"/>
      <c r="G379" s="167"/>
      <c r="H379" s="167"/>
      <c r="I379" s="167"/>
      <c r="J379" s="167"/>
      <c r="K379" s="167"/>
      <c r="L379" s="167"/>
      <c r="M379" s="167"/>
      <c r="N379" s="167"/>
      <c r="O379" s="167"/>
      <c r="P379" s="167"/>
      <c r="Q379" s="68"/>
    </row>
    <row r="380" spans="1:17" ht="16.2" hidden="1" x14ac:dyDescent="0.3">
      <c r="A380" s="174" t="s">
        <v>182</v>
      </c>
      <c r="B380" s="175"/>
      <c r="C380" s="56" t="s">
        <v>19</v>
      </c>
      <c r="D380" s="167"/>
      <c r="E380" s="167"/>
      <c r="F380" s="167"/>
      <c r="G380" s="167"/>
      <c r="H380" s="167"/>
      <c r="I380" s="167"/>
      <c r="J380" s="167"/>
      <c r="K380" s="167"/>
      <c r="L380" s="167"/>
      <c r="M380" s="167"/>
      <c r="N380" s="167"/>
      <c r="O380" s="167"/>
      <c r="P380" s="167"/>
      <c r="Q380" s="68"/>
    </row>
    <row r="381" spans="1:17" ht="16.2" hidden="1" x14ac:dyDescent="0.3">
      <c r="A381" s="174" t="s">
        <v>182</v>
      </c>
      <c r="B381" s="176"/>
      <c r="C381" s="56" t="s">
        <v>19</v>
      </c>
      <c r="D381" s="167"/>
      <c r="E381" s="167"/>
      <c r="F381" s="167"/>
      <c r="G381" s="167"/>
      <c r="H381" s="167"/>
      <c r="I381" s="167"/>
      <c r="J381" s="167"/>
      <c r="K381" s="167"/>
      <c r="L381" s="167"/>
      <c r="M381" s="167"/>
      <c r="N381" s="167"/>
      <c r="O381" s="167"/>
      <c r="P381" s="167"/>
      <c r="Q381" s="68"/>
    </row>
    <row r="382" spans="1:17" ht="14.4" hidden="1" x14ac:dyDescent="0.3">
      <c r="A382" s="162" t="s">
        <v>42</v>
      </c>
      <c r="B382" s="162"/>
      <c r="C382" s="56"/>
      <c r="D382" s="171"/>
      <c r="E382" s="171"/>
      <c r="F382" s="171"/>
      <c r="G382" s="171"/>
      <c r="H382" s="171"/>
      <c r="I382" s="171"/>
      <c r="J382" s="171"/>
      <c r="K382" s="171"/>
      <c r="L382" s="171"/>
      <c r="M382" s="171"/>
      <c r="N382" s="171"/>
      <c r="O382" s="171"/>
      <c r="P382" s="171"/>
      <c r="Q382" s="68"/>
    </row>
    <row r="383" spans="1:17" ht="14.4" hidden="1" x14ac:dyDescent="0.3">
      <c r="A383" s="162" t="s">
        <v>191</v>
      </c>
      <c r="B383" s="162"/>
      <c r="C383" s="56" t="s">
        <v>44</v>
      </c>
      <c r="D383" s="177"/>
      <c r="E383" s="177"/>
      <c r="F383" s="177"/>
      <c r="G383" s="177"/>
      <c r="H383" s="177"/>
      <c r="I383" s="177"/>
      <c r="J383" s="177"/>
      <c r="K383" s="177"/>
      <c r="L383" s="177"/>
      <c r="M383" s="177"/>
      <c r="N383" s="177"/>
      <c r="O383" s="177"/>
      <c r="P383" s="177"/>
      <c r="Q383" s="68"/>
    </row>
    <row r="384" spans="1:17" ht="14.4" hidden="1" x14ac:dyDescent="0.3">
      <c r="A384" s="162" t="s">
        <v>183</v>
      </c>
      <c r="B384" s="162"/>
      <c r="C384" s="56"/>
      <c r="D384" s="178"/>
      <c r="E384" s="178"/>
      <c r="F384" s="178"/>
      <c r="G384" s="178"/>
      <c r="H384" s="178"/>
      <c r="I384" s="178"/>
      <c r="J384" s="178"/>
      <c r="K384" s="178"/>
      <c r="L384" s="178"/>
      <c r="M384" s="178"/>
      <c r="N384" s="178"/>
      <c r="O384" s="178"/>
      <c r="P384" s="178"/>
      <c r="Q384" s="68"/>
    </row>
    <row r="385" spans="1:17" ht="14.4" hidden="1" x14ac:dyDescent="0.3">
      <c r="A385" s="162" t="s">
        <v>184</v>
      </c>
      <c r="B385" s="162"/>
      <c r="C385" s="56" t="s">
        <v>19</v>
      </c>
      <c r="D385" s="167"/>
      <c r="E385" s="167"/>
      <c r="F385" s="167"/>
      <c r="G385" s="167"/>
      <c r="H385" s="167"/>
      <c r="I385" s="167"/>
      <c r="J385" s="167"/>
      <c r="K385" s="167"/>
      <c r="L385" s="167"/>
      <c r="M385" s="167"/>
      <c r="N385" s="167"/>
      <c r="O385" s="167"/>
      <c r="P385" s="167"/>
      <c r="Q385" s="68"/>
    </row>
    <row r="386" spans="1:17" ht="14.4" hidden="1" x14ac:dyDescent="0.3">
      <c r="A386" s="162" t="s">
        <v>45</v>
      </c>
      <c r="B386" s="162"/>
      <c r="C386" s="56"/>
      <c r="D386" s="178"/>
      <c r="E386" s="178"/>
      <c r="F386" s="178"/>
      <c r="G386" s="178"/>
      <c r="H386" s="178"/>
      <c r="I386" s="178"/>
      <c r="J386" s="178"/>
      <c r="K386" s="178"/>
      <c r="L386" s="178"/>
      <c r="M386" s="178"/>
      <c r="N386" s="178"/>
      <c r="O386" s="178"/>
      <c r="P386" s="178"/>
      <c r="Q386" s="68"/>
    </row>
    <row r="387" spans="1:17" ht="14.4" hidden="1" x14ac:dyDescent="0.3">
      <c r="A387" s="162" t="s">
        <v>46</v>
      </c>
      <c r="B387" s="162"/>
      <c r="C387" s="56" t="s">
        <v>19</v>
      </c>
      <c r="D387" s="167"/>
      <c r="E387" s="167"/>
      <c r="F387" s="167"/>
      <c r="G387" s="167"/>
      <c r="H387" s="167"/>
      <c r="I387" s="167"/>
      <c r="J387" s="167"/>
      <c r="K387" s="167"/>
      <c r="L387" s="167"/>
      <c r="M387" s="167"/>
      <c r="N387" s="167"/>
      <c r="O387" s="167"/>
      <c r="P387" s="167"/>
      <c r="Q387" s="68"/>
    </row>
    <row r="388" spans="1:17" ht="14.4" hidden="1" x14ac:dyDescent="0.3">
      <c r="A388" s="162" t="s">
        <v>185</v>
      </c>
      <c r="B388" s="162"/>
      <c r="C388" s="56"/>
      <c r="D388" s="178"/>
      <c r="E388" s="178"/>
      <c r="F388" s="178"/>
      <c r="G388" s="178"/>
      <c r="H388" s="178"/>
      <c r="I388" s="178"/>
      <c r="J388" s="178"/>
      <c r="K388" s="178"/>
      <c r="L388" s="178"/>
      <c r="M388" s="178"/>
      <c r="N388" s="178"/>
      <c r="O388" s="178"/>
      <c r="P388" s="178"/>
      <c r="Q388" s="68"/>
    </row>
    <row r="389" spans="1:17" ht="14.4" hidden="1" x14ac:dyDescent="0.3">
      <c r="A389" s="162" t="s">
        <v>186</v>
      </c>
      <c r="B389" s="162"/>
      <c r="C389" s="56" t="s">
        <v>19</v>
      </c>
      <c r="D389" s="167"/>
      <c r="E389" s="167"/>
      <c r="F389" s="167"/>
      <c r="G389" s="167"/>
      <c r="H389" s="167"/>
      <c r="I389" s="167"/>
      <c r="J389" s="167"/>
      <c r="K389" s="167"/>
      <c r="L389" s="167"/>
      <c r="M389" s="167"/>
      <c r="N389" s="167"/>
      <c r="O389" s="167"/>
      <c r="P389" s="167"/>
      <c r="Q389" s="68"/>
    </row>
    <row r="390" spans="1:17" ht="14.4" hidden="1" x14ac:dyDescent="0.3">
      <c r="A390" s="162" t="s">
        <v>47</v>
      </c>
      <c r="B390" s="162"/>
      <c r="C390" s="56"/>
      <c r="D390" s="171"/>
      <c r="E390" s="171"/>
      <c r="F390" s="171"/>
      <c r="G390" s="171"/>
      <c r="H390" s="171"/>
      <c r="I390" s="171"/>
      <c r="J390" s="171"/>
      <c r="K390" s="171"/>
      <c r="L390" s="171"/>
      <c r="M390" s="171"/>
      <c r="N390" s="171"/>
      <c r="O390" s="171"/>
      <c r="P390" s="171"/>
      <c r="Q390" s="68"/>
    </row>
    <row r="391" spans="1:17" ht="14.4" hidden="1" x14ac:dyDescent="0.3">
      <c r="A391" s="55" t="s">
        <v>48</v>
      </c>
      <c r="B391" s="55"/>
      <c r="C391" s="56" t="s">
        <v>19</v>
      </c>
      <c r="D391" s="167"/>
      <c r="E391" s="167"/>
      <c r="F391" s="167"/>
      <c r="G391" s="167"/>
      <c r="H391" s="167"/>
      <c r="I391" s="167"/>
      <c r="J391" s="167"/>
      <c r="K391" s="167"/>
      <c r="L391" s="167"/>
      <c r="M391" s="167"/>
      <c r="N391" s="167"/>
      <c r="O391" s="167"/>
      <c r="P391" s="167"/>
      <c r="Q391" s="68"/>
    </row>
    <row r="392" spans="1:17" ht="14.4" hidden="1" x14ac:dyDescent="0.3">
      <c r="A392" s="55" t="s">
        <v>49</v>
      </c>
      <c r="B392" s="55"/>
      <c r="C392" s="56" t="s">
        <v>19</v>
      </c>
      <c r="D392" s="167"/>
      <c r="E392" s="167"/>
      <c r="F392" s="167"/>
      <c r="G392" s="167"/>
      <c r="H392" s="167"/>
      <c r="I392" s="167"/>
      <c r="J392" s="167"/>
      <c r="K392" s="167"/>
      <c r="L392" s="167"/>
      <c r="M392" s="167"/>
      <c r="N392" s="167"/>
      <c r="O392" s="167"/>
      <c r="P392" s="167"/>
      <c r="Q392" s="68"/>
    </row>
    <row r="393" spans="1:17" ht="14.4" hidden="1" x14ac:dyDescent="0.3">
      <c r="A393" s="162" t="s">
        <v>52</v>
      </c>
      <c r="B393" s="162"/>
      <c r="C393" s="179"/>
      <c r="D393" s="170"/>
      <c r="E393" s="170"/>
      <c r="F393" s="170"/>
      <c r="G393" s="170"/>
      <c r="H393" s="170"/>
      <c r="I393" s="170"/>
      <c r="J393" s="170"/>
      <c r="K393" s="170"/>
      <c r="L393" s="170"/>
      <c r="M393" s="170"/>
      <c r="N393" s="170"/>
      <c r="O393" s="170"/>
      <c r="P393" s="170"/>
      <c r="Q393" s="68"/>
    </row>
    <row r="394" spans="1:17" ht="14.4" hidden="1" x14ac:dyDescent="0.3">
      <c r="A394" s="55" t="s">
        <v>53</v>
      </c>
      <c r="B394" s="55"/>
      <c r="C394" s="56" t="s">
        <v>44</v>
      </c>
      <c r="D394" s="167"/>
      <c r="E394" s="167"/>
      <c r="F394" s="167"/>
      <c r="G394" s="167"/>
      <c r="H394" s="167"/>
      <c r="I394" s="167"/>
      <c r="J394" s="167"/>
      <c r="K394" s="167"/>
      <c r="L394" s="167"/>
      <c r="M394" s="167"/>
      <c r="N394" s="167"/>
      <c r="O394" s="167"/>
      <c r="P394" s="167"/>
      <c r="Q394" s="68"/>
    </row>
    <row r="395" spans="1:17" ht="14.4" hidden="1" x14ac:dyDescent="0.3">
      <c r="A395" s="55" t="s">
        <v>54</v>
      </c>
      <c r="B395" s="55"/>
      <c r="C395" s="56" t="s">
        <v>44</v>
      </c>
      <c r="D395" s="167"/>
      <c r="E395" s="167"/>
      <c r="F395" s="167"/>
      <c r="G395" s="167"/>
      <c r="H395" s="167"/>
      <c r="I395" s="167"/>
      <c r="J395" s="167"/>
      <c r="K395" s="167"/>
      <c r="L395" s="167"/>
      <c r="M395" s="167"/>
      <c r="N395" s="167"/>
      <c r="O395" s="167"/>
      <c r="P395" s="167"/>
      <c r="Q395" s="68"/>
    </row>
    <row r="396" spans="1:17" ht="14.4" hidden="1" x14ac:dyDescent="0.3">
      <c r="A396" s="55" t="s">
        <v>55</v>
      </c>
      <c r="B396" s="55"/>
      <c r="C396" s="56" t="s">
        <v>44</v>
      </c>
      <c r="D396" s="167"/>
      <c r="E396" s="167"/>
      <c r="F396" s="167"/>
      <c r="G396" s="167"/>
      <c r="H396" s="167"/>
      <c r="I396" s="167"/>
      <c r="J396" s="167"/>
      <c r="K396" s="167"/>
      <c r="L396" s="167"/>
      <c r="M396" s="167"/>
      <c r="N396" s="167"/>
      <c r="O396" s="167"/>
      <c r="P396" s="167"/>
      <c r="Q396" s="68"/>
    </row>
    <row r="397" spans="1:17" ht="14.4" hidden="1" x14ac:dyDescent="0.3">
      <c r="A397" s="55" t="s">
        <v>187</v>
      </c>
      <c r="B397" s="55"/>
      <c r="C397" s="56" t="s">
        <v>44</v>
      </c>
      <c r="D397" s="167"/>
      <c r="E397" s="167"/>
      <c r="F397" s="167"/>
      <c r="G397" s="167"/>
      <c r="H397" s="167"/>
      <c r="I397" s="167"/>
      <c r="J397" s="167"/>
      <c r="K397" s="167"/>
      <c r="L397" s="167"/>
      <c r="M397" s="167"/>
      <c r="N397" s="167"/>
      <c r="O397" s="167"/>
      <c r="P397" s="167"/>
      <c r="Q397" s="68"/>
    </row>
    <row r="398" spans="1:17" ht="14.4" hidden="1" x14ac:dyDescent="0.3">
      <c r="A398" s="55" t="s">
        <v>188</v>
      </c>
      <c r="B398" s="55"/>
      <c r="C398" s="56" t="s">
        <v>44</v>
      </c>
      <c r="D398" s="167"/>
      <c r="E398" s="167"/>
      <c r="F398" s="167"/>
      <c r="G398" s="167"/>
      <c r="H398" s="167"/>
      <c r="I398" s="167"/>
      <c r="J398" s="167"/>
      <c r="K398" s="167"/>
      <c r="L398" s="167"/>
      <c r="M398" s="167"/>
      <c r="N398" s="167"/>
      <c r="O398" s="167"/>
      <c r="P398" s="167"/>
      <c r="Q398" s="68"/>
    </row>
    <row r="399" spans="1:17" ht="14.4" hidden="1" x14ac:dyDescent="0.3">
      <c r="A399" s="55" t="s">
        <v>56</v>
      </c>
      <c r="B399" s="55"/>
      <c r="C399" s="56" t="s">
        <v>44</v>
      </c>
      <c r="D399" s="177"/>
      <c r="E399" s="177"/>
      <c r="F399" s="177"/>
      <c r="G399" s="177"/>
      <c r="H399" s="177"/>
      <c r="I399" s="177"/>
      <c r="J399" s="177"/>
      <c r="K399" s="177"/>
      <c r="L399" s="177"/>
      <c r="M399" s="177"/>
      <c r="N399" s="177"/>
      <c r="O399" s="177"/>
      <c r="P399" s="177"/>
      <c r="Q399" s="68"/>
    </row>
    <row r="400" spans="1:17" ht="14.4" hidden="1" x14ac:dyDescent="0.3">
      <c r="A400" s="55" t="s">
        <v>57</v>
      </c>
      <c r="B400" s="55"/>
      <c r="C400" s="56" t="s">
        <v>44</v>
      </c>
      <c r="D400" s="177"/>
      <c r="E400" s="177"/>
      <c r="F400" s="177"/>
      <c r="G400" s="177"/>
      <c r="H400" s="177"/>
      <c r="I400" s="177"/>
      <c r="J400" s="177"/>
      <c r="K400" s="177"/>
      <c r="L400" s="177"/>
      <c r="M400" s="177"/>
      <c r="N400" s="177"/>
      <c r="O400" s="177"/>
      <c r="P400" s="177"/>
      <c r="Q400" s="68"/>
    </row>
    <row r="401" spans="1:17" hidden="1" x14ac:dyDescent="0.3">
      <c r="Q401" s="68"/>
    </row>
    <row r="402" spans="1:17" ht="18" hidden="1" x14ac:dyDescent="0.35">
      <c r="A402" s="59" t="str">
        <f>'[41]Statistical data'!A215</f>
        <v>Customer Class with mix rate2</v>
      </c>
      <c r="B402" s="59"/>
      <c r="C402" s="5" t="s">
        <v>190</v>
      </c>
      <c r="D402" s="160"/>
      <c r="E402" s="160"/>
      <c r="F402" s="160"/>
      <c r="G402" s="160"/>
      <c r="H402" s="160"/>
      <c r="I402" s="160"/>
      <c r="J402" s="160"/>
      <c r="K402" s="160"/>
      <c r="L402" s="160"/>
      <c r="M402" s="160"/>
      <c r="N402" s="160"/>
      <c r="O402" s="160"/>
      <c r="P402" s="160"/>
      <c r="Q402" s="68"/>
    </row>
    <row r="403" spans="1:17" ht="22.5" hidden="1" customHeight="1" x14ac:dyDescent="0.3">
      <c r="A403" s="161" t="s">
        <v>3</v>
      </c>
      <c r="B403" s="161"/>
      <c r="C403" s="161" t="s">
        <v>4</v>
      </c>
      <c r="D403" s="161" t="s">
        <v>15</v>
      </c>
      <c r="E403" s="161" t="s">
        <v>15</v>
      </c>
      <c r="F403" s="161" t="s">
        <v>15</v>
      </c>
      <c r="G403" s="161" t="s">
        <v>15</v>
      </c>
      <c r="H403" s="161" t="s">
        <v>15</v>
      </c>
      <c r="I403" s="161" t="s">
        <v>15</v>
      </c>
      <c r="J403" s="161" t="s">
        <v>15</v>
      </c>
      <c r="K403" s="161" t="s">
        <v>15</v>
      </c>
      <c r="L403" s="161" t="s">
        <v>15</v>
      </c>
      <c r="M403" s="161" t="s">
        <v>15</v>
      </c>
      <c r="N403" s="161" t="s">
        <v>15</v>
      </c>
      <c r="O403" s="161" t="s">
        <v>15</v>
      </c>
      <c r="P403" s="161" t="s">
        <v>15</v>
      </c>
      <c r="Q403" s="68"/>
    </row>
    <row r="404" spans="1:17" ht="14.4" hidden="1" x14ac:dyDescent="0.3">
      <c r="A404" s="162" t="s">
        <v>17</v>
      </c>
      <c r="B404" s="163"/>
      <c r="C404" s="56"/>
      <c r="D404" s="164"/>
      <c r="E404" s="164"/>
      <c r="F404" s="164"/>
      <c r="G404" s="164"/>
      <c r="H404" s="164"/>
      <c r="I404" s="164"/>
      <c r="J404" s="164"/>
      <c r="K404" s="164"/>
      <c r="L404" s="164"/>
      <c r="M404" s="164"/>
      <c r="N404" s="164"/>
      <c r="O404" s="164"/>
      <c r="P404" s="164"/>
      <c r="Q404" s="68"/>
    </row>
    <row r="405" spans="1:17" ht="14.4" hidden="1" x14ac:dyDescent="0.3">
      <c r="A405" s="55" t="s">
        <v>18</v>
      </c>
      <c r="B405" s="165"/>
      <c r="C405" s="56" t="s">
        <v>19</v>
      </c>
      <c r="D405" s="166"/>
      <c r="E405" s="166"/>
      <c r="F405" s="166"/>
      <c r="G405" s="166"/>
      <c r="H405" s="166"/>
      <c r="I405" s="166"/>
      <c r="J405" s="166"/>
      <c r="K405" s="166"/>
      <c r="L405" s="166"/>
      <c r="M405" s="166"/>
      <c r="N405" s="166"/>
      <c r="O405" s="166"/>
      <c r="P405" s="166"/>
      <c r="Q405" s="68"/>
    </row>
    <row r="406" spans="1:17" ht="14.4" hidden="1" x14ac:dyDescent="0.3">
      <c r="A406" s="55" t="s">
        <v>66</v>
      </c>
      <c r="B406" s="165"/>
      <c r="C406" s="56" t="s">
        <v>19</v>
      </c>
      <c r="D406" s="166"/>
      <c r="E406" s="166"/>
      <c r="F406" s="166"/>
      <c r="G406" s="166"/>
      <c r="H406" s="166"/>
      <c r="I406" s="166"/>
      <c r="J406" s="166"/>
      <c r="K406" s="166"/>
      <c r="L406" s="166"/>
      <c r="M406" s="166"/>
      <c r="N406" s="166"/>
      <c r="O406" s="166"/>
      <c r="P406" s="166"/>
      <c r="Q406" s="68"/>
    </row>
    <row r="407" spans="1:17" ht="14.4" hidden="1" x14ac:dyDescent="0.3">
      <c r="A407" s="162" t="s">
        <v>20</v>
      </c>
      <c r="B407" s="163"/>
      <c r="C407" s="56"/>
      <c r="D407" s="168"/>
      <c r="E407" s="168"/>
      <c r="F407" s="168"/>
      <c r="G407" s="168"/>
      <c r="H407" s="168"/>
      <c r="I407" s="168"/>
      <c r="J407" s="168"/>
      <c r="K407" s="168"/>
      <c r="L407" s="168"/>
      <c r="M407" s="168"/>
      <c r="N407" s="168"/>
      <c r="O407" s="168"/>
      <c r="P407" s="168"/>
      <c r="Q407" s="68"/>
    </row>
    <row r="408" spans="1:17" ht="14.4" hidden="1" x14ac:dyDescent="0.3">
      <c r="A408" s="55" t="s">
        <v>21</v>
      </c>
      <c r="B408" s="165"/>
      <c r="C408" s="56" t="s">
        <v>19</v>
      </c>
      <c r="D408" s="166"/>
      <c r="E408" s="166"/>
      <c r="F408" s="166"/>
      <c r="G408" s="166"/>
      <c r="H408" s="166"/>
      <c r="I408" s="166"/>
      <c r="J408" s="166"/>
      <c r="K408" s="166"/>
      <c r="L408" s="166"/>
      <c r="M408" s="166"/>
      <c r="N408" s="166"/>
      <c r="O408" s="166"/>
      <c r="P408" s="166"/>
      <c r="Q408" s="68"/>
    </row>
    <row r="409" spans="1:17" ht="14.4" hidden="1" x14ac:dyDescent="0.3">
      <c r="A409" s="55" t="s">
        <v>22</v>
      </c>
      <c r="B409" s="165"/>
      <c r="C409" s="56" t="s">
        <v>23</v>
      </c>
      <c r="D409" s="166"/>
      <c r="E409" s="166"/>
      <c r="F409" s="166"/>
      <c r="G409" s="166"/>
      <c r="H409" s="166"/>
      <c r="I409" s="166"/>
      <c r="J409" s="166"/>
      <c r="K409" s="166"/>
      <c r="L409" s="166"/>
      <c r="M409" s="166"/>
      <c r="N409" s="166"/>
      <c r="O409" s="166"/>
      <c r="P409" s="166"/>
      <c r="Q409" s="68"/>
    </row>
    <row r="410" spans="1:17" ht="14.4" hidden="1" x14ac:dyDescent="0.3">
      <c r="A410" s="162" t="s">
        <v>24</v>
      </c>
      <c r="B410" s="163"/>
      <c r="C410" s="56"/>
      <c r="D410" s="168"/>
      <c r="E410" s="168"/>
      <c r="F410" s="168"/>
      <c r="G410" s="168"/>
      <c r="H410" s="168"/>
      <c r="I410" s="168"/>
      <c r="J410" s="168"/>
      <c r="K410" s="168"/>
      <c r="L410" s="168"/>
      <c r="M410" s="168"/>
      <c r="N410" s="168"/>
      <c r="O410" s="168"/>
      <c r="P410" s="168"/>
      <c r="Q410" s="68"/>
    </row>
    <row r="411" spans="1:17" ht="14.4" hidden="1" x14ac:dyDescent="0.3">
      <c r="A411" s="55" t="s">
        <v>25</v>
      </c>
      <c r="B411" s="165"/>
      <c r="C411" s="56" t="s">
        <v>19</v>
      </c>
      <c r="D411" s="166"/>
      <c r="E411" s="166"/>
      <c r="F411" s="166"/>
      <c r="G411" s="166"/>
      <c r="H411" s="166"/>
      <c r="I411" s="166"/>
      <c r="J411" s="166"/>
      <c r="K411" s="166"/>
      <c r="L411" s="166"/>
      <c r="M411" s="166"/>
      <c r="N411" s="166"/>
      <c r="O411" s="166"/>
      <c r="P411" s="166"/>
      <c r="Q411" s="68"/>
    </row>
    <row r="412" spans="1:17" ht="14.4" hidden="1" x14ac:dyDescent="0.3">
      <c r="A412" s="162" t="s">
        <v>26</v>
      </c>
      <c r="B412" s="162"/>
      <c r="C412" s="56"/>
      <c r="D412" s="170"/>
      <c r="E412" s="170"/>
      <c r="F412" s="170"/>
      <c r="G412" s="170"/>
      <c r="H412" s="170"/>
      <c r="I412" s="170"/>
      <c r="J412" s="170"/>
      <c r="K412" s="170"/>
      <c r="L412" s="170"/>
      <c r="M412" s="170"/>
      <c r="N412" s="170"/>
      <c r="O412" s="170"/>
      <c r="P412" s="170"/>
      <c r="Q412" s="68"/>
    </row>
    <row r="413" spans="1:17" ht="14.4" hidden="1" x14ac:dyDescent="0.3">
      <c r="A413" s="55" t="s">
        <v>27</v>
      </c>
      <c r="B413" s="55"/>
      <c r="C413" s="56" t="s">
        <v>19</v>
      </c>
      <c r="D413" s="167"/>
      <c r="E413" s="167"/>
      <c r="F413" s="167"/>
      <c r="G413" s="167"/>
      <c r="H413" s="167"/>
      <c r="I413" s="167"/>
      <c r="J413" s="167"/>
      <c r="K413" s="167"/>
      <c r="L413" s="167"/>
      <c r="M413" s="167"/>
      <c r="N413" s="167"/>
      <c r="O413" s="167"/>
      <c r="P413" s="167"/>
      <c r="Q413" s="68"/>
    </row>
    <row r="414" spans="1:17" ht="14.4" hidden="1" x14ac:dyDescent="0.3">
      <c r="A414" s="55" t="s">
        <v>28</v>
      </c>
      <c r="B414" s="55"/>
      <c r="C414" s="56" t="s">
        <v>23</v>
      </c>
      <c r="D414" s="167"/>
      <c r="E414" s="167"/>
      <c r="F414" s="167"/>
      <c r="G414" s="167"/>
      <c r="H414" s="167"/>
      <c r="I414" s="167"/>
      <c r="J414" s="167"/>
      <c r="K414" s="167"/>
      <c r="L414" s="167"/>
      <c r="M414" s="167"/>
      <c r="N414" s="167"/>
      <c r="O414" s="167"/>
      <c r="P414" s="167"/>
      <c r="Q414" s="68"/>
    </row>
    <row r="415" spans="1:17" ht="14.4" hidden="1" x14ac:dyDescent="0.3">
      <c r="A415" s="162" t="s">
        <v>29</v>
      </c>
      <c r="B415" s="162"/>
      <c r="C415" s="56"/>
      <c r="D415" s="171"/>
      <c r="E415" s="171"/>
      <c r="F415" s="171"/>
      <c r="G415" s="171"/>
      <c r="H415" s="171"/>
      <c r="I415" s="171"/>
      <c r="J415" s="171"/>
      <c r="K415" s="171"/>
      <c r="L415" s="171"/>
      <c r="M415" s="171"/>
      <c r="N415" s="171"/>
      <c r="O415" s="171"/>
      <c r="P415" s="171"/>
      <c r="Q415" s="68"/>
    </row>
    <row r="416" spans="1:17" ht="14.4" hidden="1" x14ac:dyDescent="0.3">
      <c r="A416" s="55" t="s">
        <v>30</v>
      </c>
      <c r="B416" s="55"/>
      <c r="C416" s="56" t="s">
        <v>19</v>
      </c>
      <c r="D416" s="167"/>
      <c r="E416" s="167"/>
      <c r="F416" s="167"/>
      <c r="G416" s="167"/>
      <c r="H416" s="167"/>
      <c r="I416" s="167"/>
      <c r="J416" s="167"/>
      <c r="K416" s="167"/>
      <c r="L416" s="167"/>
      <c r="M416" s="167"/>
      <c r="N416" s="167"/>
      <c r="O416" s="167"/>
      <c r="P416" s="167"/>
      <c r="Q416" s="68"/>
    </row>
    <row r="417" spans="1:17" ht="14.4" hidden="1" x14ac:dyDescent="0.3">
      <c r="A417" s="55" t="s">
        <v>31</v>
      </c>
      <c r="B417" s="55"/>
      <c r="C417" s="56" t="s">
        <v>32</v>
      </c>
      <c r="D417" s="167"/>
      <c r="E417" s="167"/>
      <c r="F417" s="167"/>
      <c r="G417" s="167"/>
      <c r="H417" s="167"/>
      <c r="I417" s="167"/>
      <c r="J417" s="167"/>
      <c r="K417" s="167"/>
      <c r="L417" s="167"/>
      <c r="M417" s="167"/>
      <c r="N417" s="167"/>
      <c r="O417" s="167"/>
      <c r="P417" s="167"/>
      <c r="Q417" s="68"/>
    </row>
    <row r="418" spans="1:17" ht="14.4" hidden="1" x14ac:dyDescent="0.3">
      <c r="A418" s="162" t="s">
        <v>33</v>
      </c>
      <c r="B418" s="162"/>
      <c r="C418" s="56"/>
      <c r="D418" s="171"/>
      <c r="E418" s="171"/>
      <c r="F418" s="171"/>
      <c r="G418" s="171"/>
      <c r="H418" s="171"/>
      <c r="I418" s="171"/>
      <c r="J418" s="171"/>
      <c r="K418" s="171"/>
      <c r="L418" s="171"/>
      <c r="M418" s="171"/>
      <c r="N418" s="171"/>
      <c r="O418" s="171"/>
      <c r="P418" s="171"/>
      <c r="Q418" s="68"/>
    </row>
    <row r="419" spans="1:17" ht="14.4" hidden="1" x14ac:dyDescent="0.3">
      <c r="A419" s="55" t="s">
        <v>34</v>
      </c>
      <c r="B419" s="55"/>
      <c r="C419" s="56" t="s">
        <v>19</v>
      </c>
      <c r="D419" s="167"/>
      <c r="E419" s="167"/>
      <c r="F419" s="167"/>
      <c r="G419" s="167"/>
      <c r="H419" s="167"/>
      <c r="I419" s="167"/>
      <c r="J419" s="167"/>
      <c r="K419" s="167"/>
      <c r="L419" s="167"/>
      <c r="M419" s="167"/>
      <c r="N419" s="167"/>
      <c r="O419" s="167"/>
      <c r="P419" s="167"/>
      <c r="Q419" s="68"/>
    </row>
    <row r="420" spans="1:17" ht="14.4" hidden="1" x14ac:dyDescent="0.3">
      <c r="A420" s="55" t="s">
        <v>35</v>
      </c>
      <c r="B420" s="55"/>
      <c r="C420" s="56" t="s">
        <v>36</v>
      </c>
      <c r="D420" s="167"/>
      <c r="E420" s="167"/>
      <c r="F420" s="167"/>
      <c r="G420" s="167"/>
      <c r="H420" s="167"/>
      <c r="I420" s="167"/>
      <c r="J420" s="167"/>
      <c r="K420" s="167"/>
      <c r="L420" s="167"/>
      <c r="M420" s="167"/>
      <c r="N420" s="167"/>
      <c r="O420" s="167"/>
      <c r="P420" s="167"/>
      <c r="Q420" s="68"/>
    </row>
    <row r="421" spans="1:17" ht="14.4" hidden="1" x14ac:dyDescent="0.3">
      <c r="A421" s="162" t="s">
        <v>37</v>
      </c>
      <c r="B421" s="162"/>
      <c r="C421" s="56"/>
      <c r="D421" s="171"/>
      <c r="E421" s="171"/>
      <c r="F421" s="171"/>
      <c r="G421" s="171"/>
      <c r="H421" s="171"/>
      <c r="I421" s="171"/>
      <c r="J421" s="171"/>
      <c r="K421" s="171"/>
      <c r="L421" s="171"/>
      <c r="M421" s="171"/>
      <c r="N421" s="171"/>
      <c r="O421" s="171"/>
      <c r="P421" s="171"/>
      <c r="Q421" s="68"/>
    </row>
    <row r="422" spans="1:17" ht="14.4" hidden="1" x14ac:dyDescent="0.3">
      <c r="A422" s="172" t="s">
        <v>38</v>
      </c>
      <c r="B422" s="55"/>
      <c r="C422" s="56" t="s">
        <v>19</v>
      </c>
      <c r="D422" s="167"/>
      <c r="E422" s="167"/>
      <c r="F422" s="167"/>
      <c r="G422" s="167"/>
      <c r="H422" s="167"/>
      <c r="I422" s="167"/>
      <c r="J422" s="167"/>
      <c r="K422" s="167"/>
      <c r="L422" s="167"/>
      <c r="M422" s="167"/>
      <c r="N422" s="167"/>
      <c r="O422" s="167"/>
      <c r="P422" s="167"/>
      <c r="Q422" s="68"/>
    </row>
    <row r="423" spans="1:17" ht="14.4" hidden="1" x14ac:dyDescent="0.3">
      <c r="A423" s="172" t="s">
        <v>39</v>
      </c>
      <c r="B423" s="55"/>
      <c r="C423" s="56" t="s">
        <v>19</v>
      </c>
      <c r="D423" s="167"/>
      <c r="E423" s="167"/>
      <c r="F423" s="167"/>
      <c r="G423" s="167"/>
      <c r="H423" s="167"/>
      <c r="I423" s="167"/>
      <c r="J423" s="167"/>
      <c r="K423" s="167"/>
      <c r="L423" s="167"/>
      <c r="M423" s="167"/>
      <c r="N423" s="167"/>
      <c r="O423" s="167"/>
      <c r="P423" s="167"/>
      <c r="Q423" s="68"/>
    </row>
    <row r="424" spans="1:17" ht="14.4" hidden="1" x14ac:dyDescent="0.3">
      <c r="A424" s="172" t="s">
        <v>180</v>
      </c>
      <c r="B424" s="55"/>
      <c r="C424" s="56" t="s">
        <v>19</v>
      </c>
      <c r="D424" s="167"/>
      <c r="E424" s="167"/>
      <c r="F424" s="167"/>
      <c r="G424" s="167"/>
      <c r="H424" s="167"/>
      <c r="I424" s="167"/>
      <c r="J424" s="167"/>
      <c r="K424" s="167"/>
      <c r="L424" s="167"/>
      <c r="M424" s="167"/>
      <c r="N424" s="167"/>
      <c r="O424" s="167"/>
      <c r="P424" s="167"/>
      <c r="Q424" s="68"/>
    </row>
    <row r="425" spans="1:17" ht="14.4" hidden="1" x14ac:dyDescent="0.3">
      <c r="A425" s="173" t="s">
        <v>40</v>
      </c>
      <c r="B425" s="55"/>
      <c r="C425" s="56" t="s">
        <v>19</v>
      </c>
      <c r="D425" s="167"/>
      <c r="E425" s="167"/>
      <c r="F425" s="167"/>
      <c r="G425" s="167"/>
      <c r="H425" s="167"/>
      <c r="I425" s="167"/>
      <c r="J425" s="167"/>
      <c r="K425" s="167"/>
      <c r="L425" s="167"/>
      <c r="M425" s="167"/>
      <c r="N425" s="167"/>
      <c r="O425" s="167"/>
      <c r="P425" s="167"/>
      <c r="Q425" s="68"/>
    </row>
    <row r="426" spans="1:17" ht="14.4" hidden="1" x14ac:dyDescent="0.3">
      <c r="A426" s="173" t="s">
        <v>41</v>
      </c>
      <c r="B426" s="55"/>
      <c r="C426" s="56" t="s">
        <v>19</v>
      </c>
      <c r="D426" s="167"/>
      <c r="E426" s="167"/>
      <c r="F426" s="167"/>
      <c r="G426" s="167"/>
      <c r="H426" s="167"/>
      <c r="I426" s="167"/>
      <c r="J426" s="167"/>
      <c r="K426" s="167"/>
      <c r="L426" s="167"/>
      <c r="M426" s="167"/>
      <c r="N426" s="167"/>
      <c r="O426" s="167"/>
      <c r="P426" s="167"/>
      <c r="Q426" s="68"/>
    </row>
    <row r="427" spans="1:17" ht="16.2" hidden="1" x14ac:dyDescent="0.3">
      <c r="A427" s="174" t="s">
        <v>182</v>
      </c>
      <c r="B427" s="175"/>
      <c r="C427" s="56" t="s">
        <v>19</v>
      </c>
      <c r="D427" s="167"/>
      <c r="E427" s="167"/>
      <c r="F427" s="167"/>
      <c r="G427" s="167"/>
      <c r="H427" s="167"/>
      <c r="I427" s="167"/>
      <c r="J427" s="167"/>
      <c r="K427" s="167"/>
      <c r="L427" s="167"/>
      <c r="M427" s="167"/>
      <c r="N427" s="167"/>
      <c r="O427" s="167"/>
      <c r="P427" s="167"/>
      <c r="Q427" s="68"/>
    </row>
    <row r="428" spans="1:17" ht="16.2" hidden="1" x14ac:dyDescent="0.3">
      <c r="A428" s="174" t="s">
        <v>182</v>
      </c>
      <c r="B428" s="175"/>
      <c r="C428" s="56" t="s">
        <v>19</v>
      </c>
      <c r="D428" s="167"/>
      <c r="E428" s="167"/>
      <c r="F428" s="167"/>
      <c r="G428" s="167"/>
      <c r="H428" s="167"/>
      <c r="I428" s="167"/>
      <c r="J428" s="167"/>
      <c r="K428" s="167"/>
      <c r="L428" s="167"/>
      <c r="M428" s="167"/>
      <c r="N428" s="167"/>
      <c r="O428" s="167"/>
      <c r="P428" s="167"/>
      <c r="Q428" s="68"/>
    </row>
    <row r="429" spans="1:17" ht="16.2" hidden="1" x14ac:dyDescent="0.3">
      <c r="A429" s="174" t="s">
        <v>182</v>
      </c>
      <c r="B429" s="176"/>
      <c r="C429" s="56" t="s">
        <v>19</v>
      </c>
      <c r="D429" s="167"/>
      <c r="E429" s="167"/>
      <c r="F429" s="167"/>
      <c r="G429" s="167"/>
      <c r="H429" s="167"/>
      <c r="I429" s="167"/>
      <c r="J429" s="167"/>
      <c r="K429" s="167"/>
      <c r="L429" s="167"/>
      <c r="M429" s="167"/>
      <c r="N429" s="167"/>
      <c r="O429" s="167"/>
      <c r="P429" s="167"/>
      <c r="Q429" s="68"/>
    </row>
    <row r="430" spans="1:17" ht="14.4" hidden="1" x14ac:dyDescent="0.3">
      <c r="A430" s="162" t="s">
        <v>42</v>
      </c>
      <c r="B430" s="162"/>
      <c r="C430" s="56"/>
      <c r="D430" s="171"/>
      <c r="E430" s="171"/>
      <c r="F430" s="171"/>
      <c r="G430" s="171"/>
      <c r="H430" s="171"/>
      <c r="I430" s="171"/>
      <c r="J430" s="171"/>
      <c r="K430" s="171"/>
      <c r="L430" s="171"/>
      <c r="M430" s="171"/>
      <c r="N430" s="171"/>
      <c r="O430" s="171"/>
      <c r="P430" s="171"/>
      <c r="Q430" s="68"/>
    </row>
    <row r="431" spans="1:17" ht="14.4" hidden="1" x14ac:dyDescent="0.3">
      <c r="A431" s="162" t="s">
        <v>191</v>
      </c>
      <c r="B431" s="162"/>
      <c r="C431" s="56" t="s">
        <v>44</v>
      </c>
      <c r="D431" s="177"/>
      <c r="E431" s="177"/>
      <c r="F431" s="177"/>
      <c r="G431" s="177"/>
      <c r="H431" s="177"/>
      <c r="I431" s="177"/>
      <c r="J431" s="177"/>
      <c r="K431" s="177"/>
      <c r="L431" s="177"/>
      <c r="M431" s="177"/>
      <c r="N431" s="177"/>
      <c r="O431" s="177"/>
      <c r="P431" s="177"/>
      <c r="Q431" s="68"/>
    </row>
    <row r="432" spans="1:17" ht="14.4" hidden="1" x14ac:dyDescent="0.3">
      <c r="A432" s="162" t="s">
        <v>183</v>
      </c>
      <c r="B432" s="162"/>
      <c r="C432" s="56"/>
      <c r="D432" s="178"/>
      <c r="E432" s="178"/>
      <c r="F432" s="178"/>
      <c r="G432" s="178"/>
      <c r="H432" s="178"/>
      <c r="I432" s="178"/>
      <c r="J432" s="178"/>
      <c r="K432" s="178"/>
      <c r="L432" s="178"/>
      <c r="M432" s="178"/>
      <c r="N432" s="178"/>
      <c r="O432" s="178"/>
      <c r="P432" s="178"/>
      <c r="Q432" s="68"/>
    </row>
    <row r="433" spans="1:17" ht="14.4" hidden="1" x14ac:dyDescent="0.3">
      <c r="A433" s="162" t="s">
        <v>184</v>
      </c>
      <c r="B433" s="162"/>
      <c r="C433" s="56" t="s">
        <v>19</v>
      </c>
      <c r="D433" s="167"/>
      <c r="E433" s="167"/>
      <c r="F433" s="167"/>
      <c r="G433" s="167"/>
      <c r="H433" s="167"/>
      <c r="I433" s="167"/>
      <c r="J433" s="167"/>
      <c r="K433" s="167"/>
      <c r="L433" s="167"/>
      <c r="M433" s="167"/>
      <c r="N433" s="167"/>
      <c r="O433" s="167"/>
      <c r="P433" s="167"/>
      <c r="Q433" s="68"/>
    </row>
    <row r="434" spans="1:17" ht="14.4" hidden="1" x14ac:dyDescent="0.3">
      <c r="A434" s="162" t="s">
        <v>45</v>
      </c>
      <c r="B434" s="162"/>
      <c r="C434" s="56"/>
      <c r="D434" s="178"/>
      <c r="E434" s="178"/>
      <c r="F434" s="178"/>
      <c r="G434" s="178"/>
      <c r="H434" s="178"/>
      <c r="I434" s="178"/>
      <c r="J434" s="178"/>
      <c r="K434" s="178"/>
      <c r="L434" s="178"/>
      <c r="M434" s="178"/>
      <c r="N434" s="178"/>
      <c r="O434" s="178"/>
      <c r="P434" s="178"/>
      <c r="Q434" s="68"/>
    </row>
    <row r="435" spans="1:17" ht="14.4" hidden="1" x14ac:dyDescent="0.3">
      <c r="A435" s="162" t="s">
        <v>46</v>
      </c>
      <c r="B435" s="162"/>
      <c r="C435" s="56" t="s">
        <v>19</v>
      </c>
      <c r="D435" s="167"/>
      <c r="E435" s="167"/>
      <c r="F435" s="167"/>
      <c r="G435" s="167"/>
      <c r="H435" s="167"/>
      <c r="I435" s="167"/>
      <c r="J435" s="167"/>
      <c r="K435" s="167"/>
      <c r="L435" s="167"/>
      <c r="M435" s="167"/>
      <c r="N435" s="167"/>
      <c r="O435" s="167"/>
      <c r="P435" s="167"/>
      <c r="Q435" s="68"/>
    </row>
    <row r="436" spans="1:17" ht="14.4" hidden="1" x14ac:dyDescent="0.3">
      <c r="A436" s="162" t="s">
        <v>185</v>
      </c>
      <c r="B436" s="162"/>
      <c r="C436" s="56"/>
      <c r="D436" s="178"/>
      <c r="E436" s="178"/>
      <c r="F436" s="178"/>
      <c r="G436" s="178"/>
      <c r="H436" s="178"/>
      <c r="I436" s="178"/>
      <c r="J436" s="178"/>
      <c r="K436" s="178"/>
      <c r="L436" s="178"/>
      <c r="M436" s="178"/>
      <c r="N436" s="178"/>
      <c r="O436" s="178"/>
      <c r="P436" s="178"/>
      <c r="Q436" s="68"/>
    </row>
    <row r="437" spans="1:17" ht="14.4" hidden="1" x14ac:dyDescent="0.3">
      <c r="A437" s="162" t="s">
        <v>186</v>
      </c>
      <c r="B437" s="162"/>
      <c r="C437" s="56" t="s">
        <v>19</v>
      </c>
      <c r="D437" s="167"/>
      <c r="E437" s="167"/>
      <c r="F437" s="167"/>
      <c r="G437" s="167"/>
      <c r="H437" s="167"/>
      <c r="I437" s="167"/>
      <c r="J437" s="167"/>
      <c r="K437" s="167"/>
      <c r="L437" s="167"/>
      <c r="M437" s="167"/>
      <c r="N437" s="167"/>
      <c r="O437" s="167"/>
      <c r="P437" s="167"/>
      <c r="Q437" s="68"/>
    </row>
    <row r="438" spans="1:17" ht="14.4" hidden="1" x14ac:dyDescent="0.3">
      <c r="A438" s="162" t="s">
        <v>47</v>
      </c>
      <c r="B438" s="162"/>
      <c r="C438" s="56"/>
      <c r="D438" s="171"/>
      <c r="E438" s="171"/>
      <c r="F438" s="171"/>
      <c r="G438" s="171"/>
      <c r="H438" s="171"/>
      <c r="I438" s="171"/>
      <c r="J438" s="171"/>
      <c r="K438" s="171"/>
      <c r="L438" s="171"/>
      <c r="M438" s="171"/>
      <c r="N438" s="171"/>
      <c r="O438" s="171"/>
      <c r="P438" s="171"/>
      <c r="Q438" s="68"/>
    </row>
    <row r="439" spans="1:17" ht="14.4" hidden="1" x14ac:dyDescent="0.3">
      <c r="A439" s="55" t="s">
        <v>48</v>
      </c>
      <c r="B439" s="55"/>
      <c r="C439" s="56" t="s">
        <v>19</v>
      </c>
      <c r="D439" s="167"/>
      <c r="E439" s="167"/>
      <c r="F439" s="167"/>
      <c r="G439" s="167"/>
      <c r="H439" s="167"/>
      <c r="I439" s="167"/>
      <c r="J439" s="167"/>
      <c r="K439" s="167"/>
      <c r="L439" s="167"/>
      <c r="M439" s="167"/>
      <c r="N439" s="167"/>
      <c r="O439" s="167"/>
      <c r="P439" s="167"/>
      <c r="Q439" s="68"/>
    </row>
    <row r="440" spans="1:17" ht="14.4" hidden="1" x14ac:dyDescent="0.3">
      <c r="A440" s="55" t="s">
        <v>49</v>
      </c>
      <c r="B440" s="55"/>
      <c r="C440" s="56" t="s">
        <v>19</v>
      </c>
      <c r="D440" s="167"/>
      <c r="E440" s="167"/>
      <c r="F440" s="167"/>
      <c r="G440" s="167"/>
      <c r="H440" s="167"/>
      <c r="I440" s="167"/>
      <c r="J440" s="167"/>
      <c r="K440" s="167"/>
      <c r="L440" s="167"/>
      <c r="M440" s="167"/>
      <c r="N440" s="167"/>
      <c r="O440" s="167"/>
      <c r="P440" s="167"/>
      <c r="Q440" s="68"/>
    </row>
    <row r="441" spans="1:17" ht="14.4" hidden="1" x14ac:dyDescent="0.3">
      <c r="A441" s="162" t="s">
        <v>52</v>
      </c>
      <c r="B441" s="162"/>
      <c r="C441" s="179"/>
      <c r="D441" s="170"/>
      <c r="E441" s="170"/>
      <c r="F441" s="170"/>
      <c r="G441" s="170"/>
      <c r="H441" s="170"/>
      <c r="I441" s="170"/>
      <c r="J441" s="170"/>
      <c r="K441" s="170"/>
      <c r="L441" s="170"/>
      <c r="M441" s="170"/>
      <c r="N441" s="170"/>
      <c r="O441" s="170"/>
      <c r="P441" s="170"/>
      <c r="Q441" s="68"/>
    </row>
    <row r="442" spans="1:17" ht="14.4" hidden="1" x14ac:dyDescent="0.3">
      <c r="A442" s="55" t="s">
        <v>53</v>
      </c>
      <c r="B442" s="55"/>
      <c r="C442" s="56" t="s">
        <v>44</v>
      </c>
      <c r="D442" s="167"/>
      <c r="E442" s="167"/>
      <c r="F442" s="167"/>
      <c r="G442" s="167"/>
      <c r="H442" s="167"/>
      <c r="I442" s="167"/>
      <c r="J442" s="167"/>
      <c r="K442" s="167"/>
      <c r="L442" s="167"/>
      <c r="M442" s="167"/>
      <c r="N442" s="167"/>
      <c r="O442" s="167"/>
      <c r="P442" s="167"/>
      <c r="Q442" s="68"/>
    </row>
    <row r="443" spans="1:17" ht="14.4" hidden="1" x14ac:dyDescent="0.3">
      <c r="A443" s="55" t="s">
        <v>54</v>
      </c>
      <c r="B443" s="55"/>
      <c r="C443" s="56" t="s">
        <v>44</v>
      </c>
      <c r="D443" s="167"/>
      <c r="E443" s="167"/>
      <c r="F443" s="167"/>
      <c r="G443" s="167"/>
      <c r="H443" s="167"/>
      <c r="I443" s="167"/>
      <c r="J443" s="167"/>
      <c r="K443" s="167"/>
      <c r="L443" s="167"/>
      <c r="M443" s="167"/>
      <c r="N443" s="167"/>
      <c r="O443" s="167"/>
      <c r="P443" s="167"/>
      <c r="Q443" s="68"/>
    </row>
    <row r="444" spans="1:17" ht="14.4" hidden="1" x14ac:dyDescent="0.3">
      <c r="A444" s="55" t="s">
        <v>55</v>
      </c>
      <c r="B444" s="55"/>
      <c r="C444" s="56" t="s">
        <v>44</v>
      </c>
      <c r="D444" s="167"/>
      <c r="E444" s="167"/>
      <c r="F444" s="167"/>
      <c r="G444" s="167"/>
      <c r="H444" s="167"/>
      <c r="I444" s="167"/>
      <c r="J444" s="167"/>
      <c r="K444" s="167"/>
      <c r="L444" s="167"/>
      <c r="M444" s="167"/>
      <c r="N444" s="167"/>
      <c r="O444" s="167"/>
      <c r="P444" s="167"/>
      <c r="Q444" s="68"/>
    </row>
    <row r="445" spans="1:17" ht="14.4" hidden="1" x14ac:dyDescent="0.3">
      <c r="A445" s="55" t="s">
        <v>187</v>
      </c>
      <c r="B445" s="55"/>
      <c r="C445" s="56" t="s">
        <v>44</v>
      </c>
      <c r="D445" s="167"/>
      <c r="E445" s="167"/>
      <c r="F445" s="167"/>
      <c r="G445" s="167"/>
      <c r="H445" s="167"/>
      <c r="I445" s="167"/>
      <c r="J445" s="167"/>
      <c r="K445" s="167"/>
      <c r="L445" s="167"/>
      <c r="M445" s="167"/>
      <c r="N445" s="167"/>
      <c r="O445" s="167"/>
      <c r="P445" s="167"/>
      <c r="Q445" s="68"/>
    </row>
    <row r="446" spans="1:17" ht="14.4" hidden="1" x14ac:dyDescent="0.3">
      <c r="A446" s="55" t="s">
        <v>188</v>
      </c>
      <c r="B446" s="55"/>
      <c r="C446" s="56" t="s">
        <v>44</v>
      </c>
      <c r="D446" s="167"/>
      <c r="E446" s="167"/>
      <c r="F446" s="167"/>
      <c r="G446" s="167"/>
      <c r="H446" s="167"/>
      <c r="I446" s="167"/>
      <c r="J446" s="167"/>
      <c r="K446" s="167"/>
      <c r="L446" s="167"/>
      <c r="M446" s="167"/>
      <c r="N446" s="167"/>
      <c r="O446" s="167"/>
      <c r="P446" s="167"/>
      <c r="Q446" s="68"/>
    </row>
    <row r="447" spans="1:17" ht="14.4" hidden="1" x14ac:dyDescent="0.3">
      <c r="A447" s="55" t="s">
        <v>56</v>
      </c>
      <c r="B447" s="55"/>
      <c r="C447" s="56" t="s">
        <v>44</v>
      </c>
      <c r="D447" s="180"/>
      <c r="E447" s="180"/>
      <c r="F447" s="180"/>
      <c r="G447" s="180"/>
      <c r="H447" s="180"/>
      <c r="I447" s="180"/>
      <c r="J447" s="180"/>
      <c r="K447" s="180"/>
      <c r="L447" s="180"/>
      <c r="M447" s="180"/>
      <c r="N447" s="180"/>
      <c r="O447" s="180"/>
      <c r="P447" s="180"/>
      <c r="Q447" s="68"/>
    </row>
    <row r="448" spans="1:17" ht="14.4" hidden="1" x14ac:dyDescent="0.3">
      <c r="A448" s="55" t="s">
        <v>57</v>
      </c>
      <c r="B448" s="55"/>
      <c r="C448" s="56" t="s">
        <v>44</v>
      </c>
      <c r="D448" s="180"/>
      <c r="E448" s="180"/>
      <c r="F448" s="180"/>
      <c r="G448" s="180"/>
      <c r="H448" s="180"/>
      <c r="I448" s="180"/>
      <c r="J448" s="180"/>
      <c r="K448" s="180"/>
      <c r="L448" s="180"/>
      <c r="M448" s="180"/>
      <c r="N448" s="180"/>
      <c r="O448" s="180"/>
      <c r="P448" s="180"/>
      <c r="Q448" s="68"/>
    </row>
    <row r="449" spans="1:17" hidden="1" x14ac:dyDescent="0.3">
      <c r="Q449" s="68"/>
    </row>
    <row r="450" spans="1:17" ht="18" hidden="1" x14ac:dyDescent="0.35">
      <c r="A450" s="59" t="str">
        <f>'[41]Statistical data'!A216</f>
        <v>Customer Class with mix rate3</v>
      </c>
      <c r="B450" s="59"/>
      <c r="C450" s="5" t="s">
        <v>190</v>
      </c>
      <c r="D450" s="160"/>
      <c r="E450" s="160"/>
      <c r="F450" s="160"/>
      <c r="G450" s="160"/>
      <c r="H450" s="160"/>
      <c r="I450" s="160"/>
      <c r="J450" s="160"/>
      <c r="K450" s="160"/>
      <c r="L450" s="160"/>
      <c r="M450" s="160"/>
      <c r="N450" s="160"/>
      <c r="O450" s="160"/>
      <c r="P450" s="160"/>
      <c r="Q450" s="68"/>
    </row>
    <row r="451" spans="1:17" ht="24" hidden="1" customHeight="1" x14ac:dyDescent="0.3">
      <c r="A451" s="161" t="s">
        <v>3</v>
      </c>
      <c r="B451" s="161"/>
      <c r="C451" s="161" t="s">
        <v>4</v>
      </c>
      <c r="D451" s="161" t="s">
        <v>15</v>
      </c>
      <c r="E451" s="161" t="s">
        <v>15</v>
      </c>
      <c r="F451" s="161" t="s">
        <v>15</v>
      </c>
      <c r="G451" s="161" t="s">
        <v>15</v>
      </c>
      <c r="H451" s="161" t="s">
        <v>15</v>
      </c>
      <c r="I451" s="161" t="s">
        <v>15</v>
      </c>
      <c r="J451" s="161" t="s">
        <v>15</v>
      </c>
      <c r="K451" s="161" t="s">
        <v>15</v>
      </c>
      <c r="L451" s="161" t="s">
        <v>15</v>
      </c>
      <c r="M451" s="161" t="s">
        <v>15</v>
      </c>
      <c r="N451" s="161" t="s">
        <v>15</v>
      </c>
      <c r="O451" s="161" t="s">
        <v>15</v>
      </c>
      <c r="P451" s="161" t="s">
        <v>15</v>
      </c>
      <c r="Q451" s="68"/>
    </row>
    <row r="452" spans="1:17" ht="14.4" hidden="1" x14ac:dyDescent="0.3">
      <c r="A452" s="162" t="s">
        <v>17</v>
      </c>
      <c r="B452" s="163"/>
      <c r="C452" s="56"/>
      <c r="D452" s="164"/>
      <c r="E452" s="164"/>
      <c r="F452" s="164"/>
      <c r="G452" s="164"/>
      <c r="H452" s="164"/>
      <c r="I452" s="164"/>
      <c r="J452" s="164"/>
      <c r="K452" s="164"/>
      <c r="L452" s="164"/>
      <c r="M452" s="164"/>
      <c r="N452" s="164"/>
      <c r="O452" s="164"/>
      <c r="P452" s="164"/>
      <c r="Q452" s="68"/>
    </row>
    <row r="453" spans="1:17" ht="14.4" hidden="1" x14ac:dyDescent="0.3">
      <c r="A453" s="55" t="s">
        <v>18</v>
      </c>
      <c r="B453" s="165"/>
      <c r="C453" s="56" t="s">
        <v>19</v>
      </c>
      <c r="D453" s="166"/>
      <c r="E453" s="166"/>
      <c r="F453" s="166"/>
      <c r="G453" s="166"/>
      <c r="H453" s="166"/>
      <c r="I453" s="166"/>
      <c r="J453" s="166"/>
      <c r="K453" s="166"/>
      <c r="L453" s="166"/>
      <c r="M453" s="166"/>
      <c r="N453" s="166"/>
      <c r="O453" s="166"/>
      <c r="P453" s="166"/>
      <c r="Q453" s="68"/>
    </row>
    <row r="454" spans="1:17" ht="14.4" hidden="1" x14ac:dyDescent="0.3">
      <c r="A454" s="55" t="s">
        <v>66</v>
      </c>
      <c r="B454" s="165"/>
      <c r="C454" s="56" t="s">
        <v>19</v>
      </c>
      <c r="D454" s="166"/>
      <c r="E454" s="166"/>
      <c r="F454" s="166"/>
      <c r="G454" s="166"/>
      <c r="H454" s="166"/>
      <c r="I454" s="166"/>
      <c r="J454" s="166"/>
      <c r="K454" s="166"/>
      <c r="L454" s="166"/>
      <c r="M454" s="166"/>
      <c r="N454" s="166"/>
      <c r="O454" s="166"/>
      <c r="P454" s="166"/>
      <c r="Q454" s="68"/>
    </row>
    <row r="455" spans="1:17" ht="14.4" hidden="1" x14ac:dyDescent="0.3">
      <c r="A455" s="162" t="s">
        <v>20</v>
      </c>
      <c r="B455" s="163"/>
      <c r="C455" s="56"/>
      <c r="D455" s="168"/>
      <c r="E455" s="168"/>
      <c r="F455" s="168"/>
      <c r="G455" s="168"/>
      <c r="H455" s="168"/>
      <c r="I455" s="168"/>
      <c r="J455" s="168"/>
      <c r="K455" s="168"/>
      <c r="L455" s="168"/>
      <c r="M455" s="168"/>
      <c r="N455" s="168"/>
      <c r="O455" s="168"/>
      <c r="P455" s="168"/>
      <c r="Q455" s="68"/>
    </row>
    <row r="456" spans="1:17" ht="14.4" hidden="1" x14ac:dyDescent="0.3">
      <c r="A456" s="55" t="s">
        <v>21</v>
      </c>
      <c r="B456" s="165"/>
      <c r="C456" s="56" t="s">
        <v>19</v>
      </c>
      <c r="D456" s="166"/>
      <c r="E456" s="166"/>
      <c r="F456" s="166"/>
      <c r="G456" s="166"/>
      <c r="H456" s="166"/>
      <c r="I456" s="166"/>
      <c r="J456" s="166"/>
      <c r="K456" s="166"/>
      <c r="L456" s="166"/>
      <c r="M456" s="166"/>
      <c r="N456" s="166"/>
      <c r="O456" s="166"/>
      <c r="P456" s="166"/>
      <c r="Q456" s="68"/>
    </row>
    <row r="457" spans="1:17" ht="14.4" hidden="1" x14ac:dyDescent="0.3">
      <c r="A457" s="55" t="s">
        <v>22</v>
      </c>
      <c r="B457" s="165"/>
      <c r="C457" s="56" t="s">
        <v>23</v>
      </c>
      <c r="D457" s="166"/>
      <c r="E457" s="166"/>
      <c r="F457" s="166"/>
      <c r="G457" s="166"/>
      <c r="H457" s="166"/>
      <c r="I457" s="166"/>
      <c r="J457" s="166"/>
      <c r="K457" s="166"/>
      <c r="L457" s="166"/>
      <c r="M457" s="166"/>
      <c r="N457" s="166"/>
      <c r="O457" s="166"/>
      <c r="P457" s="166"/>
      <c r="Q457" s="68"/>
    </row>
    <row r="458" spans="1:17" ht="14.4" hidden="1" x14ac:dyDescent="0.3">
      <c r="A458" s="162" t="s">
        <v>24</v>
      </c>
      <c r="B458" s="163"/>
      <c r="C458" s="56"/>
      <c r="D458" s="168"/>
      <c r="E458" s="168"/>
      <c r="F458" s="168"/>
      <c r="G458" s="168"/>
      <c r="H458" s="168"/>
      <c r="I458" s="168"/>
      <c r="J458" s="168"/>
      <c r="K458" s="168"/>
      <c r="L458" s="168"/>
      <c r="M458" s="168"/>
      <c r="N458" s="168"/>
      <c r="O458" s="168"/>
      <c r="P458" s="168"/>
      <c r="Q458" s="68"/>
    </row>
    <row r="459" spans="1:17" ht="14.4" hidden="1" x14ac:dyDescent="0.3">
      <c r="A459" s="55" t="s">
        <v>25</v>
      </c>
      <c r="B459" s="165"/>
      <c r="C459" s="56" t="s">
        <v>19</v>
      </c>
      <c r="D459" s="166"/>
      <c r="E459" s="166"/>
      <c r="F459" s="166"/>
      <c r="G459" s="166"/>
      <c r="H459" s="166"/>
      <c r="I459" s="166"/>
      <c r="J459" s="166"/>
      <c r="K459" s="166"/>
      <c r="L459" s="166"/>
      <c r="M459" s="166"/>
      <c r="N459" s="166"/>
      <c r="O459" s="166"/>
      <c r="P459" s="166"/>
      <c r="Q459" s="68"/>
    </row>
    <row r="460" spans="1:17" ht="14.4" hidden="1" x14ac:dyDescent="0.3">
      <c r="A460" s="162" t="s">
        <v>26</v>
      </c>
      <c r="B460" s="162"/>
      <c r="C460" s="56"/>
      <c r="D460" s="170"/>
      <c r="E460" s="170"/>
      <c r="F460" s="170"/>
      <c r="G460" s="170"/>
      <c r="H460" s="170"/>
      <c r="I460" s="170"/>
      <c r="J460" s="170"/>
      <c r="K460" s="170"/>
      <c r="L460" s="170"/>
      <c r="M460" s="170"/>
      <c r="N460" s="170"/>
      <c r="O460" s="170"/>
      <c r="P460" s="170"/>
      <c r="Q460" s="68"/>
    </row>
    <row r="461" spans="1:17" ht="14.4" hidden="1" x14ac:dyDescent="0.3">
      <c r="A461" s="55" t="s">
        <v>27</v>
      </c>
      <c r="B461" s="55"/>
      <c r="C461" s="56" t="s">
        <v>19</v>
      </c>
      <c r="D461" s="167"/>
      <c r="E461" s="167"/>
      <c r="F461" s="167"/>
      <c r="G461" s="167"/>
      <c r="H461" s="167"/>
      <c r="I461" s="167"/>
      <c r="J461" s="167"/>
      <c r="K461" s="167"/>
      <c r="L461" s="167"/>
      <c r="M461" s="167"/>
      <c r="N461" s="167"/>
      <c r="O461" s="167"/>
      <c r="P461" s="167"/>
      <c r="Q461" s="68"/>
    </row>
    <row r="462" spans="1:17" ht="14.4" hidden="1" x14ac:dyDescent="0.3">
      <c r="A462" s="55" t="s">
        <v>28</v>
      </c>
      <c r="B462" s="55"/>
      <c r="C462" s="56" t="s">
        <v>23</v>
      </c>
      <c r="D462" s="167"/>
      <c r="E462" s="167"/>
      <c r="F462" s="167"/>
      <c r="G462" s="167"/>
      <c r="H462" s="167"/>
      <c r="I462" s="167"/>
      <c r="J462" s="167"/>
      <c r="K462" s="167"/>
      <c r="L462" s="167"/>
      <c r="M462" s="167"/>
      <c r="N462" s="167"/>
      <c r="O462" s="167"/>
      <c r="P462" s="167"/>
      <c r="Q462" s="68"/>
    </row>
    <row r="463" spans="1:17" ht="14.4" hidden="1" x14ac:dyDescent="0.3">
      <c r="A463" s="162" t="s">
        <v>29</v>
      </c>
      <c r="B463" s="162"/>
      <c r="C463" s="56"/>
      <c r="D463" s="171"/>
      <c r="E463" s="171"/>
      <c r="F463" s="171"/>
      <c r="G463" s="171"/>
      <c r="H463" s="171"/>
      <c r="I463" s="171"/>
      <c r="J463" s="171"/>
      <c r="K463" s="171"/>
      <c r="L463" s="171"/>
      <c r="M463" s="171"/>
      <c r="N463" s="171"/>
      <c r="O463" s="171"/>
      <c r="P463" s="171"/>
      <c r="Q463" s="68"/>
    </row>
    <row r="464" spans="1:17" ht="14.4" hidden="1" x14ac:dyDescent="0.3">
      <c r="A464" s="55" t="s">
        <v>30</v>
      </c>
      <c r="B464" s="55"/>
      <c r="C464" s="56" t="s">
        <v>19</v>
      </c>
      <c r="D464" s="167"/>
      <c r="E464" s="167"/>
      <c r="F464" s="167"/>
      <c r="G464" s="167"/>
      <c r="H464" s="167"/>
      <c r="I464" s="167"/>
      <c r="J464" s="167"/>
      <c r="K464" s="167"/>
      <c r="L464" s="167"/>
      <c r="M464" s="167"/>
      <c r="N464" s="167"/>
      <c r="O464" s="167"/>
      <c r="P464" s="167"/>
      <c r="Q464" s="68"/>
    </row>
    <row r="465" spans="1:17" ht="14.4" hidden="1" x14ac:dyDescent="0.3">
      <c r="A465" s="55" t="s">
        <v>31</v>
      </c>
      <c r="B465" s="55"/>
      <c r="C465" s="56" t="s">
        <v>32</v>
      </c>
      <c r="D465" s="167"/>
      <c r="E465" s="167"/>
      <c r="F465" s="167"/>
      <c r="G465" s="167"/>
      <c r="H465" s="167"/>
      <c r="I465" s="167"/>
      <c r="J465" s="167"/>
      <c r="K465" s="167"/>
      <c r="L465" s="167"/>
      <c r="M465" s="167"/>
      <c r="N465" s="167"/>
      <c r="O465" s="167"/>
      <c r="P465" s="167"/>
      <c r="Q465" s="68"/>
    </row>
    <row r="466" spans="1:17" ht="14.4" hidden="1" x14ac:dyDescent="0.3">
      <c r="A466" s="162" t="s">
        <v>33</v>
      </c>
      <c r="B466" s="162"/>
      <c r="C466" s="56"/>
      <c r="D466" s="171"/>
      <c r="E466" s="171"/>
      <c r="F466" s="171"/>
      <c r="G466" s="171"/>
      <c r="H466" s="171"/>
      <c r="I466" s="171"/>
      <c r="J466" s="171"/>
      <c r="K466" s="171"/>
      <c r="L466" s="171"/>
      <c r="M466" s="171"/>
      <c r="N466" s="171"/>
      <c r="O466" s="171"/>
      <c r="P466" s="171"/>
      <c r="Q466" s="68"/>
    </row>
    <row r="467" spans="1:17" ht="14.4" hidden="1" x14ac:dyDescent="0.3">
      <c r="A467" s="55" t="s">
        <v>34</v>
      </c>
      <c r="B467" s="55"/>
      <c r="C467" s="56" t="s">
        <v>19</v>
      </c>
      <c r="D467" s="167"/>
      <c r="E467" s="167"/>
      <c r="F467" s="167"/>
      <c r="G467" s="167"/>
      <c r="H467" s="167"/>
      <c r="I467" s="167"/>
      <c r="J467" s="167"/>
      <c r="K467" s="167"/>
      <c r="L467" s="167"/>
      <c r="M467" s="167"/>
      <c r="N467" s="167"/>
      <c r="O467" s="167"/>
      <c r="P467" s="167"/>
      <c r="Q467" s="68"/>
    </row>
    <row r="468" spans="1:17" ht="14.4" hidden="1" x14ac:dyDescent="0.3">
      <c r="A468" s="55" t="s">
        <v>35</v>
      </c>
      <c r="B468" s="55"/>
      <c r="C468" s="56" t="s">
        <v>36</v>
      </c>
      <c r="D468" s="167"/>
      <c r="E468" s="167"/>
      <c r="F468" s="167"/>
      <c r="G468" s="167"/>
      <c r="H468" s="167"/>
      <c r="I468" s="167"/>
      <c r="J468" s="167"/>
      <c r="K468" s="167"/>
      <c r="L468" s="167"/>
      <c r="M468" s="167"/>
      <c r="N468" s="167"/>
      <c r="O468" s="167"/>
      <c r="P468" s="167"/>
      <c r="Q468" s="68"/>
    </row>
    <row r="469" spans="1:17" ht="14.4" hidden="1" x14ac:dyDescent="0.3">
      <c r="A469" s="162" t="s">
        <v>37</v>
      </c>
      <c r="B469" s="162"/>
      <c r="C469" s="56"/>
      <c r="D469" s="171"/>
      <c r="E469" s="171"/>
      <c r="F469" s="171"/>
      <c r="G469" s="171"/>
      <c r="H469" s="171"/>
      <c r="I469" s="171"/>
      <c r="J469" s="171"/>
      <c r="K469" s="171"/>
      <c r="L469" s="171"/>
      <c r="M469" s="171"/>
      <c r="N469" s="171"/>
      <c r="O469" s="171"/>
      <c r="P469" s="171"/>
      <c r="Q469" s="68"/>
    </row>
    <row r="470" spans="1:17" ht="14.4" hidden="1" x14ac:dyDescent="0.3">
      <c r="A470" s="172" t="s">
        <v>38</v>
      </c>
      <c r="B470" s="55"/>
      <c r="C470" s="56" t="s">
        <v>19</v>
      </c>
      <c r="D470" s="167"/>
      <c r="E470" s="167"/>
      <c r="F470" s="167"/>
      <c r="G470" s="167"/>
      <c r="H470" s="167"/>
      <c r="I470" s="167"/>
      <c r="J470" s="167"/>
      <c r="K470" s="167"/>
      <c r="L470" s="167"/>
      <c r="M470" s="167"/>
      <c r="N470" s="167"/>
      <c r="O470" s="167"/>
      <c r="P470" s="167"/>
      <c r="Q470" s="68"/>
    </row>
    <row r="471" spans="1:17" ht="14.4" hidden="1" x14ac:dyDescent="0.3">
      <c r="A471" s="172" t="s">
        <v>39</v>
      </c>
      <c r="B471" s="55"/>
      <c r="C471" s="56" t="s">
        <v>19</v>
      </c>
      <c r="D471" s="167"/>
      <c r="E471" s="167"/>
      <c r="F471" s="167"/>
      <c r="G471" s="167"/>
      <c r="H471" s="167"/>
      <c r="I471" s="167"/>
      <c r="J471" s="167"/>
      <c r="K471" s="167"/>
      <c r="L471" s="167"/>
      <c r="M471" s="167"/>
      <c r="N471" s="167"/>
      <c r="O471" s="167"/>
      <c r="P471" s="167"/>
      <c r="Q471" s="68"/>
    </row>
    <row r="472" spans="1:17" ht="14.4" hidden="1" x14ac:dyDescent="0.3">
      <c r="A472" s="172" t="s">
        <v>180</v>
      </c>
      <c r="B472" s="55"/>
      <c r="C472" s="56" t="s">
        <v>19</v>
      </c>
      <c r="D472" s="167"/>
      <c r="E472" s="167"/>
      <c r="F472" s="167"/>
      <c r="G472" s="167"/>
      <c r="H472" s="167"/>
      <c r="I472" s="167"/>
      <c r="J472" s="167"/>
      <c r="K472" s="167"/>
      <c r="L472" s="167"/>
      <c r="M472" s="167"/>
      <c r="N472" s="167"/>
      <c r="O472" s="167"/>
      <c r="P472" s="167"/>
      <c r="Q472" s="68"/>
    </row>
    <row r="473" spans="1:17" ht="14.4" hidden="1" x14ac:dyDescent="0.3">
      <c r="A473" s="173" t="s">
        <v>40</v>
      </c>
      <c r="B473" s="55"/>
      <c r="C473" s="56" t="s">
        <v>19</v>
      </c>
      <c r="D473" s="167"/>
      <c r="E473" s="167"/>
      <c r="F473" s="167"/>
      <c r="G473" s="167"/>
      <c r="H473" s="167"/>
      <c r="I473" s="167"/>
      <c r="J473" s="167"/>
      <c r="K473" s="167"/>
      <c r="L473" s="167"/>
      <c r="M473" s="167"/>
      <c r="N473" s="167"/>
      <c r="O473" s="167"/>
      <c r="P473" s="167"/>
      <c r="Q473" s="68"/>
    </row>
    <row r="474" spans="1:17" ht="14.4" hidden="1" x14ac:dyDescent="0.3">
      <c r="A474" s="173" t="s">
        <v>41</v>
      </c>
      <c r="B474" s="55"/>
      <c r="C474" s="56" t="s">
        <v>19</v>
      </c>
      <c r="D474" s="167"/>
      <c r="E474" s="167"/>
      <c r="F474" s="167"/>
      <c r="G474" s="167"/>
      <c r="H474" s="167"/>
      <c r="I474" s="167"/>
      <c r="J474" s="167"/>
      <c r="K474" s="167"/>
      <c r="L474" s="167"/>
      <c r="M474" s="167"/>
      <c r="N474" s="167"/>
      <c r="O474" s="167"/>
      <c r="P474" s="167"/>
      <c r="Q474" s="68"/>
    </row>
    <row r="475" spans="1:17" ht="16.2" hidden="1" x14ac:dyDescent="0.3">
      <c r="A475" s="174" t="s">
        <v>182</v>
      </c>
      <c r="B475" s="175"/>
      <c r="C475" s="56" t="s">
        <v>19</v>
      </c>
      <c r="D475" s="167"/>
      <c r="E475" s="167"/>
      <c r="F475" s="167"/>
      <c r="G475" s="167"/>
      <c r="H475" s="167"/>
      <c r="I475" s="167"/>
      <c r="J475" s="167"/>
      <c r="K475" s="167"/>
      <c r="L475" s="167"/>
      <c r="M475" s="167"/>
      <c r="N475" s="167"/>
      <c r="O475" s="167"/>
      <c r="P475" s="167"/>
      <c r="Q475" s="68"/>
    </row>
    <row r="476" spans="1:17" ht="16.2" hidden="1" x14ac:dyDescent="0.3">
      <c r="A476" s="174" t="s">
        <v>182</v>
      </c>
      <c r="B476" s="175"/>
      <c r="C476" s="56" t="s">
        <v>19</v>
      </c>
      <c r="D476" s="167"/>
      <c r="E476" s="167"/>
      <c r="F476" s="167"/>
      <c r="G476" s="167"/>
      <c r="H476" s="167"/>
      <c r="I476" s="167"/>
      <c r="J476" s="167"/>
      <c r="K476" s="167"/>
      <c r="L476" s="167"/>
      <c r="M476" s="167"/>
      <c r="N476" s="167"/>
      <c r="O476" s="167"/>
      <c r="P476" s="167"/>
      <c r="Q476" s="68"/>
    </row>
    <row r="477" spans="1:17" ht="16.2" hidden="1" x14ac:dyDescent="0.3">
      <c r="A477" s="174" t="s">
        <v>182</v>
      </c>
      <c r="B477" s="176"/>
      <c r="C477" s="56" t="s">
        <v>19</v>
      </c>
      <c r="D477" s="167"/>
      <c r="E477" s="167"/>
      <c r="F477" s="167"/>
      <c r="G477" s="167"/>
      <c r="H477" s="167"/>
      <c r="I477" s="167"/>
      <c r="J477" s="167"/>
      <c r="K477" s="167"/>
      <c r="L477" s="167"/>
      <c r="M477" s="167"/>
      <c r="N477" s="167"/>
      <c r="O477" s="167"/>
      <c r="P477" s="167"/>
      <c r="Q477" s="68"/>
    </row>
    <row r="478" spans="1:17" ht="14.4" hidden="1" x14ac:dyDescent="0.3">
      <c r="A478" s="162" t="s">
        <v>42</v>
      </c>
      <c r="B478" s="162"/>
      <c r="C478" s="56"/>
      <c r="D478" s="171"/>
      <c r="E478" s="171"/>
      <c r="F478" s="171"/>
      <c r="G478" s="171"/>
      <c r="H478" s="171"/>
      <c r="I478" s="171"/>
      <c r="J478" s="171"/>
      <c r="K478" s="171"/>
      <c r="L478" s="171"/>
      <c r="M478" s="171"/>
      <c r="N478" s="171"/>
      <c r="O478" s="171"/>
      <c r="P478" s="171"/>
      <c r="Q478" s="68"/>
    </row>
    <row r="479" spans="1:17" ht="14.4" hidden="1" x14ac:dyDescent="0.3">
      <c r="A479" s="162" t="s">
        <v>191</v>
      </c>
      <c r="B479" s="162"/>
      <c r="C479" s="56" t="s">
        <v>44</v>
      </c>
      <c r="D479" s="177"/>
      <c r="E479" s="177"/>
      <c r="F479" s="177"/>
      <c r="G479" s="177"/>
      <c r="H479" s="177"/>
      <c r="I479" s="177"/>
      <c r="J479" s="177"/>
      <c r="K479" s="177"/>
      <c r="L479" s="177"/>
      <c r="M479" s="177"/>
      <c r="N479" s="177"/>
      <c r="O479" s="177"/>
      <c r="P479" s="177"/>
      <c r="Q479" s="68"/>
    </row>
    <row r="480" spans="1:17" ht="14.4" hidden="1" x14ac:dyDescent="0.3">
      <c r="A480" s="162" t="s">
        <v>183</v>
      </c>
      <c r="B480" s="162"/>
      <c r="C480" s="56"/>
      <c r="D480" s="178"/>
      <c r="E480" s="178"/>
      <c r="F480" s="178"/>
      <c r="G480" s="178"/>
      <c r="H480" s="178"/>
      <c r="I480" s="178"/>
      <c r="J480" s="178"/>
      <c r="K480" s="178"/>
      <c r="L480" s="178"/>
      <c r="M480" s="178"/>
      <c r="N480" s="178"/>
      <c r="O480" s="178"/>
      <c r="P480" s="178"/>
      <c r="Q480" s="68"/>
    </row>
    <row r="481" spans="1:17" ht="14.4" hidden="1" x14ac:dyDescent="0.3">
      <c r="A481" s="162" t="s">
        <v>184</v>
      </c>
      <c r="B481" s="162"/>
      <c r="C481" s="56" t="s">
        <v>19</v>
      </c>
      <c r="D481" s="167"/>
      <c r="E481" s="167"/>
      <c r="F481" s="167"/>
      <c r="G481" s="167"/>
      <c r="H481" s="167"/>
      <c r="I481" s="167"/>
      <c r="J481" s="167"/>
      <c r="K481" s="167"/>
      <c r="L481" s="167"/>
      <c r="M481" s="167"/>
      <c r="N481" s="167"/>
      <c r="O481" s="167"/>
      <c r="P481" s="167"/>
      <c r="Q481" s="68"/>
    </row>
    <row r="482" spans="1:17" ht="14.4" hidden="1" x14ac:dyDescent="0.3">
      <c r="A482" s="162" t="s">
        <v>45</v>
      </c>
      <c r="B482" s="162"/>
      <c r="C482" s="56"/>
      <c r="D482" s="178"/>
      <c r="E482" s="178"/>
      <c r="F482" s="178"/>
      <c r="G482" s="178"/>
      <c r="H482" s="178"/>
      <c r="I482" s="178"/>
      <c r="J482" s="178"/>
      <c r="K482" s="178"/>
      <c r="L482" s="178"/>
      <c r="M482" s="178"/>
      <c r="N482" s="178"/>
      <c r="O482" s="178"/>
      <c r="P482" s="178"/>
      <c r="Q482" s="68"/>
    </row>
    <row r="483" spans="1:17" ht="14.4" hidden="1" x14ac:dyDescent="0.3">
      <c r="A483" s="162" t="s">
        <v>46</v>
      </c>
      <c r="B483" s="162"/>
      <c r="C483" s="56" t="s">
        <v>19</v>
      </c>
      <c r="D483" s="167"/>
      <c r="E483" s="167"/>
      <c r="F483" s="167"/>
      <c r="G483" s="167"/>
      <c r="H483" s="167"/>
      <c r="I483" s="167"/>
      <c r="J483" s="167"/>
      <c r="K483" s="167"/>
      <c r="L483" s="167"/>
      <c r="M483" s="167"/>
      <c r="N483" s="167"/>
      <c r="O483" s="167"/>
      <c r="P483" s="167"/>
      <c r="Q483" s="68"/>
    </row>
    <row r="484" spans="1:17" ht="14.4" hidden="1" x14ac:dyDescent="0.3">
      <c r="A484" s="162" t="s">
        <v>185</v>
      </c>
      <c r="B484" s="162"/>
      <c r="C484" s="56"/>
      <c r="D484" s="178"/>
      <c r="E484" s="178"/>
      <c r="F484" s="178"/>
      <c r="G484" s="178"/>
      <c r="H484" s="178"/>
      <c r="I484" s="178"/>
      <c r="J484" s="178"/>
      <c r="K484" s="178"/>
      <c r="L484" s="178"/>
      <c r="M484" s="178"/>
      <c r="N484" s="178"/>
      <c r="O484" s="178"/>
      <c r="P484" s="178"/>
      <c r="Q484" s="68"/>
    </row>
    <row r="485" spans="1:17" ht="14.4" hidden="1" x14ac:dyDescent="0.3">
      <c r="A485" s="162" t="s">
        <v>186</v>
      </c>
      <c r="B485" s="162"/>
      <c r="C485" s="56" t="s">
        <v>19</v>
      </c>
      <c r="D485" s="167"/>
      <c r="E485" s="167"/>
      <c r="F485" s="167"/>
      <c r="G485" s="167"/>
      <c r="H485" s="167"/>
      <c r="I485" s="167"/>
      <c r="J485" s="167"/>
      <c r="K485" s="167"/>
      <c r="L485" s="167"/>
      <c r="M485" s="167"/>
      <c r="N485" s="167"/>
      <c r="O485" s="167"/>
      <c r="P485" s="167"/>
      <c r="Q485" s="68"/>
    </row>
    <row r="486" spans="1:17" ht="14.4" hidden="1" x14ac:dyDescent="0.3">
      <c r="A486" s="162" t="s">
        <v>47</v>
      </c>
      <c r="B486" s="162"/>
      <c r="C486" s="56"/>
      <c r="D486" s="171"/>
      <c r="E486" s="171"/>
      <c r="F486" s="171"/>
      <c r="G486" s="171"/>
      <c r="H486" s="171"/>
      <c r="I486" s="171"/>
      <c r="J486" s="171"/>
      <c r="K486" s="171"/>
      <c r="L486" s="171"/>
      <c r="M486" s="171"/>
      <c r="N486" s="171"/>
      <c r="O486" s="171"/>
      <c r="P486" s="171"/>
      <c r="Q486" s="68"/>
    </row>
    <row r="487" spans="1:17" ht="14.4" hidden="1" x14ac:dyDescent="0.3">
      <c r="A487" s="55" t="s">
        <v>48</v>
      </c>
      <c r="B487" s="55"/>
      <c r="C487" s="56" t="s">
        <v>19</v>
      </c>
      <c r="D487" s="167"/>
      <c r="E487" s="167"/>
      <c r="F487" s="167"/>
      <c r="G487" s="167"/>
      <c r="H487" s="167"/>
      <c r="I487" s="167"/>
      <c r="J487" s="167"/>
      <c r="K487" s="167"/>
      <c r="L487" s="167"/>
      <c r="M487" s="167"/>
      <c r="N487" s="167"/>
      <c r="O487" s="167"/>
      <c r="P487" s="167"/>
      <c r="Q487" s="68"/>
    </row>
    <row r="488" spans="1:17" ht="14.4" hidden="1" x14ac:dyDescent="0.3">
      <c r="A488" s="55" t="s">
        <v>49</v>
      </c>
      <c r="B488" s="55"/>
      <c r="C488" s="56" t="s">
        <v>19</v>
      </c>
      <c r="D488" s="167"/>
      <c r="E488" s="167"/>
      <c r="F488" s="167"/>
      <c r="G488" s="167"/>
      <c r="H488" s="167"/>
      <c r="I488" s="167"/>
      <c r="J488" s="167"/>
      <c r="K488" s="167"/>
      <c r="L488" s="167"/>
      <c r="M488" s="167"/>
      <c r="N488" s="167"/>
      <c r="O488" s="167"/>
      <c r="P488" s="167"/>
      <c r="Q488" s="68"/>
    </row>
    <row r="489" spans="1:17" ht="14.4" hidden="1" x14ac:dyDescent="0.3">
      <c r="A489" s="162" t="s">
        <v>52</v>
      </c>
      <c r="B489" s="162"/>
      <c r="C489" s="179"/>
      <c r="D489" s="170"/>
      <c r="E489" s="170"/>
      <c r="F489" s="170"/>
      <c r="G489" s="170"/>
      <c r="H489" s="170"/>
      <c r="I489" s="170"/>
      <c r="J489" s="170"/>
      <c r="K489" s="170"/>
      <c r="L489" s="170"/>
      <c r="M489" s="170"/>
      <c r="N489" s="170"/>
      <c r="O489" s="170"/>
      <c r="P489" s="170"/>
      <c r="Q489" s="68"/>
    </row>
    <row r="490" spans="1:17" ht="14.4" hidden="1" x14ac:dyDescent="0.3">
      <c r="A490" s="55" t="s">
        <v>53</v>
      </c>
      <c r="B490" s="55"/>
      <c r="C490" s="56" t="s">
        <v>44</v>
      </c>
      <c r="D490" s="167"/>
      <c r="E490" s="167"/>
      <c r="F490" s="167"/>
      <c r="G490" s="167"/>
      <c r="H490" s="167"/>
      <c r="I490" s="167"/>
      <c r="J490" s="167"/>
      <c r="K490" s="167"/>
      <c r="L490" s="167"/>
      <c r="M490" s="167"/>
      <c r="N490" s="167"/>
      <c r="O490" s="167"/>
      <c r="P490" s="167"/>
      <c r="Q490" s="68"/>
    </row>
    <row r="491" spans="1:17" ht="14.4" hidden="1" x14ac:dyDescent="0.3">
      <c r="A491" s="55" t="s">
        <v>54</v>
      </c>
      <c r="B491" s="55"/>
      <c r="C491" s="56" t="s">
        <v>44</v>
      </c>
      <c r="D491" s="167"/>
      <c r="E491" s="167"/>
      <c r="F491" s="167"/>
      <c r="G491" s="167"/>
      <c r="H491" s="167"/>
      <c r="I491" s="167"/>
      <c r="J491" s="167"/>
      <c r="K491" s="167"/>
      <c r="L491" s="167"/>
      <c r="M491" s="167"/>
      <c r="N491" s="167"/>
      <c r="O491" s="167"/>
      <c r="P491" s="167"/>
      <c r="Q491" s="68"/>
    </row>
    <row r="492" spans="1:17" ht="14.4" hidden="1" x14ac:dyDescent="0.3">
      <c r="A492" s="55" t="s">
        <v>55</v>
      </c>
      <c r="B492" s="55"/>
      <c r="C492" s="56" t="s">
        <v>44</v>
      </c>
      <c r="D492" s="167"/>
      <c r="E492" s="167"/>
      <c r="F492" s="167"/>
      <c r="G492" s="167"/>
      <c r="H492" s="167"/>
      <c r="I492" s="167"/>
      <c r="J492" s="167"/>
      <c r="K492" s="167"/>
      <c r="L492" s="167"/>
      <c r="M492" s="167"/>
      <c r="N492" s="167"/>
      <c r="O492" s="167"/>
      <c r="P492" s="167"/>
      <c r="Q492" s="68"/>
    </row>
    <row r="493" spans="1:17" ht="14.4" hidden="1" x14ac:dyDescent="0.3">
      <c r="A493" s="55" t="s">
        <v>187</v>
      </c>
      <c r="B493" s="55"/>
      <c r="C493" s="56" t="s">
        <v>44</v>
      </c>
      <c r="D493" s="167"/>
      <c r="E493" s="167"/>
      <c r="F493" s="167"/>
      <c r="G493" s="167"/>
      <c r="H493" s="167"/>
      <c r="I493" s="167"/>
      <c r="J493" s="167"/>
      <c r="K493" s="167"/>
      <c r="L493" s="167"/>
      <c r="M493" s="167"/>
      <c r="N493" s="167"/>
      <c r="O493" s="167"/>
      <c r="P493" s="167"/>
      <c r="Q493" s="68"/>
    </row>
    <row r="494" spans="1:17" ht="14.4" hidden="1" x14ac:dyDescent="0.3">
      <c r="A494" s="55" t="s">
        <v>188</v>
      </c>
      <c r="B494" s="55"/>
      <c r="C494" s="56" t="s">
        <v>44</v>
      </c>
      <c r="D494" s="167"/>
      <c r="E494" s="167"/>
      <c r="F494" s="167"/>
      <c r="G494" s="167"/>
      <c r="H494" s="167"/>
      <c r="I494" s="167"/>
      <c r="J494" s="167"/>
      <c r="K494" s="167"/>
      <c r="L494" s="167"/>
      <c r="M494" s="167"/>
      <c r="N494" s="167"/>
      <c r="O494" s="167"/>
      <c r="P494" s="167"/>
      <c r="Q494" s="68"/>
    </row>
    <row r="495" spans="1:17" ht="14.4" hidden="1" x14ac:dyDescent="0.3">
      <c r="A495" s="55" t="s">
        <v>56</v>
      </c>
      <c r="B495" s="55"/>
      <c r="C495" s="56" t="s">
        <v>44</v>
      </c>
      <c r="D495" s="180"/>
      <c r="E495" s="180"/>
      <c r="F495" s="180"/>
      <c r="G495" s="180"/>
      <c r="H495" s="180"/>
      <c r="I495" s="180"/>
      <c r="J495" s="180"/>
      <c r="K495" s="180"/>
      <c r="L495" s="180"/>
      <c r="M495" s="180"/>
      <c r="N495" s="180"/>
      <c r="O495" s="180"/>
      <c r="P495" s="180"/>
      <c r="Q495" s="68"/>
    </row>
    <row r="496" spans="1:17" ht="14.4" hidden="1" x14ac:dyDescent="0.3">
      <c r="A496" s="55" t="s">
        <v>57</v>
      </c>
      <c r="B496" s="55"/>
      <c r="C496" s="56" t="s">
        <v>44</v>
      </c>
      <c r="D496" s="180"/>
      <c r="E496" s="180"/>
      <c r="F496" s="180"/>
      <c r="G496" s="180"/>
      <c r="H496" s="180"/>
      <c r="I496" s="180"/>
      <c r="J496" s="180"/>
      <c r="K496" s="180"/>
      <c r="L496" s="180"/>
      <c r="M496" s="180"/>
      <c r="N496" s="180"/>
      <c r="O496" s="180"/>
      <c r="P496" s="180"/>
      <c r="Q496" s="68"/>
    </row>
    <row r="497" spans="1:17" hidden="1" x14ac:dyDescent="0.3">
      <c r="Q497" s="68"/>
    </row>
    <row r="498" spans="1:17" ht="18" hidden="1" x14ac:dyDescent="0.35">
      <c r="A498" s="59" t="str">
        <f>'[41]Statistical data'!A217</f>
        <v>Customer Class with mix rate4</v>
      </c>
      <c r="B498" s="59"/>
      <c r="C498" s="5" t="s">
        <v>190</v>
      </c>
      <c r="D498" s="160"/>
      <c r="E498" s="160"/>
      <c r="F498" s="160"/>
      <c r="G498" s="160"/>
      <c r="H498" s="160"/>
      <c r="I498" s="160"/>
      <c r="J498" s="160"/>
      <c r="K498" s="160"/>
      <c r="L498" s="160"/>
      <c r="M498" s="160"/>
      <c r="N498" s="160"/>
      <c r="O498" s="160"/>
      <c r="P498" s="160"/>
      <c r="Q498" s="68"/>
    </row>
    <row r="499" spans="1:17" ht="24" hidden="1" customHeight="1" x14ac:dyDescent="0.3">
      <c r="A499" s="161" t="s">
        <v>3</v>
      </c>
      <c r="B499" s="161"/>
      <c r="C499" s="161" t="s">
        <v>4</v>
      </c>
      <c r="D499" s="161" t="s">
        <v>15</v>
      </c>
      <c r="E499" s="161" t="s">
        <v>15</v>
      </c>
      <c r="F499" s="161" t="s">
        <v>15</v>
      </c>
      <c r="G499" s="161" t="s">
        <v>15</v>
      </c>
      <c r="H499" s="161" t="s">
        <v>15</v>
      </c>
      <c r="I499" s="161" t="s">
        <v>15</v>
      </c>
      <c r="J499" s="161" t="s">
        <v>15</v>
      </c>
      <c r="K499" s="161" t="s">
        <v>15</v>
      </c>
      <c r="L499" s="161" t="s">
        <v>15</v>
      </c>
      <c r="M499" s="161" t="s">
        <v>15</v>
      </c>
      <c r="N499" s="161" t="s">
        <v>15</v>
      </c>
      <c r="O499" s="161" t="s">
        <v>15</v>
      </c>
      <c r="P499" s="161" t="s">
        <v>15</v>
      </c>
      <c r="Q499" s="68"/>
    </row>
    <row r="500" spans="1:17" ht="14.4" hidden="1" x14ac:dyDescent="0.3">
      <c r="A500" s="162" t="s">
        <v>17</v>
      </c>
      <c r="B500" s="163"/>
      <c r="C500" s="56"/>
      <c r="D500" s="164"/>
      <c r="E500" s="164"/>
      <c r="F500" s="164"/>
      <c r="G500" s="164"/>
      <c r="H500" s="164"/>
      <c r="I500" s="164"/>
      <c r="J500" s="164"/>
      <c r="K500" s="164"/>
      <c r="L500" s="164"/>
      <c r="M500" s="164"/>
      <c r="N500" s="164"/>
      <c r="O500" s="164"/>
      <c r="P500" s="164"/>
      <c r="Q500" s="68"/>
    </row>
    <row r="501" spans="1:17" ht="14.4" hidden="1" x14ac:dyDescent="0.3">
      <c r="A501" s="55" t="s">
        <v>18</v>
      </c>
      <c r="B501" s="165"/>
      <c r="C501" s="56" t="s">
        <v>19</v>
      </c>
      <c r="D501" s="166"/>
      <c r="E501" s="166"/>
      <c r="F501" s="166"/>
      <c r="G501" s="166"/>
      <c r="H501" s="166"/>
      <c r="I501" s="166"/>
      <c r="J501" s="166"/>
      <c r="K501" s="166"/>
      <c r="L501" s="166"/>
      <c r="M501" s="166"/>
      <c r="N501" s="166"/>
      <c r="O501" s="166"/>
      <c r="P501" s="166"/>
      <c r="Q501" s="68"/>
    </row>
    <row r="502" spans="1:17" ht="14.4" hidden="1" x14ac:dyDescent="0.3">
      <c r="A502" s="55" t="s">
        <v>66</v>
      </c>
      <c r="B502" s="165"/>
      <c r="C502" s="56" t="s">
        <v>19</v>
      </c>
      <c r="D502" s="166"/>
      <c r="E502" s="166"/>
      <c r="F502" s="166"/>
      <c r="G502" s="166"/>
      <c r="H502" s="166"/>
      <c r="I502" s="166"/>
      <c r="J502" s="166"/>
      <c r="K502" s="166"/>
      <c r="L502" s="166"/>
      <c r="M502" s="166"/>
      <c r="N502" s="166"/>
      <c r="O502" s="166"/>
      <c r="P502" s="166"/>
      <c r="Q502" s="68"/>
    </row>
    <row r="503" spans="1:17" ht="14.4" hidden="1" x14ac:dyDescent="0.3">
      <c r="A503" s="162" t="s">
        <v>20</v>
      </c>
      <c r="B503" s="163"/>
      <c r="C503" s="56"/>
      <c r="D503" s="168"/>
      <c r="E503" s="168"/>
      <c r="F503" s="168"/>
      <c r="G503" s="168"/>
      <c r="H503" s="168"/>
      <c r="I503" s="168"/>
      <c r="J503" s="168"/>
      <c r="K503" s="168"/>
      <c r="L503" s="168"/>
      <c r="M503" s="168"/>
      <c r="N503" s="168"/>
      <c r="O503" s="168"/>
      <c r="P503" s="168"/>
      <c r="Q503" s="68"/>
    </row>
    <row r="504" spans="1:17" ht="14.4" hidden="1" x14ac:dyDescent="0.3">
      <c r="A504" s="55" t="s">
        <v>21</v>
      </c>
      <c r="B504" s="165"/>
      <c r="C504" s="56" t="s">
        <v>19</v>
      </c>
      <c r="D504" s="166"/>
      <c r="E504" s="166"/>
      <c r="F504" s="166"/>
      <c r="G504" s="166"/>
      <c r="H504" s="166"/>
      <c r="I504" s="166"/>
      <c r="J504" s="166"/>
      <c r="K504" s="166"/>
      <c r="L504" s="166"/>
      <c r="M504" s="166"/>
      <c r="N504" s="166"/>
      <c r="O504" s="166"/>
      <c r="P504" s="166"/>
      <c r="Q504" s="68"/>
    </row>
    <row r="505" spans="1:17" ht="14.4" hidden="1" x14ac:dyDescent="0.3">
      <c r="A505" s="55" t="s">
        <v>22</v>
      </c>
      <c r="B505" s="165"/>
      <c r="C505" s="56" t="s">
        <v>23</v>
      </c>
      <c r="D505" s="166"/>
      <c r="E505" s="166"/>
      <c r="F505" s="166"/>
      <c r="G505" s="166"/>
      <c r="H505" s="166"/>
      <c r="I505" s="166"/>
      <c r="J505" s="166"/>
      <c r="K505" s="166"/>
      <c r="L505" s="166"/>
      <c r="M505" s="166"/>
      <c r="N505" s="166"/>
      <c r="O505" s="166"/>
      <c r="P505" s="166"/>
      <c r="Q505" s="68"/>
    </row>
    <row r="506" spans="1:17" ht="14.4" hidden="1" x14ac:dyDescent="0.3">
      <c r="A506" s="162" t="s">
        <v>24</v>
      </c>
      <c r="B506" s="163"/>
      <c r="C506" s="56"/>
      <c r="D506" s="168"/>
      <c r="E506" s="168"/>
      <c r="F506" s="168"/>
      <c r="G506" s="168"/>
      <c r="H506" s="168"/>
      <c r="I506" s="168"/>
      <c r="J506" s="168"/>
      <c r="K506" s="168"/>
      <c r="L506" s="168"/>
      <c r="M506" s="168"/>
      <c r="N506" s="168"/>
      <c r="O506" s="168"/>
      <c r="P506" s="168"/>
      <c r="Q506" s="68"/>
    </row>
    <row r="507" spans="1:17" ht="14.4" hidden="1" x14ac:dyDescent="0.3">
      <c r="A507" s="55" t="s">
        <v>25</v>
      </c>
      <c r="B507" s="165"/>
      <c r="C507" s="56" t="s">
        <v>19</v>
      </c>
      <c r="D507" s="166"/>
      <c r="E507" s="166"/>
      <c r="F507" s="166"/>
      <c r="G507" s="166"/>
      <c r="H507" s="166"/>
      <c r="I507" s="166"/>
      <c r="J507" s="166"/>
      <c r="K507" s="166"/>
      <c r="L507" s="166"/>
      <c r="M507" s="166"/>
      <c r="N507" s="166"/>
      <c r="O507" s="166"/>
      <c r="P507" s="166"/>
      <c r="Q507" s="68"/>
    </row>
    <row r="508" spans="1:17" ht="14.4" hidden="1" x14ac:dyDescent="0.3">
      <c r="A508" s="162" t="s">
        <v>26</v>
      </c>
      <c r="B508" s="162"/>
      <c r="C508" s="56"/>
      <c r="D508" s="170"/>
      <c r="E508" s="170"/>
      <c r="F508" s="170"/>
      <c r="G508" s="170"/>
      <c r="H508" s="170"/>
      <c r="I508" s="170"/>
      <c r="J508" s="170"/>
      <c r="K508" s="170"/>
      <c r="L508" s="170"/>
      <c r="M508" s="170"/>
      <c r="N508" s="170"/>
      <c r="O508" s="170"/>
      <c r="P508" s="170"/>
      <c r="Q508" s="68"/>
    </row>
    <row r="509" spans="1:17" ht="14.4" hidden="1" x14ac:dyDescent="0.3">
      <c r="A509" s="55" t="s">
        <v>27</v>
      </c>
      <c r="B509" s="55"/>
      <c r="C509" s="56" t="s">
        <v>19</v>
      </c>
      <c r="D509" s="167"/>
      <c r="E509" s="167"/>
      <c r="F509" s="167"/>
      <c r="G509" s="167"/>
      <c r="H509" s="167"/>
      <c r="I509" s="167"/>
      <c r="J509" s="167"/>
      <c r="K509" s="167"/>
      <c r="L509" s="167"/>
      <c r="M509" s="167"/>
      <c r="N509" s="167"/>
      <c r="O509" s="167"/>
      <c r="P509" s="167"/>
      <c r="Q509" s="68"/>
    </row>
    <row r="510" spans="1:17" ht="14.4" hidden="1" x14ac:dyDescent="0.3">
      <c r="A510" s="55" t="s">
        <v>28</v>
      </c>
      <c r="B510" s="55"/>
      <c r="C510" s="56" t="s">
        <v>23</v>
      </c>
      <c r="D510" s="167"/>
      <c r="E510" s="167"/>
      <c r="F510" s="167"/>
      <c r="G510" s="167"/>
      <c r="H510" s="167"/>
      <c r="I510" s="167"/>
      <c r="J510" s="167"/>
      <c r="K510" s="167"/>
      <c r="L510" s="167"/>
      <c r="M510" s="167"/>
      <c r="N510" s="167"/>
      <c r="O510" s="167"/>
      <c r="P510" s="167"/>
      <c r="Q510" s="68"/>
    </row>
    <row r="511" spans="1:17" ht="14.4" hidden="1" x14ac:dyDescent="0.3">
      <c r="A511" s="162" t="s">
        <v>29</v>
      </c>
      <c r="B511" s="162"/>
      <c r="C511" s="56"/>
      <c r="D511" s="171"/>
      <c r="E511" s="171"/>
      <c r="F511" s="171"/>
      <c r="G511" s="171"/>
      <c r="H511" s="171"/>
      <c r="I511" s="171"/>
      <c r="J511" s="171"/>
      <c r="K511" s="171"/>
      <c r="L511" s="171"/>
      <c r="M511" s="171"/>
      <c r="N511" s="171"/>
      <c r="O511" s="171"/>
      <c r="P511" s="171"/>
      <c r="Q511" s="68"/>
    </row>
    <row r="512" spans="1:17" ht="14.4" hidden="1" x14ac:dyDescent="0.3">
      <c r="A512" s="55" t="s">
        <v>30</v>
      </c>
      <c r="B512" s="55"/>
      <c r="C512" s="56" t="s">
        <v>19</v>
      </c>
      <c r="D512" s="167"/>
      <c r="E512" s="167"/>
      <c r="F512" s="167"/>
      <c r="G512" s="167"/>
      <c r="H512" s="167"/>
      <c r="I512" s="167"/>
      <c r="J512" s="167"/>
      <c r="K512" s="167"/>
      <c r="L512" s="167"/>
      <c r="M512" s="167"/>
      <c r="N512" s="167"/>
      <c r="O512" s="167"/>
      <c r="P512" s="167"/>
      <c r="Q512" s="68"/>
    </row>
    <row r="513" spans="1:17" ht="14.4" hidden="1" x14ac:dyDescent="0.3">
      <c r="A513" s="55" t="s">
        <v>31</v>
      </c>
      <c r="B513" s="55"/>
      <c r="C513" s="56" t="s">
        <v>32</v>
      </c>
      <c r="D513" s="167"/>
      <c r="E513" s="167"/>
      <c r="F513" s="167"/>
      <c r="G513" s="167"/>
      <c r="H513" s="167"/>
      <c r="I513" s="167"/>
      <c r="J513" s="167"/>
      <c r="K513" s="167"/>
      <c r="L513" s="167"/>
      <c r="M513" s="167"/>
      <c r="N513" s="167"/>
      <c r="O513" s="167"/>
      <c r="P513" s="167"/>
      <c r="Q513" s="68"/>
    </row>
    <row r="514" spans="1:17" ht="14.4" hidden="1" x14ac:dyDescent="0.3">
      <c r="A514" s="162" t="s">
        <v>33</v>
      </c>
      <c r="B514" s="162"/>
      <c r="C514" s="56"/>
      <c r="D514" s="171"/>
      <c r="E514" s="171"/>
      <c r="F514" s="171"/>
      <c r="G514" s="171"/>
      <c r="H514" s="171"/>
      <c r="I514" s="171"/>
      <c r="J514" s="171"/>
      <c r="K514" s="171"/>
      <c r="L514" s="171"/>
      <c r="M514" s="171"/>
      <c r="N514" s="171"/>
      <c r="O514" s="171"/>
      <c r="P514" s="171"/>
      <c r="Q514" s="68"/>
    </row>
    <row r="515" spans="1:17" ht="14.4" hidden="1" x14ac:dyDescent="0.3">
      <c r="A515" s="55" t="s">
        <v>34</v>
      </c>
      <c r="B515" s="55"/>
      <c r="C515" s="56" t="s">
        <v>19</v>
      </c>
      <c r="D515" s="167"/>
      <c r="E515" s="167"/>
      <c r="F515" s="167"/>
      <c r="G515" s="167"/>
      <c r="H515" s="167"/>
      <c r="I515" s="167"/>
      <c r="J515" s="167"/>
      <c r="K515" s="167"/>
      <c r="L515" s="167"/>
      <c r="M515" s="167"/>
      <c r="N515" s="167"/>
      <c r="O515" s="167"/>
      <c r="P515" s="167"/>
      <c r="Q515" s="68"/>
    </row>
    <row r="516" spans="1:17" ht="14.4" hidden="1" x14ac:dyDescent="0.3">
      <c r="A516" s="55" t="s">
        <v>35</v>
      </c>
      <c r="B516" s="55"/>
      <c r="C516" s="56" t="s">
        <v>36</v>
      </c>
      <c r="D516" s="167"/>
      <c r="E516" s="167"/>
      <c r="F516" s="167"/>
      <c r="G516" s="167"/>
      <c r="H516" s="167"/>
      <c r="I516" s="167"/>
      <c r="J516" s="167"/>
      <c r="K516" s="167"/>
      <c r="L516" s="167"/>
      <c r="M516" s="167"/>
      <c r="N516" s="167"/>
      <c r="O516" s="167"/>
      <c r="P516" s="167"/>
      <c r="Q516" s="68"/>
    </row>
    <row r="517" spans="1:17" ht="14.4" hidden="1" x14ac:dyDescent="0.3">
      <c r="A517" s="162" t="s">
        <v>37</v>
      </c>
      <c r="B517" s="162"/>
      <c r="C517" s="56"/>
      <c r="D517" s="171"/>
      <c r="E517" s="171"/>
      <c r="F517" s="171"/>
      <c r="G517" s="171"/>
      <c r="H517" s="171"/>
      <c r="I517" s="171"/>
      <c r="J517" s="171"/>
      <c r="K517" s="171"/>
      <c r="L517" s="171"/>
      <c r="M517" s="171"/>
      <c r="N517" s="171"/>
      <c r="O517" s="171"/>
      <c r="P517" s="171"/>
      <c r="Q517" s="68"/>
    </row>
    <row r="518" spans="1:17" ht="14.4" hidden="1" x14ac:dyDescent="0.3">
      <c r="A518" s="172" t="s">
        <v>38</v>
      </c>
      <c r="B518" s="55"/>
      <c r="C518" s="56" t="s">
        <v>19</v>
      </c>
      <c r="D518" s="167"/>
      <c r="E518" s="167"/>
      <c r="F518" s="167"/>
      <c r="G518" s="167"/>
      <c r="H518" s="167"/>
      <c r="I518" s="167"/>
      <c r="J518" s="167"/>
      <c r="K518" s="167"/>
      <c r="L518" s="167"/>
      <c r="M518" s="167"/>
      <c r="N518" s="167"/>
      <c r="O518" s="167"/>
      <c r="P518" s="167"/>
      <c r="Q518" s="68"/>
    </row>
    <row r="519" spans="1:17" ht="14.4" hidden="1" x14ac:dyDescent="0.3">
      <c r="A519" s="172" t="s">
        <v>39</v>
      </c>
      <c r="B519" s="55"/>
      <c r="C519" s="56" t="s">
        <v>19</v>
      </c>
      <c r="D519" s="167"/>
      <c r="E519" s="167"/>
      <c r="F519" s="167"/>
      <c r="G519" s="167"/>
      <c r="H519" s="167"/>
      <c r="I519" s="167"/>
      <c r="J519" s="167"/>
      <c r="K519" s="167"/>
      <c r="L519" s="167"/>
      <c r="M519" s="167"/>
      <c r="N519" s="167"/>
      <c r="O519" s="167"/>
      <c r="P519" s="167"/>
      <c r="Q519" s="68"/>
    </row>
    <row r="520" spans="1:17" ht="14.4" hidden="1" x14ac:dyDescent="0.3">
      <c r="A520" s="172" t="s">
        <v>180</v>
      </c>
      <c r="B520" s="55"/>
      <c r="C520" s="56" t="s">
        <v>19</v>
      </c>
      <c r="D520" s="167"/>
      <c r="E520" s="167"/>
      <c r="F520" s="167"/>
      <c r="G520" s="167"/>
      <c r="H520" s="167"/>
      <c r="I520" s="167"/>
      <c r="J520" s="167"/>
      <c r="K520" s="167"/>
      <c r="L520" s="167"/>
      <c r="M520" s="167"/>
      <c r="N520" s="167"/>
      <c r="O520" s="167"/>
      <c r="P520" s="167"/>
      <c r="Q520" s="68"/>
    </row>
    <row r="521" spans="1:17" ht="14.4" hidden="1" x14ac:dyDescent="0.3">
      <c r="A521" s="173" t="s">
        <v>40</v>
      </c>
      <c r="B521" s="55"/>
      <c r="C521" s="56" t="s">
        <v>19</v>
      </c>
      <c r="D521" s="167"/>
      <c r="E521" s="167"/>
      <c r="F521" s="167"/>
      <c r="G521" s="167"/>
      <c r="H521" s="167"/>
      <c r="I521" s="167"/>
      <c r="J521" s="167"/>
      <c r="K521" s="167"/>
      <c r="L521" s="167"/>
      <c r="M521" s="167"/>
      <c r="N521" s="167"/>
      <c r="O521" s="167"/>
      <c r="P521" s="167"/>
      <c r="Q521" s="68"/>
    </row>
    <row r="522" spans="1:17" ht="14.4" hidden="1" x14ac:dyDescent="0.3">
      <c r="A522" s="173" t="s">
        <v>41</v>
      </c>
      <c r="B522" s="55"/>
      <c r="C522" s="56" t="s">
        <v>19</v>
      </c>
      <c r="D522" s="167"/>
      <c r="E522" s="167"/>
      <c r="F522" s="167"/>
      <c r="G522" s="167"/>
      <c r="H522" s="167"/>
      <c r="I522" s="167"/>
      <c r="J522" s="167"/>
      <c r="K522" s="167"/>
      <c r="L522" s="167"/>
      <c r="M522" s="167"/>
      <c r="N522" s="167"/>
      <c r="O522" s="167"/>
      <c r="P522" s="167"/>
      <c r="Q522" s="68"/>
    </row>
    <row r="523" spans="1:17" ht="16.2" hidden="1" x14ac:dyDescent="0.3">
      <c r="A523" s="174" t="s">
        <v>182</v>
      </c>
      <c r="B523" s="175"/>
      <c r="C523" s="56" t="s">
        <v>19</v>
      </c>
      <c r="D523" s="167"/>
      <c r="E523" s="167"/>
      <c r="F523" s="167"/>
      <c r="G523" s="167"/>
      <c r="H523" s="167"/>
      <c r="I523" s="167"/>
      <c r="J523" s="167"/>
      <c r="K523" s="167"/>
      <c r="L523" s="167"/>
      <c r="M523" s="167"/>
      <c r="N523" s="167"/>
      <c r="O523" s="167"/>
      <c r="P523" s="167"/>
      <c r="Q523" s="68"/>
    </row>
    <row r="524" spans="1:17" ht="16.2" hidden="1" x14ac:dyDescent="0.3">
      <c r="A524" s="174" t="s">
        <v>182</v>
      </c>
      <c r="B524" s="175"/>
      <c r="C524" s="56" t="s">
        <v>19</v>
      </c>
      <c r="D524" s="167"/>
      <c r="E524" s="167"/>
      <c r="F524" s="167"/>
      <c r="G524" s="167"/>
      <c r="H524" s="167"/>
      <c r="I524" s="167"/>
      <c r="J524" s="167"/>
      <c r="K524" s="167"/>
      <c r="L524" s="167"/>
      <c r="M524" s="167"/>
      <c r="N524" s="167"/>
      <c r="O524" s="167"/>
      <c r="P524" s="167"/>
      <c r="Q524" s="68"/>
    </row>
    <row r="525" spans="1:17" ht="16.2" hidden="1" x14ac:dyDescent="0.3">
      <c r="A525" s="174" t="s">
        <v>182</v>
      </c>
      <c r="B525" s="176"/>
      <c r="C525" s="56" t="s">
        <v>19</v>
      </c>
      <c r="D525" s="167"/>
      <c r="E525" s="167"/>
      <c r="F525" s="167"/>
      <c r="G525" s="167"/>
      <c r="H525" s="167"/>
      <c r="I525" s="167"/>
      <c r="J525" s="167"/>
      <c r="K525" s="167"/>
      <c r="L525" s="167"/>
      <c r="M525" s="167"/>
      <c r="N525" s="167"/>
      <c r="O525" s="167"/>
      <c r="P525" s="167"/>
      <c r="Q525" s="68"/>
    </row>
    <row r="526" spans="1:17" ht="14.4" hidden="1" x14ac:dyDescent="0.3">
      <c r="A526" s="162" t="s">
        <v>42</v>
      </c>
      <c r="B526" s="162"/>
      <c r="C526" s="56"/>
      <c r="D526" s="171"/>
      <c r="E526" s="171"/>
      <c r="F526" s="171"/>
      <c r="G526" s="171"/>
      <c r="H526" s="171"/>
      <c r="I526" s="171"/>
      <c r="J526" s="171"/>
      <c r="K526" s="171"/>
      <c r="L526" s="171"/>
      <c r="M526" s="171"/>
      <c r="N526" s="171"/>
      <c r="O526" s="171"/>
      <c r="P526" s="171"/>
      <c r="Q526" s="68"/>
    </row>
    <row r="527" spans="1:17" ht="14.4" hidden="1" x14ac:dyDescent="0.3">
      <c r="A527" s="162" t="s">
        <v>191</v>
      </c>
      <c r="B527" s="162"/>
      <c r="C527" s="56" t="s">
        <v>44</v>
      </c>
      <c r="D527" s="177"/>
      <c r="E527" s="177"/>
      <c r="F527" s="177"/>
      <c r="G527" s="177"/>
      <c r="H527" s="177"/>
      <c r="I527" s="177"/>
      <c r="J527" s="177"/>
      <c r="K527" s="177"/>
      <c r="L527" s="177"/>
      <c r="M527" s="177"/>
      <c r="N527" s="177"/>
      <c r="O527" s="177"/>
      <c r="P527" s="177"/>
      <c r="Q527" s="68"/>
    </row>
    <row r="528" spans="1:17" ht="14.4" hidden="1" x14ac:dyDescent="0.3">
      <c r="A528" s="162" t="s">
        <v>183</v>
      </c>
      <c r="B528" s="162"/>
      <c r="C528" s="56"/>
      <c r="D528" s="178"/>
      <c r="E528" s="178"/>
      <c r="F528" s="178"/>
      <c r="G528" s="178"/>
      <c r="H528" s="178"/>
      <c r="I528" s="178"/>
      <c r="J528" s="178"/>
      <c r="K528" s="178"/>
      <c r="L528" s="178"/>
      <c r="M528" s="178"/>
      <c r="N528" s="178"/>
      <c r="O528" s="178"/>
      <c r="P528" s="178"/>
      <c r="Q528" s="68"/>
    </row>
    <row r="529" spans="1:17" ht="14.4" hidden="1" x14ac:dyDescent="0.3">
      <c r="A529" s="162" t="s">
        <v>184</v>
      </c>
      <c r="B529" s="162"/>
      <c r="C529" s="56" t="s">
        <v>19</v>
      </c>
      <c r="D529" s="167"/>
      <c r="E529" s="167"/>
      <c r="F529" s="167"/>
      <c r="G529" s="167"/>
      <c r="H529" s="167"/>
      <c r="I529" s="167"/>
      <c r="J529" s="167"/>
      <c r="K529" s="167"/>
      <c r="L529" s="167"/>
      <c r="M529" s="167"/>
      <c r="N529" s="167"/>
      <c r="O529" s="167"/>
      <c r="P529" s="167"/>
      <c r="Q529" s="68"/>
    </row>
    <row r="530" spans="1:17" ht="14.4" hidden="1" x14ac:dyDescent="0.3">
      <c r="A530" s="162" t="s">
        <v>45</v>
      </c>
      <c r="B530" s="162"/>
      <c r="C530" s="56"/>
      <c r="D530" s="178"/>
      <c r="E530" s="178"/>
      <c r="F530" s="178"/>
      <c r="G530" s="178"/>
      <c r="H530" s="178"/>
      <c r="I530" s="178"/>
      <c r="J530" s="178"/>
      <c r="K530" s="178"/>
      <c r="L530" s="178"/>
      <c r="M530" s="178"/>
      <c r="N530" s="178"/>
      <c r="O530" s="178"/>
      <c r="P530" s="178"/>
      <c r="Q530" s="68"/>
    </row>
    <row r="531" spans="1:17" ht="14.4" hidden="1" x14ac:dyDescent="0.3">
      <c r="A531" s="162" t="s">
        <v>46</v>
      </c>
      <c r="B531" s="162"/>
      <c r="C531" s="56" t="s">
        <v>19</v>
      </c>
      <c r="D531" s="167"/>
      <c r="E531" s="167"/>
      <c r="F531" s="167"/>
      <c r="G531" s="167"/>
      <c r="H531" s="167"/>
      <c r="I531" s="167"/>
      <c r="J531" s="167"/>
      <c r="K531" s="167"/>
      <c r="L531" s="167"/>
      <c r="M531" s="167"/>
      <c r="N531" s="167"/>
      <c r="O531" s="167"/>
      <c r="P531" s="167"/>
      <c r="Q531" s="68"/>
    </row>
    <row r="532" spans="1:17" ht="14.4" hidden="1" x14ac:dyDescent="0.3">
      <c r="A532" s="162" t="s">
        <v>185</v>
      </c>
      <c r="B532" s="162"/>
      <c r="C532" s="56"/>
      <c r="D532" s="178"/>
      <c r="E532" s="178"/>
      <c r="F532" s="178"/>
      <c r="G532" s="178"/>
      <c r="H532" s="178"/>
      <c r="I532" s="178"/>
      <c r="J532" s="178"/>
      <c r="K532" s="178"/>
      <c r="L532" s="178"/>
      <c r="M532" s="178"/>
      <c r="N532" s="178"/>
      <c r="O532" s="178"/>
      <c r="P532" s="178"/>
      <c r="Q532" s="68"/>
    </row>
    <row r="533" spans="1:17" ht="14.4" hidden="1" x14ac:dyDescent="0.3">
      <c r="A533" s="162" t="s">
        <v>186</v>
      </c>
      <c r="B533" s="162"/>
      <c r="C533" s="56" t="s">
        <v>19</v>
      </c>
      <c r="D533" s="167"/>
      <c r="E533" s="167"/>
      <c r="F533" s="167"/>
      <c r="G533" s="167"/>
      <c r="H533" s="167"/>
      <c r="I533" s="167"/>
      <c r="J533" s="167"/>
      <c r="K533" s="167"/>
      <c r="L533" s="167"/>
      <c r="M533" s="167"/>
      <c r="N533" s="167"/>
      <c r="O533" s="167"/>
      <c r="P533" s="167"/>
      <c r="Q533" s="68"/>
    </row>
    <row r="534" spans="1:17" ht="14.4" hidden="1" x14ac:dyDescent="0.3">
      <c r="A534" s="162" t="s">
        <v>47</v>
      </c>
      <c r="B534" s="162"/>
      <c r="C534" s="56"/>
      <c r="D534" s="171"/>
      <c r="E534" s="171"/>
      <c r="F534" s="171"/>
      <c r="G534" s="171"/>
      <c r="H534" s="171"/>
      <c r="I534" s="171"/>
      <c r="J534" s="171"/>
      <c r="K534" s="171"/>
      <c r="L534" s="171"/>
      <c r="M534" s="171"/>
      <c r="N534" s="171"/>
      <c r="O534" s="171"/>
      <c r="P534" s="171"/>
      <c r="Q534" s="68"/>
    </row>
    <row r="535" spans="1:17" ht="14.4" hidden="1" x14ac:dyDescent="0.3">
      <c r="A535" s="55" t="s">
        <v>48</v>
      </c>
      <c r="B535" s="55"/>
      <c r="C535" s="56" t="s">
        <v>19</v>
      </c>
      <c r="D535" s="167"/>
      <c r="E535" s="167"/>
      <c r="F535" s="167"/>
      <c r="G535" s="167"/>
      <c r="H535" s="167"/>
      <c r="I535" s="167"/>
      <c r="J535" s="167"/>
      <c r="K535" s="167"/>
      <c r="L535" s="167"/>
      <c r="M535" s="167"/>
      <c r="N535" s="167"/>
      <c r="O535" s="167"/>
      <c r="P535" s="167"/>
      <c r="Q535" s="68"/>
    </row>
    <row r="536" spans="1:17" ht="14.4" hidden="1" x14ac:dyDescent="0.3">
      <c r="A536" s="55" t="s">
        <v>49</v>
      </c>
      <c r="B536" s="55"/>
      <c r="C536" s="56" t="s">
        <v>19</v>
      </c>
      <c r="D536" s="167"/>
      <c r="E536" s="167"/>
      <c r="F536" s="167"/>
      <c r="G536" s="167"/>
      <c r="H536" s="167"/>
      <c r="I536" s="167"/>
      <c r="J536" s="167"/>
      <c r="K536" s="167"/>
      <c r="L536" s="167"/>
      <c r="M536" s="167"/>
      <c r="N536" s="167"/>
      <c r="O536" s="167"/>
      <c r="P536" s="167"/>
      <c r="Q536" s="68"/>
    </row>
    <row r="537" spans="1:17" ht="14.4" hidden="1" x14ac:dyDescent="0.3">
      <c r="A537" s="162" t="s">
        <v>52</v>
      </c>
      <c r="B537" s="162"/>
      <c r="C537" s="179"/>
      <c r="D537" s="170"/>
      <c r="E537" s="170"/>
      <c r="F537" s="170"/>
      <c r="G537" s="170"/>
      <c r="H537" s="170"/>
      <c r="I537" s="170"/>
      <c r="J537" s="170"/>
      <c r="K537" s="170"/>
      <c r="L537" s="170"/>
      <c r="M537" s="170"/>
      <c r="N537" s="170"/>
      <c r="O537" s="170"/>
      <c r="P537" s="170"/>
      <c r="Q537" s="68"/>
    </row>
    <row r="538" spans="1:17" ht="14.4" hidden="1" x14ac:dyDescent="0.3">
      <c r="A538" s="55" t="s">
        <v>53</v>
      </c>
      <c r="B538" s="55"/>
      <c r="C538" s="56" t="s">
        <v>44</v>
      </c>
      <c r="D538" s="167"/>
      <c r="E538" s="167"/>
      <c r="F538" s="167"/>
      <c r="G538" s="167"/>
      <c r="H538" s="167"/>
      <c r="I538" s="167"/>
      <c r="J538" s="167"/>
      <c r="K538" s="167"/>
      <c r="L538" s="167"/>
      <c r="M538" s="167"/>
      <c r="N538" s="167"/>
      <c r="O538" s="167"/>
      <c r="P538" s="167"/>
      <c r="Q538" s="68"/>
    </row>
    <row r="539" spans="1:17" ht="14.4" hidden="1" x14ac:dyDescent="0.3">
      <c r="A539" s="55" t="s">
        <v>54</v>
      </c>
      <c r="B539" s="55"/>
      <c r="C539" s="56" t="s">
        <v>44</v>
      </c>
      <c r="D539" s="167"/>
      <c r="E539" s="167"/>
      <c r="F539" s="167"/>
      <c r="G539" s="167"/>
      <c r="H539" s="167"/>
      <c r="I539" s="167"/>
      <c r="J539" s="167"/>
      <c r="K539" s="167"/>
      <c r="L539" s="167"/>
      <c r="M539" s="167"/>
      <c r="N539" s="167"/>
      <c r="O539" s="167"/>
      <c r="P539" s="167"/>
      <c r="Q539" s="68"/>
    </row>
    <row r="540" spans="1:17" ht="14.4" hidden="1" x14ac:dyDescent="0.3">
      <c r="A540" s="55" t="s">
        <v>55</v>
      </c>
      <c r="B540" s="55"/>
      <c r="C540" s="56" t="s">
        <v>44</v>
      </c>
      <c r="D540" s="167"/>
      <c r="E540" s="167"/>
      <c r="F540" s="167"/>
      <c r="G540" s="167"/>
      <c r="H540" s="167"/>
      <c r="I540" s="167"/>
      <c r="J540" s="167"/>
      <c r="K540" s="167"/>
      <c r="L540" s="167"/>
      <c r="M540" s="167"/>
      <c r="N540" s="167"/>
      <c r="O540" s="167"/>
      <c r="P540" s="167"/>
      <c r="Q540" s="68"/>
    </row>
    <row r="541" spans="1:17" ht="14.4" hidden="1" x14ac:dyDescent="0.3">
      <c r="A541" s="55" t="s">
        <v>187</v>
      </c>
      <c r="B541" s="55"/>
      <c r="C541" s="56" t="s">
        <v>44</v>
      </c>
      <c r="D541" s="167"/>
      <c r="E541" s="167"/>
      <c r="F541" s="167"/>
      <c r="G541" s="167"/>
      <c r="H541" s="167"/>
      <c r="I541" s="167"/>
      <c r="J541" s="167"/>
      <c r="K541" s="167"/>
      <c r="L541" s="167"/>
      <c r="M541" s="167"/>
      <c r="N541" s="167"/>
      <c r="O541" s="167"/>
      <c r="P541" s="167"/>
      <c r="Q541" s="68"/>
    </row>
    <row r="542" spans="1:17" ht="14.4" hidden="1" x14ac:dyDescent="0.3">
      <c r="A542" s="55" t="s">
        <v>188</v>
      </c>
      <c r="B542" s="55"/>
      <c r="C542" s="56" t="s">
        <v>44</v>
      </c>
      <c r="D542" s="167"/>
      <c r="E542" s="167"/>
      <c r="F542" s="167"/>
      <c r="G542" s="167"/>
      <c r="H542" s="167"/>
      <c r="I542" s="167"/>
      <c r="J542" s="167"/>
      <c r="K542" s="167"/>
      <c r="L542" s="167"/>
      <c r="M542" s="167"/>
      <c r="N542" s="167"/>
      <c r="O542" s="167"/>
      <c r="P542" s="167"/>
      <c r="Q542" s="68"/>
    </row>
    <row r="543" spans="1:17" ht="14.4" hidden="1" x14ac:dyDescent="0.3">
      <c r="A543" s="55" t="s">
        <v>56</v>
      </c>
      <c r="B543" s="55"/>
      <c r="C543" s="56" t="s">
        <v>44</v>
      </c>
      <c r="D543" s="180"/>
      <c r="E543" s="180"/>
      <c r="F543" s="180"/>
      <c r="G543" s="180"/>
      <c r="H543" s="180"/>
      <c r="I543" s="180"/>
      <c r="J543" s="180"/>
      <c r="K543" s="180"/>
      <c r="L543" s="180"/>
      <c r="M543" s="180"/>
      <c r="N543" s="180"/>
      <c r="O543" s="180"/>
      <c r="P543" s="180"/>
      <c r="Q543" s="68"/>
    </row>
    <row r="544" spans="1:17" ht="14.4" hidden="1" x14ac:dyDescent="0.3">
      <c r="A544" s="55" t="s">
        <v>57</v>
      </c>
      <c r="B544" s="55"/>
      <c r="C544" s="56" t="s">
        <v>44</v>
      </c>
      <c r="D544" s="180"/>
      <c r="E544" s="180"/>
      <c r="F544" s="180"/>
      <c r="G544" s="180"/>
      <c r="H544" s="180"/>
      <c r="I544" s="180"/>
      <c r="J544" s="180"/>
      <c r="K544" s="180"/>
      <c r="L544" s="180"/>
      <c r="M544" s="180"/>
      <c r="N544" s="180"/>
      <c r="O544" s="180"/>
      <c r="P544" s="180"/>
      <c r="Q544" s="68"/>
    </row>
    <row r="545" spans="1:17" hidden="1" x14ac:dyDescent="0.3">
      <c r="Q545" s="68"/>
    </row>
    <row r="546" spans="1:17" ht="18" hidden="1" x14ac:dyDescent="0.35">
      <c r="A546" s="60" t="str">
        <f>'[41]Statistical data'!A218</f>
        <v>Customer Class with mix rate5</v>
      </c>
      <c r="B546" s="59"/>
      <c r="C546" s="5" t="s">
        <v>190</v>
      </c>
      <c r="D546" s="160"/>
      <c r="E546" s="160"/>
      <c r="F546" s="160"/>
      <c r="G546" s="160"/>
      <c r="H546" s="160"/>
      <c r="I546" s="160"/>
      <c r="J546" s="160"/>
      <c r="K546" s="160"/>
      <c r="L546" s="160"/>
      <c r="M546" s="160"/>
      <c r="N546" s="160"/>
      <c r="O546" s="160"/>
      <c r="P546" s="160"/>
      <c r="Q546" s="68"/>
    </row>
    <row r="547" spans="1:17" ht="25.5" hidden="1" customHeight="1" x14ac:dyDescent="0.3">
      <c r="A547" s="161" t="s">
        <v>3</v>
      </c>
      <c r="B547" s="161"/>
      <c r="C547" s="161" t="s">
        <v>4</v>
      </c>
      <c r="D547" s="161" t="s">
        <v>15</v>
      </c>
      <c r="E547" s="161" t="s">
        <v>15</v>
      </c>
      <c r="F547" s="161" t="s">
        <v>15</v>
      </c>
      <c r="G547" s="161" t="s">
        <v>15</v>
      </c>
      <c r="H547" s="161" t="s">
        <v>15</v>
      </c>
      <c r="I547" s="161" t="s">
        <v>15</v>
      </c>
      <c r="J547" s="161" t="s">
        <v>15</v>
      </c>
      <c r="K547" s="161" t="s">
        <v>15</v>
      </c>
      <c r="L547" s="161" t="s">
        <v>15</v>
      </c>
      <c r="M547" s="161" t="s">
        <v>15</v>
      </c>
      <c r="N547" s="161" t="s">
        <v>15</v>
      </c>
      <c r="O547" s="161" t="s">
        <v>15</v>
      </c>
      <c r="P547" s="161" t="s">
        <v>15</v>
      </c>
      <c r="Q547" s="68"/>
    </row>
    <row r="548" spans="1:17" ht="14.4" hidden="1" x14ac:dyDescent="0.3">
      <c r="A548" s="162" t="s">
        <v>17</v>
      </c>
      <c r="B548" s="163"/>
      <c r="C548" s="56"/>
      <c r="D548" s="164"/>
      <c r="E548" s="164"/>
      <c r="F548" s="164"/>
      <c r="G548" s="164"/>
      <c r="H548" s="164"/>
      <c r="I548" s="164"/>
      <c r="J548" s="164"/>
      <c r="K548" s="164"/>
      <c r="L548" s="164"/>
      <c r="M548" s="164"/>
      <c r="N548" s="164"/>
      <c r="O548" s="164"/>
      <c r="P548" s="164"/>
      <c r="Q548" s="68"/>
    </row>
    <row r="549" spans="1:17" ht="14.4" hidden="1" x14ac:dyDescent="0.3">
      <c r="A549" s="55" t="s">
        <v>18</v>
      </c>
      <c r="B549" s="165"/>
      <c r="C549" s="56" t="s">
        <v>19</v>
      </c>
      <c r="D549" s="166"/>
      <c r="E549" s="166"/>
      <c r="F549" s="166"/>
      <c r="G549" s="166"/>
      <c r="H549" s="166"/>
      <c r="I549" s="166"/>
      <c r="J549" s="166"/>
      <c r="K549" s="166"/>
      <c r="L549" s="166"/>
      <c r="M549" s="166"/>
      <c r="N549" s="166"/>
      <c r="O549" s="166"/>
      <c r="P549" s="166"/>
      <c r="Q549" s="68"/>
    </row>
    <row r="550" spans="1:17" ht="14.4" hidden="1" x14ac:dyDescent="0.3">
      <c r="A550" s="55" t="s">
        <v>66</v>
      </c>
      <c r="B550" s="165"/>
      <c r="C550" s="56" t="s">
        <v>19</v>
      </c>
      <c r="D550" s="166"/>
      <c r="E550" s="166"/>
      <c r="F550" s="166"/>
      <c r="G550" s="166"/>
      <c r="H550" s="166"/>
      <c r="I550" s="166"/>
      <c r="J550" s="166"/>
      <c r="K550" s="166"/>
      <c r="L550" s="166"/>
      <c r="M550" s="166"/>
      <c r="N550" s="166"/>
      <c r="O550" s="166"/>
      <c r="P550" s="166"/>
      <c r="Q550" s="68"/>
    </row>
    <row r="551" spans="1:17" ht="14.4" hidden="1" x14ac:dyDescent="0.3">
      <c r="A551" s="162" t="s">
        <v>20</v>
      </c>
      <c r="B551" s="163"/>
      <c r="C551" s="56"/>
      <c r="D551" s="168"/>
      <c r="E551" s="168"/>
      <c r="F551" s="168"/>
      <c r="G551" s="168"/>
      <c r="H551" s="168"/>
      <c r="I551" s="168"/>
      <c r="J551" s="168"/>
      <c r="K551" s="168"/>
      <c r="L551" s="168"/>
      <c r="M551" s="168"/>
      <c r="N551" s="168"/>
      <c r="O551" s="168"/>
      <c r="P551" s="168"/>
      <c r="Q551" s="68"/>
    </row>
    <row r="552" spans="1:17" ht="14.4" hidden="1" x14ac:dyDescent="0.3">
      <c r="A552" s="55" t="s">
        <v>21</v>
      </c>
      <c r="B552" s="165"/>
      <c r="C552" s="56" t="s">
        <v>19</v>
      </c>
      <c r="D552" s="166"/>
      <c r="E552" s="166"/>
      <c r="F552" s="166"/>
      <c r="G552" s="166"/>
      <c r="H552" s="166"/>
      <c r="I552" s="166"/>
      <c r="J552" s="166"/>
      <c r="K552" s="166"/>
      <c r="L552" s="166"/>
      <c r="M552" s="166"/>
      <c r="N552" s="166"/>
      <c r="O552" s="166"/>
      <c r="P552" s="166"/>
      <c r="Q552" s="68"/>
    </row>
    <row r="553" spans="1:17" ht="14.4" hidden="1" x14ac:dyDescent="0.3">
      <c r="A553" s="55" t="s">
        <v>22</v>
      </c>
      <c r="B553" s="165"/>
      <c r="C553" s="56" t="s">
        <v>23</v>
      </c>
      <c r="D553" s="166"/>
      <c r="E553" s="166"/>
      <c r="F553" s="166"/>
      <c r="G553" s="166"/>
      <c r="H553" s="166"/>
      <c r="I553" s="166"/>
      <c r="J553" s="166"/>
      <c r="K553" s="166"/>
      <c r="L553" s="166"/>
      <c r="M553" s="166"/>
      <c r="N553" s="166"/>
      <c r="O553" s="166"/>
      <c r="P553" s="166"/>
      <c r="Q553" s="68"/>
    </row>
    <row r="554" spans="1:17" ht="14.4" hidden="1" x14ac:dyDescent="0.3">
      <c r="A554" s="162" t="s">
        <v>24</v>
      </c>
      <c r="B554" s="163"/>
      <c r="C554" s="56"/>
      <c r="D554" s="168"/>
      <c r="E554" s="168"/>
      <c r="F554" s="168"/>
      <c r="G554" s="168"/>
      <c r="H554" s="168"/>
      <c r="I554" s="168"/>
      <c r="J554" s="168"/>
      <c r="K554" s="168"/>
      <c r="L554" s="168"/>
      <c r="M554" s="168"/>
      <c r="N554" s="168"/>
      <c r="O554" s="168"/>
      <c r="P554" s="168"/>
      <c r="Q554" s="68"/>
    </row>
    <row r="555" spans="1:17" ht="14.4" hidden="1" x14ac:dyDescent="0.3">
      <c r="A555" s="55" t="s">
        <v>25</v>
      </c>
      <c r="B555" s="165"/>
      <c r="C555" s="56" t="s">
        <v>19</v>
      </c>
      <c r="D555" s="166"/>
      <c r="E555" s="166"/>
      <c r="F555" s="166"/>
      <c r="G555" s="166"/>
      <c r="H555" s="166"/>
      <c r="I555" s="166"/>
      <c r="J555" s="166"/>
      <c r="K555" s="166"/>
      <c r="L555" s="166"/>
      <c r="M555" s="166"/>
      <c r="N555" s="166"/>
      <c r="O555" s="166"/>
      <c r="P555" s="166"/>
      <c r="Q555" s="68"/>
    </row>
    <row r="556" spans="1:17" ht="14.4" hidden="1" x14ac:dyDescent="0.3">
      <c r="A556" s="162" t="s">
        <v>26</v>
      </c>
      <c r="B556" s="162"/>
      <c r="C556" s="56"/>
      <c r="D556" s="170"/>
      <c r="E556" s="170"/>
      <c r="F556" s="170"/>
      <c r="G556" s="170"/>
      <c r="H556" s="170"/>
      <c r="I556" s="170"/>
      <c r="J556" s="170"/>
      <c r="K556" s="170"/>
      <c r="L556" s="170"/>
      <c r="M556" s="170"/>
      <c r="N556" s="170"/>
      <c r="O556" s="170"/>
      <c r="P556" s="170"/>
      <c r="Q556" s="68"/>
    </row>
    <row r="557" spans="1:17" ht="14.4" hidden="1" x14ac:dyDescent="0.3">
      <c r="A557" s="55" t="s">
        <v>27</v>
      </c>
      <c r="B557" s="55"/>
      <c r="C557" s="56" t="s">
        <v>19</v>
      </c>
      <c r="D557" s="167"/>
      <c r="E557" s="167"/>
      <c r="F557" s="167"/>
      <c r="G557" s="167"/>
      <c r="H557" s="167"/>
      <c r="I557" s="167"/>
      <c r="J557" s="167"/>
      <c r="K557" s="167"/>
      <c r="L557" s="167"/>
      <c r="M557" s="167"/>
      <c r="N557" s="167"/>
      <c r="O557" s="167"/>
      <c r="P557" s="167"/>
      <c r="Q557" s="68"/>
    </row>
    <row r="558" spans="1:17" ht="14.4" hidden="1" x14ac:dyDescent="0.3">
      <c r="A558" s="55" t="s">
        <v>28</v>
      </c>
      <c r="B558" s="55"/>
      <c r="C558" s="56" t="s">
        <v>23</v>
      </c>
      <c r="D558" s="167"/>
      <c r="E558" s="167"/>
      <c r="F558" s="167"/>
      <c r="G558" s="167"/>
      <c r="H558" s="167"/>
      <c r="I558" s="167"/>
      <c r="J558" s="167"/>
      <c r="K558" s="167"/>
      <c r="L558" s="167"/>
      <c r="M558" s="167"/>
      <c r="N558" s="167"/>
      <c r="O558" s="167"/>
      <c r="P558" s="167"/>
      <c r="Q558" s="68"/>
    </row>
    <row r="559" spans="1:17" ht="14.4" hidden="1" x14ac:dyDescent="0.3">
      <c r="A559" s="162" t="s">
        <v>29</v>
      </c>
      <c r="B559" s="162"/>
      <c r="C559" s="56"/>
      <c r="D559" s="171"/>
      <c r="E559" s="171"/>
      <c r="F559" s="171"/>
      <c r="G559" s="171"/>
      <c r="H559" s="171"/>
      <c r="I559" s="171"/>
      <c r="J559" s="171"/>
      <c r="K559" s="171"/>
      <c r="L559" s="171"/>
      <c r="M559" s="171"/>
      <c r="N559" s="171"/>
      <c r="O559" s="171"/>
      <c r="P559" s="171"/>
      <c r="Q559" s="68"/>
    </row>
    <row r="560" spans="1:17" ht="14.4" hidden="1" x14ac:dyDescent="0.3">
      <c r="A560" s="55" t="s">
        <v>30</v>
      </c>
      <c r="B560" s="55"/>
      <c r="C560" s="56" t="s">
        <v>19</v>
      </c>
      <c r="D560" s="167"/>
      <c r="E560" s="167"/>
      <c r="F560" s="167"/>
      <c r="G560" s="167"/>
      <c r="H560" s="167"/>
      <c r="I560" s="167"/>
      <c r="J560" s="167"/>
      <c r="K560" s="167"/>
      <c r="L560" s="167"/>
      <c r="M560" s="167"/>
      <c r="N560" s="167"/>
      <c r="O560" s="167"/>
      <c r="P560" s="167"/>
      <c r="Q560" s="68"/>
    </row>
    <row r="561" spans="1:17" ht="14.4" hidden="1" x14ac:dyDescent="0.3">
      <c r="A561" s="55" t="s">
        <v>31</v>
      </c>
      <c r="B561" s="55"/>
      <c r="C561" s="56" t="s">
        <v>32</v>
      </c>
      <c r="D561" s="167"/>
      <c r="E561" s="167"/>
      <c r="F561" s="167"/>
      <c r="G561" s="167"/>
      <c r="H561" s="167"/>
      <c r="I561" s="167"/>
      <c r="J561" s="167"/>
      <c r="K561" s="167"/>
      <c r="L561" s="167"/>
      <c r="M561" s="167"/>
      <c r="N561" s="167"/>
      <c r="O561" s="167"/>
      <c r="P561" s="167"/>
      <c r="Q561" s="68"/>
    </row>
    <row r="562" spans="1:17" ht="14.4" hidden="1" x14ac:dyDescent="0.3">
      <c r="A562" s="162" t="s">
        <v>33</v>
      </c>
      <c r="B562" s="162"/>
      <c r="C562" s="56"/>
      <c r="D562" s="171"/>
      <c r="E562" s="171"/>
      <c r="F562" s="171"/>
      <c r="G562" s="171"/>
      <c r="H562" s="171"/>
      <c r="I562" s="171"/>
      <c r="J562" s="171"/>
      <c r="K562" s="171"/>
      <c r="L562" s="171"/>
      <c r="M562" s="171"/>
      <c r="N562" s="171"/>
      <c r="O562" s="171"/>
      <c r="P562" s="171"/>
      <c r="Q562" s="68"/>
    </row>
    <row r="563" spans="1:17" ht="14.4" hidden="1" x14ac:dyDescent="0.3">
      <c r="A563" s="55" t="s">
        <v>34</v>
      </c>
      <c r="B563" s="55"/>
      <c r="C563" s="56" t="s">
        <v>19</v>
      </c>
      <c r="D563" s="167"/>
      <c r="E563" s="167"/>
      <c r="F563" s="167"/>
      <c r="G563" s="167"/>
      <c r="H563" s="167"/>
      <c r="I563" s="167"/>
      <c r="J563" s="167"/>
      <c r="K563" s="167"/>
      <c r="L563" s="167"/>
      <c r="M563" s="167"/>
      <c r="N563" s="167"/>
      <c r="O563" s="167"/>
      <c r="P563" s="167"/>
      <c r="Q563" s="68"/>
    </row>
    <row r="564" spans="1:17" ht="14.4" hidden="1" x14ac:dyDescent="0.3">
      <c r="A564" s="55" t="s">
        <v>35</v>
      </c>
      <c r="B564" s="55"/>
      <c r="C564" s="56" t="s">
        <v>36</v>
      </c>
      <c r="D564" s="167"/>
      <c r="E564" s="167"/>
      <c r="F564" s="167"/>
      <c r="G564" s="167"/>
      <c r="H564" s="167"/>
      <c r="I564" s="167"/>
      <c r="J564" s="167"/>
      <c r="K564" s="167"/>
      <c r="L564" s="167"/>
      <c r="M564" s="167"/>
      <c r="N564" s="167"/>
      <c r="O564" s="167"/>
      <c r="P564" s="167"/>
      <c r="Q564" s="68"/>
    </row>
    <row r="565" spans="1:17" ht="14.4" hidden="1" x14ac:dyDescent="0.3">
      <c r="A565" s="162" t="s">
        <v>37</v>
      </c>
      <c r="B565" s="162"/>
      <c r="C565" s="56"/>
      <c r="D565" s="171"/>
      <c r="E565" s="171"/>
      <c r="F565" s="171"/>
      <c r="G565" s="171"/>
      <c r="H565" s="171"/>
      <c r="I565" s="171"/>
      <c r="J565" s="171"/>
      <c r="K565" s="171"/>
      <c r="L565" s="171"/>
      <c r="M565" s="171"/>
      <c r="N565" s="171"/>
      <c r="O565" s="171"/>
      <c r="P565" s="171"/>
      <c r="Q565" s="68"/>
    </row>
    <row r="566" spans="1:17" ht="14.4" hidden="1" x14ac:dyDescent="0.3">
      <c r="A566" s="172" t="s">
        <v>38</v>
      </c>
      <c r="B566" s="55"/>
      <c r="C566" s="56" t="s">
        <v>19</v>
      </c>
      <c r="D566" s="167"/>
      <c r="E566" s="167"/>
      <c r="F566" s="167"/>
      <c r="G566" s="167"/>
      <c r="H566" s="167"/>
      <c r="I566" s="167"/>
      <c r="J566" s="167"/>
      <c r="K566" s="167"/>
      <c r="L566" s="167"/>
      <c r="M566" s="167"/>
      <c r="N566" s="167"/>
      <c r="O566" s="167"/>
      <c r="P566" s="167"/>
      <c r="Q566" s="68"/>
    </row>
    <row r="567" spans="1:17" ht="14.4" hidden="1" x14ac:dyDescent="0.3">
      <c r="A567" s="172" t="s">
        <v>39</v>
      </c>
      <c r="B567" s="55"/>
      <c r="C567" s="56" t="s">
        <v>19</v>
      </c>
      <c r="D567" s="167"/>
      <c r="E567" s="167"/>
      <c r="F567" s="167"/>
      <c r="G567" s="167"/>
      <c r="H567" s="167"/>
      <c r="I567" s="167"/>
      <c r="J567" s="167"/>
      <c r="K567" s="167"/>
      <c r="L567" s="167"/>
      <c r="M567" s="167"/>
      <c r="N567" s="167"/>
      <c r="O567" s="167"/>
      <c r="P567" s="167"/>
      <c r="Q567" s="68"/>
    </row>
    <row r="568" spans="1:17" ht="14.4" hidden="1" x14ac:dyDescent="0.3">
      <c r="A568" s="172" t="s">
        <v>180</v>
      </c>
      <c r="B568" s="55"/>
      <c r="C568" s="56" t="s">
        <v>19</v>
      </c>
      <c r="D568" s="167"/>
      <c r="E568" s="167"/>
      <c r="F568" s="167"/>
      <c r="G568" s="167"/>
      <c r="H568" s="167"/>
      <c r="I568" s="167"/>
      <c r="J568" s="167"/>
      <c r="K568" s="167"/>
      <c r="L568" s="167"/>
      <c r="M568" s="167"/>
      <c r="N568" s="167"/>
      <c r="O568" s="167"/>
      <c r="P568" s="167"/>
      <c r="Q568" s="68"/>
    </row>
    <row r="569" spans="1:17" ht="14.4" hidden="1" x14ac:dyDescent="0.3">
      <c r="A569" s="173" t="s">
        <v>40</v>
      </c>
      <c r="B569" s="55"/>
      <c r="C569" s="56" t="s">
        <v>19</v>
      </c>
      <c r="D569" s="167"/>
      <c r="E569" s="167"/>
      <c r="F569" s="167"/>
      <c r="G569" s="167"/>
      <c r="H569" s="167"/>
      <c r="I569" s="167"/>
      <c r="J569" s="167"/>
      <c r="K569" s="167"/>
      <c r="L569" s="167"/>
      <c r="M569" s="167"/>
      <c r="N569" s="167"/>
      <c r="O569" s="167"/>
      <c r="P569" s="167"/>
      <c r="Q569" s="68"/>
    </row>
    <row r="570" spans="1:17" ht="14.4" hidden="1" x14ac:dyDescent="0.3">
      <c r="A570" s="173" t="s">
        <v>41</v>
      </c>
      <c r="B570" s="55"/>
      <c r="C570" s="56" t="s">
        <v>19</v>
      </c>
      <c r="D570" s="167"/>
      <c r="E570" s="167"/>
      <c r="F570" s="167"/>
      <c r="G570" s="167"/>
      <c r="H570" s="167"/>
      <c r="I570" s="167"/>
      <c r="J570" s="167"/>
      <c r="K570" s="167"/>
      <c r="L570" s="167"/>
      <c r="M570" s="167"/>
      <c r="N570" s="167"/>
      <c r="O570" s="167"/>
      <c r="P570" s="167"/>
      <c r="Q570" s="68"/>
    </row>
    <row r="571" spans="1:17" ht="16.2" hidden="1" x14ac:dyDescent="0.3">
      <c r="A571" s="174" t="s">
        <v>182</v>
      </c>
      <c r="B571" s="175"/>
      <c r="C571" s="56" t="s">
        <v>19</v>
      </c>
      <c r="D571" s="167"/>
      <c r="E571" s="167"/>
      <c r="F571" s="167"/>
      <c r="G571" s="167"/>
      <c r="H571" s="167"/>
      <c r="I571" s="167"/>
      <c r="J571" s="167"/>
      <c r="K571" s="167"/>
      <c r="L571" s="167"/>
      <c r="M571" s="167"/>
      <c r="N571" s="167"/>
      <c r="O571" s="167"/>
      <c r="P571" s="167"/>
      <c r="Q571" s="68"/>
    </row>
    <row r="572" spans="1:17" ht="16.2" hidden="1" x14ac:dyDescent="0.3">
      <c r="A572" s="174" t="s">
        <v>182</v>
      </c>
      <c r="B572" s="175"/>
      <c r="C572" s="56" t="s">
        <v>19</v>
      </c>
      <c r="D572" s="167"/>
      <c r="E572" s="167"/>
      <c r="F572" s="167"/>
      <c r="G572" s="167"/>
      <c r="H572" s="167"/>
      <c r="I572" s="167"/>
      <c r="J572" s="167"/>
      <c r="K572" s="167"/>
      <c r="L572" s="167"/>
      <c r="M572" s="167"/>
      <c r="N572" s="167"/>
      <c r="O572" s="167"/>
      <c r="P572" s="167"/>
      <c r="Q572" s="68"/>
    </row>
    <row r="573" spans="1:17" ht="16.2" hidden="1" x14ac:dyDescent="0.3">
      <c r="A573" s="174" t="s">
        <v>182</v>
      </c>
      <c r="B573" s="176"/>
      <c r="C573" s="56" t="s">
        <v>19</v>
      </c>
      <c r="D573" s="167"/>
      <c r="E573" s="167"/>
      <c r="F573" s="167"/>
      <c r="G573" s="167"/>
      <c r="H573" s="167"/>
      <c r="I573" s="167"/>
      <c r="J573" s="167"/>
      <c r="K573" s="167"/>
      <c r="L573" s="167"/>
      <c r="M573" s="167"/>
      <c r="N573" s="167"/>
      <c r="O573" s="167"/>
      <c r="P573" s="167"/>
      <c r="Q573" s="68"/>
    </row>
    <row r="574" spans="1:17" ht="14.4" hidden="1" x14ac:dyDescent="0.3">
      <c r="A574" s="162" t="s">
        <v>42</v>
      </c>
      <c r="B574" s="162"/>
      <c r="C574" s="56"/>
      <c r="D574" s="171"/>
      <c r="E574" s="171"/>
      <c r="F574" s="171"/>
      <c r="G574" s="171"/>
      <c r="H574" s="171"/>
      <c r="I574" s="171"/>
      <c r="J574" s="171"/>
      <c r="K574" s="171"/>
      <c r="L574" s="171"/>
      <c r="M574" s="171"/>
      <c r="N574" s="171"/>
      <c r="O574" s="171"/>
      <c r="P574" s="171"/>
      <c r="Q574" s="68"/>
    </row>
    <row r="575" spans="1:17" ht="14.4" hidden="1" x14ac:dyDescent="0.3">
      <c r="A575" s="162" t="s">
        <v>191</v>
      </c>
      <c r="B575" s="162"/>
      <c r="C575" s="56" t="s">
        <v>44</v>
      </c>
      <c r="D575" s="177"/>
      <c r="E575" s="177"/>
      <c r="F575" s="177"/>
      <c r="G575" s="177"/>
      <c r="H575" s="177"/>
      <c r="I575" s="177"/>
      <c r="J575" s="177"/>
      <c r="K575" s="177"/>
      <c r="L575" s="177"/>
      <c r="M575" s="177"/>
      <c r="N575" s="177"/>
      <c r="O575" s="177"/>
      <c r="P575" s="177"/>
      <c r="Q575" s="68"/>
    </row>
    <row r="576" spans="1:17" ht="14.4" hidden="1" x14ac:dyDescent="0.3">
      <c r="A576" s="162" t="s">
        <v>183</v>
      </c>
      <c r="B576" s="162"/>
      <c r="C576" s="56"/>
      <c r="D576" s="178"/>
      <c r="E576" s="178"/>
      <c r="F576" s="178"/>
      <c r="G576" s="178"/>
      <c r="H576" s="178"/>
      <c r="I576" s="178"/>
      <c r="J576" s="178"/>
      <c r="K576" s="178"/>
      <c r="L576" s="178"/>
      <c r="M576" s="178"/>
      <c r="N576" s="178"/>
      <c r="O576" s="178"/>
      <c r="P576" s="178"/>
      <c r="Q576" s="68"/>
    </row>
    <row r="577" spans="1:17" ht="14.4" hidden="1" x14ac:dyDescent="0.3">
      <c r="A577" s="162" t="s">
        <v>184</v>
      </c>
      <c r="B577" s="162"/>
      <c r="C577" s="56" t="s">
        <v>19</v>
      </c>
      <c r="D577" s="167"/>
      <c r="E577" s="167"/>
      <c r="F577" s="167"/>
      <c r="G577" s="167"/>
      <c r="H577" s="167"/>
      <c r="I577" s="167"/>
      <c r="J577" s="167"/>
      <c r="K577" s="167"/>
      <c r="L577" s="167"/>
      <c r="M577" s="167"/>
      <c r="N577" s="167"/>
      <c r="O577" s="167"/>
      <c r="P577" s="167"/>
      <c r="Q577" s="68"/>
    </row>
    <row r="578" spans="1:17" ht="14.4" hidden="1" x14ac:dyDescent="0.3">
      <c r="A578" s="162" t="s">
        <v>45</v>
      </c>
      <c r="B578" s="162"/>
      <c r="C578" s="56"/>
      <c r="D578" s="178"/>
      <c r="E578" s="178"/>
      <c r="F578" s="178"/>
      <c r="G578" s="178"/>
      <c r="H578" s="178"/>
      <c r="I578" s="178"/>
      <c r="J578" s="178"/>
      <c r="K578" s="178"/>
      <c r="L578" s="178"/>
      <c r="M578" s="178"/>
      <c r="N578" s="178"/>
      <c r="O578" s="178"/>
      <c r="P578" s="178"/>
      <c r="Q578" s="68"/>
    </row>
    <row r="579" spans="1:17" ht="14.4" hidden="1" x14ac:dyDescent="0.3">
      <c r="A579" s="162" t="s">
        <v>46</v>
      </c>
      <c r="B579" s="162"/>
      <c r="C579" s="56" t="s">
        <v>19</v>
      </c>
      <c r="D579" s="167"/>
      <c r="E579" s="167"/>
      <c r="F579" s="167"/>
      <c r="G579" s="167"/>
      <c r="H579" s="167"/>
      <c r="I579" s="167"/>
      <c r="J579" s="167"/>
      <c r="K579" s="167"/>
      <c r="L579" s="167"/>
      <c r="M579" s="167"/>
      <c r="N579" s="167"/>
      <c r="O579" s="167"/>
      <c r="P579" s="167"/>
      <c r="Q579" s="68"/>
    </row>
    <row r="580" spans="1:17" ht="14.4" hidden="1" x14ac:dyDescent="0.3">
      <c r="A580" s="162" t="s">
        <v>185</v>
      </c>
      <c r="B580" s="162"/>
      <c r="C580" s="56"/>
      <c r="D580" s="178"/>
      <c r="E580" s="178"/>
      <c r="F580" s="178"/>
      <c r="G580" s="178"/>
      <c r="H580" s="178"/>
      <c r="I580" s="178"/>
      <c r="J580" s="178"/>
      <c r="K580" s="178"/>
      <c r="L580" s="178"/>
      <c r="M580" s="178"/>
      <c r="N580" s="178"/>
      <c r="O580" s="178"/>
      <c r="P580" s="178"/>
      <c r="Q580" s="68"/>
    </row>
    <row r="581" spans="1:17" ht="14.4" hidden="1" x14ac:dyDescent="0.3">
      <c r="A581" s="162" t="s">
        <v>186</v>
      </c>
      <c r="B581" s="162"/>
      <c r="C581" s="56" t="s">
        <v>19</v>
      </c>
      <c r="D581" s="167"/>
      <c r="E581" s="167"/>
      <c r="F581" s="167"/>
      <c r="G581" s="167"/>
      <c r="H581" s="167"/>
      <c r="I581" s="167"/>
      <c r="J581" s="167"/>
      <c r="K581" s="167"/>
      <c r="L581" s="167"/>
      <c r="M581" s="167"/>
      <c r="N581" s="167"/>
      <c r="O581" s="167"/>
      <c r="P581" s="167"/>
      <c r="Q581" s="68"/>
    </row>
    <row r="582" spans="1:17" ht="14.4" hidden="1" x14ac:dyDescent="0.3">
      <c r="A582" s="162" t="s">
        <v>47</v>
      </c>
      <c r="B582" s="162"/>
      <c r="C582" s="56"/>
      <c r="D582" s="171"/>
      <c r="E582" s="171"/>
      <c r="F582" s="171"/>
      <c r="G582" s="171"/>
      <c r="H582" s="171"/>
      <c r="I582" s="171"/>
      <c r="J582" s="171"/>
      <c r="K582" s="171"/>
      <c r="L582" s="171"/>
      <c r="M582" s="171"/>
      <c r="N582" s="171"/>
      <c r="O582" s="171"/>
      <c r="P582" s="171"/>
      <c r="Q582" s="68"/>
    </row>
    <row r="583" spans="1:17" ht="14.4" hidden="1" x14ac:dyDescent="0.3">
      <c r="A583" s="55" t="s">
        <v>48</v>
      </c>
      <c r="B583" s="55"/>
      <c r="C583" s="56" t="s">
        <v>19</v>
      </c>
      <c r="D583" s="167"/>
      <c r="E583" s="167"/>
      <c r="F583" s="167"/>
      <c r="G583" s="167"/>
      <c r="H583" s="167"/>
      <c r="I583" s="167"/>
      <c r="J583" s="167"/>
      <c r="K583" s="167"/>
      <c r="L583" s="167"/>
      <c r="M583" s="167"/>
      <c r="N583" s="167"/>
      <c r="O583" s="167"/>
      <c r="P583" s="167"/>
      <c r="Q583" s="68"/>
    </row>
    <row r="584" spans="1:17" ht="14.4" hidden="1" x14ac:dyDescent="0.3">
      <c r="A584" s="55" t="s">
        <v>49</v>
      </c>
      <c r="B584" s="55"/>
      <c r="C584" s="56" t="s">
        <v>19</v>
      </c>
      <c r="D584" s="167"/>
      <c r="E584" s="167"/>
      <c r="F584" s="167"/>
      <c r="G584" s="167"/>
      <c r="H584" s="167"/>
      <c r="I584" s="167"/>
      <c r="J584" s="167"/>
      <c r="K584" s="167"/>
      <c r="L584" s="167"/>
      <c r="M584" s="167"/>
      <c r="N584" s="167"/>
      <c r="O584" s="167"/>
      <c r="P584" s="167"/>
      <c r="Q584" s="68"/>
    </row>
    <row r="585" spans="1:17" ht="14.4" hidden="1" x14ac:dyDescent="0.3">
      <c r="A585" s="162" t="s">
        <v>52</v>
      </c>
      <c r="B585" s="162"/>
      <c r="C585" s="179"/>
      <c r="D585" s="170"/>
      <c r="E585" s="170"/>
      <c r="F585" s="170"/>
      <c r="G585" s="170"/>
      <c r="H585" s="170"/>
      <c r="I585" s="170"/>
      <c r="J585" s="170"/>
      <c r="K585" s="170"/>
      <c r="L585" s="170"/>
      <c r="M585" s="170"/>
      <c r="N585" s="170"/>
      <c r="O585" s="170"/>
      <c r="P585" s="170"/>
      <c r="Q585" s="68"/>
    </row>
    <row r="586" spans="1:17" ht="14.4" hidden="1" x14ac:dyDescent="0.3">
      <c r="A586" s="55" t="s">
        <v>53</v>
      </c>
      <c r="B586" s="55"/>
      <c r="C586" s="56" t="s">
        <v>44</v>
      </c>
      <c r="D586" s="167"/>
      <c r="E586" s="167"/>
      <c r="F586" s="167"/>
      <c r="G586" s="167"/>
      <c r="H586" s="167"/>
      <c r="I586" s="167"/>
      <c r="J586" s="167"/>
      <c r="K586" s="167"/>
      <c r="L586" s="167"/>
      <c r="M586" s="167"/>
      <c r="N586" s="167"/>
      <c r="O586" s="167"/>
      <c r="P586" s="167"/>
      <c r="Q586" s="68"/>
    </row>
    <row r="587" spans="1:17" ht="14.4" hidden="1" x14ac:dyDescent="0.3">
      <c r="A587" s="55" t="s">
        <v>54</v>
      </c>
      <c r="B587" s="55"/>
      <c r="C587" s="56" t="s">
        <v>44</v>
      </c>
      <c r="D587" s="167"/>
      <c r="E587" s="167"/>
      <c r="F587" s="167"/>
      <c r="G587" s="167"/>
      <c r="H587" s="167"/>
      <c r="I587" s="167"/>
      <c r="J587" s="167"/>
      <c r="K587" s="167"/>
      <c r="L587" s="167"/>
      <c r="M587" s="167"/>
      <c r="N587" s="167"/>
      <c r="O587" s="167"/>
      <c r="P587" s="167"/>
      <c r="Q587" s="68"/>
    </row>
    <row r="588" spans="1:17" ht="14.4" hidden="1" x14ac:dyDescent="0.3">
      <c r="A588" s="55" t="s">
        <v>55</v>
      </c>
      <c r="B588" s="55"/>
      <c r="C588" s="56" t="s">
        <v>44</v>
      </c>
      <c r="D588" s="167"/>
      <c r="E588" s="167"/>
      <c r="F588" s="167"/>
      <c r="G588" s="167"/>
      <c r="H588" s="167"/>
      <c r="I588" s="167"/>
      <c r="J588" s="167"/>
      <c r="K588" s="167"/>
      <c r="L588" s="167"/>
      <c r="M588" s="167"/>
      <c r="N588" s="167"/>
      <c r="O588" s="167"/>
      <c r="P588" s="167"/>
      <c r="Q588" s="68"/>
    </row>
    <row r="589" spans="1:17" ht="14.4" hidden="1" x14ac:dyDescent="0.3">
      <c r="A589" s="55" t="s">
        <v>187</v>
      </c>
      <c r="B589" s="55"/>
      <c r="C589" s="56" t="s">
        <v>44</v>
      </c>
      <c r="D589" s="167"/>
      <c r="E589" s="167"/>
      <c r="F589" s="167"/>
      <c r="G589" s="167"/>
      <c r="H589" s="167"/>
      <c r="I589" s="167"/>
      <c r="J589" s="167"/>
      <c r="K589" s="167"/>
      <c r="L589" s="167"/>
      <c r="M589" s="167"/>
      <c r="N589" s="167"/>
      <c r="O589" s="167"/>
      <c r="P589" s="167"/>
      <c r="Q589" s="68"/>
    </row>
    <row r="590" spans="1:17" ht="14.4" hidden="1" x14ac:dyDescent="0.3">
      <c r="A590" s="55" t="s">
        <v>188</v>
      </c>
      <c r="B590" s="55"/>
      <c r="C590" s="56" t="s">
        <v>44</v>
      </c>
      <c r="D590" s="167"/>
      <c r="E590" s="167"/>
      <c r="F590" s="167"/>
      <c r="G590" s="167"/>
      <c r="H590" s="167"/>
      <c r="I590" s="167"/>
      <c r="J590" s="167"/>
      <c r="K590" s="167"/>
      <c r="L590" s="167"/>
      <c r="M590" s="167"/>
      <c r="N590" s="167"/>
      <c r="O590" s="167"/>
      <c r="P590" s="167"/>
      <c r="Q590" s="68"/>
    </row>
    <row r="591" spans="1:17" ht="14.4" hidden="1" x14ac:dyDescent="0.3">
      <c r="A591" s="55" t="s">
        <v>56</v>
      </c>
      <c r="B591" s="55"/>
      <c r="C591" s="56" t="s">
        <v>44</v>
      </c>
      <c r="D591" s="180"/>
      <c r="E591" s="180"/>
      <c r="F591" s="180"/>
      <c r="G591" s="180"/>
      <c r="H591" s="180"/>
      <c r="I591" s="180"/>
      <c r="J591" s="180"/>
      <c r="K591" s="180"/>
      <c r="L591" s="180"/>
      <c r="M591" s="180"/>
      <c r="N591" s="180"/>
      <c r="O591" s="180"/>
      <c r="P591" s="180"/>
      <c r="Q591" s="68"/>
    </row>
    <row r="592" spans="1:17" ht="14.4" hidden="1" x14ac:dyDescent="0.3">
      <c r="A592" s="55" t="s">
        <v>57</v>
      </c>
      <c r="B592" s="55"/>
      <c r="C592" s="56" t="s">
        <v>44</v>
      </c>
      <c r="D592" s="180"/>
      <c r="E592" s="180"/>
      <c r="F592" s="180"/>
      <c r="G592" s="180"/>
      <c r="H592" s="180"/>
      <c r="I592" s="180"/>
      <c r="J592" s="180"/>
      <c r="K592" s="180"/>
      <c r="L592" s="180"/>
      <c r="M592" s="180"/>
      <c r="N592" s="180"/>
      <c r="O592" s="180"/>
      <c r="P592" s="180"/>
      <c r="Q592" s="68"/>
    </row>
    <row r="593" spans="1:17" ht="14.4" hidden="1" x14ac:dyDescent="0.3">
      <c r="D593" s="58"/>
      <c r="E593" s="58"/>
      <c r="F593" s="58"/>
      <c r="G593" s="58"/>
      <c r="H593" s="58"/>
      <c r="I593" s="58"/>
      <c r="J593" s="58"/>
      <c r="K593" s="58"/>
      <c r="L593" s="58"/>
      <c r="M593" s="58"/>
      <c r="N593" s="58"/>
      <c r="O593" s="58"/>
      <c r="P593" s="58"/>
      <c r="Q593" s="68"/>
    </row>
    <row r="594" spans="1:17" ht="18" hidden="1" x14ac:dyDescent="0.35">
      <c r="A594" s="59" t="str">
        <f>'[41]Statistical data'!A219</f>
        <v>Customer Class with mix rate6</v>
      </c>
      <c r="C594" s="5" t="s">
        <v>190</v>
      </c>
      <c r="D594" s="160"/>
      <c r="E594" s="160"/>
      <c r="F594" s="160"/>
      <c r="G594" s="160"/>
      <c r="H594" s="160"/>
      <c r="I594" s="160"/>
      <c r="J594" s="160"/>
      <c r="K594" s="160"/>
      <c r="L594" s="160"/>
      <c r="M594" s="160"/>
      <c r="N594" s="160"/>
      <c r="O594" s="160"/>
      <c r="P594" s="160"/>
      <c r="Q594" s="68"/>
    </row>
    <row r="595" spans="1:17" ht="14.4" hidden="1" x14ac:dyDescent="0.3">
      <c r="A595" s="161" t="s">
        <v>3</v>
      </c>
      <c r="B595" s="161"/>
      <c r="C595" s="161" t="s">
        <v>4</v>
      </c>
      <c r="D595" s="161" t="s">
        <v>15</v>
      </c>
      <c r="E595" s="161" t="s">
        <v>15</v>
      </c>
      <c r="F595" s="161" t="s">
        <v>15</v>
      </c>
      <c r="G595" s="161" t="s">
        <v>15</v>
      </c>
      <c r="H595" s="161" t="s">
        <v>15</v>
      </c>
      <c r="I595" s="161" t="s">
        <v>15</v>
      </c>
      <c r="J595" s="161" t="s">
        <v>15</v>
      </c>
      <c r="K595" s="161" t="s">
        <v>15</v>
      </c>
      <c r="L595" s="161" t="s">
        <v>15</v>
      </c>
      <c r="M595" s="161" t="s">
        <v>15</v>
      </c>
      <c r="N595" s="161" t="s">
        <v>15</v>
      </c>
      <c r="O595" s="161" t="s">
        <v>15</v>
      </c>
      <c r="P595" s="161" t="s">
        <v>15</v>
      </c>
      <c r="Q595" s="68"/>
    </row>
    <row r="596" spans="1:17" ht="14.4" hidden="1" x14ac:dyDescent="0.3">
      <c r="A596" s="162" t="s">
        <v>17</v>
      </c>
      <c r="B596" s="163"/>
      <c r="C596" s="56"/>
      <c r="D596" s="164"/>
      <c r="E596" s="164"/>
      <c r="F596" s="164"/>
      <c r="G596" s="164"/>
      <c r="H596" s="164"/>
      <c r="I596" s="164"/>
      <c r="J596" s="164"/>
      <c r="K596" s="164"/>
      <c r="L596" s="164"/>
      <c r="M596" s="164"/>
      <c r="N596" s="164"/>
      <c r="O596" s="164"/>
      <c r="P596" s="164"/>
      <c r="Q596" s="68"/>
    </row>
    <row r="597" spans="1:17" ht="14.4" hidden="1" x14ac:dyDescent="0.3">
      <c r="A597" s="55" t="s">
        <v>18</v>
      </c>
      <c r="B597" s="165"/>
      <c r="C597" s="56" t="s">
        <v>19</v>
      </c>
      <c r="D597" s="166"/>
      <c r="E597" s="166"/>
      <c r="F597" s="166"/>
      <c r="G597" s="166"/>
      <c r="H597" s="166"/>
      <c r="I597" s="166"/>
      <c r="J597" s="166"/>
      <c r="K597" s="166"/>
      <c r="L597" s="166"/>
      <c r="M597" s="166"/>
      <c r="N597" s="166"/>
      <c r="O597" s="166"/>
      <c r="P597" s="166"/>
      <c r="Q597" s="68"/>
    </row>
    <row r="598" spans="1:17" ht="14.4" hidden="1" x14ac:dyDescent="0.3">
      <c r="A598" s="55" t="s">
        <v>66</v>
      </c>
      <c r="B598" s="165"/>
      <c r="C598" s="56" t="s">
        <v>19</v>
      </c>
      <c r="D598" s="166"/>
      <c r="E598" s="166"/>
      <c r="F598" s="166"/>
      <c r="G598" s="166"/>
      <c r="H598" s="166"/>
      <c r="I598" s="166"/>
      <c r="J598" s="166"/>
      <c r="K598" s="166"/>
      <c r="L598" s="166"/>
      <c r="M598" s="166"/>
      <c r="N598" s="166"/>
      <c r="O598" s="166"/>
      <c r="P598" s="166"/>
      <c r="Q598" s="68"/>
    </row>
    <row r="599" spans="1:17" ht="14.4" hidden="1" x14ac:dyDescent="0.3">
      <c r="A599" s="162" t="s">
        <v>20</v>
      </c>
      <c r="B599" s="163"/>
      <c r="C599" s="56"/>
      <c r="D599" s="168"/>
      <c r="E599" s="168"/>
      <c r="F599" s="168"/>
      <c r="G599" s="168"/>
      <c r="H599" s="168"/>
      <c r="I599" s="168"/>
      <c r="J599" s="168"/>
      <c r="K599" s="168"/>
      <c r="L599" s="168"/>
      <c r="M599" s="168"/>
      <c r="N599" s="168"/>
      <c r="O599" s="168"/>
      <c r="P599" s="168"/>
      <c r="Q599" s="68"/>
    </row>
    <row r="600" spans="1:17" ht="14.4" hidden="1" x14ac:dyDescent="0.3">
      <c r="A600" s="55" t="s">
        <v>21</v>
      </c>
      <c r="B600" s="165"/>
      <c r="C600" s="56" t="s">
        <v>19</v>
      </c>
      <c r="D600" s="166"/>
      <c r="E600" s="166"/>
      <c r="F600" s="166"/>
      <c r="G600" s="166"/>
      <c r="H600" s="166"/>
      <c r="I600" s="166"/>
      <c r="J600" s="166"/>
      <c r="K600" s="166"/>
      <c r="L600" s="166"/>
      <c r="M600" s="166"/>
      <c r="N600" s="166"/>
      <c r="O600" s="166"/>
      <c r="P600" s="166"/>
      <c r="Q600" s="68"/>
    </row>
    <row r="601" spans="1:17" ht="14.4" hidden="1" x14ac:dyDescent="0.3">
      <c r="A601" s="55" t="s">
        <v>22</v>
      </c>
      <c r="B601" s="165"/>
      <c r="C601" s="56" t="s">
        <v>23</v>
      </c>
      <c r="D601" s="166"/>
      <c r="E601" s="166"/>
      <c r="F601" s="166"/>
      <c r="G601" s="166"/>
      <c r="H601" s="166"/>
      <c r="I601" s="166"/>
      <c r="J601" s="166"/>
      <c r="K601" s="166"/>
      <c r="L601" s="166"/>
      <c r="M601" s="166"/>
      <c r="N601" s="166"/>
      <c r="O601" s="166"/>
      <c r="P601" s="166"/>
      <c r="Q601" s="68"/>
    </row>
    <row r="602" spans="1:17" ht="14.4" hidden="1" x14ac:dyDescent="0.3">
      <c r="A602" s="162" t="s">
        <v>24</v>
      </c>
      <c r="B602" s="163"/>
      <c r="C602" s="56"/>
      <c r="D602" s="168"/>
      <c r="E602" s="168"/>
      <c r="F602" s="168"/>
      <c r="G602" s="168"/>
      <c r="H602" s="168"/>
      <c r="I602" s="168"/>
      <c r="J602" s="168"/>
      <c r="K602" s="168"/>
      <c r="L602" s="168"/>
      <c r="M602" s="168"/>
      <c r="N602" s="168"/>
      <c r="O602" s="168"/>
      <c r="P602" s="168"/>
      <c r="Q602" s="68"/>
    </row>
    <row r="603" spans="1:17" ht="14.4" hidden="1" x14ac:dyDescent="0.3">
      <c r="A603" s="55" t="s">
        <v>25</v>
      </c>
      <c r="B603" s="165"/>
      <c r="C603" s="56" t="s">
        <v>19</v>
      </c>
      <c r="D603" s="166"/>
      <c r="E603" s="166"/>
      <c r="F603" s="166"/>
      <c r="G603" s="166"/>
      <c r="H603" s="166"/>
      <c r="I603" s="166"/>
      <c r="J603" s="166"/>
      <c r="K603" s="166"/>
      <c r="L603" s="166"/>
      <c r="M603" s="166"/>
      <c r="N603" s="166"/>
      <c r="O603" s="166"/>
      <c r="P603" s="166"/>
      <c r="Q603" s="68"/>
    </row>
    <row r="604" spans="1:17" ht="14.4" hidden="1" x14ac:dyDescent="0.3">
      <c r="A604" s="162" t="s">
        <v>26</v>
      </c>
      <c r="B604" s="162"/>
      <c r="C604" s="56"/>
      <c r="D604" s="170"/>
      <c r="E604" s="170"/>
      <c r="F604" s="170"/>
      <c r="G604" s="170"/>
      <c r="H604" s="170"/>
      <c r="I604" s="170"/>
      <c r="J604" s="170"/>
      <c r="K604" s="170"/>
      <c r="L604" s="170"/>
      <c r="M604" s="170"/>
      <c r="N604" s="170"/>
      <c r="O604" s="170"/>
      <c r="P604" s="170"/>
      <c r="Q604" s="68"/>
    </row>
    <row r="605" spans="1:17" ht="14.4" hidden="1" x14ac:dyDescent="0.3">
      <c r="A605" s="55" t="s">
        <v>27</v>
      </c>
      <c r="B605" s="55"/>
      <c r="C605" s="56" t="s">
        <v>19</v>
      </c>
      <c r="D605" s="167"/>
      <c r="E605" s="167"/>
      <c r="F605" s="167"/>
      <c r="G605" s="167"/>
      <c r="H605" s="167"/>
      <c r="I605" s="167"/>
      <c r="J605" s="167"/>
      <c r="K605" s="167"/>
      <c r="L605" s="167"/>
      <c r="M605" s="167"/>
      <c r="N605" s="167"/>
      <c r="O605" s="167"/>
      <c r="P605" s="167"/>
      <c r="Q605" s="68"/>
    </row>
    <row r="606" spans="1:17" ht="14.4" hidden="1" x14ac:dyDescent="0.3">
      <c r="A606" s="55" t="s">
        <v>28</v>
      </c>
      <c r="B606" s="55"/>
      <c r="C606" s="56" t="s">
        <v>23</v>
      </c>
      <c r="D606" s="167"/>
      <c r="E606" s="167"/>
      <c r="F606" s="167"/>
      <c r="G606" s="167"/>
      <c r="H606" s="167"/>
      <c r="I606" s="167"/>
      <c r="J606" s="167"/>
      <c r="K606" s="167"/>
      <c r="L606" s="167"/>
      <c r="M606" s="167"/>
      <c r="N606" s="167"/>
      <c r="O606" s="167"/>
      <c r="P606" s="167"/>
      <c r="Q606" s="68"/>
    </row>
    <row r="607" spans="1:17" ht="14.4" hidden="1" x14ac:dyDescent="0.3">
      <c r="A607" s="162" t="s">
        <v>29</v>
      </c>
      <c r="B607" s="162"/>
      <c r="C607" s="56"/>
      <c r="D607" s="171"/>
      <c r="E607" s="171"/>
      <c r="F607" s="171"/>
      <c r="G607" s="171"/>
      <c r="H607" s="171"/>
      <c r="I607" s="171"/>
      <c r="J607" s="171"/>
      <c r="K607" s="171"/>
      <c r="L607" s="171"/>
      <c r="M607" s="171"/>
      <c r="N607" s="171"/>
      <c r="O607" s="171"/>
      <c r="P607" s="171"/>
      <c r="Q607" s="68"/>
    </row>
    <row r="608" spans="1:17" ht="14.4" hidden="1" x14ac:dyDescent="0.3">
      <c r="A608" s="55" t="s">
        <v>30</v>
      </c>
      <c r="B608" s="55"/>
      <c r="C608" s="56" t="s">
        <v>19</v>
      </c>
      <c r="D608" s="167"/>
      <c r="E608" s="167"/>
      <c r="F608" s="167"/>
      <c r="G608" s="167"/>
      <c r="H608" s="167"/>
      <c r="I608" s="167"/>
      <c r="J608" s="167"/>
      <c r="K608" s="167"/>
      <c r="L608" s="167"/>
      <c r="M608" s="167"/>
      <c r="N608" s="167"/>
      <c r="O608" s="167"/>
      <c r="P608" s="167"/>
      <c r="Q608" s="68"/>
    </row>
    <row r="609" spans="1:17" ht="14.4" hidden="1" x14ac:dyDescent="0.3">
      <c r="A609" s="55" t="s">
        <v>31</v>
      </c>
      <c r="B609" s="55"/>
      <c r="C609" s="56" t="s">
        <v>32</v>
      </c>
      <c r="D609" s="167"/>
      <c r="E609" s="167"/>
      <c r="F609" s="167"/>
      <c r="G609" s="167"/>
      <c r="H609" s="167"/>
      <c r="I609" s="167"/>
      <c r="J609" s="167"/>
      <c r="K609" s="167"/>
      <c r="L609" s="167"/>
      <c r="M609" s="167"/>
      <c r="N609" s="167"/>
      <c r="O609" s="167"/>
      <c r="P609" s="167"/>
      <c r="Q609" s="68"/>
    </row>
    <row r="610" spans="1:17" ht="14.4" hidden="1" x14ac:dyDescent="0.3">
      <c r="A610" s="162" t="s">
        <v>33</v>
      </c>
      <c r="B610" s="162"/>
      <c r="C610" s="56"/>
      <c r="D610" s="171"/>
      <c r="E610" s="171"/>
      <c r="F610" s="171"/>
      <c r="G610" s="171"/>
      <c r="H610" s="171"/>
      <c r="I610" s="171"/>
      <c r="J610" s="171"/>
      <c r="K610" s="171"/>
      <c r="L610" s="171"/>
      <c r="M610" s="171"/>
      <c r="N610" s="171"/>
      <c r="O610" s="171"/>
      <c r="P610" s="171"/>
      <c r="Q610" s="68"/>
    </row>
    <row r="611" spans="1:17" ht="14.4" hidden="1" x14ac:dyDescent="0.3">
      <c r="A611" s="55" t="s">
        <v>34</v>
      </c>
      <c r="B611" s="55"/>
      <c r="C611" s="56" t="s">
        <v>19</v>
      </c>
      <c r="D611" s="167"/>
      <c r="E611" s="167"/>
      <c r="F611" s="167"/>
      <c r="G611" s="167"/>
      <c r="H611" s="167"/>
      <c r="I611" s="167"/>
      <c r="J611" s="167"/>
      <c r="K611" s="167"/>
      <c r="L611" s="167"/>
      <c r="M611" s="167"/>
      <c r="N611" s="167"/>
      <c r="O611" s="167"/>
      <c r="P611" s="167"/>
      <c r="Q611" s="68"/>
    </row>
    <row r="612" spans="1:17" ht="14.4" hidden="1" x14ac:dyDescent="0.3">
      <c r="A612" s="55" t="s">
        <v>35</v>
      </c>
      <c r="B612" s="55"/>
      <c r="C612" s="56" t="s">
        <v>36</v>
      </c>
      <c r="D612" s="167"/>
      <c r="E612" s="167"/>
      <c r="F612" s="167"/>
      <c r="G612" s="167"/>
      <c r="H612" s="167"/>
      <c r="I612" s="167"/>
      <c r="J612" s="167"/>
      <c r="K612" s="167"/>
      <c r="L612" s="167"/>
      <c r="M612" s="167"/>
      <c r="N612" s="167"/>
      <c r="O612" s="167"/>
      <c r="P612" s="167"/>
      <c r="Q612" s="68"/>
    </row>
    <row r="613" spans="1:17" ht="14.4" hidden="1" x14ac:dyDescent="0.3">
      <c r="A613" s="162" t="s">
        <v>37</v>
      </c>
      <c r="B613" s="162"/>
      <c r="C613" s="56"/>
      <c r="D613" s="171"/>
      <c r="E613" s="171"/>
      <c r="F613" s="171"/>
      <c r="G613" s="171"/>
      <c r="H613" s="171"/>
      <c r="I613" s="171"/>
      <c r="J613" s="171"/>
      <c r="K613" s="171"/>
      <c r="L613" s="171"/>
      <c r="M613" s="171"/>
      <c r="N613" s="171"/>
      <c r="O613" s="171"/>
      <c r="P613" s="171"/>
      <c r="Q613" s="68"/>
    </row>
    <row r="614" spans="1:17" ht="14.4" hidden="1" x14ac:dyDescent="0.3">
      <c r="A614" s="172" t="s">
        <v>38</v>
      </c>
      <c r="B614" s="55"/>
      <c r="C614" s="56" t="s">
        <v>19</v>
      </c>
      <c r="D614" s="167"/>
      <c r="E614" s="167"/>
      <c r="F614" s="167"/>
      <c r="G614" s="167"/>
      <c r="H614" s="167"/>
      <c r="I614" s="167"/>
      <c r="J614" s="167"/>
      <c r="K614" s="167"/>
      <c r="L614" s="167"/>
      <c r="M614" s="167"/>
      <c r="N614" s="167"/>
      <c r="O614" s="167"/>
      <c r="P614" s="167"/>
      <c r="Q614" s="68"/>
    </row>
    <row r="615" spans="1:17" ht="14.4" hidden="1" x14ac:dyDescent="0.3">
      <c r="A615" s="172" t="s">
        <v>39</v>
      </c>
      <c r="B615" s="55"/>
      <c r="C615" s="56" t="s">
        <v>19</v>
      </c>
      <c r="D615" s="167"/>
      <c r="E615" s="167"/>
      <c r="F615" s="167"/>
      <c r="G615" s="167"/>
      <c r="H615" s="167"/>
      <c r="I615" s="167"/>
      <c r="J615" s="167"/>
      <c r="K615" s="167"/>
      <c r="L615" s="167"/>
      <c r="M615" s="167"/>
      <c r="N615" s="167"/>
      <c r="O615" s="167"/>
      <c r="P615" s="167"/>
      <c r="Q615" s="68"/>
    </row>
    <row r="616" spans="1:17" ht="14.4" hidden="1" x14ac:dyDescent="0.3">
      <c r="A616" s="172" t="s">
        <v>180</v>
      </c>
      <c r="B616" s="55"/>
      <c r="C616" s="56" t="s">
        <v>19</v>
      </c>
      <c r="D616" s="167"/>
      <c r="E616" s="167"/>
      <c r="F616" s="167"/>
      <c r="G616" s="167"/>
      <c r="H616" s="167"/>
      <c r="I616" s="167"/>
      <c r="J616" s="167"/>
      <c r="K616" s="167"/>
      <c r="L616" s="167"/>
      <c r="M616" s="167"/>
      <c r="N616" s="167"/>
      <c r="O616" s="167"/>
      <c r="P616" s="167"/>
      <c r="Q616" s="68"/>
    </row>
    <row r="617" spans="1:17" ht="14.4" hidden="1" x14ac:dyDescent="0.3">
      <c r="A617" s="173" t="s">
        <v>40</v>
      </c>
      <c r="B617" s="55"/>
      <c r="C617" s="56" t="s">
        <v>19</v>
      </c>
      <c r="D617" s="167"/>
      <c r="E617" s="167"/>
      <c r="F617" s="167"/>
      <c r="G617" s="167"/>
      <c r="H617" s="167"/>
      <c r="I617" s="167"/>
      <c r="J617" s="167"/>
      <c r="K617" s="167"/>
      <c r="L617" s="167"/>
      <c r="M617" s="167"/>
      <c r="N617" s="167"/>
      <c r="O617" s="167"/>
      <c r="P617" s="167"/>
      <c r="Q617" s="68"/>
    </row>
    <row r="618" spans="1:17" ht="14.4" hidden="1" x14ac:dyDescent="0.3">
      <c r="A618" s="173" t="s">
        <v>41</v>
      </c>
      <c r="B618" s="55"/>
      <c r="C618" s="56" t="s">
        <v>19</v>
      </c>
      <c r="D618" s="167"/>
      <c r="E618" s="167"/>
      <c r="F618" s="167"/>
      <c r="G618" s="167"/>
      <c r="H618" s="167"/>
      <c r="I618" s="167"/>
      <c r="J618" s="167"/>
      <c r="K618" s="167"/>
      <c r="L618" s="167"/>
      <c r="M618" s="167"/>
      <c r="N618" s="167"/>
      <c r="O618" s="167"/>
      <c r="P618" s="167"/>
      <c r="Q618" s="68"/>
    </row>
    <row r="619" spans="1:17" ht="16.2" hidden="1" x14ac:dyDescent="0.3">
      <c r="A619" s="174" t="s">
        <v>182</v>
      </c>
      <c r="B619" s="175"/>
      <c r="C619" s="56" t="s">
        <v>19</v>
      </c>
      <c r="D619" s="167"/>
      <c r="E619" s="167"/>
      <c r="F619" s="167"/>
      <c r="G619" s="167"/>
      <c r="H619" s="167"/>
      <c r="I619" s="167"/>
      <c r="J619" s="167"/>
      <c r="K619" s="167"/>
      <c r="L619" s="167"/>
      <c r="M619" s="167"/>
      <c r="N619" s="167"/>
      <c r="O619" s="167"/>
      <c r="P619" s="167"/>
      <c r="Q619" s="68"/>
    </row>
    <row r="620" spans="1:17" ht="16.2" hidden="1" x14ac:dyDescent="0.3">
      <c r="A620" s="174" t="s">
        <v>182</v>
      </c>
      <c r="B620" s="175"/>
      <c r="C620" s="56" t="s">
        <v>19</v>
      </c>
      <c r="D620" s="167"/>
      <c r="E620" s="167"/>
      <c r="F620" s="167"/>
      <c r="G620" s="167"/>
      <c r="H620" s="167"/>
      <c r="I620" s="167"/>
      <c r="J620" s="167"/>
      <c r="K620" s="167"/>
      <c r="L620" s="167"/>
      <c r="M620" s="167"/>
      <c r="N620" s="167"/>
      <c r="O620" s="167"/>
      <c r="P620" s="167"/>
      <c r="Q620" s="68"/>
    </row>
    <row r="621" spans="1:17" ht="16.2" hidden="1" x14ac:dyDescent="0.3">
      <c r="A621" s="174" t="s">
        <v>182</v>
      </c>
      <c r="B621" s="176"/>
      <c r="C621" s="56" t="s">
        <v>19</v>
      </c>
      <c r="D621" s="167"/>
      <c r="E621" s="167"/>
      <c r="F621" s="167"/>
      <c r="G621" s="167"/>
      <c r="H621" s="167"/>
      <c r="I621" s="167"/>
      <c r="J621" s="167"/>
      <c r="K621" s="167"/>
      <c r="L621" s="167"/>
      <c r="M621" s="167"/>
      <c r="N621" s="167"/>
      <c r="O621" s="167"/>
      <c r="P621" s="167"/>
      <c r="Q621" s="68"/>
    </row>
    <row r="622" spans="1:17" ht="14.4" hidden="1" x14ac:dyDescent="0.3">
      <c r="A622" s="162" t="s">
        <v>42</v>
      </c>
      <c r="B622" s="162"/>
      <c r="C622" s="56"/>
      <c r="D622" s="171"/>
      <c r="E622" s="171"/>
      <c r="F622" s="171"/>
      <c r="G622" s="171"/>
      <c r="H622" s="171"/>
      <c r="I622" s="171"/>
      <c r="J622" s="171"/>
      <c r="K622" s="171"/>
      <c r="L622" s="171"/>
      <c r="M622" s="171"/>
      <c r="N622" s="171"/>
      <c r="O622" s="171"/>
      <c r="P622" s="171"/>
      <c r="Q622" s="68"/>
    </row>
    <row r="623" spans="1:17" ht="14.4" hidden="1" x14ac:dyDescent="0.3">
      <c r="A623" s="162" t="s">
        <v>191</v>
      </c>
      <c r="B623" s="162"/>
      <c r="C623" s="56" t="s">
        <v>44</v>
      </c>
      <c r="D623" s="177"/>
      <c r="E623" s="177"/>
      <c r="F623" s="177"/>
      <c r="G623" s="177"/>
      <c r="H623" s="177"/>
      <c r="I623" s="177"/>
      <c r="J623" s="177"/>
      <c r="K623" s="177"/>
      <c r="L623" s="177"/>
      <c r="M623" s="177"/>
      <c r="N623" s="177"/>
      <c r="O623" s="177"/>
      <c r="P623" s="177"/>
      <c r="Q623" s="68"/>
    </row>
    <row r="624" spans="1:17" ht="14.4" hidden="1" x14ac:dyDescent="0.3">
      <c r="A624" s="162" t="s">
        <v>183</v>
      </c>
      <c r="B624" s="162"/>
      <c r="C624" s="56"/>
      <c r="D624" s="178"/>
      <c r="E624" s="178"/>
      <c r="F624" s="178"/>
      <c r="G624" s="178"/>
      <c r="H624" s="178"/>
      <c r="I624" s="178"/>
      <c r="J624" s="178"/>
      <c r="K624" s="178"/>
      <c r="L624" s="178"/>
      <c r="M624" s="178"/>
      <c r="N624" s="178"/>
      <c r="O624" s="178"/>
      <c r="P624" s="178"/>
      <c r="Q624" s="68"/>
    </row>
    <row r="625" spans="1:17" ht="14.4" hidden="1" x14ac:dyDescent="0.3">
      <c r="A625" s="162" t="s">
        <v>184</v>
      </c>
      <c r="B625" s="162"/>
      <c r="C625" s="56" t="s">
        <v>19</v>
      </c>
      <c r="D625" s="167"/>
      <c r="E625" s="167"/>
      <c r="F625" s="167"/>
      <c r="G625" s="167"/>
      <c r="H625" s="167"/>
      <c r="I625" s="167"/>
      <c r="J625" s="167"/>
      <c r="K625" s="167"/>
      <c r="L625" s="167"/>
      <c r="M625" s="167"/>
      <c r="N625" s="167"/>
      <c r="O625" s="167"/>
      <c r="P625" s="167"/>
      <c r="Q625" s="68"/>
    </row>
    <row r="626" spans="1:17" ht="14.4" hidden="1" x14ac:dyDescent="0.3">
      <c r="A626" s="162" t="s">
        <v>45</v>
      </c>
      <c r="B626" s="162"/>
      <c r="C626" s="56"/>
      <c r="D626" s="178"/>
      <c r="E626" s="178"/>
      <c r="F626" s="178"/>
      <c r="G626" s="178"/>
      <c r="H626" s="178"/>
      <c r="I626" s="178"/>
      <c r="J626" s="178"/>
      <c r="K626" s="178"/>
      <c r="L626" s="178"/>
      <c r="M626" s="178"/>
      <c r="N626" s="178"/>
      <c r="O626" s="178"/>
      <c r="P626" s="178"/>
      <c r="Q626" s="68"/>
    </row>
    <row r="627" spans="1:17" ht="14.4" hidden="1" x14ac:dyDescent="0.3">
      <c r="A627" s="162" t="s">
        <v>46</v>
      </c>
      <c r="B627" s="162"/>
      <c r="C627" s="56" t="s">
        <v>19</v>
      </c>
      <c r="D627" s="167"/>
      <c r="E627" s="167"/>
      <c r="F627" s="167"/>
      <c r="G627" s="167"/>
      <c r="H627" s="167"/>
      <c r="I627" s="167"/>
      <c r="J627" s="167"/>
      <c r="K627" s="167"/>
      <c r="L627" s="167"/>
      <c r="M627" s="167"/>
      <c r="N627" s="167"/>
      <c r="O627" s="167"/>
      <c r="P627" s="167"/>
      <c r="Q627" s="68"/>
    </row>
    <row r="628" spans="1:17" ht="14.4" hidden="1" x14ac:dyDescent="0.3">
      <c r="A628" s="162" t="s">
        <v>185</v>
      </c>
      <c r="B628" s="162"/>
      <c r="C628" s="56"/>
      <c r="D628" s="178"/>
      <c r="E628" s="178"/>
      <c r="F628" s="178"/>
      <c r="G628" s="178"/>
      <c r="H628" s="178"/>
      <c r="I628" s="178"/>
      <c r="J628" s="178"/>
      <c r="K628" s="178"/>
      <c r="L628" s="178"/>
      <c r="M628" s="178"/>
      <c r="N628" s="178"/>
      <c r="O628" s="178"/>
      <c r="P628" s="178"/>
      <c r="Q628" s="68"/>
    </row>
    <row r="629" spans="1:17" ht="14.4" hidden="1" x14ac:dyDescent="0.3">
      <c r="A629" s="162" t="s">
        <v>186</v>
      </c>
      <c r="B629" s="162"/>
      <c r="C629" s="56" t="s">
        <v>19</v>
      </c>
      <c r="D629" s="167"/>
      <c r="E629" s="167"/>
      <c r="F629" s="167"/>
      <c r="G629" s="167"/>
      <c r="H629" s="167"/>
      <c r="I629" s="167"/>
      <c r="J629" s="167"/>
      <c r="K629" s="167"/>
      <c r="L629" s="167"/>
      <c r="M629" s="167"/>
      <c r="N629" s="167"/>
      <c r="O629" s="167"/>
      <c r="P629" s="167"/>
      <c r="Q629" s="68"/>
    </row>
    <row r="630" spans="1:17" ht="14.4" hidden="1" x14ac:dyDescent="0.3">
      <c r="A630" s="162" t="s">
        <v>47</v>
      </c>
      <c r="B630" s="162"/>
      <c r="C630" s="56"/>
      <c r="D630" s="171"/>
      <c r="E630" s="171"/>
      <c r="F630" s="171"/>
      <c r="G630" s="171"/>
      <c r="H630" s="171"/>
      <c r="I630" s="171"/>
      <c r="J630" s="171"/>
      <c r="K630" s="171"/>
      <c r="L630" s="171"/>
      <c r="M630" s="171"/>
      <c r="N630" s="171"/>
      <c r="O630" s="171"/>
      <c r="P630" s="171"/>
      <c r="Q630" s="68"/>
    </row>
    <row r="631" spans="1:17" ht="14.4" hidden="1" x14ac:dyDescent="0.3">
      <c r="A631" s="55" t="s">
        <v>48</v>
      </c>
      <c r="B631" s="55"/>
      <c r="C631" s="56" t="s">
        <v>19</v>
      </c>
      <c r="D631" s="167"/>
      <c r="E631" s="167"/>
      <c r="F631" s="167"/>
      <c r="G631" s="167"/>
      <c r="H631" s="167"/>
      <c r="I631" s="167"/>
      <c r="J631" s="167"/>
      <c r="K631" s="167"/>
      <c r="L631" s="167"/>
      <c r="M631" s="167"/>
      <c r="N631" s="167"/>
      <c r="O631" s="167"/>
      <c r="P631" s="167"/>
      <c r="Q631" s="68"/>
    </row>
    <row r="632" spans="1:17" ht="14.4" hidden="1" x14ac:dyDescent="0.3">
      <c r="A632" s="55" t="s">
        <v>49</v>
      </c>
      <c r="B632" s="55"/>
      <c r="C632" s="56" t="s">
        <v>19</v>
      </c>
      <c r="D632" s="167"/>
      <c r="E632" s="167"/>
      <c r="F632" s="167"/>
      <c r="G632" s="167"/>
      <c r="H632" s="167"/>
      <c r="I632" s="167"/>
      <c r="J632" s="167"/>
      <c r="K632" s="167"/>
      <c r="L632" s="167"/>
      <c r="M632" s="167"/>
      <c r="N632" s="167"/>
      <c r="O632" s="167"/>
      <c r="P632" s="167"/>
      <c r="Q632" s="68"/>
    </row>
    <row r="633" spans="1:17" ht="14.4" hidden="1" x14ac:dyDescent="0.3">
      <c r="A633" s="162" t="s">
        <v>52</v>
      </c>
      <c r="B633" s="162"/>
      <c r="C633" s="179"/>
      <c r="D633" s="170"/>
      <c r="E633" s="170"/>
      <c r="F633" s="170"/>
      <c r="G633" s="170"/>
      <c r="H633" s="170"/>
      <c r="I633" s="170"/>
      <c r="J633" s="170"/>
      <c r="K633" s="170"/>
      <c r="L633" s="170"/>
      <c r="M633" s="170"/>
      <c r="N633" s="170"/>
      <c r="O633" s="170"/>
      <c r="P633" s="170"/>
      <c r="Q633" s="68"/>
    </row>
    <row r="634" spans="1:17" ht="14.4" hidden="1" x14ac:dyDescent="0.3">
      <c r="A634" s="55" t="s">
        <v>53</v>
      </c>
      <c r="B634" s="55"/>
      <c r="C634" s="56" t="s">
        <v>44</v>
      </c>
      <c r="D634" s="167"/>
      <c r="E634" s="167"/>
      <c r="F634" s="167"/>
      <c r="G634" s="167"/>
      <c r="H634" s="167"/>
      <c r="I634" s="167"/>
      <c r="J634" s="167"/>
      <c r="K634" s="167"/>
      <c r="L634" s="167"/>
      <c r="M634" s="167"/>
      <c r="N634" s="167"/>
      <c r="O634" s="167"/>
      <c r="P634" s="167"/>
      <c r="Q634" s="68"/>
    </row>
    <row r="635" spans="1:17" ht="14.4" hidden="1" x14ac:dyDescent="0.3">
      <c r="A635" s="55" t="s">
        <v>54</v>
      </c>
      <c r="B635" s="55"/>
      <c r="C635" s="56" t="s">
        <v>44</v>
      </c>
      <c r="D635" s="167"/>
      <c r="E635" s="167"/>
      <c r="F635" s="167"/>
      <c r="G635" s="167"/>
      <c r="H635" s="167"/>
      <c r="I635" s="167"/>
      <c r="J635" s="167"/>
      <c r="K635" s="167"/>
      <c r="L635" s="167"/>
      <c r="M635" s="167"/>
      <c r="N635" s="167"/>
      <c r="O635" s="167"/>
      <c r="P635" s="167"/>
      <c r="Q635" s="68"/>
    </row>
    <row r="636" spans="1:17" ht="14.4" hidden="1" x14ac:dyDescent="0.3">
      <c r="A636" s="55" t="s">
        <v>55</v>
      </c>
      <c r="B636" s="55"/>
      <c r="C636" s="56" t="s">
        <v>44</v>
      </c>
      <c r="D636" s="167"/>
      <c r="E636" s="167"/>
      <c r="F636" s="167"/>
      <c r="G636" s="167"/>
      <c r="H636" s="167"/>
      <c r="I636" s="167"/>
      <c r="J636" s="167"/>
      <c r="K636" s="167"/>
      <c r="L636" s="167"/>
      <c r="M636" s="167"/>
      <c r="N636" s="167"/>
      <c r="O636" s="167"/>
      <c r="P636" s="167"/>
      <c r="Q636" s="68"/>
    </row>
    <row r="637" spans="1:17" ht="14.4" hidden="1" x14ac:dyDescent="0.3">
      <c r="A637" s="55" t="s">
        <v>187</v>
      </c>
      <c r="B637" s="55"/>
      <c r="C637" s="56" t="s">
        <v>44</v>
      </c>
      <c r="D637" s="167"/>
      <c r="E637" s="167"/>
      <c r="F637" s="167"/>
      <c r="G637" s="167"/>
      <c r="H637" s="167"/>
      <c r="I637" s="167"/>
      <c r="J637" s="167"/>
      <c r="K637" s="167"/>
      <c r="L637" s="167"/>
      <c r="M637" s="167"/>
      <c r="N637" s="167"/>
      <c r="O637" s="167"/>
      <c r="P637" s="167"/>
      <c r="Q637" s="68"/>
    </row>
    <row r="638" spans="1:17" ht="14.4" hidden="1" x14ac:dyDescent="0.3">
      <c r="A638" s="55" t="s">
        <v>188</v>
      </c>
      <c r="B638" s="55"/>
      <c r="C638" s="56" t="s">
        <v>44</v>
      </c>
      <c r="D638" s="167"/>
      <c r="E638" s="167"/>
      <c r="F638" s="167"/>
      <c r="G638" s="167"/>
      <c r="H638" s="167"/>
      <c r="I638" s="167"/>
      <c r="J638" s="167"/>
      <c r="K638" s="167"/>
      <c r="L638" s="167"/>
      <c r="M638" s="167"/>
      <c r="N638" s="167"/>
      <c r="O638" s="167"/>
      <c r="P638" s="167"/>
      <c r="Q638" s="68"/>
    </row>
    <row r="639" spans="1:17" ht="14.4" hidden="1" x14ac:dyDescent="0.3">
      <c r="A639" s="55" t="s">
        <v>56</v>
      </c>
      <c r="B639" s="55"/>
      <c r="C639" s="56" t="s">
        <v>44</v>
      </c>
      <c r="D639" s="180"/>
      <c r="E639" s="180"/>
      <c r="F639" s="180"/>
      <c r="G639" s="180"/>
      <c r="H639" s="180"/>
      <c r="I639" s="180"/>
      <c r="J639" s="180"/>
      <c r="K639" s="180"/>
      <c r="L639" s="180"/>
      <c r="M639" s="180"/>
      <c r="N639" s="180"/>
      <c r="O639" s="180"/>
      <c r="P639" s="180"/>
      <c r="Q639" s="68"/>
    </row>
    <row r="640" spans="1:17" ht="14.4" hidden="1" x14ac:dyDescent="0.3">
      <c r="A640" s="55" t="s">
        <v>57</v>
      </c>
      <c r="B640" s="55"/>
      <c r="C640" s="56" t="s">
        <v>44</v>
      </c>
      <c r="D640" s="180"/>
      <c r="E640" s="180"/>
      <c r="F640" s="180"/>
      <c r="G640" s="180"/>
      <c r="H640" s="180"/>
      <c r="I640" s="180"/>
      <c r="J640" s="180"/>
      <c r="K640" s="180"/>
      <c r="L640" s="180"/>
      <c r="M640" s="180"/>
      <c r="N640" s="180"/>
      <c r="O640" s="180"/>
      <c r="P640" s="180"/>
      <c r="Q640" s="68"/>
    </row>
    <row r="641" spans="1:17" ht="14.4" hidden="1" x14ac:dyDescent="0.3">
      <c r="D641" s="58"/>
      <c r="E641" s="58"/>
      <c r="F641" s="58"/>
      <c r="G641" s="58"/>
      <c r="H641" s="58"/>
      <c r="I641" s="58"/>
      <c r="J641" s="58"/>
      <c r="K641" s="58"/>
      <c r="L641" s="58"/>
      <c r="M641" s="58"/>
      <c r="N641" s="58"/>
      <c r="O641" s="58"/>
      <c r="P641" s="58"/>
      <c r="Q641" s="68"/>
    </row>
    <row r="642" spans="1:17" ht="18" hidden="1" x14ac:dyDescent="0.35">
      <c r="A642" s="59" t="str">
        <f>'[41]Statistical data'!A220</f>
        <v>Customer Class with mix rate7</v>
      </c>
      <c r="C642" s="5" t="s">
        <v>190</v>
      </c>
      <c r="D642" s="160"/>
      <c r="E642" s="160"/>
      <c r="F642" s="160"/>
      <c r="G642" s="160"/>
      <c r="H642" s="160"/>
      <c r="I642" s="160"/>
      <c r="J642" s="160"/>
      <c r="K642" s="160"/>
      <c r="L642" s="160"/>
      <c r="M642" s="160"/>
      <c r="N642" s="160"/>
      <c r="O642" s="160"/>
      <c r="P642" s="160"/>
      <c r="Q642" s="68"/>
    </row>
    <row r="643" spans="1:17" ht="14.4" hidden="1" x14ac:dyDescent="0.3">
      <c r="A643" s="161" t="s">
        <v>3</v>
      </c>
      <c r="B643" s="161"/>
      <c r="C643" s="161" t="s">
        <v>4</v>
      </c>
      <c r="D643" s="161" t="s">
        <v>15</v>
      </c>
      <c r="E643" s="161" t="s">
        <v>15</v>
      </c>
      <c r="F643" s="161" t="s">
        <v>15</v>
      </c>
      <c r="G643" s="161" t="s">
        <v>15</v>
      </c>
      <c r="H643" s="161" t="s">
        <v>15</v>
      </c>
      <c r="I643" s="161" t="s">
        <v>15</v>
      </c>
      <c r="J643" s="161" t="s">
        <v>15</v>
      </c>
      <c r="K643" s="161" t="s">
        <v>15</v>
      </c>
      <c r="L643" s="161" t="s">
        <v>15</v>
      </c>
      <c r="M643" s="161" t="s">
        <v>15</v>
      </c>
      <c r="N643" s="161" t="s">
        <v>15</v>
      </c>
      <c r="O643" s="161" t="s">
        <v>15</v>
      </c>
      <c r="P643" s="161" t="s">
        <v>15</v>
      </c>
      <c r="Q643" s="68"/>
    </row>
    <row r="644" spans="1:17" ht="14.4" hidden="1" x14ac:dyDescent="0.3">
      <c r="A644" s="162" t="s">
        <v>17</v>
      </c>
      <c r="B644" s="163"/>
      <c r="C644" s="56"/>
      <c r="D644" s="164"/>
      <c r="E644" s="164"/>
      <c r="F644" s="164"/>
      <c r="G644" s="164"/>
      <c r="H644" s="164"/>
      <c r="I644" s="164"/>
      <c r="J644" s="164"/>
      <c r="K644" s="164"/>
      <c r="L644" s="164"/>
      <c r="M644" s="164"/>
      <c r="N644" s="164"/>
      <c r="O644" s="164"/>
      <c r="P644" s="164"/>
      <c r="Q644" s="68"/>
    </row>
    <row r="645" spans="1:17" ht="14.4" hidden="1" x14ac:dyDescent="0.3">
      <c r="A645" s="55" t="s">
        <v>18</v>
      </c>
      <c r="B645" s="165"/>
      <c r="C645" s="56" t="s">
        <v>19</v>
      </c>
      <c r="D645" s="166"/>
      <c r="E645" s="166"/>
      <c r="F645" s="166"/>
      <c r="G645" s="166"/>
      <c r="H645" s="166"/>
      <c r="I645" s="166"/>
      <c r="J645" s="166"/>
      <c r="K645" s="166"/>
      <c r="L645" s="166"/>
      <c r="M645" s="166"/>
      <c r="N645" s="166"/>
      <c r="O645" s="166"/>
      <c r="P645" s="166"/>
      <c r="Q645" s="68"/>
    </row>
    <row r="646" spans="1:17" ht="14.4" hidden="1" x14ac:dyDescent="0.3">
      <c r="A646" s="55" t="s">
        <v>66</v>
      </c>
      <c r="B646" s="165"/>
      <c r="C646" s="56" t="s">
        <v>19</v>
      </c>
      <c r="D646" s="166"/>
      <c r="E646" s="166"/>
      <c r="F646" s="166"/>
      <c r="G646" s="166"/>
      <c r="H646" s="166"/>
      <c r="I646" s="166"/>
      <c r="J646" s="166"/>
      <c r="K646" s="166"/>
      <c r="L646" s="166"/>
      <c r="M646" s="166"/>
      <c r="N646" s="166"/>
      <c r="O646" s="166"/>
      <c r="P646" s="166"/>
      <c r="Q646" s="68"/>
    </row>
    <row r="647" spans="1:17" ht="14.4" hidden="1" x14ac:dyDescent="0.3">
      <c r="A647" s="162" t="s">
        <v>20</v>
      </c>
      <c r="B647" s="163"/>
      <c r="C647" s="56"/>
      <c r="D647" s="168"/>
      <c r="E647" s="168"/>
      <c r="F647" s="168"/>
      <c r="G647" s="168"/>
      <c r="H647" s="168"/>
      <c r="I647" s="168"/>
      <c r="J647" s="168"/>
      <c r="K647" s="168"/>
      <c r="L647" s="168"/>
      <c r="M647" s="168"/>
      <c r="N647" s="168"/>
      <c r="O647" s="168"/>
      <c r="P647" s="168"/>
      <c r="Q647" s="68"/>
    </row>
    <row r="648" spans="1:17" ht="14.4" hidden="1" x14ac:dyDescent="0.3">
      <c r="A648" s="55" t="s">
        <v>21</v>
      </c>
      <c r="B648" s="165"/>
      <c r="C648" s="56" t="s">
        <v>19</v>
      </c>
      <c r="D648" s="166"/>
      <c r="E648" s="166"/>
      <c r="F648" s="166"/>
      <c r="G648" s="166"/>
      <c r="H648" s="166"/>
      <c r="I648" s="166"/>
      <c r="J648" s="166"/>
      <c r="K648" s="166"/>
      <c r="L648" s="166"/>
      <c r="M648" s="166"/>
      <c r="N648" s="166"/>
      <c r="O648" s="166"/>
      <c r="P648" s="166"/>
      <c r="Q648" s="68"/>
    </row>
    <row r="649" spans="1:17" ht="14.4" hidden="1" x14ac:dyDescent="0.3">
      <c r="A649" s="55" t="s">
        <v>22</v>
      </c>
      <c r="B649" s="165"/>
      <c r="C649" s="56" t="s">
        <v>23</v>
      </c>
      <c r="D649" s="166"/>
      <c r="E649" s="166"/>
      <c r="F649" s="166"/>
      <c r="G649" s="166"/>
      <c r="H649" s="166"/>
      <c r="I649" s="166"/>
      <c r="J649" s="166"/>
      <c r="K649" s="166"/>
      <c r="L649" s="166"/>
      <c r="M649" s="166"/>
      <c r="N649" s="166"/>
      <c r="O649" s="166"/>
      <c r="P649" s="166"/>
      <c r="Q649" s="68"/>
    </row>
    <row r="650" spans="1:17" ht="14.4" hidden="1" x14ac:dyDescent="0.3">
      <c r="A650" s="162" t="s">
        <v>24</v>
      </c>
      <c r="B650" s="163"/>
      <c r="C650" s="56"/>
      <c r="D650" s="168"/>
      <c r="E650" s="168"/>
      <c r="F650" s="168"/>
      <c r="G650" s="168"/>
      <c r="H650" s="168"/>
      <c r="I650" s="168"/>
      <c r="J650" s="168"/>
      <c r="K650" s="168"/>
      <c r="L650" s="168"/>
      <c r="M650" s="168"/>
      <c r="N650" s="168"/>
      <c r="O650" s="168"/>
      <c r="P650" s="168"/>
      <c r="Q650" s="68"/>
    </row>
    <row r="651" spans="1:17" ht="14.4" hidden="1" x14ac:dyDescent="0.3">
      <c r="A651" s="55" t="s">
        <v>25</v>
      </c>
      <c r="B651" s="165"/>
      <c r="C651" s="56" t="s">
        <v>19</v>
      </c>
      <c r="D651" s="166"/>
      <c r="E651" s="166"/>
      <c r="F651" s="166"/>
      <c r="G651" s="166"/>
      <c r="H651" s="166"/>
      <c r="I651" s="166"/>
      <c r="J651" s="166"/>
      <c r="K651" s="166"/>
      <c r="L651" s="166"/>
      <c r="M651" s="166"/>
      <c r="N651" s="166"/>
      <c r="O651" s="166"/>
      <c r="P651" s="166"/>
      <c r="Q651" s="68"/>
    </row>
    <row r="652" spans="1:17" ht="14.4" hidden="1" x14ac:dyDescent="0.3">
      <c r="A652" s="162" t="s">
        <v>26</v>
      </c>
      <c r="B652" s="162"/>
      <c r="C652" s="56"/>
      <c r="D652" s="170"/>
      <c r="E652" s="170"/>
      <c r="F652" s="170"/>
      <c r="G652" s="170"/>
      <c r="H652" s="170"/>
      <c r="I652" s="170"/>
      <c r="J652" s="170"/>
      <c r="K652" s="170"/>
      <c r="L652" s="170"/>
      <c r="M652" s="170"/>
      <c r="N652" s="170"/>
      <c r="O652" s="170"/>
      <c r="P652" s="170"/>
      <c r="Q652" s="68"/>
    </row>
    <row r="653" spans="1:17" ht="14.4" hidden="1" x14ac:dyDescent="0.3">
      <c r="A653" s="55" t="s">
        <v>27</v>
      </c>
      <c r="B653" s="55"/>
      <c r="C653" s="56" t="s">
        <v>19</v>
      </c>
      <c r="D653" s="167"/>
      <c r="E653" s="167"/>
      <c r="F653" s="167"/>
      <c r="G653" s="167"/>
      <c r="H653" s="167"/>
      <c r="I653" s="167"/>
      <c r="J653" s="167"/>
      <c r="K653" s="167"/>
      <c r="L653" s="167"/>
      <c r="M653" s="167"/>
      <c r="N653" s="167"/>
      <c r="O653" s="167"/>
      <c r="P653" s="167"/>
      <c r="Q653" s="68"/>
    </row>
    <row r="654" spans="1:17" ht="14.4" hidden="1" x14ac:dyDescent="0.3">
      <c r="A654" s="55" t="s">
        <v>28</v>
      </c>
      <c r="B654" s="55"/>
      <c r="C654" s="56" t="s">
        <v>23</v>
      </c>
      <c r="D654" s="167"/>
      <c r="E654" s="167"/>
      <c r="F654" s="167"/>
      <c r="G654" s="167"/>
      <c r="H654" s="167"/>
      <c r="I654" s="167"/>
      <c r="J654" s="167"/>
      <c r="K654" s="167"/>
      <c r="L654" s="167"/>
      <c r="M654" s="167"/>
      <c r="N654" s="167"/>
      <c r="O654" s="167"/>
      <c r="P654" s="167"/>
      <c r="Q654" s="68"/>
    </row>
    <row r="655" spans="1:17" ht="14.4" hidden="1" x14ac:dyDescent="0.3">
      <c r="A655" s="162" t="s">
        <v>29</v>
      </c>
      <c r="B655" s="162"/>
      <c r="C655" s="56"/>
      <c r="D655" s="171"/>
      <c r="E655" s="171"/>
      <c r="F655" s="171"/>
      <c r="G655" s="171"/>
      <c r="H655" s="171"/>
      <c r="I655" s="171"/>
      <c r="J655" s="171"/>
      <c r="K655" s="171"/>
      <c r="L655" s="171"/>
      <c r="M655" s="171"/>
      <c r="N655" s="171"/>
      <c r="O655" s="171"/>
      <c r="P655" s="171"/>
      <c r="Q655" s="68"/>
    </row>
    <row r="656" spans="1:17" ht="14.4" hidden="1" x14ac:dyDescent="0.3">
      <c r="A656" s="55" t="s">
        <v>30</v>
      </c>
      <c r="B656" s="55"/>
      <c r="C656" s="56" t="s">
        <v>19</v>
      </c>
      <c r="D656" s="167"/>
      <c r="E656" s="167"/>
      <c r="F656" s="167"/>
      <c r="G656" s="167"/>
      <c r="H656" s="167"/>
      <c r="I656" s="167"/>
      <c r="J656" s="167"/>
      <c r="K656" s="167"/>
      <c r="L656" s="167"/>
      <c r="M656" s="167"/>
      <c r="N656" s="167"/>
      <c r="O656" s="167"/>
      <c r="P656" s="167"/>
      <c r="Q656" s="68"/>
    </row>
    <row r="657" spans="1:17" ht="14.4" hidden="1" x14ac:dyDescent="0.3">
      <c r="A657" s="55" t="s">
        <v>31</v>
      </c>
      <c r="B657" s="55"/>
      <c r="C657" s="56" t="s">
        <v>32</v>
      </c>
      <c r="D657" s="167"/>
      <c r="E657" s="167"/>
      <c r="F657" s="167"/>
      <c r="G657" s="167"/>
      <c r="H657" s="167"/>
      <c r="I657" s="167"/>
      <c r="J657" s="167"/>
      <c r="K657" s="167"/>
      <c r="L657" s="167"/>
      <c r="M657" s="167"/>
      <c r="N657" s="167"/>
      <c r="O657" s="167"/>
      <c r="P657" s="167"/>
      <c r="Q657" s="68"/>
    </row>
    <row r="658" spans="1:17" ht="14.4" hidden="1" x14ac:dyDescent="0.3">
      <c r="A658" s="162" t="s">
        <v>33</v>
      </c>
      <c r="B658" s="162"/>
      <c r="C658" s="56"/>
      <c r="D658" s="171"/>
      <c r="E658" s="171"/>
      <c r="F658" s="171"/>
      <c r="G658" s="171"/>
      <c r="H658" s="171"/>
      <c r="I658" s="171"/>
      <c r="J658" s="171"/>
      <c r="K658" s="171"/>
      <c r="L658" s="171"/>
      <c r="M658" s="171"/>
      <c r="N658" s="171"/>
      <c r="O658" s="171"/>
      <c r="P658" s="171"/>
      <c r="Q658" s="68"/>
    </row>
    <row r="659" spans="1:17" ht="14.4" hidden="1" x14ac:dyDescent="0.3">
      <c r="A659" s="55" t="s">
        <v>34</v>
      </c>
      <c r="B659" s="55"/>
      <c r="C659" s="56" t="s">
        <v>19</v>
      </c>
      <c r="D659" s="167"/>
      <c r="E659" s="167"/>
      <c r="F659" s="167"/>
      <c r="G659" s="167"/>
      <c r="H659" s="167"/>
      <c r="I659" s="167"/>
      <c r="J659" s="167"/>
      <c r="K659" s="167"/>
      <c r="L659" s="167"/>
      <c r="M659" s="167"/>
      <c r="N659" s="167"/>
      <c r="O659" s="167"/>
      <c r="P659" s="167"/>
      <c r="Q659" s="68"/>
    </row>
    <row r="660" spans="1:17" ht="14.4" hidden="1" x14ac:dyDescent="0.3">
      <c r="A660" s="55" t="s">
        <v>35</v>
      </c>
      <c r="B660" s="55"/>
      <c r="C660" s="56" t="s">
        <v>36</v>
      </c>
      <c r="D660" s="167"/>
      <c r="E660" s="167"/>
      <c r="F660" s="167"/>
      <c r="G660" s="167"/>
      <c r="H660" s="167"/>
      <c r="I660" s="167"/>
      <c r="J660" s="167"/>
      <c r="K660" s="167"/>
      <c r="L660" s="167"/>
      <c r="M660" s="167"/>
      <c r="N660" s="167"/>
      <c r="O660" s="167"/>
      <c r="P660" s="167"/>
      <c r="Q660" s="68"/>
    </row>
    <row r="661" spans="1:17" ht="14.4" hidden="1" x14ac:dyDescent="0.3">
      <c r="A661" s="162" t="s">
        <v>37</v>
      </c>
      <c r="B661" s="162"/>
      <c r="C661" s="56"/>
      <c r="D661" s="171"/>
      <c r="E661" s="171"/>
      <c r="F661" s="171"/>
      <c r="G661" s="171"/>
      <c r="H661" s="171"/>
      <c r="I661" s="171"/>
      <c r="J661" s="171"/>
      <c r="K661" s="171"/>
      <c r="L661" s="171"/>
      <c r="M661" s="171"/>
      <c r="N661" s="171"/>
      <c r="O661" s="171"/>
      <c r="P661" s="171"/>
      <c r="Q661" s="68"/>
    </row>
    <row r="662" spans="1:17" ht="14.4" hidden="1" x14ac:dyDescent="0.3">
      <c r="A662" s="172" t="s">
        <v>38</v>
      </c>
      <c r="B662" s="55"/>
      <c r="C662" s="56" t="s">
        <v>19</v>
      </c>
      <c r="D662" s="167"/>
      <c r="E662" s="167"/>
      <c r="F662" s="167"/>
      <c r="G662" s="167"/>
      <c r="H662" s="167"/>
      <c r="I662" s="167"/>
      <c r="J662" s="167"/>
      <c r="K662" s="167"/>
      <c r="L662" s="167"/>
      <c r="M662" s="167"/>
      <c r="N662" s="167"/>
      <c r="O662" s="167"/>
      <c r="P662" s="167"/>
      <c r="Q662" s="68"/>
    </row>
    <row r="663" spans="1:17" ht="14.4" hidden="1" x14ac:dyDescent="0.3">
      <c r="A663" s="172" t="s">
        <v>39</v>
      </c>
      <c r="B663" s="55"/>
      <c r="C663" s="56" t="s">
        <v>19</v>
      </c>
      <c r="D663" s="167"/>
      <c r="E663" s="167"/>
      <c r="F663" s="167"/>
      <c r="G663" s="167"/>
      <c r="H663" s="167"/>
      <c r="I663" s="167"/>
      <c r="J663" s="167"/>
      <c r="K663" s="167"/>
      <c r="L663" s="167"/>
      <c r="M663" s="167"/>
      <c r="N663" s="167"/>
      <c r="O663" s="167"/>
      <c r="P663" s="167"/>
      <c r="Q663" s="68"/>
    </row>
    <row r="664" spans="1:17" ht="14.4" hidden="1" x14ac:dyDescent="0.3">
      <c r="A664" s="172" t="s">
        <v>180</v>
      </c>
      <c r="B664" s="55"/>
      <c r="C664" s="56" t="s">
        <v>19</v>
      </c>
      <c r="D664" s="167"/>
      <c r="E664" s="167"/>
      <c r="F664" s="167"/>
      <c r="G664" s="167"/>
      <c r="H664" s="167"/>
      <c r="I664" s="167"/>
      <c r="J664" s="167"/>
      <c r="K664" s="167"/>
      <c r="L664" s="167"/>
      <c r="M664" s="167"/>
      <c r="N664" s="167"/>
      <c r="O664" s="167"/>
      <c r="P664" s="167"/>
      <c r="Q664" s="68"/>
    </row>
    <row r="665" spans="1:17" ht="14.4" hidden="1" x14ac:dyDescent="0.3">
      <c r="A665" s="173" t="s">
        <v>40</v>
      </c>
      <c r="B665" s="55"/>
      <c r="C665" s="56" t="s">
        <v>19</v>
      </c>
      <c r="D665" s="167"/>
      <c r="E665" s="167"/>
      <c r="F665" s="167"/>
      <c r="G665" s="167"/>
      <c r="H665" s="167"/>
      <c r="I665" s="167"/>
      <c r="J665" s="167"/>
      <c r="K665" s="167"/>
      <c r="L665" s="167"/>
      <c r="M665" s="167"/>
      <c r="N665" s="167"/>
      <c r="O665" s="167"/>
      <c r="P665" s="167"/>
      <c r="Q665" s="68"/>
    </row>
    <row r="666" spans="1:17" ht="14.4" hidden="1" x14ac:dyDescent="0.3">
      <c r="A666" s="173" t="s">
        <v>41</v>
      </c>
      <c r="B666" s="55"/>
      <c r="C666" s="56" t="s">
        <v>19</v>
      </c>
      <c r="D666" s="167"/>
      <c r="E666" s="167"/>
      <c r="F666" s="167"/>
      <c r="G666" s="167"/>
      <c r="H666" s="167"/>
      <c r="I666" s="167"/>
      <c r="J666" s="167"/>
      <c r="K666" s="167"/>
      <c r="L666" s="167"/>
      <c r="M666" s="167"/>
      <c r="N666" s="167"/>
      <c r="O666" s="167"/>
      <c r="P666" s="167"/>
      <c r="Q666" s="68"/>
    </row>
    <row r="667" spans="1:17" ht="16.2" hidden="1" x14ac:dyDescent="0.3">
      <c r="A667" s="174" t="s">
        <v>182</v>
      </c>
      <c r="B667" s="175"/>
      <c r="C667" s="56" t="s">
        <v>19</v>
      </c>
      <c r="D667" s="167"/>
      <c r="E667" s="167"/>
      <c r="F667" s="167"/>
      <c r="G667" s="167"/>
      <c r="H667" s="167"/>
      <c r="I667" s="167"/>
      <c r="J667" s="167"/>
      <c r="K667" s="167"/>
      <c r="L667" s="167"/>
      <c r="M667" s="167"/>
      <c r="N667" s="167"/>
      <c r="O667" s="167"/>
      <c r="P667" s="167"/>
      <c r="Q667" s="68"/>
    </row>
    <row r="668" spans="1:17" ht="16.2" hidden="1" x14ac:dyDescent="0.3">
      <c r="A668" s="174" t="s">
        <v>182</v>
      </c>
      <c r="B668" s="175"/>
      <c r="C668" s="56" t="s">
        <v>19</v>
      </c>
      <c r="D668" s="167"/>
      <c r="E668" s="167"/>
      <c r="F668" s="167"/>
      <c r="G668" s="167"/>
      <c r="H668" s="167"/>
      <c r="I668" s="167"/>
      <c r="J668" s="167"/>
      <c r="K668" s="167"/>
      <c r="L668" s="167"/>
      <c r="M668" s="167"/>
      <c r="N668" s="167"/>
      <c r="O668" s="167"/>
      <c r="P668" s="167"/>
      <c r="Q668" s="68"/>
    </row>
    <row r="669" spans="1:17" ht="16.2" hidden="1" x14ac:dyDescent="0.3">
      <c r="A669" s="174" t="s">
        <v>182</v>
      </c>
      <c r="B669" s="176"/>
      <c r="C669" s="56" t="s">
        <v>19</v>
      </c>
      <c r="D669" s="167"/>
      <c r="E669" s="167"/>
      <c r="F669" s="167"/>
      <c r="G669" s="167"/>
      <c r="H669" s="167"/>
      <c r="I669" s="167"/>
      <c r="J669" s="167"/>
      <c r="K669" s="167"/>
      <c r="L669" s="167"/>
      <c r="M669" s="167"/>
      <c r="N669" s="167"/>
      <c r="O669" s="167"/>
      <c r="P669" s="167"/>
      <c r="Q669" s="68"/>
    </row>
    <row r="670" spans="1:17" ht="14.4" hidden="1" x14ac:dyDescent="0.3">
      <c r="A670" s="162" t="s">
        <v>42</v>
      </c>
      <c r="B670" s="162"/>
      <c r="C670" s="56"/>
      <c r="D670" s="171"/>
      <c r="E670" s="171"/>
      <c r="F670" s="171"/>
      <c r="G670" s="171"/>
      <c r="H670" s="171"/>
      <c r="I670" s="171"/>
      <c r="J670" s="171"/>
      <c r="K670" s="171"/>
      <c r="L670" s="171"/>
      <c r="M670" s="171"/>
      <c r="N670" s="171"/>
      <c r="O670" s="171"/>
      <c r="P670" s="171"/>
      <c r="Q670" s="68"/>
    </row>
    <row r="671" spans="1:17" ht="14.4" hidden="1" x14ac:dyDescent="0.3">
      <c r="A671" s="162" t="s">
        <v>191</v>
      </c>
      <c r="B671" s="162"/>
      <c r="C671" s="56" t="s">
        <v>44</v>
      </c>
      <c r="D671" s="177"/>
      <c r="E671" s="177"/>
      <c r="F671" s="177"/>
      <c r="G671" s="177"/>
      <c r="H671" s="177"/>
      <c r="I671" s="177"/>
      <c r="J671" s="177"/>
      <c r="K671" s="177"/>
      <c r="L671" s="177"/>
      <c r="M671" s="177"/>
      <c r="N671" s="177"/>
      <c r="O671" s="177"/>
      <c r="P671" s="177"/>
      <c r="Q671" s="68"/>
    </row>
    <row r="672" spans="1:17" ht="14.4" hidden="1" x14ac:dyDescent="0.3">
      <c r="A672" s="162" t="s">
        <v>183</v>
      </c>
      <c r="B672" s="162"/>
      <c r="C672" s="56"/>
      <c r="D672" s="178"/>
      <c r="E672" s="178"/>
      <c r="F672" s="178"/>
      <c r="G672" s="178"/>
      <c r="H672" s="178"/>
      <c r="I672" s="178"/>
      <c r="J672" s="178"/>
      <c r="K672" s="178"/>
      <c r="L672" s="178"/>
      <c r="M672" s="178"/>
      <c r="N672" s="178"/>
      <c r="O672" s="178"/>
      <c r="P672" s="178"/>
      <c r="Q672" s="68"/>
    </row>
    <row r="673" spans="1:17" ht="14.4" hidden="1" x14ac:dyDescent="0.3">
      <c r="A673" s="162" t="s">
        <v>184</v>
      </c>
      <c r="B673" s="162"/>
      <c r="C673" s="56" t="s">
        <v>19</v>
      </c>
      <c r="D673" s="167"/>
      <c r="E673" s="167"/>
      <c r="F673" s="167"/>
      <c r="G673" s="167"/>
      <c r="H673" s="167"/>
      <c r="I673" s="167"/>
      <c r="J673" s="167"/>
      <c r="K673" s="167"/>
      <c r="L673" s="167"/>
      <c r="M673" s="167"/>
      <c r="N673" s="167"/>
      <c r="O673" s="167"/>
      <c r="P673" s="167"/>
      <c r="Q673" s="68"/>
    </row>
    <row r="674" spans="1:17" ht="14.4" hidden="1" x14ac:dyDescent="0.3">
      <c r="A674" s="162" t="s">
        <v>45</v>
      </c>
      <c r="B674" s="162"/>
      <c r="C674" s="56"/>
      <c r="D674" s="178"/>
      <c r="E674" s="178"/>
      <c r="F674" s="178"/>
      <c r="G674" s="178"/>
      <c r="H674" s="178"/>
      <c r="I674" s="178"/>
      <c r="J674" s="178"/>
      <c r="K674" s="178"/>
      <c r="L674" s="178"/>
      <c r="M674" s="178"/>
      <c r="N674" s="178"/>
      <c r="O674" s="178"/>
      <c r="P674" s="178"/>
      <c r="Q674" s="68"/>
    </row>
    <row r="675" spans="1:17" ht="14.4" hidden="1" x14ac:dyDescent="0.3">
      <c r="A675" s="162" t="s">
        <v>46</v>
      </c>
      <c r="B675" s="162"/>
      <c r="C675" s="56" t="s">
        <v>19</v>
      </c>
      <c r="D675" s="167"/>
      <c r="E675" s="167"/>
      <c r="F675" s="167"/>
      <c r="G675" s="167"/>
      <c r="H675" s="167"/>
      <c r="I675" s="167"/>
      <c r="J675" s="167"/>
      <c r="K675" s="167"/>
      <c r="L675" s="167"/>
      <c r="M675" s="167"/>
      <c r="N675" s="167"/>
      <c r="O675" s="167"/>
      <c r="P675" s="167"/>
      <c r="Q675" s="68"/>
    </row>
    <row r="676" spans="1:17" ht="14.4" hidden="1" x14ac:dyDescent="0.3">
      <c r="A676" s="162" t="s">
        <v>185</v>
      </c>
      <c r="B676" s="162"/>
      <c r="C676" s="56"/>
      <c r="D676" s="178"/>
      <c r="E676" s="178"/>
      <c r="F676" s="178"/>
      <c r="G676" s="178"/>
      <c r="H676" s="178"/>
      <c r="I676" s="178"/>
      <c r="J676" s="178"/>
      <c r="K676" s="178"/>
      <c r="L676" s="178"/>
      <c r="M676" s="178"/>
      <c r="N676" s="178"/>
      <c r="O676" s="178"/>
      <c r="P676" s="178"/>
      <c r="Q676" s="68"/>
    </row>
    <row r="677" spans="1:17" ht="14.4" hidden="1" x14ac:dyDescent="0.3">
      <c r="A677" s="162" t="s">
        <v>186</v>
      </c>
      <c r="B677" s="162"/>
      <c r="C677" s="56" t="s">
        <v>19</v>
      </c>
      <c r="D677" s="167"/>
      <c r="E677" s="167"/>
      <c r="F677" s="167"/>
      <c r="G677" s="167"/>
      <c r="H677" s="167"/>
      <c r="I677" s="167"/>
      <c r="J677" s="167"/>
      <c r="K677" s="167"/>
      <c r="L677" s="167"/>
      <c r="M677" s="167"/>
      <c r="N677" s="167"/>
      <c r="O677" s="167"/>
      <c r="P677" s="167"/>
      <c r="Q677" s="68"/>
    </row>
    <row r="678" spans="1:17" ht="14.4" hidden="1" x14ac:dyDescent="0.3">
      <c r="A678" s="162" t="s">
        <v>47</v>
      </c>
      <c r="B678" s="162"/>
      <c r="C678" s="56"/>
      <c r="D678" s="171"/>
      <c r="E678" s="171"/>
      <c r="F678" s="171"/>
      <c r="G678" s="171"/>
      <c r="H678" s="171"/>
      <c r="I678" s="171"/>
      <c r="J678" s="171"/>
      <c r="K678" s="171"/>
      <c r="L678" s="171"/>
      <c r="M678" s="171"/>
      <c r="N678" s="171"/>
      <c r="O678" s="171"/>
      <c r="P678" s="171"/>
      <c r="Q678" s="68"/>
    </row>
    <row r="679" spans="1:17" ht="14.4" hidden="1" x14ac:dyDescent="0.3">
      <c r="A679" s="55" t="s">
        <v>48</v>
      </c>
      <c r="B679" s="55"/>
      <c r="C679" s="56" t="s">
        <v>19</v>
      </c>
      <c r="D679" s="167"/>
      <c r="E679" s="167"/>
      <c r="F679" s="167"/>
      <c r="G679" s="167"/>
      <c r="H679" s="167"/>
      <c r="I679" s="167"/>
      <c r="J679" s="167"/>
      <c r="K679" s="167"/>
      <c r="L679" s="167"/>
      <c r="M679" s="167"/>
      <c r="N679" s="167"/>
      <c r="O679" s="167"/>
      <c r="P679" s="167"/>
      <c r="Q679" s="68"/>
    </row>
    <row r="680" spans="1:17" ht="14.4" hidden="1" x14ac:dyDescent="0.3">
      <c r="A680" s="55" t="s">
        <v>49</v>
      </c>
      <c r="B680" s="55"/>
      <c r="C680" s="56" t="s">
        <v>19</v>
      </c>
      <c r="D680" s="167"/>
      <c r="E680" s="167"/>
      <c r="F680" s="167"/>
      <c r="G680" s="167"/>
      <c r="H680" s="167"/>
      <c r="I680" s="167"/>
      <c r="J680" s="167"/>
      <c r="K680" s="167"/>
      <c r="L680" s="167"/>
      <c r="M680" s="167"/>
      <c r="N680" s="167"/>
      <c r="O680" s="167"/>
      <c r="P680" s="167"/>
      <c r="Q680" s="68"/>
    </row>
    <row r="681" spans="1:17" ht="14.4" hidden="1" x14ac:dyDescent="0.3">
      <c r="A681" s="162" t="s">
        <v>52</v>
      </c>
      <c r="B681" s="162"/>
      <c r="C681" s="179"/>
      <c r="D681" s="170"/>
      <c r="E681" s="170"/>
      <c r="F681" s="170"/>
      <c r="G681" s="170"/>
      <c r="H681" s="170"/>
      <c r="I681" s="170"/>
      <c r="J681" s="170"/>
      <c r="K681" s="170"/>
      <c r="L681" s="170"/>
      <c r="M681" s="170"/>
      <c r="N681" s="170"/>
      <c r="O681" s="170"/>
      <c r="P681" s="170"/>
      <c r="Q681" s="68"/>
    </row>
    <row r="682" spans="1:17" ht="14.4" hidden="1" x14ac:dyDescent="0.3">
      <c r="A682" s="55" t="s">
        <v>53</v>
      </c>
      <c r="B682" s="55"/>
      <c r="C682" s="56" t="s">
        <v>44</v>
      </c>
      <c r="D682" s="167"/>
      <c r="E682" s="167"/>
      <c r="F682" s="167"/>
      <c r="G682" s="167"/>
      <c r="H682" s="167"/>
      <c r="I682" s="167"/>
      <c r="J682" s="167"/>
      <c r="K682" s="167"/>
      <c r="L682" s="167"/>
      <c r="M682" s="167"/>
      <c r="N682" s="167"/>
      <c r="O682" s="167"/>
      <c r="P682" s="167"/>
      <c r="Q682" s="68"/>
    </row>
    <row r="683" spans="1:17" ht="14.4" hidden="1" x14ac:dyDescent="0.3">
      <c r="A683" s="55" t="s">
        <v>54</v>
      </c>
      <c r="B683" s="55"/>
      <c r="C683" s="56" t="s">
        <v>44</v>
      </c>
      <c r="D683" s="167"/>
      <c r="E683" s="167"/>
      <c r="F683" s="167"/>
      <c r="G683" s="167"/>
      <c r="H683" s="167"/>
      <c r="I683" s="167"/>
      <c r="J683" s="167"/>
      <c r="K683" s="167"/>
      <c r="L683" s="167"/>
      <c r="M683" s="167"/>
      <c r="N683" s="167"/>
      <c r="O683" s="167"/>
      <c r="P683" s="167"/>
      <c r="Q683" s="68"/>
    </row>
    <row r="684" spans="1:17" ht="14.4" hidden="1" x14ac:dyDescent="0.3">
      <c r="A684" s="55" t="s">
        <v>55</v>
      </c>
      <c r="B684" s="55"/>
      <c r="C684" s="56" t="s">
        <v>44</v>
      </c>
      <c r="D684" s="167"/>
      <c r="E684" s="167"/>
      <c r="F684" s="167"/>
      <c r="G684" s="167"/>
      <c r="H684" s="167"/>
      <c r="I684" s="167"/>
      <c r="J684" s="167"/>
      <c r="K684" s="167"/>
      <c r="L684" s="167"/>
      <c r="M684" s="167"/>
      <c r="N684" s="167"/>
      <c r="O684" s="167"/>
      <c r="P684" s="167"/>
      <c r="Q684" s="68"/>
    </row>
    <row r="685" spans="1:17" ht="14.4" hidden="1" x14ac:dyDescent="0.3">
      <c r="A685" s="55" t="s">
        <v>187</v>
      </c>
      <c r="B685" s="55"/>
      <c r="C685" s="56" t="s">
        <v>44</v>
      </c>
      <c r="D685" s="167"/>
      <c r="E685" s="167"/>
      <c r="F685" s="167"/>
      <c r="G685" s="167"/>
      <c r="H685" s="167"/>
      <c r="I685" s="167"/>
      <c r="J685" s="167"/>
      <c r="K685" s="167"/>
      <c r="L685" s="167"/>
      <c r="M685" s="167"/>
      <c r="N685" s="167"/>
      <c r="O685" s="167"/>
      <c r="P685" s="167"/>
      <c r="Q685" s="68"/>
    </row>
    <row r="686" spans="1:17" ht="14.4" hidden="1" x14ac:dyDescent="0.3">
      <c r="A686" s="55" t="s">
        <v>188</v>
      </c>
      <c r="B686" s="55"/>
      <c r="C686" s="56" t="s">
        <v>44</v>
      </c>
      <c r="D686" s="167"/>
      <c r="E686" s="167"/>
      <c r="F686" s="167"/>
      <c r="G686" s="167"/>
      <c r="H686" s="167"/>
      <c r="I686" s="167"/>
      <c r="J686" s="167"/>
      <c r="K686" s="167"/>
      <c r="L686" s="167"/>
      <c r="M686" s="167"/>
      <c r="N686" s="167"/>
      <c r="O686" s="167"/>
      <c r="P686" s="167"/>
      <c r="Q686" s="68"/>
    </row>
    <row r="687" spans="1:17" ht="14.4" hidden="1" x14ac:dyDescent="0.3">
      <c r="A687" s="55" t="s">
        <v>56</v>
      </c>
      <c r="B687" s="55"/>
      <c r="C687" s="56" t="s">
        <v>44</v>
      </c>
      <c r="D687" s="180"/>
      <c r="E687" s="180"/>
      <c r="F687" s="180"/>
      <c r="G687" s="180"/>
      <c r="H687" s="180"/>
      <c r="I687" s="180"/>
      <c r="J687" s="180"/>
      <c r="K687" s="180"/>
      <c r="L687" s="180"/>
      <c r="M687" s="180"/>
      <c r="N687" s="180"/>
      <c r="O687" s="180"/>
      <c r="P687" s="180"/>
      <c r="Q687" s="68"/>
    </row>
    <row r="688" spans="1:17" ht="14.4" hidden="1" x14ac:dyDescent="0.3">
      <c r="A688" s="55" t="s">
        <v>57</v>
      </c>
      <c r="B688" s="55"/>
      <c r="C688" s="56" t="s">
        <v>44</v>
      </c>
      <c r="D688" s="180"/>
      <c r="E688" s="180"/>
      <c r="F688" s="180"/>
      <c r="G688" s="180"/>
      <c r="H688" s="180"/>
      <c r="I688" s="180"/>
      <c r="J688" s="180"/>
      <c r="K688" s="180"/>
      <c r="L688" s="180"/>
      <c r="M688" s="180"/>
      <c r="N688" s="180"/>
      <c r="O688" s="180"/>
      <c r="P688" s="180"/>
      <c r="Q688" s="68"/>
    </row>
    <row r="689" spans="1:17" ht="14.4" hidden="1" x14ac:dyDescent="0.3">
      <c r="D689" s="58"/>
      <c r="E689" s="58"/>
      <c r="F689" s="58"/>
      <c r="G689" s="58"/>
      <c r="H689" s="58"/>
      <c r="I689" s="58"/>
      <c r="J689" s="58"/>
      <c r="K689" s="58"/>
      <c r="L689" s="58"/>
      <c r="M689" s="58"/>
      <c r="N689" s="58"/>
      <c r="O689" s="58"/>
      <c r="P689" s="58"/>
      <c r="Q689" s="68"/>
    </row>
    <row r="690" spans="1:17" ht="18" x14ac:dyDescent="0.35">
      <c r="A690" s="59" t="str">
        <f>'[41]Statistical data'!A221</f>
        <v>General Service B</v>
      </c>
      <c r="B690" s="59"/>
      <c r="C690" s="5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68"/>
    </row>
    <row r="691" spans="1:17" s="13" customFormat="1" ht="14.4" x14ac:dyDescent="0.3">
      <c r="A691" s="11" t="s">
        <v>3</v>
      </c>
      <c r="B691" s="11"/>
      <c r="C691" s="11" t="s">
        <v>4</v>
      </c>
      <c r="D691" s="12" t="str">
        <f>D160</f>
        <v>JAN</v>
      </c>
      <c r="E691" s="12" t="str">
        <f t="shared" ref="E691:P691" si="26">E160</f>
        <v>FEB</v>
      </c>
      <c r="F691" s="12" t="str">
        <f t="shared" si="26"/>
        <v>MAR</v>
      </c>
      <c r="G691" s="12" t="str">
        <f t="shared" si="26"/>
        <v>APR</v>
      </c>
      <c r="H691" s="12" t="str">
        <f t="shared" si="26"/>
        <v>MAY</v>
      </c>
      <c r="I691" s="12" t="str">
        <f t="shared" si="26"/>
        <v>JUN</v>
      </c>
      <c r="J691" s="12" t="str">
        <f t="shared" si="26"/>
        <v>JUL</v>
      </c>
      <c r="K691" s="12" t="str">
        <f t="shared" si="26"/>
        <v>AUG</v>
      </c>
      <c r="L691" s="12" t="str">
        <f t="shared" si="26"/>
        <v>SEP</v>
      </c>
      <c r="M691" s="12" t="str">
        <f t="shared" si="26"/>
        <v>OCT</v>
      </c>
      <c r="N691" s="12" t="str">
        <f t="shared" si="26"/>
        <v>NOV</v>
      </c>
      <c r="O691" s="12" t="str">
        <f t="shared" si="26"/>
        <v>DEC</v>
      </c>
      <c r="P691" s="12" t="str">
        <f t="shared" si="26"/>
        <v>JAN</v>
      </c>
      <c r="Q691" s="68"/>
    </row>
    <row r="692" spans="1:17" ht="14.4" x14ac:dyDescent="0.3">
      <c r="A692" s="14" t="s">
        <v>17</v>
      </c>
      <c r="B692" s="15"/>
      <c r="C692" s="16"/>
      <c r="D692" s="17"/>
      <c r="E692" s="17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68"/>
    </row>
    <row r="693" spans="1:17" ht="14.4" x14ac:dyDescent="0.3">
      <c r="A693" s="18" t="s">
        <v>18</v>
      </c>
      <c r="B693" s="19"/>
      <c r="C693" s="16" t="s">
        <v>19</v>
      </c>
      <c r="D693" s="52" t="s">
        <v>59</v>
      </c>
      <c r="E693" s="52" t="s">
        <v>59</v>
      </c>
      <c r="F693" s="52" t="s">
        <v>59</v>
      </c>
      <c r="G693" s="52" t="s">
        <v>59</v>
      </c>
      <c r="H693" s="52" t="s">
        <v>59</v>
      </c>
      <c r="I693" s="52" t="s">
        <v>59</v>
      </c>
      <c r="J693" s="52" t="s">
        <v>59</v>
      </c>
      <c r="K693" s="52" t="s">
        <v>59</v>
      </c>
      <c r="L693" s="52" t="s">
        <v>59</v>
      </c>
      <c r="M693" s="52" t="s">
        <v>59</v>
      </c>
      <c r="N693" s="52" t="s">
        <v>59</v>
      </c>
      <c r="O693" s="52" t="s">
        <v>59</v>
      </c>
      <c r="P693" s="52" t="s">
        <v>59</v>
      </c>
      <c r="Q693" s="68"/>
    </row>
    <row r="694" spans="1:17" ht="14.4" x14ac:dyDescent="0.3">
      <c r="A694" s="18" t="s">
        <v>66</v>
      </c>
      <c r="B694" s="19"/>
      <c r="C694" s="16" t="s">
        <v>19</v>
      </c>
      <c r="D694" s="20">
        <v>0</v>
      </c>
      <c r="E694" s="20">
        <v>0</v>
      </c>
      <c r="F694" s="20">
        <v>0</v>
      </c>
      <c r="G694" s="20">
        <v>0</v>
      </c>
      <c r="H694" s="20">
        <v>0</v>
      </c>
      <c r="I694" s="20">
        <v>0</v>
      </c>
      <c r="J694" s="20">
        <v>0</v>
      </c>
      <c r="K694" s="20">
        <v>0</v>
      </c>
      <c r="L694" s="20">
        <v>0</v>
      </c>
      <c r="M694" s="20">
        <v>0</v>
      </c>
      <c r="N694" s="20">
        <v>0</v>
      </c>
      <c r="O694" s="20">
        <v>0</v>
      </c>
      <c r="P694" s="20">
        <v>0</v>
      </c>
      <c r="Q694" s="68"/>
    </row>
    <row r="695" spans="1:17" ht="14.4" x14ac:dyDescent="0.3">
      <c r="A695" s="14" t="s">
        <v>20</v>
      </c>
      <c r="B695" s="15"/>
      <c r="C695" s="16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68"/>
    </row>
    <row r="696" spans="1:17" ht="14.4" x14ac:dyDescent="0.3">
      <c r="A696" s="18" t="s">
        <v>21</v>
      </c>
      <c r="B696" s="19"/>
      <c r="C696" s="16" t="s">
        <v>19</v>
      </c>
      <c r="D696" s="20">
        <v>0</v>
      </c>
      <c r="E696" s="20">
        <v>0</v>
      </c>
      <c r="F696" s="20">
        <v>0</v>
      </c>
      <c r="G696" s="20">
        <v>0</v>
      </c>
      <c r="H696" s="20">
        <v>0</v>
      </c>
      <c r="I696" s="20">
        <v>0</v>
      </c>
      <c r="J696" s="20">
        <v>0</v>
      </c>
      <c r="K696" s="20">
        <v>0</v>
      </c>
      <c r="L696" s="20">
        <v>0</v>
      </c>
      <c r="M696" s="20">
        <v>0</v>
      </c>
      <c r="N696" s="20">
        <v>0</v>
      </c>
      <c r="O696" s="20">
        <v>0</v>
      </c>
      <c r="P696" s="20">
        <v>0</v>
      </c>
      <c r="Q696" s="68"/>
    </row>
    <row r="697" spans="1:17" ht="14.4" x14ac:dyDescent="0.3">
      <c r="A697" s="18" t="s">
        <v>22</v>
      </c>
      <c r="B697" s="19"/>
      <c r="C697" s="16" t="s">
        <v>23</v>
      </c>
      <c r="D697" s="23">
        <f>[41]TR!D78</f>
        <v>255.83</v>
      </c>
      <c r="E697" s="23">
        <f>[41]TR!E78</f>
        <v>277.51</v>
      </c>
      <c r="F697" s="23">
        <f>[41]TR!F78</f>
        <v>233.63</v>
      </c>
      <c r="G697" s="23">
        <f>[41]TR!G78</f>
        <v>270.82</v>
      </c>
      <c r="H697" s="23">
        <f>[41]TR!H78</f>
        <v>214.48</v>
      </c>
      <c r="I697" s="23">
        <f>[41]TR!I78</f>
        <v>246.38</v>
      </c>
      <c r="J697" s="23">
        <f>[41]TR!J78</f>
        <v>233.9</v>
      </c>
      <c r="K697" s="23">
        <f>[41]TR!K78</f>
        <v>239.24</v>
      </c>
      <c r="L697" s="23">
        <f>[41]TR!L78</f>
        <v>267.22000000000003</v>
      </c>
      <c r="M697" s="23">
        <f>[41]TR!M78</f>
        <v>253.41</v>
      </c>
      <c r="N697" s="23">
        <f>[41]TR!N78</f>
        <v>279.60000000000002</v>
      </c>
      <c r="O697" s="23">
        <f>[41]TR!O78</f>
        <v>279.60000000000002</v>
      </c>
      <c r="P697" s="23">
        <f>[41]TR!P78</f>
        <v>0</v>
      </c>
      <c r="Q697" s="68"/>
    </row>
    <row r="698" spans="1:17" ht="14.4" x14ac:dyDescent="0.3">
      <c r="A698" s="14" t="s">
        <v>24</v>
      </c>
      <c r="B698" s="15"/>
      <c r="C698" s="16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68"/>
    </row>
    <row r="699" spans="1:17" ht="14.4" x14ac:dyDescent="0.3">
      <c r="A699" s="18" t="s">
        <v>25</v>
      </c>
      <c r="B699" s="19"/>
      <c r="C699" s="16" t="s">
        <v>19</v>
      </c>
      <c r="D699" s="20">
        <f>D168</f>
        <v>0.65580000000000005</v>
      </c>
      <c r="E699" s="20">
        <f t="shared" ref="E699:P699" si="27">E168</f>
        <v>0.59</v>
      </c>
      <c r="F699" s="20">
        <f t="shared" si="27"/>
        <v>0.58030000000000004</v>
      </c>
      <c r="G699" s="20">
        <f t="shared" si="27"/>
        <v>0.62050000000000005</v>
      </c>
      <c r="H699" s="20">
        <f t="shared" si="27"/>
        <v>0.61280000000000001</v>
      </c>
      <c r="I699" s="20">
        <f t="shared" si="27"/>
        <v>0.61309999999999998</v>
      </c>
      <c r="J699" s="20">
        <f t="shared" si="27"/>
        <v>0.57599999999999996</v>
      </c>
      <c r="K699" s="20">
        <f t="shared" si="27"/>
        <v>0.53080000000000005</v>
      </c>
      <c r="L699" s="20">
        <f t="shared" si="27"/>
        <v>0.54369999999999996</v>
      </c>
      <c r="M699" s="20">
        <f t="shared" si="27"/>
        <v>0.505</v>
      </c>
      <c r="N699" s="20">
        <f t="shared" si="27"/>
        <v>0.60619999999999996</v>
      </c>
      <c r="O699" s="20">
        <f t="shared" si="27"/>
        <v>0.60619999999999996</v>
      </c>
      <c r="P699" s="20">
        <f t="shared" si="27"/>
        <v>0</v>
      </c>
      <c r="Q699" s="68"/>
    </row>
    <row r="700" spans="1:17" ht="14.4" x14ac:dyDescent="0.3">
      <c r="A700" s="14" t="s">
        <v>26</v>
      </c>
      <c r="B700" s="14"/>
      <c r="C700" s="16"/>
      <c r="D700" s="22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68"/>
    </row>
    <row r="701" spans="1:17" ht="14.4" x14ac:dyDescent="0.3">
      <c r="A701" s="18" t="s">
        <v>27</v>
      </c>
      <c r="B701" s="18"/>
      <c r="C701" s="16" t="s">
        <v>19</v>
      </c>
      <c r="D701" s="20">
        <v>0.16</v>
      </c>
      <c r="E701" s="20">
        <v>0.16</v>
      </c>
      <c r="F701" s="20">
        <v>0.16</v>
      </c>
      <c r="G701" s="20">
        <v>0.16</v>
      </c>
      <c r="H701" s="20">
        <v>0.16</v>
      </c>
      <c r="I701" s="20">
        <v>0.16</v>
      </c>
      <c r="J701" s="20">
        <v>0.16250000000000001</v>
      </c>
      <c r="K701" s="20">
        <v>0.16250000000000001</v>
      </c>
      <c r="L701" s="20">
        <v>0.16250000000000001</v>
      </c>
      <c r="M701" s="20">
        <v>0.16250000000000001</v>
      </c>
      <c r="N701" s="20">
        <v>0.16250000000000001</v>
      </c>
      <c r="O701" s="20">
        <v>0.16250000000000001</v>
      </c>
      <c r="P701" s="20">
        <v>0.16250000000000001</v>
      </c>
      <c r="Q701" s="68"/>
    </row>
    <row r="702" spans="1:17" ht="14.4" x14ac:dyDescent="0.3">
      <c r="A702" s="18" t="s">
        <v>28</v>
      </c>
      <c r="B702" s="18"/>
      <c r="C702" s="16" t="s">
        <v>23</v>
      </c>
      <c r="D702" s="23">
        <v>277.5</v>
      </c>
      <c r="E702" s="23">
        <v>277.5</v>
      </c>
      <c r="F702" s="23">
        <v>277.5</v>
      </c>
      <c r="G702" s="23">
        <v>277.5</v>
      </c>
      <c r="H702" s="23">
        <v>277.5</v>
      </c>
      <c r="I702" s="23">
        <v>277.5</v>
      </c>
      <c r="J702" s="23">
        <v>281.83999999999997</v>
      </c>
      <c r="K702" s="23">
        <v>281.83999999999997</v>
      </c>
      <c r="L702" s="23">
        <v>281.83999999999997</v>
      </c>
      <c r="M702" s="23">
        <v>281.83999999999997</v>
      </c>
      <c r="N702" s="23">
        <v>281.83999999999997</v>
      </c>
      <c r="O702" s="23">
        <v>281.83999999999997</v>
      </c>
      <c r="P702" s="23">
        <v>281.83999999999997</v>
      </c>
      <c r="Q702" s="68"/>
    </row>
    <row r="703" spans="1:17" ht="14.4" x14ac:dyDescent="0.3">
      <c r="A703" s="14" t="s">
        <v>29</v>
      </c>
      <c r="B703" s="14"/>
      <c r="C703" s="16"/>
      <c r="D703" s="24"/>
      <c r="E703" s="24"/>
      <c r="F703" s="24"/>
      <c r="G703" s="24"/>
      <c r="H703" s="24"/>
      <c r="I703" s="24"/>
      <c r="J703" s="24"/>
      <c r="K703" s="24"/>
      <c r="L703" s="24"/>
      <c r="M703" s="24"/>
      <c r="N703" s="24"/>
      <c r="O703" s="24"/>
      <c r="P703" s="24"/>
      <c r="Q703" s="68"/>
    </row>
    <row r="704" spans="1:17" ht="14.4" x14ac:dyDescent="0.3">
      <c r="A704" s="18" t="s">
        <v>30</v>
      </c>
      <c r="B704" s="18"/>
      <c r="C704" s="16" t="s">
        <v>19</v>
      </c>
      <c r="D704" s="52" t="s">
        <v>61</v>
      </c>
      <c r="E704" s="52" t="s">
        <v>61</v>
      </c>
      <c r="F704" s="52" t="s">
        <v>61</v>
      </c>
      <c r="G704" s="52" t="s">
        <v>61</v>
      </c>
      <c r="H704" s="52" t="s">
        <v>61</v>
      </c>
      <c r="I704" s="52" t="s">
        <v>61</v>
      </c>
      <c r="J704" s="52" t="s">
        <v>61</v>
      </c>
      <c r="K704" s="52" t="s">
        <v>61</v>
      </c>
      <c r="L704" s="52" t="s">
        <v>61</v>
      </c>
      <c r="M704" s="52" t="s">
        <v>61</v>
      </c>
      <c r="N704" s="52" t="s">
        <v>61</v>
      </c>
      <c r="O704" s="52" t="s">
        <v>61</v>
      </c>
      <c r="P704" s="52" t="s">
        <v>61</v>
      </c>
      <c r="Q704" s="68"/>
    </row>
    <row r="705" spans="1:17" ht="14.4" x14ac:dyDescent="0.3">
      <c r="A705" s="18" t="s">
        <v>31</v>
      </c>
      <c r="B705" s="18"/>
      <c r="C705" s="16" t="s">
        <v>32</v>
      </c>
      <c r="D705" s="52" t="s">
        <v>62</v>
      </c>
      <c r="E705" s="52" t="s">
        <v>62</v>
      </c>
      <c r="F705" s="52" t="s">
        <v>62</v>
      </c>
      <c r="G705" s="52" t="s">
        <v>62</v>
      </c>
      <c r="H705" s="52" t="s">
        <v>62</v>
      </c>
      <c r="I705" s="52" t="s">
        <v>62</v>
      </c>
      <c r="J705" s="52" t="s">
        <v>62</v>
      </c>
      <c r="K705" s="52" t="s">
        <v>62</v>
      </c>
      <c r="L705" s="52" t="s">
        <v>62</v>
      </c>
      <c r="M705" s="52" t="s">
        <v>62</v>
      </c>
      <c r="N705" s="52" t="s">
        <v>62</v>
      </c>
      <c r="O705" s="52" t="s">
        <v>62</v>
      </c>
      <c r="P705" s="52" t="s">
        <v>62</v>
      </c>
      <c r="Q705" s="68"/>
    </row>
    <row r="706" spans="1:17" ht="14.4" x14ac:dyDescent="0.3">
      <c r="A706" s="14" t="s">
        <v>33</v>
      </c>
      <c r="B706" s="14"/>
      <c r="C706" s="16"/>
      <c r="D706" s="24"/>
      <c r="E706" s="24"/>
      <c r="F706" s="24"/>
      <c r="G706" s="24"/>
      <c r="H706" s="24"/>
      <c r="I706" s="24"/>
      <c r="J706" s="24"/>
      <c r="K706" s="24"/>
      <c r="L706" s="24"/>
      <c r="M706" s="24"/>
      <c r="N706" s="24"/>
      <c r="O706" s="24"/>
      <c r="P706" s="24"/>
      <c r="Q706" s="68"/>
    </row>
    <row r="707" spans="1:17" ht="14.4" x14ac:dyDescent="0.3">
      <c r="A707" s="18" t="s">
        <v>34</v>
      </c>
      <c r="B707" s="18"/>
      <c r="C707" s="16" t="s">
        <v>19</v>
      </c>
      <c r="D707" s="20">
        <v>0</v>
      </c>
      <c r="E707" s="20">
        <v>0</v>
      </c>
      <c r="F707" s="20">
        <v>0</v>
      </c>
      <c r="G707" s="20">
        <v>0</v>
      </c>
      <c r="H707" s="20">
        <v>0</v>
      </c>
      <c r="I707" s="20">
        <v>0</v>
      </c>
      <c r="J707" s="20">
        <v>0</v>
      </c>
      <c r="K707" s="20">
        <v>0</v>
      </c>
      <c r="L707" s="20">
        <v>0</v>
      </c>
      <c r="M707" s="20">
        <v>0</v>
      </c>
      <c r="N707" s="20">
        <v>0</v>
      </c>
      <c r="O707" s="20">
        <v>0</v>
      </c>
      <c r="P707" s="20">
        <v>0</v>
      </c>
      <c r="Q707" s="68"/>
    </row>
    <row r="708" spans="1:17" ht="14.4" x14ac:dyDescent="0.3">
      <c r="A708" s="18" t="s">
        <v>35</v>
      </c>
      <c r="B708" s="18"/>
      <c r="C708" s="16" t="s">
        <v>36</v>
      </c>
      <c r="D708" s="52" t="s">
        <v>63</v>
      </c>
      <c r="E708" s="52" t="s">
        <v>63</v>
      </c>
      <c r="F708" s="52" t="s">
        <v>63</v>
      </c>
      <c r="G708" s="52" t="s">
        <v>63</v>
      </c>
      <c r="H708" s="52" t="s">
        <v>63</v>
      </c>
      <c r="I708" s="52" t="s">
        <v>63</v>
      </c>
      <c r="J708" s="52" t="s">
        <v>63</v>
      </c>
      <c r="K708" s="52" t="s">
        <v>63</v>
      </c>
      <c r="L708" s="52" t="s">
        <v>63</v>
      </c>
      <c r="M708" s="52" t="s">
        <v>63</v>
      </c>
      <c r="N708" s="52" t="s">
        <v>63</v>
      </c>
      <c r="O708" s="52" t="s">
        <v>63</v>
      </c>
      <c r="P708" s="52" t="s">
        <v>63</v>
      </c>
      <c r="Q708" s="68"/>
    </row>
    <row r="709" spans="1:17" ht="14.4" x14ac:dyDescent="0.3">
      <c r="A709" s="14" t="s">
        <v>37</v>
      </c>
      <c r="B709" s="14"/>
      <c r="C709" s="16"/>
      <c r="D709" s="24"/>
      <c r="E709" s="24"/>
      <c r="F709" s="24"/>
      <c r="G709" s="24"/>
      <c r="H709" s="24"/>
      <c r="I709" s="24"/>
      <c r="J709" s="24"/>
      <c r="K709" s="24"/>
      <c r="L709" s="24"/>
      <c r="M709" s="24"/>
      <c r="N709" s="24"/>
      <c r="O709" s="24"/>
      <c r="P709" s="24"/>
      <c r="Q709" s="68"/>
    </row>
    <row r="710" spans="1:17" ht="14.4" x14ac:dyDescent="0.3">
      <c r="A710" s="25" t="s">
        <v>38</v>
      </c>
      <c r="B710" s="18"/>
      <c r="C710" s="16" t="s">
        <v>19</v>
      </c>
      <c r="D710" s="20">
        <f>D179</f>
        <v>0.1333</v>
      </c>
      <c r="E710" s="20">
        <f t="shared" ref="E710:P710" si="28">E179</f>
        <v>0.1497</v>
      </c>
      <c r="F710" s="20">
        <f t="shared" si="28"/>
        <v>0.14410000000000001</v>
      </c>
      <c r="G710" s="20">
        <f t="shared" si="28"/>
        <v>0.15459999999999999</v>
      </c>
      <c r="H710" s="20">
        <f t="shared" si="28"/>
        <v>0.10920000000000001</v>
      </c>
      <c r="I710" s="20">
        <f t="shared" si="28"/>
        <v>0.104</v>
      </c>
      <c r="J710" s="20">
        <f t="shared" si="28"/>
        <v>0.1045</v>
      </c>
      <c r="K710" s="20">
        <f t="shared" si="28"/>
        <v>0.11609999999999999</v>
      </c>
      <c r="L710" s="20">
        <f t="shared" si="28"/>
        <v>0.1091</v>
      </c>
      <c r="M710" s="20">
        <f t="shared" si="28"/>
        <v>0.1138</v>
      </c>
      <c r="N710" s="20">
        <f t="shared" si="28"/>
        <v>0.1173</v>
      </c>
      <c r="O710" s="20">
        <f t="shared" si="28"/>
        <v>0.1173</v>
      </c>
      <c r="P710" s="20">
        <f t="shared" si="28"/>
        <v>0</v>
      </c>
      <c r="Q710" s="68"/>
    </row>
    <row r="711" spans="1:17" ht="14.4" x14ac:dyDescent="0.3">
      <c r="A711" s="25" t="s">
        <v>39</v>
      </c>
      <c r="B711" s="18"/>
      <c r="C711" s="16" t="s">
        <v>19</v>
      </c>
      <c r="D711" s="20">
        <v>0</v>
      </c>
      <c r="E711" s="20">
        <v>0</v>
      </c>
      <c r="F711" s="20">
        <v>0</v>
      </c>
      <c r="G711" s="20">
        <v>0</v>
      </c>
      <c r="H711" s="20">
        <v>0</v>
      </c>
      <c r="I711" s="20">
        <v>0</v>
      </c>
      <c r="J711" s="20">
        <v>0</v>
      </c>
      <c r="K711" s="20">
        <v>0</v>
      </c>
      <c r="L711" s="20">
        <v>0</v>
      </c>
      <c r="M711" s="20">
        <v>0</v>
      </c>
      <c r="N711" s="20">
        <v>0</v>
      </c>
      <c r="O711" s="20">
        <v>0</v>
      </c>
      <c r="P711" s="20">
        <v>0</v>
      </c>
      <c r="Q711" s="68"/>
    </row>
    <row r="712" spans="1:17" ht="14.4" x14ac:dyDescent="0.3">
      <c r="A712" s="25" t="s">
        <v>180</v>
      </c>
      <c r="B712" s="18"/>
      <c r="C712" s="16" t="s">
        <v>19</v>
      </c>
      <c r="D712" s="20">
        <f>D181</f>
        <v>3.1399999999999997E-2</v>
      </c>
      <c r="E712" s="20">
        <f t="shared" ref="E712:P715" si="29">E181</f>
        <v>3.1399999999999997E-2</v>
      </c>
      <c r="F712" s="20">
        <f t="shared" si="29"/>
        <v>3.1399999999999997E-2</v>
      </c>
      <c r="G712" s="20">
        <f t="shared" si="29"/>
        <v>3.1399999999999997E-2</v>
      </c>
      <c r="H712" s="20">
        <f t="shared" si="29"/>
        <v>3.1399999999999997E-2</v>
      </c>
      <c r="I712" s="20">
        <f t="shared" si="29"/>
        <v>3.1399999999999997E-2</v>
      </c>
      <c r="J712" s="20">
        <f t="shared" si="29"/>
        <v>3.1399999999999997E-2</v>
      </c>
      <c r="K712" s="20">
        <f t="shared" si="29"/>
        <v>3.1399999999999997E-2</v>
      </c>
      <c r="L712" s="20">
        <f t="shared" si="29"/>
        <v>3.1399999999999997E-2</v>
      </c>
      <c r="M712" s="20">
        <f t="shared" si="29"/>
        <v>3.1399999999999997E-2</v>
      </c>
      <c r="N712" s="20">
        <f t="shared" si="29"/>
        <v>3.1399999999999997E-2</v>
      </c>
      <c r="O712" s="20">
        <f t="shared" si="29"/>
        <v>3.1399999999999997E-2</v>
      </c>
      <c r="P712" s="20">
        <f t="shared" si="29"/>
        <v>3.1399999999999997E-2</v>
      </c>
      <c r="Q712" s="68"/>
    </row>
    <row r="713" spans="1:17" ht="14.4" x14ac:dyDescent="0.3">
      <c r="A713" s="26" t="s">
        <v>40</v>
      </c>
      <c r="B713" s="18"/>
      <c r="C713" s="16" t="s">
        <v>19</v>
      </c>
      <c r="D713" s="20">
        <f>D182</f>
        <v>1E-4</v>
      </c>
      <c r="E713" s="20">
        <f t="shared" si="29"/>
        <v>1E-4</v>
      </c>
      <c r="F713" s="20">
        <f t="shared" si="29"/>
        <v>1E-4</v>
      </c>
      <c r="G713" s="20">
        <f t="shared" si="29"/>
        <v>1E-4</v>
      </c>
      <c r="H713" s="20">
        <f t="shared" si="29"/>
        <v>1E-4</v>
      </c>
      <c r="I713" s="20">
        <f t="shared" si="29"/>
        <v>1E-4</v>
      </c>
      <c r="J713" s="20">
        <f t="shared" si="29"/>
        <v>1E-4</v>
      </c>
      <c r="K713" s="20">
        <f t="shared" si="29"/>
        <v>1E-4</v>
      </c>
      <c r="L713" s="20">
        <f t="shared" si="29"/>
        <v>1E-4</v>
      </c>
      <c r="M713" s="20">
        <f t="shared" si="29"/>
        <v>1E-4</v>
      </c>
      <c r="N713" s="20">
        <f t="shared" si="29"/>
        <v>1E-4</v>
      </c>
      <c r="O713" s="20">
        <f t="shared" si="29"/>
        <v>1E-4</v>
      </c>
      <c r="P713" s="20">
        <f t="shared" si="29"/>
        <v>0</v>
      </c>
      <c r="Q713" s="68"/>
    </row>
    <row r="714" spans="1:17" ht="14.4" x14ac:dyDescent="0.3">
      <c r="A714" s="26" t="s">
        <v>41</v>
      </c>
      <c r="B714" s="18"/>
      <c r="C714" s="16" t="s">
        <v>19</v>
      </c>
      <c r="D714" s="20">
        <f>D183</f>
        <v>0</v>
      </c>
      <c r="E714" s="20">
        <f t="shared" si="29"/>
        <v>0</v>
      </c>
      <c r="F714" s="20">
        <f t="shared" si="29"/>
        <v>0</v>
      </c>
      <c r="G714" s="20">
        <f t="shared" si="29"/>
        <v>0</v>
      </c>
      <c r="H714" s="20">
        <f t="shared" si="29"/>
        <v>0</v>
      </c>
      <c r="I714" s="20">
        <f t="shared" si="29"/>
        <v>0</v>
      </c>
      <c r="J714" s="20">
        <f t="shared" si="29"/>
        <v>0</v>
      </c>
      <c r="K714" s="20">
        <f t="shared" si="29"/>
        <v>0</v>
      </c>
      <c r="L714" s="20">
        <f t="shared" si="29"/>
        <v>0</v>
      </c>
      <c r="M714" s="20">
        <f t="shared" si="29"/>
        <v>0</v>
      </c>
      <c r="N714" s="20">
        <f t="shared" si="29"/>
        <v>0</v>
      </c>
      <c r="O714" s="20">
        <f t="shared" si="29"/>
        <v>0</v>
      </c>
      <c r="P714" s="20">
        <f t="shared" si="29"/>
        <v>0</v>
      </c>
      <c r="Q714" s="68"/>
    </row>
    <row r="715" spans="1:17" ht="14.4" x14ac:dyDescent="0.3">
      <c r="A715" s="154" t="s">
        <v>181</v>
      </c>
      <c r="B715" s="155"/>
      <c r="C715" s="16" t="s">
        <v>19</v>
      </c>
      <c r="D715" s="20">
        <f>D184</f>
        <v>1.03E-2</v>
      </c>
      <c r="E715" s="20">
        <f t="shared" si="29"/>
        <v>1.03E-2</v>
      </c>
      <c r="F715" s="20">
        <f t="shared" si="29"/>
        <v>1.03E-2</v>
      </c>
      <c r="G715" s="20">
        <f t="shared" si="29"/>
        <v>2.5999999999999999E-3</v>
      </c>
      <c r="H715" s="20">
        <f t="shared" si="29"/>
        <v>0</v>
      </c>
      <c r="I715" s="20">
        <f t="shared" si="29"/>
        <v>0</v>
      </c>
      <c r="J715" s="20">
        <f t="shared" si="29"/>
        <v>0</v>
      </c>
      <c r="K715" s="20">
        <f t="shared" si="29"/>
        <v>0</v>
      </c>
      <c r="L715" s="20">
        <f t="shared" si="29"/>
        <v>0</v>
      </c>
      <c r="M715" s="20">
        <f t="shared" si="29"/>
        <v>0</v>
      </c>
      <c r="N715" s="20">
        <f t="shared" si="29"/>
        <v>0</v>
      </c>
      <c r="O715" s="20">
        <f t="shared" si="29"/>
        <v>0</v>
      </c>
      <c r="P715" s="20">
        <f t="shared" si="29"/>
        <v>0</v>
      </c>
      <c r="Q715" s="68"/>
    </row>
    <row r="716" spans="1:17" ht="16.2" hidden="1" x14ac:dyDescent="0.3">
      <c r="A716" s="154" t="s">
        <v>182</v>
      </c>
      <c r="B716" s="155"/>
      <c r="C716" s="16" t="s">
        <v>19</v>
      </c>
      <c r="D716" s="20"/>
      <c r="E716" s="20"/>
      <c r="F716" s="20"/>
      <c r="G716" s="20"/>
      <c r="H716" s="20"/>
      <c r="I716" s="20"/>
      <c r="J716" s="20"/>
      <c r="K716" s="20"/>
      <c r="L716" s="20"/>
      <c r="M716" s="20"/>
      <c r="N716" s="20"/>
      <c r="O716" s="20"/>
      <c r="P716" s="20"/>
      <c r="Q716" s="68"/>
    </row>
    <row r="717" spans="1:17" ht="16.2" hidden="1" x14ac:dyDescent="0.3">
      <c r="A717" s="154" t="s">
        <v>182</v>
      </c>
      <c r="B717" s="156"/>
      <c r="C717" s="16" t="s">
        <v>19</v>
      </c>
      <c r="D717" s="20"/>
      <c r="E717" s="20"/>
      <c r="F717" s="20"/>
      <c r="G717" s="20"/>
      <c r="H717" s="20"/>
      <c r="I717" s="20"/>
      <c r="J717" s="20"/>
      <c r="K717" s="20"/>
      <c r="L717" s="20"/>
      <c r="M717" s="20"/>
      <c r="N717" s="20"/>
      <c r="O717" s="20"/>
      <c r="P717" s="20"/>
      <c r="Q717" s="68"/>
    </row>
    <row r="718" spans="1:17" ht="14.4" x14ac:dyDescent="0.3">
      <c r="A718" s="14" t="s">
        <v>42</v>
      </c>
      <c r="B718" s="14"/>
      <c r="C718" s="16"/>
      <c r="D718" s="24"/>
      <c r="E718" s="24"/>
      <c r="F718" s="24"/>
      <c r="G718" s="24"/>
      <c r="H718" s="24"/>
      <c r="I718" s="24"/>
      <c r="J718" s="24"/>
      <c r="K718" s="24"/>
      <c r="L718" s="24"/>
      <c r="M718" s="24"/>
      <c r="N718" s="24"/>
      <c r="O718" s="24"/>
      <c r="P718" s="24"/>
      <c r="Q718" s="68"/>
    </row>
    <row r="719" spans="1:17" ht="14.4" x14ac:dyDescent="0.3">
      <c r="A719" s="14" t="s">
        <v>43</v>
      </c>
      <c r="B719" s="14"/>
      <c r="C719" s="16" t="s">
        <v>44</v>
      </c>
      <c r="D719" s="27"/>
      <c r="E719" s="27"/>
      <c r="F719" s="27"/>
      <c r="G719" s="27"/>
      <c r="H719" s="27"/>
      <c r="I719" s="27"/>
      <c r="J719" s="27"/>
      <c r="K719" s="27"/>
      <c r="L719" s="27"/>
      <c r="M719" s="27"/>
      <c r="N719" s="27"/>
      <c r="O719" s="27"/>
      <c r="P719" s="27"/>
      <c r="Q719" s="68"/>
    </row>
    <row r="720" spans="1:17" ht="14.4" hidden="1" x14ac:dyDescent="0.3">
      <c r="A720" s="14" t="s">
        <v>183</v>
      </c>
      <c r="B720" s="14"/>
      <c r="C720" s="16"/>
      <c r="D720" s="28"/>
      <c r="E720" s="28"/>
      <c r="F720" s="28"/>
      <c r="G720" s="28"/>
      <c r="H720" s="28"/>
      <c r="I720" s="28"/>
      <c r="J720" s="28"/>
      <c r="K720" s="28"/>
      <c r="L720" s="28"/>
      <c r="M720" s="28"/>
      <c r="N720" s="28"/>
      <c r="O720" s="28"/>
      <c r="P720" s="28"/>
      <c r="Q720" s="68"/>
    </row>
    <row r="721" spans="1:17" ht="14.4" hidden="1" x14ac:dyDescent="0.3">
      <c r="A721" s="14" t="s">
        <v>184</v>
      </c>
      <c r="B721" s="14"/>
      <c r="C721" s="16" t="s">
        <v>19</v>
      </c>
      <c r="D721" s="20"/>
      <c r="E721" s="20"/>
      <c r="F721" s="20"/>
      <c r="G721" s="20"/>
      <c r="H721" s="20"/>
      <c r="I721" s="20"/>
      <c r="J721" s="20"/>
      <c r="K721" s="20"/>
      <c r="L721" s="20"/>
      <c r="M721" s="20"/>
      <c r="N721" s="20"/>
      <c r="O721" s="20"/>
      <c r="P721" s="20"/>
      <c r="Q721" s="68"/>
    </row>
    <row r="722" spans="1:17" ht="14.4" x14ac:dyDescent="0.3">
      <c r="A722" s="14" t="s">
        <v>45</v>
      </c>
      <c r="B722" s="14"/>
      <c r="C722" s="16"/>
      <c r="D722" s="28"/>
      <c r="E722" s="28"/>
      <c r="F722" s="28"/>
      <c r="G722" s="28"/>
      <c r="H722" s="28"/>
      <c r="I722" s="28"/>
      <c r="J722" s="28"/>
      <c r="K722" s="28"/>
      <c r="L722" s="28"/>
      <c r="M722" s="28"/>
      <c r="N722" s="28"/>
      <c r="O722" s="28"/>
      <c r="P722" s="28"/>
      <c r="Q722" s="68"/>
    </row>
    <row r="723" spans="1:17" ht="14.4" x14ac:dyDescent="0.3">
      <c r="A723" s="14" t="s">
        <v>46</v>
      </c>
      <c r="B723" s="14"/>
      <c r="C723" s="16" t="s">
        <v>19</v>
      </c>
      <c r="D723" s="20">
        <v>0</v>
      </c>
      <c r="E723" s="20">
        <v>0</v>
      </c>
      <c r="F723" s="20">
        <v>0</v>
      </c>
      <c r="G723" s="20">
        <v>0</v>
      </c>
      <c r="H723" s="20">
        <v>0</v>
      </c>
      <c r="I723" s="20">
        <v>0</v>
      </c>
      <c r="J723" s="20">
        <v>0</v>
      </c>
      <c r="K723" s="20">
        <v>0</v>
      </c>
      <c r="L723" s="20">
        <v>0</v>
      </c>
      <c r="M723" s="20">
        <v>0</v>
      </c>
      <c r="N723" s="20">
        <v>0</v>
      </c>
      <c r="O723" s="20">
        <v>0</v>
      </c>
      <c r="P723" s="20">
        <v>0</v>
      </c>
      <c r="Q723" s="68"/>
    </row>
    <row r="724" spans="1:17" ht="14.4" hidden="1" x14ac:dyDescent="0.3">
      <c r="A724" s="14" t="s">
        <v>185</v>
      </c>
      <c r="B724" s="14"/>
      <c r="C724" s="16"/>
      <c r="D724" s="28"/>
      <c r="E724" s="28"/>
      <c r="F724" s="28"/>
      <c r="G724" s="28"/>
      <c r="H724" s="28"/>
      <c r="I724" s="28"/>
      <c r="J724" s="28"/>
      <c r="K724" s="28"/>
      <c r="L724" s="28"/>
      <c r="M724" s="28"/>
      <c r="N724" s="28"/>
      <c r="O724" s="28"/>
      <c r="P724" s="28"/>
      <c r="Q724" s="68"/>
    </row>
    <row r="725" spans="1:17" ht="14.4" hidden="1" x14ac:dyDescent="0.3">
      <c r="A725" s="14" t="s">
        <v>186</v>
      </c>
      <c r="B725" s="14"/>
      <c r="C725" s="16" t="s">
        <v>19</v>
      </c>
      <c r="D725" s="20"/>
      <c r="E725" s="20"/>
      <c r="F725" s="20"/>
      <c r="G725" s="20"/>
      <c r="H725" s="20"/>
      <c r="I725" s="20"/>
      <c r="J725" s="20"/>
      <c r="K725" s="20"/>
      <c r="L725" s="20"/>
      <c r="M725" s="20"/>
      <c r="N725" s="20"/>
      <c r="O725" s="20"/>
      <c r="P725" s="20"/>
      <c r="Q725" s="68"/>
    </row>
    <row r="726" spans="1:17" ht="14.4" x14ac:dyDescent="0.3">
      <c r="A726" s="14" t="s">
        <v>47</v>
      </c>
      <c r="B726" s="14"/>
      <c r="C726" s="16"/>
      <c r="D726" s="24"/>
      <c r="E726" s="24"/>
      <c r="F726" s="24"/>
      <c r="G726" s="24"/>
      <c r="H726" s="24"/>
      <c r="I726" s="24"/>
      <c r="J726" s="24"/>
      <c r="K726" s="24"/>
      <c r="L726" s="24"/>
      <c r="M726" s="24"/>
      <c r="N726" s="24"/>
      <c r="O726" s="24"/>
      <c r="P726" s="24"/>
      <c r="Q726" s="68"/>
    </row>
    <row r="727" spans="1:17" ht="14.4" x14ac:dyDescent="0.3">
      <c r="A727" s="18" t="s">
        <v>48</v>
      </c>
      <c r="B727" s="18"/>
      <c r="C727" s="16" t="s">
        <v>19</v>
      </c>
      <c r="D727" s="20">
        <f>D196</f>
        <v>0.1163</v>
      </c>
      <c r="E727" s="20">
        <f t="shared" ref="E727:P728" si="30">E196</f>
        <v>0.1163</v>
      </c>
      <c r="F727" s="20">
        <f t="shared" si="30"/>
        <v>0.1163</v>
      </c>
      <c r="G727" s="20">
        <f t="shared" si="30"/>
        <v>0.1163</v>
      </c>
      <c r="H727" s="20">
        <f t="shared" si="30"/>
        <v>0.1163</v>
      </c>
      <c r="I727" s="20">
        <f t="shared" si="30"/>
        <v>0.1163</v>
      </c>
      <c r="J727" s="20">
        <f t="shared" si="30"/>
        <v>0.1163</v>
      </c>
      <c r="K727" s="20">
        <f t="shared" si="30"/>
        <v>0.1163</v>
      </c>
      <c r="L727" s="20">
        <f t="shared" si="30"/>
        <v>0.1163</v>
      </c>
      <c r="M727" s="20">
        <f t="shared" si="30"/>
        <v>0.1163</v>
      </c>
      <c r="N727" s="20">
        <f t="shared" si="30"/>
        <v>0.1163</v>
      </c>
      <c r="O727" s="20">
        <f t="shared" si="30"/>
        <v>0.1163</v>
      </c>
      <c r="P727" s="20">
        <f t="shared" si="30"/>
        <v>0.1163</v>
      </c>
      <c r="Q727" s="68"/>
    </row>
    <row r="728" spans="1:17" ht="14.4" x14ac:dyDescent="0.3">
      <c r="A728" s="18" t="s">
        <v>49</v>
      </c>
      <c r="B728" s="18"/>
      <c r="C728" s="16" t="s">
        <v>19</v>
      </c>
      <c r="D728" s="20">
        <f>D197</f>
        <v>2.5000000000000001E-3</v>
      </c>
      <c r="E728" s="20">
        <f t="shared" si="30"/>
        <v>2.5000000000000001E-3</v>
      </c>
      <c r="F728" s="20">
        <f t="shared" si="30"/>
        <v>2.5000000000000001E-3</v>
      </c>
      <c r="G728" s="20">
        <f t="shared" si="30"/>
        <v>2.5000000000000001E-3</v>
      </c>
      <c r="H728" s="20">
        <f t="shared" si="30"/>
        <v>2.5000000000000001E-3</v>
      </c>
      <c r="I728" s="20">
        <f t="shared" si="30"/>
        <v>2.5000000000000001E-3</v>
      </c>
      <c r="J728" s="20">
        <f t="shared" si="30"/>
        <v>2.5000000000000001E-3</v>
      </c>
      <c r="K728" s="20">
        <f t="shared" si="30"/>
        <v>2.5000000000000001E-3</v>
      </c>
      <c r="L728" s="20">
        <f t="shared" si="30"/>
        <v>2.5000000000000001E-3</v>
      </c>
      <c r="M728" s="20">
        <f t="shared" si="30"/>
        <v>2.5000000000000001E-3</v>
      </c>
      <c r="N728" s="20">
        <f t="shared" si="30"/>
        <v>2.5000000000000001E-3</v>
      </c>
      <c r="O728" s="20">
        <f t="shared" si="30"/>
        <v>2.5000000000000001E-3</v>
      </c>
      <c r="P728" s="20">
        <f t="shared" si="30"/>
        <v>2.5000000000000001E-3</v>
      </c>
      <c r="Q728" s="68"/>
    </row>
    <row r="729" spans="1:17" ht="14.4" x14ac:dyDescent="0.3">
      <c r="A729" s="18" t="s">
        <v>50</v>
      </c>
      <c r="B729" s="18"/>
      <c r="C729" s="16"/>
      <c r="D729" s="20"/>
      <c r="E729" s="20"/>
      <c r="F729" s="20">
        <v>0.1938</v>
      </c>
      <c r="G729" s="20">
        <v>0.1938</v>
      </c>
      <c r="H729" s="20">
        <v>0.1938</v>
      </c>
      <c r="I729" s="20">
        <v>0.1938</v>
      </c>
      <c r="J729" s="20">
        <v>0.1938</v>
      </c>
      <c r="K729" s="20">
        <v>0.1938</v>
      </c>
      <c r="L729" s="20">
        <v>0.1938</v>
      </c>
      <c r="M729" s="20">
        <v>0.1938</v>
      </c>
      <c r="N729" s="20">
        <v>0.1938</v>
      </c>
      <c r="O729" s="20">
        <v>0.1938</v>
      </c>
      <c r="P729" s="20">
        <v>0.1938</v>
      </c>
      <c r="Q729" s="68"/>
    </row>
    <row r="730" spans="1:17" ht="14.4" x14ac:dyDescent="0.3">
      <c r="A730" s="14" t="s">
        <v>52</v>
      </c>
      <c r="B730" s="14"/>
      <c r="C730" s="29"/>
      <c r="D730" s="22"/>
      <c r="E730" s="22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68"/>
    </row>
    <row r="731" spans="1:17" ht="14.4" x14ac:dyDescent="0.3">
      <c r="A731" s="18" t="s">
        <v>53</v>
      </c>
      <c r="B731" s="18"/>
      <c r="C731" s="16" t="s">
        <v>44</v>
      </c>
      <c r="D731" s="52" t="s">
        <v>189</v>
      </c>
      <c r="E731" s="30">
        <f>'[41]DU VAT'!E17</f>
        <v>0.1142</v>
      </c>
      <c r="F731" s="30">
        <f>'[41]DU VAT'!F17</f>
        <v>0.1147</v>
      </c>
      <c r="G731" s="30">
        <f>'[41]DU VAT'!G17</f>
        <v>0.1137</v>
      </c>
      <c r="H731" s="30">
        <f>'[41]DU VAT'!H17</f>
        <v>0.1094</v>
      </c>
      <c r="I731" s="30">
        <f>'[41]DU VAT'!I17</f>
        <v>0.1084</v>
      </c>
      <c r="J731" s="30">
        <f>'[41]DU VAT'!J17</f>
        <v>0.1182</v>
      </c>
      <c r="K731" s="30">
        <f>'[41]DU VAT'!K17</f>
        <v>0.1183</v>
      </c>
      <c r="L731" s="30">
        <f>'[41]DU VAT'!L17</f>
        <v>0.10920000000000001</v>
      </c>
      <c r="M731" s="30">
        <f>'[41]DU VAT'!M17</f>
        <v>0.11840000000000001</v>
      </c>
      <c r="N731" s="30">
        <f>'[41]DU VAT'!N17</f>
        <v>0.10970000000000001</v>
      </c>
      <c r="O731" s="30">
        <f>'[41]DU VAT'!O17</f>
        <v>0.10970000000000001</v>
      </c>
      <c r="P731" s="30" t="e">
        <f>'[41]DU VAT'!P17</f>
        <v>#DIV/0!</v>
      </c>
      <c r="Q731" s="68"/>
    </row>
    <row r="732" spans="1:17" ht="14.4" x14ac:dyDescent="0.3">
      <c r="A732" s="18" t="s">
        <v>54</v>
      </c>
      <c r="B732" s="18"/>
      <c r="C732" s="16" t="s">
        <v>44</v>
      </c>
      <c r="D732" s="30">
        <f t="shared" ref="D732:P737" si="31">D201</f>
        <v>0</v>
      </c>
      <c r="E732" s="30">
        <f t="shared" si="31"/>
        <v>0</v>
      </c>
      <c r="F732" s="30">
        <f t="shared" si="31"/>
        <v>0</v>
      </c>
      <c r="G732" s="30">
        <f t="shared" si="31"/>
        <v>0</v>
      </c>
      <c r="H732" s="30">
        <f t="shared" si="31"/>
        <v>0</v>
      </c>
      <c r="I732" s="30">
        <f t="shared" si="31"/>
        <v>0</v>
      </c>
      <c r="J732" s="30">
        <f t="shared" si="31"/>
        <v>0</v>
      </c>
      <c r="K732" s="30">
        <f t="shared" si="31"/>
        <v>0</v>
      </c>
      <c r="L732" s="30">
        <f t="shared" si="31"/>
        <v>0</v>
      </c>
      <c r="M732" s="30">
        <f t="shared" si="31"/>
        <v>2E-3</v>
      </c>
      <c r="N732" s="30">
        <f t="shared" si="31"/>
        <v>5.9999999999999995E-4</v>
      </c>
      <c r="O732" s="30">
        <f t="shared" si="31"/>
        <v>5.9999999999999984E-4</v>
      </c>
      <c r="P732" s="30" t="e">
        <f t="shared" si="31"/>
        <v>#DIV/0!</v>
      </c>
      <c r="Q732" s="68"/>
    </row>
    <row r="733" spans="1:17" ht="14.4" x14ac:dyDescent="0.3">
      <c r="A733" s="18" t="s">
        <v>55</v>
      </c>
      <c r="B733" s="18"/>
      <c r="C733" s="16" t="s">
        <v>44</v>
      </c>
      <c r="D733" s="30">
        <f t="shared" si="31"/>
        <v>9.4899999999999998E-2</v>
      </c>
      <c r="E733" s="30">
        <f t="shared" si="31"/>
        <v>9.69E-2</v>
      </c>
      <c r="F733" s="30">
        <f t="shared" si="31"/>
        <v>9.8100000000000007E-2</v>
      </c>
      <c r="G733" s="30">
        <f t="shared" si="31"/>
        <v>9.7000000000000003E-2</v>
      </c>
      <c r="H733" s="30">
        <f t="shared" si="31"/>
        <v>9.5899999999999999E-2</v>
      </c>
      <c r="I733" s="30">
        <f t="shared" si="31"/>
        <v>9.4799999999999995E-2</v>
      </c>
      <c r="J733" s="30">
        <f t="shared" si="31"/>
        <v>0.1028</v>
      </c>
      <c r="K733" s="30">
        <f t="shared" si="31"/>
        <v>0.1027</v>
      </c>
      <c r="L733" s="30">
        <f t="shared" si="31"/>
        <v>9.35E-2</v>
      </c>
      <c r="M733" s="30">
        <f t="shared" si="31"/>
        <v>0.1004</v>
      </c>
      <c r="N733" s="30">
        <f t="shared" si="31"/>
        <v>9.4299999999999995E-2</v>
      </c>
      <c r="O733" s="30">
        <f t="shared" si="31"/>
        <v>9.4299999999999995E-2</v>
      </c>
      <c r="P733" s="30" t="e">
        <f t="shared" si="31"/>
        <v>#DIV/0!</v>
      </c>
      <c r="Q733" s="68"/>
    </row>
    <row r="734" spans="1:17" ht="14.4" x14ac:dyDescent="0.3">
      <c r="A734" s="18" t="s">
        <v>187</v>
      </c>
      <c r="B734" s="18"/>
      <c r="C734" s="16" t="s">
        <v>44</v>
      </c>
      <c r="D734" s="27">
        <v>0</v>
      </c>
      <c r="E734" s="27">
        <v>0</v>
      </c>
      <c r="F734" s="27">
        <v>0</v>
      </c>
      <c r="G734" s="27">
        <v>0</v>
      </c>
      <c r="H734" s="27">
        <v>0</v>
      </c>
      <c r="I734" s="27">
        <v>0</v>
      </c>
      <c r="J734" s="27">
        <v>0</v>
      </c>
      <c r="K734" s="27">
        <v>0</v>
      </c>
      <c r="L734" s="27">
        <v>0</v>
      </c>
      <c r="M734" s="27">
        <v>0</v>
      </c>
      <c r="N734" s="27">
        <v>0</v>
      </c>
      <c r="O734" s="27">
        <v>0</v>
      </c>
      <c r="P734" s="27">
        <v>0</v>
      </c>
      <c r="Q734" s="68"/>
    </row>
    <row r="735" spans="1:17" ht="14.4" x14ac:dyDescent="0.3">
      <c r="A735" s="18" t="s">
        <v>188</v>
      </c>
      <c r="B735" s="18"/>
      <c r="C735" s="16" t="s">
        <v>44</v>
      </c>
      <c r="D735" s="30">
        <f t="shared" si="31"/>
        <v>9.8799999999999999E-2</v>
      </c>
      <c r="E735" s="30">
        <f t="shared" si="31"/>
        <v>9.8799999999999999E-2</v>
      </c>
      <c r="F735" s="30">
        <f t="shared" si="31"/>
        <v>9.8799999999999999E-2</v>
      </c>
      <c r="G735" s="30">
        <f t="shared" si="31"/>
        <v>9.8799999999999999E-2</v>
      </c>
      <c r="H735" s="30">
        <f t="shared" si="31"/>
        <v>9.8799999999999999E-2</v>
      </c>
      <c r="I735" s="30">
        <f t="shared" si="31"/>
        <v>9.8799999999999999E-2</v>
      </c>
      <c r="J735" s="30">
        <f t="shared" si="31"/>
        <v>9.8799999999999999E-2</v>
      </c>
      <c r="K735" s="30">
        <f t="shared" si="31"/>
        <v>9.8799999999999999E-2</v>
      </c>
      <c r="L735" s="30">
        <f t="shared" si="31"/>
        <v>9.8799999999999999E-2</v>
      </c>
      <c r="M735" s="30">
        <f t="shared" si="31"/>
        <v>9.8799999999999999E-2</v>
      </c>
      <c r="N735" s="30">
        <f t="shared" si="31"/>
        <v>9.8799999999999999E-2</v>
      </c>
      <c r="O735" s="30">
        <f t="shared" si="31"/>
        <v>9.8799999999999999E-2</v>
      </c>
      <c r="P735" s="30">
        <f t="shared" si="31"/>
        <v>9.8799999999999999E-2</v>
      </c>
      <c r="Q735" s="68"/>
    </row>
    <row r="736" spans="1:17" ht="14.4" x14ac:dyDescent="0.3">
      <c r="A736" s="18" t="s">
        <v>56</v>
      </c>
      <c r="B736" s="18"/>
      <c r="C736" s="16" t="s">
        <v>44</v>
      </c>
      <c r="D736" s="30">
        <f t="shared" si="31"/>
        <v>0.12</v>
      </c>
      <c r="E736" s="30">
        <f t="shared" si="31"/>
        <v>0.12</v>
      </c>
      <c r="F736" s="30">
        <f t="shared" si="31"/>
        <v>0.12</v>
      </c>
      <c r="G736" s="30">
        <f t="shared" si="31"/>
        <v>0.12</v>
      </c>
      <c r="H736" s="30">
        <f t="shared" si="31"/>
        <v>0.12</v>
      </c>
      <c r="I736" s="30">
        <f t="shared" si="31"/>
        <v>0.12</v>
      </c>
      <c r="J736" s="30">
        <f t="shared" si="31"/>
        <v>0.12</v>
      </c>
      <c r="K736" s="30">
        <f t="shared" si="31"/>
        <v>0.12</v>
      </c>
      <c r="L736" s="30">
        <f t="shared" si="31"/>
        <v>0.12</v>
      </c>
      <c r="M736" s="30">
        <f t="shared" si="31"/>
        <v>0.12</v>
      </c>
      <c r="N736" s="30">
        <f t="shared" si="31"/>
        <v>0.12</v>
      </c>
      <c r="O736" s="30">
        <f t="shared" si="31"/>
        <v>0.12</v>
      </c>
      <c r="P736" s="30">
        <f t="shared" si="31"/>
        <v>0.12</v>
      </c>
      <c r="Q736" s="68"/>
    </row>
    <row r="737" spans="1:17" ht="14.4" x14ac:dyDescent="0.3">
      <c r="A737" s="18" t="s">
        <v>57</v>
      </c>
      <c r="B737" s="18"/>
      <c r="C737" s="16" t="s">
        <v>44</v>
      </c>
      <c r="D737" s="30">
        <f t="shared" si="31"/>
        <v>0.12</v>
      </c>
      <c r="E737" s="30">
        <f t="shared" si="31"/>
        <v>0.12</v>
      </c>
      <c r="F737" s="30">
        <f t="shared" si="31"/>
        <v>0.12</v>
      </c>
      <c r="G737" s="30">
        <f t="shared" si="31"/>
        <v>0.12</v>
      </c>
      <c r="H737" s="30">
        <f t="shared" si="31"/>
        <v>0.12</v>
      </c>
      <c r="I737" s="30">
        <f t="shared" si="31"/>
        <v>0.12</v>
      </c>
      <c r="J737" s="30">
        <f t="shared" si="31"/>
        <v>0.12</v>
      </c>
      <c r="K737" s="30">
        <f t="shared" si="31"/>
        <v>0.12</v>
      </c>
      <c r="L737" s="30">
        <f t="shared" si="31"/>
        <v>0.12</v>
      </c>
      <c r="M737" s="30">
        <f t="shared" si="31"/>
        <v>0.12</v>
      </c>
      <c r="N737" s="30">
        <f t="shared" si="31"/>
        <v>0.12</v>
      </c>
      <c r="O737" s="30">
        <f t="shared" si="31"/>
        <v>0.12</v>
      </c>
      <c r="P737" s="30">
        <f t="shared" si="31"/>
        <v>0.12</v>
      </c>
      <c r="Q737" s="68"/>
    </row>
    <row r="738" spans="1:17" s="5" customFormat="1" ht="14.4" x14ac:dyDescent="0.3">
      <c r="A738" s="55"/>
      <c r="B738" s="55"/>
      <c r="C738" s="56"/>
      <c r="D738" s="57"/>
      <c r="E738" s="57"/>
      <c r="F738" s="57"/>
      <c r="G738" s="57"/>
      <c r="H738" s="57"/>
      <c r="I738" s="57"/>
      <c r="J738" s="57"/>
      <c r="K738" s="57"/>
      <c r="L738" s="57"/>
      <c r="M738" s="57"/>
      <c r="N738" s="57"/>
      <c r="O738" s="57"/>
      <c r="P738" s="57"/>
      <c r="Q738" s="68"/>
    </row>
    <row r="739" spans="1:17" x14ac:dyDescent="0.3">
      <c r="A739" s="3" t="s">
        <v>58</v>
      </c>
      <c r="Q739" s="68"/>
    </row>
    <row r="740" spans="1:17" x14ac:dyDescent="0.3">
      <c r="Q740" s="68"/>
    </row>
    <row r="741" spans="1:17" ht="18" x14ac:dyDescent="0.35">
      <c r="A741" s="59" t="str">
        <f>'[41]Statistical data'!A222</f>
        <v>General Power- Secondary</v>
      </c>
      <c r="B741" s="59"/>
      <c r="C741" s="5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68"/>
    </row>
    <row r="742" spans="1:17" s="13" customFormat="1" ht="14.4" x14ac:dyDescent="0.3">
      <c r="A742" s="11" t="s">
        <v>3</v>
      </c>
      <c r="B742" s="11"/>
      <c r="C742" s="11" t="s">
        <v>4</v>
      </c>
      <c r="D742" s="12" t="str">
        <f>D691</f>
        <v>JAN</v>
      </c>
      <c r="E742" s="12" t="str">
        <f t="shared" ref="E742:P742" si="32">E691</f>
        <v>FEB</v>
      </c>
      <c r="F742" s="12" t="str">
        <f t="shared" si="32"/>
        <v>MAR</v>
      </c>
      <c r="G742" s="12" t="str">
        <f t="shared" si="32"/>
        <v>APR</v>
      </c>
      <c r="H742" s="12" t="str">
        <f t="shared" si="32"/>
        <v>MAY</v>
      </c>
      <c r="I742" s="12" t="str">
        <f t="shared" si="32"/>
        <v>JUN</v>
      </c>
      <c r="J742" s="12" t="str">
        <f t="shared" si="32"/>
        <v>JUL</v>
      </c>
      <c r="K742" s="12" t="str">
        <f t="shared" si="32"/>
        <v>AUG</v>
      </c>
      <c r="L742" s="12" t="str">
        <f t="shared" si="32"/>
        <v>SEP</v>
      </c>
      <c r="M742" s="12" t="str">
        <f t="shared" si="32"/>
        <v>OCT</v>
      </c>
      <c r="N742" s="12" t="str">
        <f t="shared" si="32"/>
        <v>NOV</v>
      </c>
      <c r="O742" s="12" t="str">
        <f t="shared" si="32"/>
        <v>DEC</v>
      </c>
      <c r="P742" s="12" t="str">
        <f t="shared" si="32"/>
        <v>JAN</v>
      </c>
      <c r="Q742" s="68"/>
    </row>
    <row r="743" spans="1:17" ht="14.4" x14ac:dyDescent="0.3">
      <c r="A743" s="14" t="s">
        <v>17</v>
      </c>
      <c r="B743" s="15"/>
      <c r="C743" s="16"/>
      <c r="D743" s="17"/>
      <c r="E743" s="17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68"/>
    </row>
    <row r="744" spans="1:17" ht="14.4" x14ac:dyDescent="0.3">
      <c r="A744" s="18" t="s">
        <v>18</v>
      </c>
      <c r="B744" s="19"/>
      <c r="C744" s="16" t="s">
        <v>19</v>
      </c>
      <c r="D744" s="52" t="s">
        <v>59</v>
      </c>
      <c r="E744" s="52" t="s">
        <v>59</v>
      </c>
      <c r="F744" s="52" t="s">
        <v>59</v>
      </c>
      <c r="G744" s="52" t="s">
        <v>59</v>
      </c>
      <c r="H744" s="52" t="s">
        <v>59</v>
      </c>
      <c r="I744" s="52" t="s">
        <v>59</v>
      </c>
      <c r="J744" s="52" t="s">
        <v>59</v>
      </c>
      <c r="K744" s="52" t="s">
        <v>59</v>
      </c>
      <c r="L744" s="52" t="s">
        <v>59</v>
      </c>
      <c r="M744" s="52" t="s">
        <v>59</v>
      </c>
      <c r="N744" s="52" t="s">
        <v>59</v>
      </c>
      <c r="O744" s="52" t="s">
        <v>59</v>
      </c>
      <c r="P744" s="52" t="s">
        <v>59</v>
      </c>
      <c r="Q744" s="68"/>
    </row>
    <row r="745" spans="1:17" ht="14.4" x14ac:dyDescent="0.3">
      <c r="A745" s="18" t="s">
        <v>66</v>
      </c>
      <c r="B745" s="19"/>
      <c r="C745" s="16" t="s">
        <v>19</v>
      </c>
      <c r="D745" s="20">
        <v>0</v>
      </c>
      <c r="E745" s="20">
        <v>0</v>
      </c>
      <c r="F745" s="20">
        <v>0</v>
      </c>
      <c r="G745" s="20">
        <v>0</v>
      </c>
      <c r="H745" s="20">
        <v>0</v>
      </c>
      <c r="I745" s="20">
        <v>0</v>
      </c>
      <c r="J745" s="20">
        <v>0</v>
      </c>
      <c r="K745" s="20">
        <v>0</v>
      </c>
      <c r="L745" s="20">
        <v>0</v>
      </c>
      <c r="M745" s="20">
        <v>0</v>
      </c>
      <c r="N745" s="20">
        <v>0</v>
      </c>
      <c r="O745" s="20">
        <v>0</v>
      </c>
      <c r="P745" s="20">
        <v>0</v>
      </c>
      <c r="Q745" s="68"/>
    </row>
    <row r="746" spans="1:17" ht="14.4" x14ac:dyDescent="0.3">
      <c r="A746" s="14" t="s">
        <v>20</v>
      </c>
      <c r="B746" s="15"/>
      <c r="C746" s="16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68"/>
    </row>
    <row r="747" spans="1:17" ht="14.4" x14ac:dyDescent="0.3">
      <c r="A747" s="18" t="s">
        <v>21</v>
      </c>
      <c r="B747" s="19"/>
      <c r="C747" s="16" t="s">
        <v>19</v>
      </c>
      <c r="D747" s="20">
        <v>0</v>
      </c>
      <c r="E747" s="20">
        <v>0</v>
      </c>
      <c r="F747" s="20">
        <v>0</v>
      </c>
      <c r="G747" s="20">
        <v>0</v>
      </c>
      <c r="H747" s="20">
        <v>0</v>
      </c>
      <c r="I747" s="20">
        <v>0</v>
      </c>
      <c r="J747" s="20">
        <v>0</v>
      </c>
      <c r="K747" s="20">
        <v>0</v>
      </c>
      <c r="L747" s="20">
        <v>0</v>
      </c>
      <c r="M747" s="20">
        <v>0</v>
      </c>
      <c r="N747" s="20">
        <v>0</v>
      </c>
      <c r="O747" s="20">
        <v>0</v>
      </c>
      <c r="P747" s="20">
        <v>0</v>
      </c>
      <c r="Q747" s="68"/>
    </row>
    <row r="748" spans="1:17" ht="14.4" x14ac:dyDescent="0.3">
      <c r="A748" s="18" t="s">
        <v>22</v>
      </c>
      <c r="B748" s="19"/>
      <c r="C748" s="16" t="s">
        <v>23</v>
      </c>
      <c r="D748" s="23">
        <f>[41]TR!D79</f>
        <v>286.61</v>
      </c>
      <c r="E748" s="23">
        <f>[41]TR!E79</f>
        <v>305.04000000000002</v>
      </c>
      <c r="F748" s="23">
        <f>[41]TR!F79</f>
        <v>284.13</v>
      </c>
      <c r="G748" s="23">
        <f>[41]TR!G79</f>
        <v>300.72000000000003</v>
      </c>
      <c r="H748" s="23">
        <f>[41]TR!H79</f>
        <v>251.27</v>
      </c>
      <c r="I748" s="23">
        <f>[41]TR!I79</f>
        <v>278.35000000000002</v>
      </c>
      <c r="J748" s="23">
        <f>[41]TR!J79</f>
        <v>270.72000000000003</v>
      </c>
      <c r="K748" s="23">
        <f>[41]TR!K79</f>
        <v>272.32</v>
      </c>
      <c r="L748" s="23">
        <f>[41]TR!L79</f>
        <v>300.45999999999998</v>
      </c>
      <c r="M748" s="23">
        <f>[41]TR!M79</f>
        <v>289.92</v>
      </c>
      <c r="N748" s="23">
        <f>[41]TR!N79</f>
        <v>318.52</v>
      </c>
      <c r="O748" s="23">
        <f>[41]TR!O79</f>
        <v>318.52</v>
      </c>
      <c r="P748" s="23">
        <f>[41]TR!P79</f>
        <v>0</v>
      </c>
      <c r="Q748" s="68"/>
    </row>
    <row r="749" spans="1:17" ht="14.4" x14ac:dyDescent="0.3">
      <c r="A749" s="14" t="s">
        <v>24</v>
      </c>
      <c r="B749" s="15"/>
      <c r="C749" s="16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68"/>
    </row>
    <row r="750" spans="1:17" ht="14.4" x14ac:dyDescent="0.3">
      <c r="A750" s="18" t="s">
        <v>25</v>
      </c>
      <c r="B750" s="19"/>
      <c r="C750" s="16" t="s">
        <v>19</v>
      </c>
      <c r="D750" s="20">
        <f>D699</f>
        <v>0.65580000000000005</v>
      </c>
      <c r="E750" s="20">
        <f t="shared" ref="E750:P750" si="33">E699</f>
        <v>0.59</v>
      </c>
      <c r="F750" s="20">
        <f t="shared" si="33"/>
        <v>0.58030000000000004</v>
      </c>
      <c r="G750" s="20">
        <f t="shared" si="33"/>
        <v>0.62050000000000005</v>
      </c>
      <c r="H750" s="20">
        <f t="shared" si="33"/>
        <v>0.61280000000000001</v>
      </c>
      <c r="I750" s="20">
        <f t="shared" si="33"/>
        <v>0.61309999999999998</v>
      </c>
      <c r="J750" s="20">
        <f t="shared" si="33"/>
        <v>0.57599999999999996</v>
      </c>
      <c r="K750" s="20">
        <f t="shared" si="33"/>
        <v>0.53080000000000005</v>
      </c>
      <c r="L750" s="20">
        <f t="shared" si="33"/>
        <v>0.54369999999999996</v>
      </c>
      <c r="M750" s="20">
        <f t="shared" si="33"/>
        <v>0.505</v>
      </c>
      <c r="N750" s="20">
        <f t="shared" si="33"/>
        <v>0.60619999999999996</v>
      </c>
      <c r="O750" s="20">
        <f t="shared" si="33"/>
        <v>0.60619999999999996</v>
      </c>
      <c r="P750" s="20">
        <f t="shared" si="33"/>
        <v>0</v>
      </c>
      <c r="Q750" s="68"/>
    </row>
    <row r="751" spans="1:17" ht="14.4" x14ac:dyDescent="0.3">
      <c r="A751" s="14" t="s">
        <v>26</v>
      </c>
      <c r="B751" s="14"/>
      <c r="C751" s="16"/>
      <c r="D751" s="22"/>
      <c r="E751" s="22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68"/>
    </row>
    <row r="752" spans="1:17" ht="14.4" x14ac:dyDescent="0.3">
      <c r="A752" s="18" t="s">
        <v>27</v>
      </c>
      <c r="B752" s="18"/>
      <c r="C752" s="16" t="s">
        <v>19</v>
      </c>
      <c r="D752" s="20">
        <f>D701</f>
        <v>0.16</v>
      </c>
      <c r="E752" s="20">
        <f t="shared" ref="E752:P753" si="34">E701</f>
        <v>0.16</v>
      </c>
      <c r="F752" s="20">
        <f t="shared" si="34"/>
        <v>0.16</v>
      </c>
      <c r="G752" s="20">
        <f t="shared" si="34"/>
        <v>0.16</v>
      </c>
      <c r="H752" s="20">
        <f t="shared" si="34"/>
        <v>0.16</v>
      </c>
      <c r="I752" s="20">
        <f t="shared" si="34"/>
        <v>0.16</v>
      </c>
      <c r="J752" s="20">
        <f t="shared" si="34"/>
        <v>0.16250000000000001</v>
      </c>
      <c r="K752" s="20">
        <f t="shared" si="34"/>
        <v>0.16250000000000001</v>
      </c>
      <c r="L752" s="20">
        <f t="shared" si="34"/>
        <v>0.16250000000000001</v>
      </c>
      <c r="M752" s="20">
        <f t="shared" si="34"/>
        <v>0.16250000000000001</v>
      </c>
      <c r="N752" s="20">
        <f t="shared" si="34"/>
        <v>0.16250000000000001</v>
      </c>
      <c r="O752" s="20">
        <f t="shared" si="34"/>
        <v>0.16250000000000001</v>
      </c>
      <c r="P752" s="20">
        <f t="shared" si="34"/>
        <v>0.16250000000000001</v>
      </c>
      <c r="Q752" s="68"/>
    </row>
    <row r="753" spans="1:17" ht="14.4" x14ac:dyDescent="0.3">
      <c r="A753" s="18" t="s">
        <v>28</v>
      </c>
      <c r="B753" s="18"/>
      <c r="C753" s="16" t="s">
        <v>23</v>
      </c>
      <c r="D753" s="23">
        <f>D702</f>
        <v>277.5</v>
      </c>
      <c r="E753" s="23">
        <f t="shared" si="34"/>
        <v>277.5</v>
      </c>
      <c r="F753" s="23">
        <f t="shared" si="34"/>
        <v>277.5</v>
      </c>
      <c r="G753" s="23">
        <f t="shared" si="34"/>
        <v>277.5</v>
      </c>
      <c r="H753" s="23">
        <f t="shared" si="34"/>
        <v>277.5</v>
      </c>
      <c r="I753" s="23">
        <f t="shared" si="34"/>
        <v>277.5</v>
      </c>
      <c r="J753" s="23">
        <f t="shared" si="34"/>
        <v>281.83999999999997</v>
      </c>
      <c r="K753" s="23">
        <f t="shared" si="34"/>
        <v>281.83999999999997</v>
      </c>
      <c r="L753" s="23">
        <f t="shared" si="34"/>
        <v>281.83999999999997</v>
      </c>
      <c r="M753" s="23">
        <f t="shared" si="34"/>
        <v>281.83999999999997</v>
      </c>
      <c r="N753" s="23">
        <f t="shared" si="34"/>
        <v>281.83999999999997</v>
      </c>
      <c r="O753" s="23">
        <f t="shared" si="34"/>
        <v>281.83999999999997</v>
      </c>
      <c r="P753" s="23">
        <f t="shared" si="34"/>
        <v>281.83999999999997</v>
      </c>
      <c r="Q753" s="68"/>
    </row>
    <row r="754" spans="1:17" ht="14.4" x14ac:dyDescent="0.3">
      <c r="A754" s="14" t="s">
        <v>29</v>
      </c>
      <c r="B754" s="14"/>
      <c r="C754" s="16"/>
      <c r="D754" s="24"/>
      <c r="E754" s="24"/>
      <c r="F754" s="24"/>
      <c r="G754" s="24"/>
      <c r="H754" s="24"/>
      <c r="I754" s="24"/>
      <c r="J754" s="24"/>
      <c r="K754" s="24"/>
      <c r="L754" s="24"/>
      <c r="M754" s="24"/>
      <c r="N754" s="24"/>
      <c r="O754" s="24"/>
      <c r="P754" s="24"/>
      <c r="Q754" s="68"/>
    </row>
    <row r="755" spans="1:17" ht="14.4" x14ac:dyDescent="0.3">
      <c r="A755" s="18" t="s">
        <v>30</v>
      </c>
      <c r="B755" s="18"/>
      <c r="C755" s="16" t="s">
        <v>19</v>
      </c>
      <c r="D755" s="52" t="s">
        <v>61</v>
      </c>
      <c r="E755" s="52" t="s">
        <v>61</v>
      </c>
      <c r="F755" s="52" t="s">
        <v>61</v>
      </c>
      <c r="G755" s="52" t="s">
        <v>61</v>
      </c>
      <c r="H755" s="52" t="s">
        <v>61</v>
      </c>
      <c r="I755" s="52" t="s">
        <v>61</v>
      </c>
      <c r="J755" s="52" t="s">
        <v>61</v>
      </c>
      <c r="K755" s="52" t="s">
        <v>61</v>
      </c>
      <c r="L755" s="52" t="s">
        <v>61</v>
      </c>
      <c r="M755" s="52" t="s">
        <v>61</v>
      </c>
      <c r="N755" s="52" t="s">
        <v>61</v>
      </c>
      <c r="O755" s="52" t="s">
        <v>61</v>
      </c>
      <c r="P755" s="52" t="s">
        <v>61</v>
      </c>
      <c r="Q755" s="68"/>
    </row>
    <row r="756" spans="1:17" ht="14.4" x14ac:dyDescent="0.3">
      <c r="A756" s="18" t="s">
        <v>31</v>
      </c>
      <c r="B756" s="18"/>
      <c r="C756" s="16" t="s">
        <v>32</v>
      </c>
      <c r="D756" s="52" t="s">
        <v>62</v>
      </c>
      <c r="E756" s="52" t="s">
        <v>62</v>
      </c>
      <c r="F756" s="52" t="s">
        <v>62</v>
      </c>
      <c r="G756" s="52" t="s">
        <v>62</v>
      </c>
      <c r="H756" s="52" t="s">
        <v>62</v>
      </c>
      <c r="I756" s="52" t="s">
        <v>62</v>
      </c>
      <c r="J756" s="52" t="s">
        <v>62</v>
      </c>
      <c r="K756" s="52" t="s">
        <v>62</v>
      </c>
      <c r="L756" s="52" t="s">
        <v>62</v>
      </c>
      <c r="M756" s="52" t="s">
        <v>62</v>
      </c>
      <c r="N756" s="52" t="s">
        <v>62</v>
      </c>
      <c r="O756" s="52" t="s">
        <v>62</v>
      </c>
      <c r="P756" s="52" t="s">
        <v>62</v>
      </c>
      <c r="Q756" s="68"/>
    </row>
    <row r="757" spans="1:17" ht="14.4" x14ac:dyDescent="0.3">
      <c r="A757" s="14" t="s">
        <v>33</v>
      </c>
      <c r="B757" s="14"/>
      <c r="C757" s="16"/>
      <c r="D757" s="24"/>
      <c r="E757" s="24"/>
      <c r="F757" s="24"/>
      <c r="G757" s="24"/>
      <c r="H757" s="24"/>
      <c r="I757" s="24"/>
      <c r="J757" s="24"/>
      <c r="K757" s="24"/>
      <c r="L757" s="24"/>
      <c r="M757" s="24"/>
      <c r="N757" s="24"/>
      <c r="O757" s="24"/>
      <c r="P757" s="24"/>
      <c r="Q757" s="68"/>
    </row>
    <row r="758" spans="1:17" ht="14.4" x14ac:dyDescent="0.3">
      <c r="A758" s="18" t="s">
        <v>34</v>
      </c>
      <c r="B758" s="18"/>
      <c r="C758" s="16" t="s">
        <v>19</v>
      </c>
      <c r="D758" s="20">
        <v>0</v>
      </c>
      <c r="E758" s="20">
        <v>0</v>
      </c>
      <c r="F758" s="20">
        <v>0</v>
      </c>
      <c r="G758" s="20">
        <v>0</v>
      </c>
      <c r="H758" s="20">
        <v>0</v>
      </c>
      <c r="I758" s="20">
        <v>0</v>
      </c>
      <c r="J758" s="20">
        <v>0</v>
      </c>
      <c r="K758" s="20">
        <v>0</v>
      </c>
      <c r="L758" s="20">
        <v>0</v>
      </c>
      <c r="M758" s="20">
        <v>0</v>
      </c>
      <c r="N758" s="20">
        <v>0</v>
      </c>
      <c r="O758" s="20">
        <v>0</v>
      </c>
      <c r="P758" s="20">
        <v>0</v>
      </c>
      <c r="Q758" s="68"/>
    </row>
    <row r="759" spans="1:17" ht="14.4" x14ac:dyDescent="0.3">
      <c r="A759" s="18" t="s">
        <v>35</v>
      </c>
      <c r="B759" s="18"/>
      <c r="C759" s="16" t="s">
        <v>36</v>
      </c>
      <c r="D759" s="52" t="s">
        <v>63</v>
      </c>
      <c r="E759" s="52" t="s">
        <v>63</v>
      </c>
      <c r="F759" s="52" t="s">
        <v>63</v>
      </c>
      <c r="G759" s="52" t="s">
        <v>63</v>
      </c>
      <c r="H759" s="52" t="s">
        <v>63</v>
      </c>
      <c r="I759" s="52" t="s">
        <v>63</v>
      </c>
      <c r="J759" s="52" t="s">
        <v>63</v>
      </c>
      <c r="K759" s="52" t="s">
        <v>63</v>
      </c>
      <c r="L759" s="52" t="s">
        <v>63</v>
      </c>
      <c r="M759" s="52" t="s">
        <v>63</v>
      </c>
      <c r="N759" s="52" t="s">
        <v>63</v>
      </c>
      <c r="O759" s="52" t="s">
        <v>63</v>
      </c>
      <c r="P759" s="52" t="s">
        <v>63</v>
      </c>
      <c r="Q759" s="68"/>
    </row>
    <row r="760" spans="1:17" ht="14.4" x14ac:dyDescent="0.3">
      <c r="A760" s="14" t="s">
        <v>37</v>
      </c>
      <c r="B760" s="14"/>
      <c r="C760" s="16"/>
      <c r="D760" s="24"/>
      <c r="E760" s="24"/>
      <c r="F760" s="24"/>
      <c r="G760" s="24"/>
      <c r="H760" s="24"/>
      <c r="I760" s="24"/>
      <c r="J760" s="24"/>
      <c r="K760" s="24"/>
      <c r="L760" s="24"/>
      <c r="M760" s="24"/>
      <c r="N760" s="24"/>
      <c r="O760" s="24"/>
      <c r="P760" s="24"/>
      <c r="Q760" s="68"/>
    </row>
    <row r="761" spans="1:17" ht="14.4" x14ac:dyDescent="0.3">
      <c r="A761" s="25" t="s">
        <v>38</v>
      </c>
      <c r="B761" s="18"/>
      <c r="C761" s="16" t="s">
        <v>19</v>
      </c>
      <c r="D761" s="20">
        <f>D710</f>
        <v>0.1333</v>
      </c>
      <c r="E761" s="20">
        <f t="shared" ref="E761:P761" si="35">E710</f>
        <v>0.1497</v>
      </c>
      <c r="F761" s="20">
        <f t="shared" si="35"/>
        <v>0.14410000000000001</v>
      </c>
      <c r="G761" s="20">
        <f t="shared" si="35"/>
        <v>0.15459999999999999</v>
      </c>
      <c r="H761" s="20">
        <f t="shared" si="35"/>
        <v>0.10920000000000001</v>
      </c>
      <c r="I761" s="20">
        <f t="shared" si="35"/>
        <v>0.104</v>
      </c>
      <c r="J761" s="20">
        <f t="shared" si="35"/>
        <v>0.1045</v>
      </c>
      <c r="K761" s="20">
        <f t="shared" si="35"/>
        <v>0.11609999999999999</v>
      </c>
      <c r="L761" s="20">
        <f t="shared" si="35"/>
        <v>0.1091</v>
      </c>
      <c r="M761" s="20">
        <f t="shared" si="35"/>
        <v>0.1138</v>
      </c>
      <c r="N761" s="20">
        <f t="shared" si="35"/>
        <v>0.1173</v>
      </c>
      <c r="O761" s="20">
        <f t="shared" si="35"/>
        <v>0.1173</v>
      </c>
      <c r="P761" s="20">
        <f t="shared" si="35"/>
        <v>0</v>
      </c>
      <c r="Q761" s="68"/>
    </row>
    <row r="762" spans="1:17" ht="14.4" x14ac:dyDescent="0.3">
      <c r="A762" s="25" t="s">
        <v>39</v>
      </c>
      <c r="B762" s="18"/>
      <c r="C762" s="16" t="s">
        <v>19</v>
      </c>
      <c r="D762" s="20">
        <v>0</v>
      </c>
      <c r="E762" s="20">
        <v>0</v>
      </c>
      <c r="F762" s="20">
        <v>0</v>
      </c>
      <c r="G762" s="20">
        <v>0</v>
      </c>
      <c r="H762" s="20">
        <v>0</v>
      </c>
      <c r="I762" s="20">
        <v>0</v>
      </c>
      <c r="J762" s="20">
        <v>0</v>
      </c>
      <c r="K762" s="20">
        <v>0</v>
      </c>
      <c r="L762" s="20">
        <v>0</v>
      </c>
      <c r="M762" s="20">
        <v>0</v>
      </c>
      <c r="N762" s="20">
        <v>0</v>
      </c>
      <c r="O762" s="20">
        <v>0</v>
      </c>
      <c r="P762" s="20">
        <v>0</v>
      </c>
      <c r="Q762" s="68"/>
    </row>
    <row r="763" spans="1:17" ht="14.4" x14ac:dyDescent="0.3">
      <c r="A763" s="25" t="s">
        <v>180</v>
      </c>
      <c r="B763" s="18"/>
      <c r="C763" s="16" t="s">
        <v>19</v>
      </c>
      <c r="D763" s="20">
        <f>D712</f>
        <v>3.1399999999999997E-2</v>
      </c>
      <c r="E763" s="20">
        <f t="shared" ref="E763:P766" si="36">E712</f>
        <v>3.1399999999999997E-2</v>
      </c>
      <c r="F763" s="20">
        <f t="shared" si="36"/>
        <v>3.1399999999999997E-2</v>
      </c>
      <c r="G763" s="20">
        <f t="shared" si="36"/>
        <v>3.1399999999999997E-2</v>
      </c>
      <c r="H763" s="20">
        <f t="shared" si="36"/>
        <v>3.1399999999999997E-2</v>
      </c>
      <c r="I763" s="20">
        <f t="shared" si="36"/>
        <v>3.1399999999999997E-2</v>
      </c>
      <c r="J763" s="20">
        <f t="shared" si="36"/>
        <v>3.1399999999999997E-2</v>
      </c>
      <c r="K763" s="20">
        <f t="shared" si="36"/>
        <v>3.1399999999999997E-2</v>
      </c>
      <c r="L763" s="20">
        <f t="shared" si="36"/>
        <v>3.1399999999999997E-2</v>
      </c>
      <c r="M763" s="20">
        <f t="shared" si="36"/>
        <v>3.1399999999999997E-2</v>
      </c>
      <c r="N763" s="20">
        <f t="shared" si="36"/>
        <v>3.1399999999999997E-2</v>
      </c>
      <c r="O763" s="20">
        <f t="shared" si="36"/>
        <v>3.1399999999999997E-2</v>
      </c>
      <c r="P763" s="20">
        <f t="shared" si="36"/>
        <v>3.1399999999999997E-2</v>
      </c>
      <c r="Q763" s="68"/>
    </row>
    <row r="764" spans="1:17" ht="14.4" x14ac:dyDescent="0.3">
      <c r="A764" s="26" t="s">
        <v>40</v>
      </c>
      <c r="B764" s="18"/>
      <c r="C764" s="16" t="s">
        <v>19</v>
      </c>
      <c r="D764" s="20">
        <f>D713</f>
        <v>1E-4</v>
      </c>
      <c r="E764" s="20">
        <f t="shared" si="36"/>
        <v>1E-4</v>
      </c>
      <c r="F764" s="20">
        <f t="shared" si="36"/>
        <v>1E-4</v>
      </c>
      <c r="G764" s="20">
        <f t="shared" si="36"/>
        <v>1E-4</v>
      </c>
      <c r="H764" s="20">
        <f t="shared" si="36"/>
        <v>1E-4</v>
      </c>
      <c r="I764" s="20">
        <f t="shared" si="36"/>
        <v>1E-4</v>
      </c>
      <c r="J764" s="20">
        <f t="shared" si="36"/>
        <v>1E-4</v>
      </c>
      <c r="K764" s="20">
        <f t="shared" si="36"/>
        <v>1E-4</v>
      </c>
      <c r="L764" s="20">
        <f t="shared" si="36"/>
        <v>1E-4</v>
      </c>
      <c r="M764" s="20">
        <f t="shared" si="36"/>
        <v>1E-4</v>
      </c>
      <c r="N764" s="20">
        <f t="shared" si="36"/>
        <v>1E-4</v>
      </c>
      <c r="O764" s="20">
        <f t="shared" si="36"/>
        <v>1E-4</v>
      </c>
      <c r="P764" s="20">
        <f t="shared" si="36"/>
        <v>0</v>
      </c>
      <c r="Q764" s="68"/>
    </row>
    <row r="765" spans="1:17" ht="14.4" x14ac:dyDescent="0.3">
      <c r="A765" s="26" t="s">
        <v>41</v>
      </c>
      <c r="B765" s="18"/>
      <c r="C765" s="16" t="s">
        <v>19</v>
      </c>
      <c r="D765" s="20">
        <f>D714</f>
        <v>0</v>
      </c>
      <c r="E765" s="20">
        <f t="shared" si="36"/>
        <v>0</v>
      </c>
      <c r="F765" s="20">
        <f t="shared" si="36"/>
        <v>0</v>
      </c>
      <c r="G765" s="20">
        <f t="shared" si="36"/>
        <v>0</v>
      </c>
      <c r="H765" s="20">
        <f t="shared" si="36"/>
        <v>0</v>
      </c>
      <c r="I765" s="20">
        <f t="shared" si="36"/>
        <v>0</v>
      </c>
      <c r="J765" s="20">
        <f t="shared" si="36"/>
        <v>0</v>
      </c>
      <c r="K765" s="20">
        <f t="shared" si="36"/>
        <v>0</v>
      </c>
      <c r="L765" s="20">
        <f t="shared" si="36"/>
        <v>0</v>
      </c>
      <c r="M765" s="20">
        <f t="shared" si="36"/>
        <v>0</v>
      </c>
      <c r="N765" s="20">
        <f t="shared" si="36"/>
        <v>0</v>
      </c>
      <c r="O765" s="20">
        <f t="shared" si="36"/>
        <v>0</v>
      </c>
      <c r="P765" s="20">
        <f t="shared" si="36"/>
        <v>0</v>
      </c>
      <c r="Q765" s="68"/>
    </row>
    <row r="766" spans="1:17" ht="14.4" x14ac:dyDescent="0.3">
      <c r="A766" s="154" t="s">
        <v>181</v>
      </c>
      <c r="B766" s="155"/>
      <c r="C766" s="16" t="s">
        <v>19</v>
      </c>
      <c r="D766" s="20">
        <f>D715</f>
        <v>1.03E-2</v>
      </c>
      <c r="E766" s="20">
        <f t="shared" si="36"/>
        <v>1.03E-2</v>
      </c>
      <c r="F766" s="20">
        <f t="shared" si="36"/>
        <v>1.03E-2</v>
      </c>
      <c r="G766" s="20">
        <f t="shared" si="36"/>
        <v>2.5999999999999999E-3</v>
      </c>
      <c r="H766" s="20">
        <f t="shared" si="36"/>
        <v>0</v>
      </c>
      <c r="I766" s="20">
        <f t="shared" si="36"/>
        <v>0</v>
      </c>
      <c r="J766" s="20">
        <f t="shared" si="36"/>
        <v>0</v>
      </c>
      <c r="K766" s="20">
        <f t="shared" si="36"/>
        <v>0</v>
      </c>
      <c r="L766" s="20">
        <f t="shared" si="36"/>
        <v>0</v>
      </c>
      <c r="M766" s="20">
        <f t="shared" si="36"/>
        <v>0</v>
      </c>
      <c r="N766" s="20">
        <f t="shared" si="36"/>
        <v>0</v>
      </c>
      <c r="O766" s="20">
        <f t="shared" si="36"/>
        <v>0</v>
      </c>
      <c r="P766" s="20">
        <f t="shared" si="36"/>
        <v>0</v>
      </c>
      <c r="Q766" s="68"/>
    </row>
    <row r="767" spans="1:17" ht="16.2" hidden="1" x14ac:dyDescent="0.3">
      <c r="A767" s="154" t="s">
        <v>182</v>
      </c>
      <c r="B767" s="155"/>
      <c r="C767" s="16" t="s">
        <v>19</v>
      </c>
      <c r="D767" s="20"/>
      <c r="E767" s="20"/>
      <c r="F767" s="20"/>
      <c r="G767" s="20"/>
      <c r="H767" s="20"/>
      <c r="I767" s="20"/>
      <c r="J767" s="20"/>
      <c r="K767" s="20"/>
      <c r="L767" s="20"/>
      <c r="M767" s="20"/>
      <c r="N767" s="20"/>
      <c r="O767" s="20"/>
      <c r="P767" s="20"/>
      <c r="Q767" s="68"/>
    </row>
    <row r="768" spans="1:17" ht="16.2" hidden="1" x14ac:dyDescent="0.3">
      <c r="A768" s="154" t="s">
        <v>182</v>
      </c>
      <c r="B768" s="156"/>
      <c r="C768" s="16" t="s">
        <v>19</v>
      </c>
      <c r="D768" s="20"/>
      <c r="E768" s="20"/>
      <c r="F768" s="20"/>
      <c r="G768" s="20"/>
      <c r="H768" s="20"/>
      <c r="I768" s="20"/>
      <c r="J768" s="20"/>
      <c r="K768" s="20"/>
      <c r="L768" s="20"/>
      <c r="M768" s="20"/>
      <c r="N768" s="20"/>
      <c r="O768" s="20"/>
      <c r="P768" s="20"/>
      <c r="Q768" s="68"/>
    </row>
    <row r="769" spans="1:17" ht="14.4" x14ac:dyDescent="0.3">
      <c r="A769" s="14" t="s">
        <v>42</v>
      </c>
      <c r="B769" s="14"/>
      <c r="C769" s="16"/>
      <c r="D769" s="24"/>
      <c r="E769" s="24"/>
      <c r="F769" s="24"/>
      <c r="G769" s="24"/>
      <c r="H769" s="24"/>
      <c r="I769" s="24"/>
      <c r="J769" s="24"/>
      <c r="K769" s="24"/>
      <c r="L769" s="24"/>
      <c r="M769" s="24"/>
      <c r="N769" s="24"/>
      <c r="O769" s="24"/>
      <c r="P769" s="24"/>
      <c r="Q769" s="68"/>
    </row>
    <row r="770" spans="1:17" ht="14.4" x14ac:dyDescent="0.3">
      <c r="A770" s="14" t="s">
        <v>43</v>
      </c>
      <c r="B770" s="14"/>
      <c r="C770" s="16" t="s">
        <v>44</v>
      </c>
      <c r="D770" s="27"/>
      <c r="E770" s="27"/>
      <c r="F770" s="27"/>
      <c r="G770" s="27"/>
      <c r="H770" s="27"/>
      <c r="I770" s="27"/>
      <c r="J770" s="27"/>
      <c r="K770" s="27"/>
      <c r="L770" s="27"/>
      <c r="M770" s="27"/>
      <c r="N770" s="27"/>
      <c r="O770" s="27"/>
      <c r="P770" s="27"/>
      <c r="Q770" s="68"/>
    </row>
    <row r="771" spans="1:17" ht="14.4" hidden="1" x14ac:dyDescent="0.3">
      <c r="A771" s="14" t="s">
        <v>183</v>
      </c>
      <c r="B771" s="14"/>
      <c r="C771" s="16"/>
      <c r="D771" s="28"/>
      <c r="E771" s="28"/>
      <c r="F771" s="28"/>
      <c r="G771" s="28"/>
      <c r="H771" s="28"/>
      <c r="I771" s="28"/>
      <c r="J771" s="28"/>
      <c r="K771" s="28"/>
      <c r="L771" s="28"/>
      <c r="M771" s="28"/>
      <c r="N771" s="28"/>
      <c r="O771" s="28"/>
      <c r="P771" s="28"/>
      <c r="Q771" s="68"/>
    </row>
    <row r="772" spans="1:17" ht="14.4" hidden="1" x14ac:dyDescent="0.3">
      <c r="A772" s="14" t="s">
        <v>184</v>
      </c>
      <c r="B772" s="14"/>
      <c r="C772" s="16" t="s">
        <v>19</v>
      </c>
      <c r="D772" s="20"/>
      <c r="E772" s="20"/>
      <c r="F772" s="20"/>
      <c r="G772" s="20"/>
      <c r="H772" s="20"/>
      <c r="I772" s="20"/>
      <c r="J772" s="20"/>
      <c r="K772" s="20"/>
      <c r="L772" s="20"/>
      <c r="M772" s="20"/>
      <c r="N772" s="20"/>
      <c r="O772" s="20"/>
      <c r="P772" s="20"/>
      <c r="Q772" s="68"/>
    </row>
    <row r="773" spans="1:17" ht="14.4" x14ac:dyDescent="0.3">
      <c r="A773" s="14" t="s">
        <v>45</v>
      </c>
      <c r="B773" s="14"/>
      <c r="C773" s="16"/>
      <c r="D773" s="28"/>
      <c r="E773" s="28"/>
      <c r="F773" s="28"/>
      <c r="G773" s="28"/>
      <c r="H773" s="28"/>
      <c r="I773" s="28"/>
      <c r="J773" s="28"/>
      <c r="K773" s="28"/>
      <c r="L773" s="28"/>
      <c r="M773" s="28"/>
      <c r="N773" s="28"/>
      <c r="O773" s="28"/>
      <c r="P773" s="28"/>
      <c r="Q773" s="68"/>
    </row>
    <row r="774" spans="1:17" ht="14.4" x14ac:dyDescent="0.3">
      <c r="A774" s="14" t="s">
        <v>46</v>
      </c>
      <c r="B774" s="14"/>
      <c r="C774" s="16" t="s">
        <v>19</v>
      </c>
      <c r="D774" s="20">
        <v>0</v>
      </c>
      <c r="E774" s="20">
        <v>0</v>
      </c>
      <c r="F774" s="20">
        <v>0</v>
      </c>
      <c r="G774" s="20">
        <v>0</v>
      </c>
      <c r="H774" s="20">
        <v>0</v>
      </c>
      <c r="I774" s="20">
        <v>0</v>
      </c>
      <c r="J774" s="20">
        <v>0</v>
      </c>
      <c r="K774" s="20">
        <v>0</v>
      </c>
      <c r="L774" s="20">
        <v>0</v>
      </c>
      <c r="M774" s="20">
        <v>0</v>
      </c>
      <c r="N774" s="20">
        <v>0</v>
      </c>
      <c r="O774" s="20">
        <v>0</v>
      </c>
      <c r="P774" s="20">
        <v>0</v>
      </c>
      <c r="Q774" s="68"/>
    </row>
    <row r="775" spans="1:17" ht="14.4" hidden="1" x14ac:dyDescent="0.3">
      <c r="A775" s="14" t="s">
        <v>185</v>
      </c>
      <c r="B775" s="14"/>
      <c r="C775" s="16"/>
      <c r="D775" s="28"/>
      <c r="E775" s="28"/>
      <c r="F775" s="28"/>
      <c r="G775" s="28"/>
      <c r="H775" s="28"/>
      <c r="I775" s="28"/>
      <c r="J775" s="28"/>
      <c r="K775" s="28"/>
      <c r="L775" s="28"/>
      <c r="M775" s="28"/>
      <c r="N775" s="28"/>
      <c r="O775" s="28"/>
      <c r="P775" s="28"/>
      <c r="Q775" s="68"/>
    </row>
    <row r="776" spans="1:17" ht="14.4" hidden="1" x14ac:dyDescent="0.3">
      <c r="A776" s="14" t="s">
        <v>186</v>
      </c>
      <c r="B776" s="14"/>
      <c r="C776" s="16" t="s">
        <v>19</v>
      </c>
      <c r="D776" s="20"/>
      <c r="E776" s="20"/>
      <c r="F776" s="20"/>
      <c r="G776" s="20"/>
      <c r="H776" s="20"/>
      <c r="I776" s="20"/>
      <c r="J776" s="20"/>
      <c r="K776" s="20"/>
      <c r="L776" s="20"/>
      <c r="M776" s="20"/>
      <c r="N776" s="20"/>
      <c r="O776" s="20"/>
      <c r="P776" s="20"/>
      <c r="Q776" s="68"/>
    </row>
    <row r="777" spans="1:17" ht="14.4" x14ac:dyDescent="0.3">
      <c r="A777" s="14" t="s">
        <v>47</v>
      </c>
      <c r="B777" s="14"/>
      <c r="C777" s="16"/>
      <c r="D777" s="24"/>
      <c r="E777" s="24"/>
      <c r="F777" s="24"/>
      <c r="G777" s="24"/>
      <c r="H777" s="24"/>
      <c r="I777" s="24"/>
      <c r="J777" s="24"/>
      <c r="K777" s="24"/>
      <c r="L777" s="24"/>
      <c r="M777" s="24"/>
      <c r="N777" s="24"/>
      <c r="O777" s="24"/>
      <c r="P777" s="24"/>
      <c r="Q777" s="68"/>
    </row>
    <row r="778" spans="1:17" ht="14.4" x14ac:dyDescent="0.3">
      <c r="A778" s="18" t="s">
        <v>48</v>
      </c>
      <c r="B778" s="18"/>
      <c r="C778" s="16" t="s">
        <v>19</v>
      </c>
      <c r="D778" s="20">
        <f>D727</f>
        <v>0.1163</v>
      </c>
      <c r="E778" s="20">
        <f t="shared" ref="E778:P779" si="37">E727</f>
        <v>0.1163</v>
      </c>
      <c r="F778" s="20">
        <f t="shared" si="37"/>
        <v>0.1163</v>
      </c>
      <c r="G778" s="20">
        <f t="shared" si="37"/>
        <v>0.1163</v>
      </c>
      <c r="H778" s="20">
        <f t="shared" si="37"/>
        <v>0.1163</v>
      </c>
      <c r="I778" s="20">
        <f t="shared" si="37"/>
        <v>0.1163</v>
      </c>
      <c r="J778" s="20">
        <f t="shared" si="37"/>
        <v>0.1163</v>
      </c>
      <c r="K778" s="20">
        <f t="shared" si="37"/>
        <v>0.1163</v>
      </c>
      <c r="L778" s="20">
        <f t="shared" si="37"/>
        <v>0.1163</v>
      </c>
      <c r="M778" s="20">
        <f t="shared" si="37"/>
        <v>0.1163</v>
      </c>
      <c r="N778" s="20">
        <f t="shared" si="37"/>
        <v>0.1163</v>
      </c>
      <c r="O778" s="20">
        <f t="shared" si="37"/>
        <v>0.1163</v>
      </c>
      <c r="P778" s="20">
        <f t="shared" si="37"/>
        <v>0.1163</v>
      </c>
      <c r="Q778" s="68"/>
    </row>
    <row r="779" spans="1:17" ht="14.4" x14ac:dyDescent="0.3">
      <c r="A779" s="18" t="s">
        <v>49</v>
      </c>
      <c r="B779" s="18"/>
      <c r="C779" s="16" t="s">
        <v>19</v>
      </c>
      <c r="D779" s="20">
        <f>D728</f>
        <v>2.5000000000000001E-3</v>
      </c>
      <c r="E779" s="20">
        <f t="shared" si="37"/>
        <v>2.5000000000000001E-3</v>
      </c>
      <c r="F779" s="20">
        <f t="shared" si="37"/>
        <v>2.5000000000000001E-3</v>
      </c>
      <c r="G779" s="20">
        <f t="shared" si="37"/>
        <v>2.5000000000000001E-3</v>
      </c>
      <c r="H779" s="20">
        <f t="shared" si="37"/>
        <v>2.5000000000000001E-3</v>
      </c>
      <c r="I779" s="20">
        <f t="shared" si="37"/>
        <v>2.5000000000000001E-3</v>
      </c>
      <c r="J779" s="20">
        <f t="shared" si="37"/>
        <v>2.5000000000000001E-3</v>
      </c>
      <c r="K779" s="20">
        <f t="shared" si="37"/>
        <v>2.5000000000000001E-3</v>
      </c>
      <c r="L779" s="20">
        <f t="shared" si="37"/>
        <v>2.5000000000000001E-3</v>
      </c>
      <c r="M779" s="20">
        <f t="shared" si="37"/>
        <v>2.5000000000000001E-3</v>
      </c>
      <c r="N779" s="20">
        <f t="shared" si="37"/>
        <v>2.5000000000000001E-3</v>
      </c>
      <c r="O779" s="20">
        <f t="shared" si="37"/>
        <v>2.5000000000000001E-3</v>
      </c>
      <c r="P779" s="20">
        <f t="shared" si="37"/>
        <v>2.5000000000000001E-3</v>
      </c>
      <c r="Q779" s="68"/>
    </row>
    <row r="780" spans="1:17" ht="14.4" x14ac:dyDescent="0.3">
      <c r="A780" s="18" t="s">
        <v>50</v>
      </c>
      <c r="B780" s="18"/>
      <c r="C780" s="16"/>
      <c r="D780" s="20"/>
      <c r="E780" s="20"/>
      <c r="F780" s="20">
        <v>0.1938</v>
      </c>
      <c r="G780" s="20">
        <v>0.1938</v>
      </c>
      <c r="H780" s="20">
        <v>0.1938</v>
      </c>
      <c r="I780" s="20">
        <v>0.1938</v>
      </c>
      <c r="J780" s="20">
        <v>0.1938</v>
      </c>
      <c r="K780" s="20">
        <v>0.1938</v>
      </c>
      <c r="L780" s="20">
        <v>0.1938</v>
      </c>
      <c r="M780" s="20">
        <v>0.1938</v>
      </c>
      <c r="N780" s="20">
        <v>0.1938</v>
      </c>
      <c r="O780" s="20">
        <v>0.1938</v>
      </c>
      <c r="P780" s="20">
        <v>0.1938</v>
      </c>
      <c r="Q780" s="68"/>
    </row>
    <row r="781" spans="1:17" ht="14.4" x14ac:dyDescent="0.3">
      <c r="A781" s="14" t="s">
        <v>52</v>
      </c>
      <c r="B781" s="14"/>
      <c r="C781" s="29"/>
      <c r="D781" s="22"/>
      <c r="E781" s="22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68"/>
    </row>
    <row r="782" spans="1:17" ht="14.4" x14ac:dyDescent="0.3">
      <c r="A782" s="18" t="s">
        <v>53</v>
      </c>
      <c r="B782" s="18"/>
      <c r="C782" s="16" t="s">
        <v>44</v>
      </c>
      <c r="D782" s="52" t="s">
        <v>189</v>
      </c>
      <c r="E782" s="30">
        <f>'[41]DU VAT'!E17</f>
        <v>0.1142</v>
      </c>
      <c r="F782" s="30">
        <f>'[41]DU VAT'!F17</f>
        <v>0.1147</v>
      </c>
      <c r="G782" s="30">
        <f>'[41]DU VAT'!G17</f>
        <v>0.1137</v>
      </c>
      <c r="H782" s="30">
        <f>'[41]DU VAT'!H17</f>
        <v>0.1094</v>
      </c>
      <c r="I782" s="30">
        <f>'[41]DU VAT'!I17</f>
        <v>0.1084</v>
      </c>
      <c r="J782" s="30">
        <f>'[41]DU VAT'!J17</f>
        <v>0.1182</v>
      </c>
      <c r="K782" s="30">
        <f>'[41]DU VAT'!K17</f>
        <v>0.1183</v>
      </c>
      <c r="L782" s="30">
        <f>'[41]DU VAT'!L17</f>
        <v>0.10920000000000001</v>
      </c>
      <c r="M782" s="30">
        <f>'[41]DU VAT'!M17</f>
        <v>0.11840000000000001</v>
      </c>
      <c r="N782" s="30">
        <f>'[41]DU VAT'!N17</f>
        <v>0.10970000000000001</v>
      </c>
      <c r="O782" s="30">
        <f>'[41]DU VAT'!O17</f>
        <v>0.10970000000000001</v>
      </c>
      <c r="P782" s="30" t="e">
        <f>'[41]DU VAT'!P17</f>
        <v>#DIV/0!</v>
      </c>
      <c r="Q782" s="68"/>
    </row>
    <row r="783" spans="1:17" ht="14.4" x14ac:dyDescent="0.3">
      <c r="A783" s="18" t="s">
        <v>54</v>
      </c>
      <c r="B783" s="18"/>
      <c r="C783" s="16" t="s">
        <v>44</v>
      </c>
      <c r="D783" s="30">
        <f t="shared" ref="D783:P788" si="38">D732</f>
        <v>0</v>
      </c>
      <c r="E783" s="30">
        <f t="shared" si="38"/>
        <v>0</v>
      </c>
      <c r="F783" s="30">
        <f t="shared" si="38"/>
        <v>0</v>
      </c>
      <c r="G783" s="30">
        <f t="shared" si="38"/>
        <v>0</v>
      </c>
      <c r="H783" s="30">
        <f t="shared" si="38"/>
        <v>0</v>
      </c>
      <c r="I783" s="30">
        <f t="shared" si="38"/>
        <v>0</v>
      </c>
      <c r="J783" s="30">
        <f t="shared" si="38"/>
        <v>0</v>
      </c>
      <c r="K783" s="30">
        <f t="shared" si="38"/>
        <v>0</v>
      </c>
      <c r="L783" s="30">
        <f t="shared" si="38"/>
        <v>0</v>
      </c>
      <c r="M783" s="30">
        <f t="shared" si="38"/>
        <v>2E-3</v>
      </c>
      <c r="N783" s="30">
        <f t="shared" si="38"/>
        <v>5.9999999999999995E-4</v>
      </c>
      <c r="O783" s="30">
        <f t="shared" si="38"/>
        <v>5.9999999999999984E-4</v>
      </c>
      <c r="P783" s="30" t="e">
        <f t="shared" si="38"/>
        <v>#DIV/0!</v>
      </c>
      <c r="Q783" s="68"/>
    </row>
    <row r="784" spans="1:17" ht="14.4" x14ac:dyDescent="0.3">
      <c r="A784" s="18" t="s">
        <v>55</v>
      </c>
      <c r="B784" s="18"/>
      <c r="C784" s="16" t="s">
        <v>44</v>
      </c>
      <c r="D784" s="30">
        <f t="shared" si="38"/>
        <v>9.4899999999999998E-2</v>
      </c>
      <c r="E784" s="30">
        <f t="shared" si="38"/>
        <v>9.69E-2</v>
      </c>
      <c r="F784" s="30">
        <f t="shared" si="38"/>
        <v>9.8100000000000007E-2</v>
      </c>
      <c r="G784" s="30">
        <f t="shared" si="38"/>
        <v>9.7000000000000003E-2</v>
      </c>
      <c r="H784" s="30">
        <f t="shared" si="38"/>
        <v>9.5899999999999999E-2</v>
      </c>
      <c r="I784" s="30">
        <f t="shared" si="38"/>
        <v>9.4799999999999995E-2</v>
      </c>
      <c r="J784" s="30">
        <f t="shared" si="38"/>
        <v>0.1028</v>
      </c>
      <c r="K784" s="30">
        <f t="shared" si="38"/>
        <v>0.1027</v>
      </c>
      <c r="L784" s="30">
        <f t="shared" si="38"/>
        <v>9.35E-2</v>
      </c>
      <c r="M784" s="30">
        <f t="shared" si="38"/>
        <v>0.1004</v>
      </c>
      <c r="N784" s="30">
        <f t="shared" si="38"/>
        <v>9.4299999999999995E-2</v>
      </c>
      <c r="O784" s="30">
        <f t="shared" si="38"/>
        <v>9.4299999999999995E-2</v>
      </c>
      <c r="P784" s="30" t="e">
        <f t="shared" si="38"/>
        <v>#DIV/0!</v>
      </c>
      <c r="Q784" s="68"/>
    </row>
    <row r="785" spans="1:17" ht="14.4" x14ac:dyDescent="0.3">
      <c r="A785" s="18" t="s">
        <v>187</v>
      </c>
      <c r="B785" s="18"/>
      <c r="C785" s="16" t="s">
        <v>44</v>
      </c>
      <c r="D785" s="27">
        <v>0</v>
      </c>
      <c r="E785" s="27">
        <v>0</v>
      </c>
      <c r="F785" s="27">
        <v>0</v>
      </c>
      <c r="G785" s="27">
        <v>0</v>
      </c>
      <c r="H785" s="27">
        <v>0</v>
      </c>
      <c r="I785" s="27">
        <v>0</v>
      </c>
      <c r="J785" s="27">
        <v>0</v>
      </c>
      <c r="K785" s="27">
        <v>0</v>
      </c>
      <c r="L785" s="27">
        <v>0</v>
      </c>
      <c r="M785" s="27">
        <v>0</v>
      </c>
      <c r="N785" s="27">
        <v>0</v>
      </c>
      <c r="O785" s="27">
        <v>0</v>
      </c>
      <c r="P785" s="27">
        <v>0</v>
      </c>
      <c r="Q785" s="68"/>
    </row>
    <row r="786" spans="1:17" ht="14.4" x14ac:dyDescent="0.3">
      <c r="A786" s="18" t="s">
        <v>188</v>
      </c>
      <c r="B786" s="18"/>
      <c r="C786" s="16" t="s">
        <v>44</v>
      </c>
      <c r="D786" s="30">
        <f t="shared" si="38"/>
        <v>9.8799999999999999E-2</v>
      </c>
      <c r="E786" s="30">
        <f t="shared" si="38"/>
        <v>9.8799999999999999E-2</v>
      </c>
      <c r="F786" s="30">
        <f t="shared" si="38"/>
        <v>9.8799999999999999E-2</v>
      </c>
      <c r="G786" s="30">
        <f t="shared" si="38"/>
        <v>9.8799999999999999E-2</v>
      </c>
      <c r="H786" s="30">
        <f t="shared" si="38"/>
        <v>9.8799999999999999E-2</v>
      </c>
      <c r="I786" s="30">
        <f t="shared" si="38"/>
        <v>9.8799999999999999E-2</v>
      </c>
      <c r="J786" s="30">
        <f t="shared" si="38"/>
        <v>9.8799999999999999E-2</v>
      </c>
      <c r="K786" s="30">
        <f t="shared" si="38"/>
        <v>9.8799999999999999E-2</v>
      </c>
      <c r="L786" s="30">
        <f t="shared" si="38"/>
        <v>9.8799999999999999E-2</v>
      </c>
      <c r="M786" s="30">
        <f t="shared" si="38"/>
        <v>9.8799999999999999E-2</v>
      </c>
      <c r="N786" s="30">
        <f t="shared" si="38"/>
        <v>9.8799999999999999E-2</v>
      </c>
      <c r="O786" s="30">
        <f t="shared" si="38"/>
        <v>9.8799999999999999E-2</v>
      </c>
      <c r="P786" s="30">
        <f t="shared" si="38"/>
        <v>9.8799999999999999E-2</v>
      </c>
      <c r="Q786" s="68"/>
    </row>
    <row r="787" spans="1:17" ht="14.4" x14ac:dyDescent="0.3">
      <c r="A787" s="18" t="s">
        <v>56</v>
      </c>
      <c r="B787" s="18"/>
      <c r="C787" s="16" t="s">
        <v>44</v>
      </c>
      <c r="D787" s="30">
        <f t="shared" si="38"/>
        <v>0.12</v>
      </c>
      <c r="E787" s="30">
        <f t="shared" si="38"/>
        <v>0.12</v>
      </c>
      <c r="F787" s="30">
        <f t="shared" si="38"/>
        <v>0.12</v>
      </c>
      <c r="G787" s="30">
        <f t="shared" si="38"/>
        <v>0.12</v>
      </c>
      <c r="H787" s="30">
        <f t="shared" si="38"/>
        <v>0.12</v>
      </c>
      <c r="I787" s="30">
        <f t="shared" si="38"/>
        <v>0.12</v>
      </c>
      <c r="J787" s="30">
        <f t="shared" si="38"/>
        <v>0.12</v>
      </c>
      <c r="K787" s="30">
        <f t="shared" si="38"/>
        <v>0.12</v>
      </c>
      <c r="L787" s="30">
        <f t="shared" si="38"/>
        <v>0.12</v>
      </c>
      <c r="M787" s="30">
        <f t="shared" si="38"/>
        <v>0.12</v>
      </c>
      <c r="N787" s="30">
        <f t="shared" si="38"/>
        <v>0.12</v>
      </c>
      <c r="O787" s="30">
        <f t="shared" si="38"/>
        <v>0.12</v>
      </c>
      <c r="P787" s="30">
        <f t="shared" si="38"/>
        <v>0.12</v>
      </c>
      <c r="Q787" s="68"/>
    </row>
    <row r="788" spans="1:17" ht="14.4" x14ac:dyDescent="0.3">
      <c r="A788" s="18" t="s">
        <v>57</v>
      </c>
      <c r="B788" s="18"/>
      <c r="C788" s="16" t="s">
        <v>44</v>
      </c>
      <c r="D788" s="30">
        <f t="shared" si="38"/>
        <v>0.12</v>
      </c>
      <c r="E788" s="30">
        <f t="shared" si="38"/>
        <v>0.12</v>
      </c>
      <c r="F788" s="30">
        <f t="shared" si="38"/>
        <v>0.12</v>
      </c>
      <c r="G788" s="30">
        <f t="shared" si="38"/>
        <v>0.12</v>
      </c>
      <c r="H788" s="30">
        <f t="shared" si="38"/>
        <v>0.12</v>
      </c>
      <c r="I788" s="30">
        <f t="shared" si="38"/>
        <v>0.12</v>
      </c>
      <c r="J788" s="30">
        <f t="shared" si="38"/>
        <v>0.12</v>
      </c>
      <c r="K788" s="30">
        <f t="shared" si="38"/>
        <v>0.12</v>
      </c>
      <c r="L788" s="30">
        <f t="shared" si="38"/>
        <v>0.12</v>
      </c>
      <c r="M788" s="30">
        <f t="shared" si="38"/>
        <v>0.12</v>
      </c>
      <c r="N788" s="30">
        <f t="shared" si="38"/>
        <v>0.12</v>
      </c>
      <c r="O788" s="30">
        <f t="shared" si="38"/>
        <v>0.12</v>
      </c>
      <c r="P788" s="30">
        <f t="shared" si="38"/>
        <v>0.12</v>
      </c>
      <c r="Q788" s="68"/>
    </row>
    <row r="789" spans="1:17" s="5" customFormat="1" ht="14.4" x14ac:dyDescent="0.3">
      <c r="A789" s="55"/>
      <c r="B789" s="55"/>
      <c r="C789" s="56"/>
      <c r="D789" s="57"/>
      <c r="E789" s="57"/>
      <c r="F789" s="57"/>
      <c r="G789" s="57"/>
      <c r="H789" s="57"/>
      <c r="I789" s="57"/>
      <c r="J789" s="57"/>
      <c r="K789" s="57"/>
      <c r="L789" s="57"/>
      <c r="M789" s="57"/>
      <c r="N789" s="57"/>
      <c r="O789" s="57"/>
      <c r="P789" s="57"/>
      <c r="Q789" s="68"/>
    </row>
    <row r="790" spans="1:17" x14ac:dyDescent="0.3">
      <c r="A790" s="3" t="s">
        <v>58</v>
      </c>
      <c r="Q790" s="68"/>
    </row>
    <row r="791" spans="1:17" x14ac:dyDescent="0.3">
      <c r="Q791" s="68"/>
    </row>
    <row r="792" spans="1:17" ht="18" x14ac:dyDescent="0.35">
      <c r="A792" s="59" t="str">
        <f>'[41]Statistical data'!A223</f>
        <v>General Power-Below 13.2kV</v>
      </c>
      <c r="B792" s="60"/>
      <c r="C792" s="5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68"/>
    </row>
    <row r="793" spans="1:17" s="13" customFormat="1" ht="14.4" x14ac:dyDescent="0.3">
      <c r="A793" s="11" t="s">
        <v>3</v>
      </c>
      <c r="B793" s="11"/>
      <c r="C793" s="11" t="s">
        <v>4</v>
      </c>
      <c r="D793" s="12" t="str">
        <f>D742</f>
        <v>JAN</v>
      </c>
      <c r="E793" s="12" t="str">
        <f t="shared" ref="E793:P793" si="39">E742</f>
        <v>FEB</v>
      </c>
      <c r="F793" s="12" t="str">
        <f t="shared" si="39"/>
        <v>MAR</v>
      </c>
      <c r="G793" s="12" t="str">
        <f t="shared" si="39"/>
        <v>APR</v>
      </c>
      <c r="H793" s="12" t="str">
        <f t="shared" si="39"/>
        <v>MAY</v>
      </c>
      <c r="I793" s="12" t="str">
        <f t="shared" si="39"/>
        <v>JUN</v>
      </c>
      <c r="J793" s="12" t="str">
        <f t="shared" si="39"/>
        <v>JUL</v>
      </c>
      <c r="K793" s="12" t="str">
        <f t="shared" si="39"/>
        <v>AUG</v>
      </c>
      <c r="L793" s="12" t="str">
        <f t="shared" si="39"/>
        <v>SEP</v>
      </c>
      <c r="M793" s="12" t="str">
        <f t="shared" si="39"/>
        <v>OCT</v>
      </c>
      <c r="N793" s="12" t="str">
        <f t="shared" si="39"/>
        <v>NOV</v>
      </c>
      <c r="O793" s="12" t="str">
        <f t="shared" si="39"/>
        <v>DEC</v>
      </c>
      <c r="P793" s="12" t="str">
        <f t="shared" si="39"/>
        <v>JAN</v>
      </c>
      <c r="Q793" s="68"/>
    </row>
    <row r="794" spans="1:17" ht="14.4" x14ac:dyDescent="0.3">
      <c r="A794" s="14" t="s">
        <v>17</v>
      </c>
      <c r="B794" s="15"/>
      <c r="C794" s="16"/>
      <c r="D794" s="17"/>
      <c r="E794" s="17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68"/>
    </row>
    <row r="795" spans="1:17" ht="14.4" x14ac:dyDescent="0.3">
      <c r="A795" s="18" t="s">
        <v>18</v>
      </c>
      <c r="B795" s="19"/>
      <c r="C795" s="16" t="s">
        <v>19</v>
      </c>
      <c r="D795" s="20">
        <f>[41]GR!D21</f>
        <v>5.7910000000000004</v>
      </c>
      <c r="E795" s="20">
        <f>[41]GR!E21</f>
        <v>5.2413999999999996</v>
      </c>
      <c r="F795" s="20">
        <f>[41]GR!F21</f>
        <v>5.1864999999999997</v>
      </c>
      <c r="G795" s="20">
        <f>[41]GR!G21</f>
        <v>5.3872999999999998</v>
      </c>
      <c r="H795" s="20">
        <f>[41]GR!H21</f>
        <v>5.4703999999999997</v>
      </c>
      <c r="I795" s="20">
        <f>[41]GR!I21</f>
        <v>5.6580000000000004</v>
      </c>
      <c r="J795" s="20">
        <f>[41]GR!J21</f>
        <v>5.3269000000000002</v>
      </c>
      <c r="K795" s="20">
        <f>[41]GR!K21</f>
        <v>5.0479000000000003</v>
      </c>
      <c r="L795" s="20">
        <f>[41]GR!L21</f>
        <v>5.1746999999999996</v>
      </c>
      <c r="M795" s="20">
        <f>[41]GR!M21</f>
        <v>4.6832000000000003</v>
      </c>
      <c r="N795" s="20">
        <f>[41]GR!N21</f>
        <v>5.6673</v>
      </c>
      <c r="O795" s="20">
        <f>[41]GR!O21</f>
        <v>5.6673</v>
      </c>
      <c r="P795" s="20" t="e">
        <f>[41]GR!P21</f>
        <v>#DIV/0!</v>
      </c>
      <c r="Q795" s="68"/>
    </row>
    <row r="796" spans="1:17" ht="14.4" x14ac:dyDescent="0.3">
      <c r="A796" s="18" t="s">
        <v>66</v>
      </c>
      <c r="B796" s="19"/>
      <c r="C796" s="16" t="s">
        <v>19</v>
      </c>
      <c r="D796" s="20">
        <v>0</v>
      </c>
      <c r="E796" s="20">
        <v>0</v>
      </c>
      <c r="F796" s="20">
        <v>0</v>
      </c>
      <c r="G796" s="20">
        <v>0</v>
      </c>
      <c r="H796" s="20">
        <v>0</v>
      </c>
      <c r="I796" s="20">
        <v>0</v>
      </c>
      <c r="J796" s="20">
        <v>0</v>
      </c>
      <c r="K796" s="20">
        <v>0</v>
      </c>
      <c r="L796" s="20">
        <v>0</v>
      </c>
      <c r="M796" s="20">
        <v>0</v>
      </c>
      <c r="N796" s="20">
        <v>0</v>
      </c>
      <c r="O796" s="20">
        <v>0</v>
      </c>
      <c r="P796" s="20">
        <v>0</v>
      </c>
      <c r="Q796" s="68"/>
    </row>
    <row r="797" spans="1:17" ht="14.4" x14ac:dyDescent="0.3">
      <c r="A797" s="14" t="s">
        <v>20</v>
      </c>
      <c r="B797" s="15"/>
      <c r="C797" s="16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68"/>
    </row>
    <row r="798" spans="1:17" ht="14.4" x14ac:dyDescent="0.3">
      <c r="A798" s="18" t="s">
        <v>21</v>
      </c>
      <c r="B798" s="19"/>
      <c r="C798" s="16" t="s">
        <v>19</v>
      </c>
      <c r="D798" s="20">
        <v>0</v>
      </c>
      <c r="E798" s="20">
        <v>0</v>
      </c>
      <c r="F798" s="20">
        <v>0</v>
      </c>
      <c r="G798" s="20">
        <v>0</v>
      </c>
      <c r="H798" s="20">
        <v>0</v>
      </c>
      <c r="I798" s="20">
        <v>0</v>
      </c>
      <c r="J798" s="20">
        <v>0</v>
      </c>
      <c r="K798" s="20">
        <v>0</v>
      </c>
      <c r="L798" s="20">
        <v>0</v>
      </c>
      <c r="M798" s="20">
        <v>0</v>
      </c>
      <c r="N798" s="20">
        <v>0</v>
      </c>
      <c r="O798" s="20">
        <v>0</v>
      </c>
      <c r="P798" s="20">
        <v>0</v>
      </c>
      <c r="Q798" s="68"/>
    </row>
    <row r="799" spans="1:17" ht="14.4" x14ac:dyDescent="0.3">
      <c r="A799" s="18" t="s">
        <v>22</v>
      </c>
      <c r="B799" s="19"/>
      <c r="C799" s="16" t="s">
        <v>23</v>
      </c>
      <c r="D799" s="23">
        <f>[41]TR!D80</f>
        <v>300.41000000000003</v>
      </c>
      <c r="E799" s="23">
        <f>[41]TR!E80</f>
        <v>322.67</v>
      </c>
      <c r="F799" s="23">
        <f>[41]TR!F80</f>
        <v>299.64</v>
      </c>
      <c r="G799" s="23">
        <f>[41]TR!G80</f>
        <v>301.92</v>
      </c>
      <c r="H799" s="23">
        <f>[41]TR!H80</f>
        <v>255.12</v>
      </c>
      <c r="I799" s="23">
        <f>[41]TR!I80</f>
        <v>279.33999999999997</v>
      </c>
      <c r="J799" s="23">
        <f>[41]TR!J80</f>
        <v>277.19</v>
      </c>
      <c r="K799" s="23">
        <f>[41]TR!K80</f>
        <v>286.49</v>
      </c>
      <c r="L799" s="23">
        <f>[41]TR!L80</f>
        <v>337.73</v>
      </c>
      <c r="M799" s="23">
        <f>[41]TR!M80</f>
        <v>314.89</v>
      </c>
      <c r="N799" s="23">
        <f>[41]TR!N80</f>
        <v>337.22</v>
      </c>
      <c r="O799" s="23">
        <f>[41]TR!O80</f>
        <v>337.22</v>
      </c>
      <c r="P799" s="23">
        <f>[41]TR!P80</f>
        <v>0</v>
      </c>
      <c r="Q799" s="68"/>
    </row>
    <row r="800" spans="1:17" ht="14.4" x14ac:dyDescent="0.3">
      <c r="A800" s="14" t="s">
        <v>24</v>
      </c>
      <c r="B800" s="15"/>
      <c r="C800" s="16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68"/>
    </row>
    <row r="801" spans="1:17" ht="14.4" x14ac:dyDescent="0.3">
      <c r="A801" s="18" t="s">
        <v>25</v>
      </c>
      <c r="B801" s="19"/>
      <c r="C801" s="16" t="s">
        <v>19</v>
      </c>
      <c r="D801" s="20">
        <f>[41]SLR!D133</f>
        <v>0.26500000000000001</v>
      </c>
      <c r="E801" s="20">
        <f>[41]SLR!E133</f>
        <v>0.2288</v>
      </c>
      <c r="F801" s="20">
        <f>[41]SLR!F133</f>
        <v>0.2319</v>
      </c>
      <c r="G801" s="20">
        <f>[41]SLR!G133</f>
        <v>0.2447</v>
      </c>
      <c r="H801" s="20">
        <f>[41]SLR!H133</f>
        <v>0.23769999999999999</v>
      </c>
      <c r="I801" s="20">
        <f>[41]SLR!I133</f>
        <v>0.23910000000000001</v>
      </c>
      <c r="J801" s="20">
        <f>[41]SLR!J133</f>
        <v>0.2339</v>
      </c>
      <c r="K801" s="20">
        <f>[41]SLR!K133</f>
        <v>0.2167</v>
      </c>
      <c r="L801" s="20">
        <f>[41]SLR!L133</f>
        <v>0.2198</v>
      </c>
      <c r="M801" s="20">
        <f>[41]SLR!M133</f>
        <v>0.20649999999999999</v>
      </c>
      <c r="N801" s="20">
        <f>[41]SLR!N133</f>
        <v>0.25230000000000002</v>
      </c>
      <c r="O801" s="20">
        <f>[41]SLR!O133</f>
        <v>0.25230000000000002</v>
      </c>
      <c r="P801" s="20">
        <f>[41]SLR!P133</f>
        <v>0</v>
      </c>
      <c r="Q801" s="68"/>
    </row>
    <row r="802" spans="1:17" ht="14.4" x14ac:dyDescent="0.3">
      <c r="A802" s="14" t="s">
        <v>26</v>
      </c>
      <c r="B802" s="14"/>
      <c r="C802" s="16"/>
      <c r="D802" s="22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68"/>
    </row>
    <row r="803" spans="1:17" ht="14.4" x14ac:dyDescent="0.3">
      <c r="A803" s="18" t="s">
        <v>27</v>
      </c>
      <c r="B803" s="18"/>
      <c r="C803" s="16" t="s">
        <v>19</v>
      </c>
      <c r="D803" s="20">
        <v>0.06</v>
      </c>
      <c r="E803" s="20">
        <v>0.06</v>
      </c>
      <c r="F803" s="20">
        <v>0.06</v>
      </c>
      <c r="G803" s="20">
        <v>0.06</v>
      </c>
      <c r="H803" s="20">
        <v>0.06</v>
      </c>
      <c r="I803" s="20">
        <v>0.06</v>
      </c>
      <c r="J803" s="20">
        <v>6.0900000000000003E-2</v>
      </c>
      <c r="K803" s="20">
        <v>6.0900000000000003E-2</v>
      </c>
      <c r="L803" s="20">
        <v>6.0900000000000003E-2</v>
      </c>
      <c r="M803" s="20">
        <v>6.0900000000000003E-2</v>
      </c>
      <c r="N803" s="20">
        <v>6.0900000000000003E-2</v>
      </c>
      <c r="O803" s="20">
        <v>6.0900000000000003E-2</v>
      </c>
      <c r="P803" s="20">
        <v>6.0900000000000003E-2</v>
      </c>
      <c r="Q803" s="68"/>
    </row>
    <row r="804" spans="1:17" ht="14.4" x14ac:dyDescent="0.3">
      <c r="A804" s="18" t="s">
        <v>28</v>
      </c>
      <c r="B804" s="18"/>
      <c r="C804" s="16" t="s">
        <v>23</v>
      </c>
      <c r="D804" s="23">
        <v>213.74</v>
      </c>
      <c r="E804" s="23">
        <v>213.74</v>
      </c>
      <c r="F804" s="23">
        <v>213.74</v>
      </c>
      <c r="G804" s="23">
        <v>213.74</v>
      </c>
      <c r="H804" s="23">
        <v>213.74</v>
      </c>
      <c r="I804" s="23">
        <v>213.74</v>
      </c>
      <c r="J804" s="23">
        <v>217.08</v>
      </c>
      <c r="K804" s="23">
        <v>217.08</v>
      </c>
      <c r="L804" s="23">
        <v>217.08</v>
      </c>
      <c r="M804" s="23">
        <v>217.08</v>
      </c>
      <c r="N804" s="23">
        <v>217.08</v>
      </c>
      <c r="O804" s="23">
        <v>217.08</v>
      </c>
      <c r="P804" s="23">
        <v>217.08</v>
      </c>
      <c r="Q804" s="68"/>
    </row>
    <row r="805" spans="1:17" ht="14.4" x14ac:dyDescent="0.3">
      <c r="A805" s="14" t="s">
        <v>29</v>
      </c>
      <c r="B805" s="14"/>
      <c r="C805" s="16"/>
      <c r="D805" s="24"/>
      <c r="E805" s="24"/>
      <c r="F805" s="24"/>
      <c r="G805" s="24"/>
      <c r="H805" s="24"/>
      <c r="I805" s="24"/>
      <c r="J805" s="24"/>
      <c r="K805" s="24"/>
      <c r="L805" s="24"/>
      <c r="M805" s="24"/>
      <c r="N805" s="24"/>
      <c r="O805" s="24"/>
      <c r="P805" s="24"/>
      <c r="Q805" s="68"/>
    </row>
    <row r="806" spans="1:17" ht="14.4" x14ac:dyDescent="0.3">
      <c r="A806" s="18" t="s">
        <v>30</v>
      </c>
      <c r="B806" s="18"/>
      <c r="C806" s="16" t="s">
        <v>19</v>
      </c>
      <c r="D806" s="20">
        <v>0</v>
      </c>
      <c r="E806" s="20">
        <v>0</v>
      </c>
      <c r="F806" s="20">
        <v>0</v>
      </c>
      <c r="G806" s="20">
        <v>0</v>
      </c>
      <c r="H806" s="20">
        <v>0</v>
      </c>
      <c r="I806" s="20">
        <v>0</v>
      </c>
      <c r="J806" s="20">
        <v>0</v>
      </c>
      <c r="K806" s="20">
        <v>0</v>
      </c>
      <c r="L806" s="20">
        <v>0</v>
      </c>
      <c r="M806" s="20">
        <v>0</v>
      </c>
      <c r="N806" s="20">
        <v>0</v>
      </c>
      <c r="O806" s="20">
        <v>0</v>
      </c>
      <c r="P806" s="20">
        <v>0</v>
      </c>
      <c r="Q806" s="68"/>
    </row>
    <row r="807" spans="1:17" ht="14.4" x14ac:dyDescent="0.3">
      <c r="A807" s="18" t="s">
        <v>31</v>
      </c>
      <c r="B807" s="18"/>
      <c r="C807" s="16" t="s">
        <v>32</v>
      </c>
      <c r="D807" s="52" t="s">
        <v>62</v>
      </c>
      <c r="E807" s="52" t="s">
        <v>62</v>
      </c>
      <c r="F807" s="52" t="s">
        <v>62</v>
      </c>
      <c r="G807" s="52" t="s">
        <v>62</v>
      </c>
      <c r="H807" s="52" t="s">
        <v>62</v>
      </c>
      <c r="I807" s="52" t="s">
        <v>62</v>
      </c>
      <c r="J807" s="52" t="s">
        <v>62</v>
      </c>
      <c r="K807" s="52" t="s">
        <v>62</v>
      </c>
      <c r="L807" s="52" t="s">
        <v>62</v>
      </c>
      <c r="M807" s="52" t="s">
        <v>62</v>
      </c>
      <c r="N807" s="52" t="s">
        <v>62</v>
      </c>
      <c r="O807" s="52" t="s">
        <v>62</v>
      </c>
      <c r="P807" s="52" t="s">
        <v>62</v>
      </c>
      <c r="Q807" s="68"/>
    </row>
    <row r="808" spans="1:17" ht="14.4" x14ac:dyDescent="0.3">
      <c r="A808" s="14" t="s">
        <v>33</v>
      </c>
      <c r="B808" s="14"/>
      <c r="C808" s="16"/>
      <c r="D808" s="24"/>
      <c r="E808" s="24"/>
      <c r="F808" s="24"/>
      <c r="G808" s="24"/>
      <c r="H808" s="24"/>
      <c r="I808" s="24"/>
      <c r="J808" s="24"/>
      <c r="K808" s="24"/>
      <c r="L808" s="24"/>
      <c r="M808" s="24"/>
      <c r="N808" s="24"/>
      <c r="O808" s="24"/>
      <c r="P808" s="24"/>
      <c r="Q808" s="68"/>
    </row>
    <row r="809" spans="1:17" ht="14.4" x14ac:dyDescent="0.3">
      <c r="A809" s="18" t="s">
        <v>34</v>
      </c>
      <c r="B809" s="18"/>
      <c r="C809" s="16" t="s">
        <v>19</v>
      </c>
      <c r="D809" s="20">
        <v>0</v>
      </c>
      <c r="E809" s="20">
        <v>0</v>
      </c>
      <c r="F809" s="20">
        <v>0</v>
      </c>
      <c r="G809" s="20">
        <v>0</v>
      </c>
      <c r="H809" s="20">
        <v>0</v>
      </c>
      <c r="I809" s="20">
        <v>0</v>
      </c>
      <c r="J809" s="20">
        <v>0</v>
      </c>
      <c r="K809" s="20">
        <v>0</v>
      </c>
      <c r="L809" s="20">
        <v>0</v>
      </c>
      <c r="M809" s="20">
        <v>0</v>
      </c>
      <c r="N809" s="20">
        <v>0</v>
      </c>
      <c r="O809" s="20">
        <v>0</v>
      </c>
      <c r="P809" s="20">
        <v>0</v>
      </c>
      <c r="Q809" s="68"/>
    </row>
    <row r="810" spans="1:17" ht="14.4" x14ac:dyDescent="0.3">
      <c r="A810" s="18" t="s">
        <v>35</v>
      </c>
      <c r="B810" s="18"/>
      <c r="C810" s="16" t="s">
        <v>36</v>
      </c>
      <c r="D810" s="52" t="s">
        <v>63</v>
      </c>
      <c r="E810" s="52" t="s">
        <v>63</v>
      </c>
      <c r="F810" s="52" t="s">
        <v>63</v>
      </c>
      <c r="G810" s="52" t="s">
        <v>63</v>
      </c>
      <c r="H810" s="52" t="s">
        <v>63</v>
      </c>
      <c r="I810" s="52" t="s">
        <v>63</v>
      </c>
      <c r="J810" s="52" t="s">
        <v>63</v>
      </c>
      <c r="K810" s="52" t="s">
        <v>63</v>
      </c>
      <c r="L810" s="52" t="s">
        <v>63</v>
      </c>
      <c r="M810" s="52" t="s">
        <v>63</v>
      </c>
      <c r="N810" s="52" t="s">
        <v>63</v>
      </c>
      <c r="O810" s="52" t="s">
        <v>63</v>
      </c>
      <c r="P810" s="52" t="s">
        <v>63</v>
      </c>
      <c r="Q810" s="68"/>
    </row>
    <row r="811" spans="1:17" ht="14.4" x14ac:dyDescent="0.3">
      <c r="A811" s="14" t="s">
        <v>37</v>
      </c>
      <c r="B811" s="14"/>
      <c r="C811" s="16"/>
      <c r="D811" s="24"/>
      <c r="E811" s="24"/>
      <c r="F811" s="24"/>
      <c r="G811" s="24"/>
      <c r="H811" s="24"/>
      <c r="I811" s="24"/>
      <c r="J811" s="24"/>
      <c r="K811" s="24"/>
      <c r="L811" s="24"/>
      <c r="M811" s="24"/>
      <c r="N811" s="24"/>
      <c r="O811" s="24"/>
      <c r="P811" s="24"/>
      <c r="Q811" s="68"/>
    </row>
    <row r="812" spans="1:17" ht="14.4" x14ac:dyDescent="0.3">
      <c r="A812" s="25" t="s">
        <v>38</v>
      </c>
      <c r="B812" s="18"/>
      <c r="C812" s="16" t="s">
        <v>19</v>
      </c>
      <c r="D812" s="20">
        <f>D761</f>
        <v>0.1333</v>
      </c>
      <c r="E812" s="20">
        <f t="shared" ref="E812:P812" si="40">E761</f>
        <v>0.1497</v>
      </c>
      <c r="F812" s="20">
        <f t="shared" si="40"/>
        <v>0.14410000000000001</v>
      </c>
      <c r="G812" s="20">
        <f t="shared" si="40"/>
        <v>0.15459999999999999</v>
      </c>
      <c r="H812" s="20">
        <f t="shared" si="40"/>
        <v>0.10920000000000001</v>
      </c>
      <c r="I812" s="20">
        <f t="shared" si="40"/>
        <v>0.104</v>
      </c>
      <c r="J812" s="20">
        <f t="shared" si="40"/>
        <v>0.1045</v>
      </c>
      <c r="K812" s="20">
        <f t="shared" si="40"/>
        <v>0.11609999999999999</v>
      </c>
      <c r="L812" s="20">
        <f t="shared" si="40"/>
        <v>0.1091</v>
      </c>
      <c r="M812" s="20">
        <f t="shared" si="40"/>
        <v>0.1138</v>
      </c>
      <c r="N812" s="20">
        <f t="shared" si="40"/>
        <v>0.1173</v>
      </c>
      <c r="O812" s="20">
        <f t="shared" si="40"/>
        <v>0.1173</v>
      </c>
      <c r="P812" s="20">
        <f t="shared" si="40"/>
        <v>0</v>
      </c>
      <c r="Q812" s="68"/>
    </row>
    <row r="813" spans="1:17" ht="14.4" x14ac:dyDescent="0.3">
      <c r="A813" s="25" t="s">
        <v>39</v>
      </c>
      <c r="B813" s="18"/>
      <c r="C813" s="16" t="s">
        <v>19</v>
      </c>
      <c r="D813" s="20">
        <v>0</v>
      </c>
      <c r="E813" s="20">
        <v>0</v>
      </c>
      <c r="F813" s="20">
        <v>0</v>
      </c>
      <c r="G813" s="20">
        <v>0</v>
      </c>
      <c r="H813" s="20">
        <v>0</v>
      </c>
      <c r="I813" s="20">
        <v>0</v>
      </c>
      <c r="J813" s="20">
        <v>0</v>
      </c>
      <c r="K813" s="20">
        <v>0</v>
      </c>
      <c r="L813" s="20">
        <v>0</v>
      </c>
      <c r="M813" s="20">
        <v>0</v>
      </c>
      <c r="N813" s="20">
        <v>0</v>
      </c>
      <c r="O813" s="20">
        <v>0</v>
      </c>
      <c r="P813" s="20">
        <v>0</v>
      </c>
      <c r="Q813" s="68"/>
    </row>
    <row r="814" spans="1:17" ht="14.4" x14ac:dyDescent="0.3">
      <c r="A814" s="25" t="s">
        <v>180</v>
      </c>
      <c r="B814" s="18"/>
      <c r="C814" s="16" t="s">
        <v>19</v>
      </c>
      <c r="D814" s="20">
        <f>D763</f>
        <v>3.1399999999999997E-2</v>
      </c>
      <c r="E814" s="20">
        <f t="shared" ref="E814:P817" si="41">E763</f>
        <v>3.1399999999999997E-2</v>
      </c>
      <c r="F814" s="20">
        <f t="shared" si="41"/>
        <v>3.1399999999999997E-2</v>
      </c>
      <c r="G814" s="20">
        <f t="shared" si="41"/>
        <v>3.1399999999999997E-2</v>
      </c>
      <c r="H814" s="20">
        <f t="shared" si="41"/>
        <v>3.1399999999999997E-2</v>
      </c>
      <c r="I814" s="20">
        <f t="shared" si="41"/>
        <v>3.1399999999999997E-2</v>
      </c>
      <c r="J814" s="20">
        <f t="shared" si="41"/>
        <v>3.1399999999999997E-2</v>
      </c>
      <c r="K814" s="20">
        <f t="shared" si="41"/>
        <v>3.1399999999999997E-2</v>
      </c>
      <c r="L814" s="20">
        <f t="shared" si="41"/>
        <v>3.1399999999999997E-2</v>
      </c>
      <c r="M814" s="20">
        <f t="shared" si="41"/>
        <v>3.1399999999999997E-2</v>
      </c>
      <c r="N814" s="20">
        <f t="shared" si="41"/>
        <v>3.1399999999999997E-2</v>
      </c>
      <c r="O814" s="20">
        <f t="shared" si="41"/>
        <v>3.1399999999999997E-2</v>
      </c>
      <c r="P814" s="20">
        <f t="shared" si="41"/>
        <v>3.1399999999999997E-2</v>
      </c>
      <c r="Q814" s="68"/>
    </row>
    <row r="815" spans="1:17" ht="14.4" x14ac:dyDescent="0.3">
      <c r="A815" s="26" t="s">
        <v>40</v>
      </c>
      <c r="B815" s="18"/>
      <c r="C815" s="16" t="s">
        <v>19</v>
      </c>
      <c r="D815" s="20">
        <f>D764</f>
        <v>1E-4</v>
      </c>
      <c r="E815" s="20">
        <f t="shared" si="41"/>
        <v>1E-4</v>
      </c>
      <c r="F815" s="20">
        <f t="shared" si="41"/>
        <v>1E-4</v>
      </c>
      <c r="G815" s="20">
        <f t="shared" si="41"/>
        <v>1E-4</v>
      </c>
      <c r="H815" s="20">
        <f t="shared" si="41"/>
        <v>1E-4</v>
      </c>
      <c r="I815" s="20">
        <f t="shared" si="41"/>
        <v>1E-4</v>
      </c>
      <c r="J815" s="20">
        <f t="shared" si="41"/>
        <v>1E-4</v>
      </c>
      <c r="K815" s="20">
        <f t="shared" si="41"/>
        <v>1E-4</v>
      </c>
      <c r="L815" s="20">
        <f t="shared" si="41"/>
        <v>1E-4</v>
      </c>
      <c r="M815" s="20">
        <f t="shared" si="41"/>
        <v>1E-4</v>
      </c>
      <c r="N815" s="20">
        <f t="shared" si="41"/>
        <v>1E-4</v>
      </c>
      <c r="O815" s="20">
        <f t="shared" si="41"/>
        <v>1E-4</v>
      </c>
      <c r="P815" s="20">
        <f t="shared" si="41"/>
        <v>0</v>
      </c>
      <c r="Q815" s="68"/>
    </row>
    <row r="816" spans="1:17" ht="14.4" x14ac:dyDescent="0.3">
      <c r="A816" s="26" t="s">
        <v>41</v>
      </c>
      <c r="B816" s="18"/>
      <c r="C816" s="16" t="s">
        <v>19</v>
      </c>
      <c r="D816" s="20">
        <f>D765</f>
        <v>0</v>
      </c>
      <c r="E816" s="20">
        <f t="shared" si="41"/>
        <v>0</v>
      </c>
      <c r="F816" s="20">
        <f t="shared" si="41"/>
        <v>0</v>
      </c>
      <c r="G816" s="20">
        <f t="shared" si="41"/>
        <v>0</v>
      </c>
      <c r="H816" s="20">
        <f t="shared" si="41"/>
        <v>0</v>
      </c>
      <c r="I816" s="20">
        <f t="shared" si="41"/>
        <v>0</v>
      </c>
      <c r="J816" s="20">
        <f t="shared" si="41"/>
        <v>0</v>
      </c>
      <c r="K816" s="20">
        <f t="shared" si="41"/>
        <v>0</v>
      </c>
      <c r="L816" s="20">
        <f t="shared" si="41"/>
        <v>0</v>
      </c>
      <c r="M816" s="20">
        <f t="shared" si="41"/>
        <v>0</v>
      </c>
      <c r="N816" s="20">
        <f t="shared" si="41"/>
        <v>0</v>
      </c>
      <c r="O816" s="20">
        <f t="shared" si="41"/>
        <v>0</v>
      </c>
      <c r="P816" s="20">
        <f t="shared" si="41"/>
        <v>0</v>
      </c>
      <c r="Q816" s="68"/>
    </row>
    <row r="817" spans="1:17" ht="14.4" x14ac:dyDescent="0.3">
      <c r="A817" s="154" t="s">
        <v>181</v>
      </c>
      <c r="B817" s="155"/>
      <c r="C817" s="16" t="s">
        <v>19</v>
      </c>
      <c r="D817" s="20">
        <f>D766</f>
        <v>1.03E-2</v>
      </c>
      <c r="E817" s="20">
        <f t="shared" si="41"/>
        <v>1.03E-2</v>
      </c>
      <c r="F817" s="20">
        <f t="shared" si="41"/>
        <v>1.03E-2</v>
      </c>
      <c r="G817" s="20">
        <f t="shared" si="41"/>
        <v>2.5999999999999999E-3</v>
      </c>
      <c r="H817" s="20">
        <f t="shared" si="41"/>
        <v>0</v>
      </c>
      <c r="I817" s="20">
        <f t="shared" si="41"/>
        <v>0</v>
      </c>
      <c r="J817" s="20">
        <f t="shared" si="41"/>
        <v>0</v>
      </c>
      <c r="K817" s="20">
        <f t="shared" si="41"/>
        <v>0</v>
      </c>
      <c r="L817" s="20">
        <f t="shared" si="41"/>
        <v>0</v>
      </c>
      <c r="M817" s="20">
        <f t="shared" si="41"/>
        <v>0</v>
      </c>
      <c r="N817" s="20">
        <f t="shared" si="41"/>
        <v>0</v>
      </c>
      <c r="O817" s="20">
        <f t="shared" si="41"/>
        <v>0</v>
      </c>
      <c r="P817" s="20">
        <f t="shared" si="41"/>
        <v>0</v>
      </c>
      <c r="Q817" s="68"/>
    </row>
    <row r="818" spans="1:17" ht="16.2" hidden="1" x14ac:dyDescent="0.3">
      <c r="A818" s="154" t="s">
        <v>182</v>
      </c>
      <c r="B818" s="155"/>
      <c r="C818" s="16" t="s">
        <v>19</v>
      </c>
      <c r="D818" s="20"/>
      <c r="E818" s="20"/>
      <c r="F818" s="20"/>
      <c r="G818" s="20"/>
      <c r="H818" s="20"/>
      <c r="I818" s="20"/>
      <c r="J818" s="20"/>
      <c r="K818" s="20"/>
      <c r="L818" s="20"/>
      <c r="M818" s="20"/>
      <c r="N818" s="20"/>
      <c r="O818" s="20"/>
      <c r="P818" s="20"/>
      <c r="Q818" s="68"/>
    </row>
    <row r="819" spans="1:17" ht="16.2" hidden="1" x14ac:dyDescent="0.3">
      <c r="A819" s="154" t="s">
        <v>182</v>
      </c>
      <c r="B819" s="156"/>
      <c r="C819" s="16" t="s">
        <v>19</v>
      </c>
      <c r="D819" s="20"/>
      <c r="E819" s="20"/>
      <c r="F819" s="20"/>
      <c r="G819" s="20"/>
      <c r="H819" s="20"/>
      <c r="I819" s="20"/>
      <c r="J819" s="20"/>
      <c r="K819" s="20"/>
      <c r="L819" s="20"/>
      <c r="M819" s="20"/>
      <c r="N819" s="20"/>
      <c r="O819" s="20"/>
      <c r="P819" s="20"/>
      <c r="Q819" s="68"/>
    </row>
    <row r="820" spans="1:17" ht="14.4" x14ac:dyDescent="0.3">
      <c r="A820" s="14" t="s">
        <v>42</v>
      </c>
      <c r="B820" s="14"/>
      <c r="C820" s="16"/>
      <c r="D820" s="24"/>
      <c r="E820" s="24"/>
      <c r="F820" s="24"/>
      <c r="G820" s="24"/>
      <c r="H820" s="24"/>
      <c r="I820" s="24"/>
      <c r="J820" s="24"/>
      <c r="K820" s="24"/>
      <c r="L820" s="24"/>
      <c r="M820" s="24"/>
      <c r="N820" s="24"/>
      <c r="O820" s="24"/>
      <c r="P820" s="24"/>
      <c r="Q820" s="68"/>
    </row>
    <row r="821" spans="1:17" ht="14.4" x14ac:dyDescent="0.3">
      <c r="A821" s="14" t="s">
        <v>43</v>
      </c>
      <c r="B821" s="14"/>
      <c r="C821" s="16" t="s">
        <v>44</v>
      </c>
      <c r="D821" s="27"/>
      <c r="E821" s="27"/>
      <c r="F821" s="27"/>
      <c r="G821" s="27"/>
      <c r="H821" s="27"/>
      <c r="I821" s="27"/>
      <c r="J821" s="27"/>
      <c r="K821" s="27"/>
      <c r="L821" s="27"/>
      <c r="M821" s="27"/>
      <c r="N821" s="27"/>
      <c r="O821" s="27"/>
      <c r="P821" s="27"/>
      <c r="Q821" s="68"/>
    </row>
    <row r="822" spans="1:17" ht="14.4" hidden="1" x14ac:dyDescent="0.3">
      <c r="A822" s="14" t="s">
        <v>183</v>
      </c>
      <c r="B822" s="14"/>
      <c r="C822" s="16"/>
      <c r="D822" s="28"/>
      <c r="E822" s="28"/>
      <c r="F822" s="28"/>
      <c r="G822" s="28"/>
      <c r="H822" s="28"/>
      <c r="I822" s="28"/>
      <c r="J822" s="28"/>
      <c r="K822" s="28"/>
      <c r="L822" s="28"/>
      <c r="M822" s="28"/>
      <c r="N822" s="28"/>
      <c r="O822" s="28"/>
      <c r="P822" s="28"/>
      <c r="Q822" s="68"/>
    </row>
    <row r="823" spans="1:17" ht="14.4" hidden="1" x14ac:dyDescent="0.3">
      <c r="A823" s="14" t="s">
        <v>184</v>
      </c>
      <c r="B823" s="14"/>
      <c r="C823" s="16" t="s">
        <v>19</v>
      </c>
      <c r="D823" s="20"/>
      <c r="E823" s="20"/>
      <c r="F823" s="20"/>
      <c r="G823" s="20"/>
      <c r="H823" s="20"/>
      <c r="I823" s="20"/>
      <c r="J823" s="20"/>
      <c r="K823" s="20"/>
      <c r="L823" s="20"/>
      <c r="M823" s="20"/>
      <c r="N823" s="20"/>
      <c r="O823" s="20"/>
      <c r="P823" s="20"/>
      <c r="Q823" s="68"/>
    </row>
    <row r="824" spans="1:17" ht="14.4" x14ac:dyDescent="0.3">
      <c r="A824" s="14" t="s">
        <v>45</v>
      </c>
      <c r="B824" s="14"/>
      <c r="C824" s="16"/>
      <c r="D824" s="28"/>
      <c r="E824" s="28"/>
      <c r="F824" s="28"/>
      <c r="G824" s="28"/>
      <c r="H824" s="28"/>
      <c r="I824" s="28"/>
      <c r="J824" s="28"/>
      <c r="K824" s="28"/>
      <c r="L824" s="28"/>
      <c r="M824" s="28"/>
      <c r="N824" s="28"/>
      <c r="O824" s="28"/>
      <c r="P824" s="28"/>
      <c r="Q824" s="68"/>
    </row>
    <row r="825" spans="1:17" ht="14.4" x14ac:dyDescent="0.3">
      <c r="A825" s="14" t="s">
        <v>46</v>
      </c>
      <c r="B825" s="14"/>
      <c r="C825" s="16" t="s">
        <v>19</v>
      </c>
      <c r="D825" s="20">
        <v>0</v>
      </c>
      <c r="E825" s="20">
        <v>0</v>
      </c>
      <c r="F825" s="20">
        <v>0</v>
      </c>
      <c r="G825" s="20">
        <v>0</v>
      </c>
      <c r="H825" s="20">
        <v>0</v>
      </c>
      <c r="I825" s="20">
        <v>0</v>
      </c>
      <c r="J825" s="20">
        <v>0</v>
      </c>
      <c r="K825" s="20">
        <v>0</v>
      </c>
      <c r="L825" s="20">
        <v>0</v>
      </c>
      <c r="M825" s="20">
        <v>0</v>
      </c>
      <c r="N825" s="20">
        <v>0</v>
      </c>
      <c r="O825" s="20">
        <v>0</v>
      </c>
      <c r="P825" s="20">
        <v>0</v>
      </c>
      <c r="Q825" s="68"/>
    </row>
    <row r="826" spans="1:17" ht="14.4" hidden="1" x14ac:dyDescent="0.3">
      <c r="A826" s="14" t="s">
        <v>185</v>
      </c>
      <c r="B826" s="14"/>
      <c r="C826" s="16"/>
      <c r="D826" s="28"/>
      <c r="E826" s="28"/>
      <c r="F826" s="28"/>
      <c r="G826" s="28"/>
      <c r="H826" s="28"/>
      <c r="I826" s="28"/>
      <c r="J826" s="28"/>
      <c r="K826" s="28"/>
      <c r="L826" s="28"/>
      <c r="M826" s="28"/>
      <c r="N826" s="28"/>
      <c r="O826" s="28"/>
      <c r="P826" s="28"/>
      <c r="Q826" s="68"/>
    </row>
    <row r="827" spans="1:17" ht="14.4" hidden="1" x14ac:dyDescent="0.3">
      <c r="A827" s="14" t="s">
        <v>186</v>
      </c>
      <c r="B827" s="14"/>
      <c r="C827" s="16" t="s">
        <v>19</v>
      </c>
      <c r="D827" s="20"/>
      <c r="E827" s="20"/>
      <c r="F827" s="20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68"/>
    </row>
    <row r="828" spans="1:17" ht="14.4" x14ac:dyDescent="0.3">
      <c r="A828" s="14" t="s">
        <v>47</v>
      </c>
      <c r="B828" s="14"/>
      <c r="C828" s="16"/>
      <c r="D828" s="24"/>
      <c r="E828" s="24"/>
      <c r="F828" s="24"/>
      <c r="G828" s="24"/>
      <c r="H828" s="24"/>
      <c r="I828" s="24"/>
      <c r="J828" s="24"/>
      <c r="K828" s="24"/>
      <c r="L828" s="24"/>
      <c r="M828" s="24"/>
      <c r="N828" s="24"/>
      <c r="O828" s="24"/>
      <c r="P828" s="24"/>
      <c r="Q828" s="68"/>
    </row>
    <row r="829" spans="1:17" ht="14.4" x14ac:dyDescent="0.3">
      <c r="A829" s="18" t="s">
        <v>48</v>
      </c>
      <c r="B829" s="18"/>
      <c r="C829" s="16" t="s">
        <v>19</v>
      </c>
      <c r="D829" s="20">
        <f>D778</f>
        <v>0.1163</v>
      </c>
      <c r="E829" s="20">
        <f t="shared" ref="E829:P830" si="42">E778</f>
        <v>0.1163</v>
      </c>
      <c r="F829" s="20">
        <f t="shared" si="42"/>
        <v>0.1163</v>
      </c>
      <c r="G829" s="20">
        <f t="shared" si="42"/>
        <v>0.1163</v>
      </c>
      <c r="H829" s="20">
        <f t="shared" si="42"/>
        <v>0.1163</v>
      </c>
      <c r="I829" s="20">
        <f t="shared" si="42"/>
        <v>0.1163</v>
      </c>
      <c r="J829" s="20">
        <f t="shared" si="42"/>
        <v>0.1163</v>
      </c>
      <c r="K829" s="20">
        <f t="shared" si="42"/>
        <v>0.1163</v>
      </c>
      <c r="L829" s="20">
        <f t="shared" si="42"/>
        <v>0.1163</v>
      </c>
      <c r="M829" s="20">
        <f t="shared" si="42"/>
        <v>0.1163</v>
      </c>
      <c r="N829" s="20">
        <f t="shared" si="42"/>
        <v>0.1163</v>
      </c>
      <c r="O829" s="20">
        <f t="shared" si="42"/>
        <v>0.1163</v>
      </c>
      <c r="P829" s="20">
        <f t="shared" si="42"/>
        <v>0.1163</v>
      </c>
      <c r="Q829" s="68"/>
    </row>
    <row r="830" spans="1:17" ht="14.4" x14ac:dyDescent="0.3">
      <c r="A830" s="18" t="s">
        <v>49</v>
      </c>
      <c r="B830" s="18"/>
      <c r="C830" s="16" t="s">
        <v>19</v>
      </c>
      <c r="D830" s="20">
        <f>D779</f>
        <v>2.5000000000000001E-3</v>
      </c>
      <c r="E830" s="20">
        <f t="shared" si="42"/>
        <v>2.5000000000000001E-3</v>
      </c>
      <c r="F830" s="20">
        <f t="shared" si="42"/>
        <v>2.5000000000000001E-3</v>
      </c>
      <c r="G830" s="20">
        <f t="shared" si="42"/>
        <v>2.5000000000000001E-3</v>
      </c>
      <c r="H830" s="20">
        <f t="shared" si="42"/>
        <v>2.5000000000000001E-3</v>
      </c>
      <c r="I830" s="20">
        <f t="shared" si="42"/>
        <v>2.5000000000000001E-3</v>
      </c>
      <c r="J830" s="20">
        <f t="shared" si="42"/>
        <v>2.5000000000000001E-3</v>
      </c>
      <c r="K830" s="20">
        <f t="shared" si="42"/>
        <v>2.5000000000000001E-3</v>
      </c>
      <c r="L830" s="20">
        <f t="shared" si="42"/>
        <v>2.5000000000000001E-3</v>
      </c>
      <c r="M830" s="20">
        <f t="shared" si="42"/>
        <v>2.5000000000000001E-3</v>
      </c>
      <c r="N830" s="20">
        <f t="shared" si="42"/>
        <v>2.5000000000000001E-3</v>
      </c>
      <c r="O830" s="20">
        <f t="shared" si="42"/>
        <v>2.5000000000000001E-3</v>
      </c>
      <c r="P830" s="20">
        <f t="shared" si="42"/>
        <v>2.5000000000000001E-3</v>
      </c>
      <c r="Q830" s="68"/>
    </row>
    <row r="831" spans="1:17" ht="14.4" x14ac:dyDescent="0.3">
      <c r="A831" s="18" t="s">
        <v>50</v>
      </c>
      <c r="B831" s="18"/>
      <c r="C831" s="16"/>
      <c r="D831" s="20"/>
      <c r="E831" s="20"/>
      <c r="F831" s="20">
        <v>0.1938</v>
      </c>
      <c r="G831" s="20">
        <v>0.1938</v>
      </c>
      <c r="H831" s="20">
        <v>0.1938</v>
      </c>
      <c r="I831" s="20">
        <v>0.1938</v>
      </c>
      <c r="J831" s="20">
        <v>0.1938</v>
      </c>
      <c r="K831" s="20">
        <v>0.1938</v>
      </c>
      <c r="L831" s="20">
        <v>0.1938</v>
      </c>
      <c r="M831" s="20">
        <v>0.1938</v>
      </c>
      <c r="N831" s="20">
        <v>0.1938</v>
      </c>
      <c r="O831" s="20">
        <v>0.1938</v>
      </c>
      <c r="P831" s="20">
        <v>0.1938</v>
      </c>
      <c r="Q831" s="68"/>
    </row>
    <row r="832" spans="1:17" ht="14.4" x14ac:dyDescent="0.3">
      <c r="A832" s="14" t="s">
        <v>52</v>
      </c>
      <c r="B832" s="14"/>
      <c r="C832" s="29"/>
      <c r="D832" s="22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68"/>
    </row>
    <row r="833" spans="1:17" ht="14.4" x14ac:dyDescent="0.3">
      <c r="A833" s="18" t="s">
        <v>53</v>
      </c>
      <c r="B833" s="18"/>
      <c r="C833" s="16" t="s">
        <v>44</v>
      </c>
      <c r="D833" s="30">
        <f>'[41]DU VAT'!D17</f>
        <v>0.10920000000000001</v>
      </c>
      <c r="E833" s="30">
        <f>'[41]DU VAT'!E17</f>
        <v>0.1142</v>
      </c>
      <c r="F833" s="30">
        <f>'[41]DU VAT'!F17</f>
        <v>0.1147</v>
      </c>
      <c r="G833" s="30">
        <f>'[41]DU VAT'!G17</f>
        <v>0.1137</v>
      </c>
      <c r="H833" s="30">
        <f>'[41]DU VAT'!H17</f>
        <v>0.1094</v>
      </c>
      <c r="I833" s="30">
        <f>'[41]DU VAT'!I17</f>
        <v>0.1084</v>
      </c>
      <c r="J833" s="30">
        <f>'[41]DU VAT'!J17</f>
        <v>0.1182</v>
      </c>
      <c r="K833" s="30">
        <f>'[41]DU VAT'!K17</f>
        <v>0.1183</v>
      </c>
      <c r="L833" s="30">
        <f>'[41]DU VAT'!L17</f>
        <v>0.10920000000000001</v>
      </c>
      <c r="M833" s="30">
        <f>'[41]DU VAT'!M17</f>
        <v>0.11840000000000001</v>
      </c>
      <c r="N833" s="30">
        <f>'[41]DU VAT'!N17</f>
        <v>0.10970000000000001</v>
      </c>
      <c r="O833" s="30">
        <f>'[41]DU VAT'!O17</f>
        <v>0.10970000000000001</v>
      </c>
      <c r="P833" s="30" t="e">
        <f>'[41]DU VAT'!P17</f>
        <v>#DIV/0!</v>
      </c>
      <c r="Q833" s="68"/>
    </row>
    <row r="834" spans="1:17" ht="14.4" x14ac:dyDescent="0.3">
      <c r="A834" s="18" t="s">
        <v>54</v>
      </c>
      <c r="B834" s="18"/>
      <c r="C834" s="16" t="s">
        <v>44</v>
      </c>
      <c r="D834" s="30">
        <f t="shared" ref="D834:P839" si="43">D783</f>
        <v>0</v>
      </c>
      <c r="E834" s="30">
        <f t="shared" si="43"/>
        <v>0</v>
      </c>
      <c r="F834" s="30">
        <f t="shared" si="43"/>
        <v>0</v>
      </c>
      <c r="G834" s="30">
        <f t="shared" si="43"/>
        <v>0</v>
      </c>
      <c r="H834" s="30">
        <f t="shared" si="43"/>
        <v>0</v>
      </c>
      <c r="I834" s="30">
        <f t="shared" si="43"/>
        <v>0</v>
      </c>
      <c r="J834" s="30">
        <f t="shared" si="43"/>
        <v>0</v>
      </c>
      <c r="K834" s="30">
        <f t="shared" si="43"/>
        <v>0</v>
      </c>
      <c r="L834" s="30">
        <f t="shared" si="43"/>
        <v>0</v>
      </c>
      <c r="M834" s="30">
        <f t="shared" si="43"/>
        <v>2E-3</v>
      </c>
      <c r="N834" s="30">
        <f t="shared" si="43"/>
        <v>5.9999999999999995E-4</v>
      </c>
      <c r="O834" s="30">
        <f t="shared" si="43"/>
        <v>5.9999999999999984E-4</v>
      </c>
      <c r="P834" s="30" t="e">
        <f t="shared" si="43"/>
        <v>#DIV/0!</v>
      </c>
      <c r="Q834" s="68"/>
    </row>
    <row r="835" spans="1:17" ht="14.4" x14ac:dyDescent="0.3">
      <c r="A835" s="18" t="s">
        <v>55</v>
      </c>
      <c r="B835" s="18"/>
      <c r="C835" s="16" t="s">
        <v>44</v>
      </c>
      <c r="D835" s="30">
        <f t="shared" si="43"/>
        <v>9.4899999999999998E-2</v>
      </c>
      <c r="E835" s="30">
        <f t="shared" si="43"/>
        <v>9.69E-2</v>
      </c>
      <c r="F835" s="30">
        <f t="shared" si="43"/>
        <v>9.8100000000000007E-2</v>
      </c>
      <c r="G835" s="30">
        <f t="shared" si="43"/>
        <v>9.7000000000000003E-2</v>
      </c>
      <c r="H835" s="30">
        <f t="shared" si="43"/>
        <v>9.5899999999999999E-2</v>
      </c>
      <c r="I835" s="30">
        <f t="shared" si="43"/>
        <v>9.4799999999999995E-2</v>
      </c>
      <c r="J835" s="30">
        <f t="shared" si="43"/>
        <v>0.1028</v>
      </c>
      <c r="K835" s="30">
        <f t="shared" si="43"/>
        <v>0.1027</v>
      </c>
      <c r="L835" s="30">
        <f t="shared" si="43"/>
        <v>9.35E-2</v>
      </c>
      <c r="M835" s="30">
        <f t="shared" si="43"/>
        <v>0.1004</v>
      </c>
      <c r="N835" s="30">
        <f t="shared" si="43"/>
        <v>9.4299999999999995E-2</v>
      </c>
      <c r="O835" s="30">
        <f t="shared" si="43"/>
        <v>9.4299999999999995E-2</v>
      </c>
      <c r="P835" s="30" t="e">
        <f t="shared" si="43"/>
        <v>#DIV/0!</v>
      </c>
      <c r="Q835" s="68"/>
    </row>
    <row r="836" spans="1:17" ht="14.4" x14ac:dyDescent="0.3">
      <c r="A836" s="18" t="s">
        <v>187</v>
      </c>
      <c r="B836" s="18"/>
      <c r="C836" s="16" t="s">
        <v>44</v>
      </c>
      <c r="D836" s="27">
        <v>0</v>
      </c>
      <c r="E836" s="27">
        <v>0</v>
      </c>
      <c r="F836" s="27">
        <v>0</v>
      </c>
      <c r="G836" s="27">
        <v>0</v>
      </c>
      <c r="H836" s="27">
        <v>0</v>
      </c>
      <c r="I836" s="27">
        <v>0</v>
      </c>
      <c r="J836" s="27">
        <v>0</v>
      </c>
      <c r="K836" s="27">
        <v>0</v>
      </c>
      <c r="L836" s="27">
        <v>0</v>
      </c>
      <c r="M836" s="27">
        <v>0</v>
      </c>
      <c r="N836" s="27">
        <v>0</v>
      </c>
      <c r="O836" s="27">
        <v>0</v>
      </c>
      <c r="P836" s="27">
        <v>0</v>
      </c>
      <c r="Q836" s="68"/>
    </row>
    <row r="837" spans="1:17" ht="14.4" x14ac:dyDescent="0.3">
      <c r="A837" s="18" t="s">
        <v>188</v>
      </c>
      <c r="B837" s="18"/>
      <c r="C837" s="16" t="s">
        <v>44</v>
      </c>
      <c r="D837" s="30">
        <f t="shared" si="43"/>
        <v>9.8799999999999999E-2</v>
      </c>
      <c r="E837" s="30">
        <f t="shared" si="43"/>
        <v>9.8799999999999999E-2</v>
      </c>
      <c r="F837" s="30">
        <f t="shared" si="43"/>
        <v>9.8799999999999999E-2</v>
      </c>
      <c r="G837" s="30">
        <f t="shared" si="43"/>
        <v>9.8799999999999999E-2</v>
      </c>
      <c r="H837" s="30">
        <f t="shared" si="43"/>
        <v>9.8799999999999999E-2</v>
      </c>
      <c r="I837" s="30">
        <f t="shared" si="43"/>
        <v>9.8799999999999999E-2</v>
      </c>
      <c r="J837" s="30">
        <f t="shared" si="43"/>
        <v>9.8799999999999999E-2</v>
      </c>
      <c r="K837" s="30">
        <f t="shared" si="43"/>
        <v>9.8799999999999999E-2</v>
      </c>
      <c r="L837" s="30">
        <f t="shared" si="43"/>
        <v>9.8799999999999999E-2</v>
      </c>
      <c r="M837" s="30">
        <f t="shared" si="43"/>
        <v>9.8799999999999999E-2</v>
      </c>
      <c r="N837" s="30">
        <f t="shared" si="43"/>
        <v>9.8799999999999999E-2</v>
      </c>
      <c r="O837" s="30">
        <f t="shared" si="43"/>
        <v>9.8799999999999999E-2</v>
      </c>
      <c r="P837" s="30">
        <f t="shared" si="43"/>
        <v>9.8799999999999999E-2</v>
      </c>
      <c r="Q837" s="68"/>
    </row>
    <row r="838" spans="1:17" ht="14.4" x14ac:dyDescent="0.3">
      <c r="A838" s="18" t="s">
        <v>56</v>
      </c>
      <c r="B838" s="18"/>
      <c r="C838" s="16" t="s">
        <v>44</v>
      </c>
      <c r="D838" s="30">
        <f t="shared" si="43"/>
        <v>0.12</v>
      </c>
      <c r="E838" s="30">
        <f t="shared" si="43"/>
        <v>0.12</v>
      </c>
      <c r="F838" s="30">
        <f t="shared" si="43"/>
        <v>0.12</v>
      </c>
      <c r="G838" s="30">
        <f t="shared" si="43"/>
        <v>0.12</v>
      </c>
      <c r="H838" s="30">
        <f t="shared" si="43"/>
        <v>0.12</v>
      </c>
      <c r="I838" s="30">
        <f t="shared" si="43"/>
        <v>0.12</v>
      </c>
      <c r="J838" s="30">
        <f t="shared" si="43"/>
        <v>0.12</v>
      </c>
      <c r="K838" s="30">
        <f t="shared" si="43"/>
        <v>0.12</v>
      </c>
      <c r="L838" s="30">
        <f t="shared" si="43"/>
        <v>0.12</v>
      </c>
      <c r="M838" s="30">
        <f t="shared" si="43"/>
        <v>0.12</v>
      </c>
      <c r="N838" s="30">
        <f t="shared" si="43"/>
        <v>0.12</v>
      </c>
      <c r="O838" s="30">
        <f t="shared" si="43"/>
        <v>0.12</v>
      </c>
      <c r="P838" s="30">
        <f t="shared" si="43"/>
        <v>0.12</v>
      </c>
      <c r="Q838" s="68"/>
    </row>
    <row r="839" spans="1:17" ht="14.4" x14ac:dyDescent="0.3">
      <c r="A839" s="18" t="s">
        <v>57</v>
      </c>
      <c r="B839" s="18"/>
      <c r="C839" s="16" t="s">
        <v>44</v>
      </c>
      <c r="D839" s="30">
        <f t="shared" si="43"/>
        <v>0.12</v>
      </c>
      <c r="E839" s="30">
        <f t="shared" si="43"/>
        <v>0.12</v>
      </c>
      <c r="F839" s="30">
        <f t="shared" si="43"/>
        <v>0.12</v>
      </c>
      <c r="G839" s="30">
        <f t="shared" si="43"/>
        <v>0.12</v>
      </c>
      <c r="H839" s="30">
        <f t="shared" si="43"/>
        <v>0.12</v>
      </c>
      <c r="I839" s="30">
        <f t="shared" si="43"/>
        <v>0.12</v>
      </c>
      <c r="J839" s="30">
        <f t="shared" si="43"/>
        <v>0.12</v>
      </c>
      <c r="K839" s="30">
        <f t="shared" si="43"/>
        <v>0.12</v>
      </c>
      <c r="L839" s="30">
        <f t="shared" si="43"/>
        <v>0.12</v>
      </c>
      <c r="M839" s="30">
        <f t="shared" si="43"/>
        <v>0.12</v>
      </c>
      <c r="N839" s="30">
        <f t="shared" si="43"/>
        <v>0.12</v>
      </c>
      <c r="O839" s="30">
        <f t="shared" si="43"/>
        <v>0.12</v>
      </c>
      <c r="P839" s="30">
        <f t="shared" si="43"/>
        <v>0.12</v>
      </c>
      <c r="Q839" s="68"/>
    </row>
    <row r="840" spans="1:17" s="5" customFormat="1" ht="14.4" x14ac:dyDescent="0.3">
      <c r="A840" s="55"/>
      <c r="B840" s="55"/>
      <c r="C840" s="56"/>
      <c r="D840" s="57"/>
      <c r="E840" s="57"/>
      <c r="F840" s="57"/>
      <c r="G840" s="57"/>
      <c r="H840" s="57"/>
      <c r="I840" s="57"/>
      <c r="J840" s="57"/>
      <c r="K840" s="57"/>
      <c r="L840" s="57"/>
      <c r="M840" s="57"/>
      <c r="N840" s="57"/>
      <c r="O840" s="57"/>
      <c r="P840" s="57"/>
      <c r="Q840" s="68"/>
    </row>
    <row r="841" spans="1:17" x14ac:dyDescent="0.3">
      <c r="A841" s="3" t="s">
        <v>58</v>
      </c>
      <c r="Q841" s="68"/>
    </row>
    <row r="842" spans="1:17" s="5" customFormat="1" ht="14.4" x14ac:dyDescent="0.3">
      <c r="A842" s="55"/>
      <c r="B842" s="55"/>
      <c r="C842" s="56"/>
      <c r="D842" s="57"/>
      <c r="E842" s="57"/>
      <c r="F842" s="57"/>
      <c r="G842" s="57"/>
      <c r="H842" s="57"/>
      <c r="I842" s="57"/>
      <c r="J842" s="57"/>
      <c r="K842" s="57"/>
      <c r="L842" s="57"/>
      <c r="M842" s="57"/>
      <c r="N842" s="57"/>
      <c r="O842" s="57"/>
      <c r="P842" s="57"/>
      <c r="Q842" s="68"/>
    </row>
    <row r="843" spans="1:17" ht="18" x14ac:dyDescent="0.35">
      <c r="A843" s="59" t="str">
        <f>'[41]Statistical data'!A224</f>
        <v>General Power-13.8/13.2 kV</v>
      </c>
      <c r="B843" s="60"/>
      <c r="C843" s="5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68"/>
    </row>
    <row r="844" spans="1:17" s="13" customFormat="1" ht="14.4" x14ac:dyDescent="0.3">
      <c r="A844" s="11" t="s">
        <v>3</v>
      </c>
      <c r="B844" s="11"/>
      <c r="C844" s="11" t="s">
        <v>4</v>
      </c>
      <c r="D844" s="12" t="str">
        <f>D793</f>
        <v>JAN</v>
      </c>
      <c r="E844" s="12" t="str">
        <f t="shared" ref="E844:P844" si="44">E793</f>
        <v>FEB</v>
      </c>
      <c r="F844" s="12" t="str">
        <f t="shared" si="44"/>
        <v>MAR</v>
      </c>
      <c r="G844" s="12" t="str">
        <f t="shared" si="44"/>
        <v>APR</v>
      </c>
      <c r="H844" s="12" t="str">
        <f t="shared" si="44"/>
        <v>MAY</v>
      </c>
      <c r="I844" s="12" t="str">
        <f t="shared" si="44"/>
        <v>JUN</v>
      </c>
      <c r="J844" s="12" t="str">
        <f t="shared" si="44"/>
        <v>JUL</v>
      </c>
      <c r="K844" s="12" t="str">
        <f t="shared" si="44"/>
        <v>AUG</v>
      </c>
      <c r="L844" s="12" t="str">
        <f t="shared" si="44"/>
        <v>SEP</v>
      </c>
      <c r="M844" s="12" t="str">
        <f t="shared" si="44"/>
        <v>OCT</v>
      </c>
      <c r="N844" s="12" t="str">
        <f t="shared" si="44"/>
        <v>NOV</v>
      </c>
      <c r="O844" s="12" t="str">
        <f t="shared" si="44"/>
        <v>DEC</v>
      </c>
      <c r="P844" s="12" t="str">
        <f t="shared" si="44"/>
        <v>JAN</v>
      </c>
      <c r="Q844" s="68"/>
    </row>
    <row r="845" spans="1:17" ht="14.4" x14ac:dyDescent="0.3">
      <c r="A845" s="14" t="s">
        <v>17</v>
      </c>
      <c r="B845" s="15"/>
      <c r="C845" s="16"/>
      <c r="D845" s="17"/>
      <c r="E845" s="17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68"/>
    </row>
    <row r="846" spans="1:17" ht="14.4" x14ac:dyDescent="0.3">
      <c r="A846" s="18" t="s">
        <v>18</v>
      </c>
      <c r="B846" s="19"/>
      <c r="C846" s="16" t="s">
        <v>19</v>
      </c>
      <c r="D846" s="52" t="s">
        <v>59</v>
      </c>
      <c r="E846" s="52" t="s">
        <v>59</v>
      </c>
      <c r="F846" s="52" t="s">
        <v>59</v>
      </c>
      <c r="G846" s="52" t="s">
        <v>59</v>
      </c>
      <c r="H846" s="52" t="s">
        <v>59</v>
      </c>
      <c r="I846" s="52" t="s">
        <v>59</v>
      </c>
      <c r="J846" s="52" t="s">
        <v>59</v>
      </c>
      <c r="K846" s="52" t="s">
        <v>59</v>
      </c>
      <c r="L846" s="52" t="s">
        <v>59</v>
      </c>
      <c r="M846" s="52" t="s">
        <v>59</v>
      </c>
      <c r="N846" s="52" t="s">
        <v>59</v>
      </c>
      <c r="O846" s="52" t="s">
        <v>59</v>
      </c>
      <c r="P846" s="52" t="s">
        <v>59</v>
      </c>
      <c r="Q846" s="68"/>
    </row>
    <row r="847" spans="1:17" ht="14.4" x14ac:dyDescent="0.3">
      <c r="A847" s="18" t="s">
        <v>66</v>
      </c>
      <c r="B847" s="19"/>
      <c r="C847" s="16" t="s">
        <v>19</v>
      </c>
      <c r="D847" s="20">
        <v>0</v>
      </c>
      <c r="E847" s="20">
        <v>0</v>
      </c>
      <c r="F847" s="20">
        <v>0</v>
      </c>
      <c r="G847" s="20">
        <v>0</v>
      </c>
      <c r="H847" s="20">
        <v>0</v>
      </c>
      <c r="I847" s="20">
        <v>0</v>
      </c>
      <c r="J847" s="20">
        <v>0</v>
      </c>
      <c r="K847" s="20">
        <v>0</v>
      </c>
      <c r="L847" s="20">
        <v>0</v>
      </c>
      <c r="M847" s="20">
        <v>0</v>
      </c>
      <c r="N847" s="20">
        <v>0</v>
      </c>
      <c r="O847" s="20">
        <v>0</v>
      </c>
      <c r="P847" s="20">
        <v>0</v>
      </c>
      <c r="Q847" s="68"/>
    </row>
    <row r="848" spans="1:17" ht="14.4" x14ac:dyDescent="0.3">
      <c r="A848" s="14" t="s">
        <v>20</v>
      </c>
      <c r="B848" s="15"/>
      <c r="C848" s="16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68"/>
    </row>
    <row r="849" spans="1:17" ht="14.4" x14ac:dyDescent="0.3">
      <c r="A849" s="18" t="s">
        <v>21</v>
      </c>
      <c r="B849" s="19"/>
      <c r="C849" s="16" t="s">
        <v>19</v>
      </c>
      <c r="D849" s="20">
        <f>D798</f>
        <v>0</v>
      </c>
      <c r="E849" s="20">
        <f t="shared" ref="E849:P850" si="45">E798</f>
        <v>0</v>
      </c>
      <c r="F849" s="20">
        <f t="shared" si="45"/>
        <v>0</v>
      </c>
      <c r="G849" s="20">
        <f t="shared" si="45"/>
        <v>0</v>
      </c>
      <c r="H849" s="20">
        <f t="shared" si="45"/>
        <v>0</v>
      </c>
      <c r="I849" s="20">
        <f t="shared" si="45"/>
        <v>0</v>
      </c>
      <c r="J849" s="20">
        <f t="shared" si="45"/>
        <v>0</v>
      </c>
      <c r="K849" s="20">
        <f t="shared" si="45"/>
        <v>0</v>
      </c>
      <c r="L849" s="20">
        <f t="shared" si="45"/>
        <v>0</v>
      </c>
      <c r="M849" s="20">
        <f t="shared" si="45"/>
        <v>0</v>
      </c>
      <c r="N849" s="20">
        <f t="shared" si="45"/>
        <v>0</v>
      </c>
      <c r="O849" s="20">
        <f t="shared" si="45"/>
        <v>0</v>
      </c>
      <c r="P849" s="20">
        <f t="shared" si="45"/>
        <v>0</v>
      </c>
      <c r="Q849" s="68"/>
    </row>
    <row r="850" spans="1:17" ht="14.4" x14ac:dyDescent="0.3">
      <c r="A850" s="18" t="s">
        <v>22</v>
      </c>
      <c r="B850" s="19"/>
      <c r="C850" s="16" t="s">
        <v>23</v>
      </c>
      <c r="D850" s="23">
        <f>D799</f>
        <v>300.41000000000003</v>
      </c>
      <c r="E850" s="23">
        <f t="shared" si="45"/>
        <v>322.67</v>
      </c>
      <c r="F850" s="23">
        <f t="shared" si="45"/>
        <v>299.64</v>
      </c>
      <c r="G850" s="23">
        <f t="shared" si="45"/>
        <v>301.92</v>
      </c>
      <c r="H850" s="23">
        <f t="shared" si="45"/>
        <v>255.12</v>
      </c>
      <c r="I850" s="23">
        <f t="shared" si="45"/>
        <v>279.33999999999997</v>
      </c>
      <c r="J850" s="23">
        <f t="shared" si="45"/>
        <v>277.19</v>
      </c>
      <c r="K850" s="23">
        <f t="shared" si="45"/>
        <v>286.49</v>
      </c>
      <c r="L850" s="23">
        <f t="shared" si="45"/>
        <v>337.73</v>
      </c>
      <c r="M850" s="23">
        <f t="shared" si="45"/>
        <v>314.89</v>
      </c>
      <c r="N850" s="23">
        <f t="shared" si="45"/>
        <v>337.22</v>
      </c>
      <c r="O850" s="23">
        <f t="shared" si="45"/>
        <v>337.22</v>
      </c>
      <c r="P850" s="23">
        <f t="shared" si="45"/>
        <v>0</v>
      </c>
      <c r="Q850" s="68"/>
    </row>
    <row r="851" spans="1:17" ht="14.4" x14ac:dyDescent="0.3">
      <c r="A851" s="14" t="s">
        <v>24</v>
      </c>
      <c r="B851" s="15"/>
      <c r="C851" s="16"/>
      <c r="D851" s="21"/>
      <c r="E851" s="21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68"/>
    </row>
    <row r="852" spans="1:17" ht="14.4" x14ac:dyDescent="0.3">
      <c r="A852" s="18" t="s">
        <v>25</v>
      </c>
      <c r="B852" s="19"/>
      <c r="C852" s="16" t="s">
        <v>19</v>
      </c>
      <c r="D852" s="20">
        <f>D801</f>
        <v>0.26500000000000001</v>
      </c>
      <c r="E852" s="20">
        <f t="shared" ref="E852:P852" si="46">E801</f>
        <v>0.2288</v>
      </c>
      <c r="F852" s="20">
        <f t="shared" si="46"/>
        <v>0.2319</v>
      </c>
      <c r="G852" s="20">
        <f t="shared" si="46"/>
        <v>0.2447</v>
      </c>
      <c r="H852" s="20">
        <f t="shared" si="46"/>
        <v>0.23769999999999999</v>
      </c>
      <c r="I852" s="20">
        <f t="shared" si="46"/>
        <v>0.23910000000000001</v>
      </c>
      <c r="J852" s="20">
        <f t="shared" si="46"/>
        <v>0.2339</v>
      </c>
      <c r="K852" s="20">
        <f t="shared" si="46"/>
        <v>0.2167</v>
      </c>
      <c r="L852" s="20">
        <f t="shared" si="46"/>
        <v>0.2198</v>
      </c>
      <c r="M852" s="20">
        <f t="shared" si="46"/>
        <v>0.20649999999999999</v>
      </c>
      <c r="N852" s="20">
        <f t="shared" si="46"/>
        <v>0.25230000000000002</v>
      </c>
      <c r="O852" s="20">
        <f t="shared" si="46"/>
        <v>0.25230000000000002</v>
      </c>
      <c r="P852" s="20">
        <f t="shared" si="46"/>
        <v>0</v>
      </c>
      <c r="Q852" s="68"/>
    </row>
    <row r="853" spans="1:17" ht="14.4" x14ac:dyDescent="0.3">
      <c r="A853" s="14" t="s">
        <v>26</v>
      </c>
      <c r="B853" s="14"/>
      <c r="C853" s="16"/>
      <c r="D853" s="22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68"/>
    </row>
    <row r="854" spans="1:17" ht="14.4" x14ac:dyDescent="0.3">
      <c r="A854" s="18" t="s">
        <v>27</v>
      </c>
      <c r="B854" s="18"/>
      <c r="C854" s="16" t="s">
        <v>19</v>
      </c>
      <c r="D854" s="20">
        <f>D803</f>
        <v>0.06</v>
      </c>
      <c r="E854" s="20">
        <f t="shared" ref="E854:P855" si="47">E803</f>
        <v>0.06</v>
      </c>
      <c r="F854" s="20">
        <f t="shared" si="47"/>
        <v>0.06</v>
      </c>
      <c r="G854" s="20">
        <f t="shared" si="47"/>
        <v>0.06</v>
      </c>
      <c r="H854" s="20">
        <f t="shared" si="47"/>
        <v>0.06</v>
      </c>
      <c r="I854" s="20">
        <f t="shared" si="47"/>
        <v>0.06</v>
      </c>
      <c r="J854" s="20">
        <f t="shared" si="47"/>
        <v>6.0900000000000003E-2</v>
      </c>
      <c r="K854" s="20">
        <f t="shared" si="47"/>
        <v>6.0900000000000003E-2</v>
      </c>
      <c r="L854" s="20">
        <f t="shared" si="47"/>
        <v>6.0900000000000003E-2</v>
      </c>
      <c r="M854" s="20">
        <f t="shared" si="47"/>
        <v>6.0900000000000003E-2</v>
      </c>
      <c r="N854" s="20">
        <f t="shared" si="47"/>
        <v>6.0900000000000003E-2</v>
      </c>
      <c r="O854" s="20">
        <f t="shared" si="47"/>
        <v>6.0900000000000003E-2</v>
      </c>
      <c r="P854" s="20">
        <f t="shared" si="47"/>
        <v>6.0900000000000003E-2</v>
      </c>
      <c r="Q854" s="68"/>
    </row>
    <row r="855" spans="1:17" ht="14.4" x14ac:dyDescent="0.3">
      <c r="A855" s="18" t="s">
        <v>28</v>
      </c>
      <c r="B855" s="18"/>
      <c r="C855" s="16" t="s">
        <v>23</v>
      </c>
      <c r="D855" s="23">
        <f>D804</f>
        <v>213.74</v>
      </c>
      <c r="E855" s="23">
        <f t="shared" si="47"/>
        <v>213.74</v>
      </c>
      <c r="F855" s="23">
        <f t="shared" si="47"/>
        <v>213.74</v>
      </c>
      <c r="G855" s="23">
        <f t="shared" si="47"/>
        <v>213.74</v>
      </c>
      <c r="H855" s="23">
        <f t="shared" si="47"/>
        <v>213.74</v>
      </c>
      <c r="I855" s="23">
        <f t="shared" si="47"/>
        <v>213.74</v>
      </c>
      <c r="J855" s="23">
        <f t="shared" si="47"/>
        <v>217.08</v>
      </c>
      <c r="K855" s="23">
        <f t="shared" si="47"/>
        <v>217.08</v>
      </c>
      <c r="L855" s="23">
        <f t="shared" si="47"/>
        <v>217.08</v>
      </c>
      <c r="M855" s="23">
        <f t="shared" si="47"/>
        <v>217.08</v>
      </c>
      <c r="N855" s="23">
        <f t="shared" si="47"/>
        <v>217.08</v>
      </c>
      <c r="O855" s="23">
        <f t="shared" si="47"/>
        <v>217.08</v>
      </c>
      <c r="P855" s="23">
        <f t="shared" si="47"/>
        <v>217.08</v>
      </c>
      <c r="Q855" s="68"/>
    </row>
    <row r="856" spans="1:17" ht="14.4" x14ac:dyDescent="0.3">
      <c r="A856" s="14" t="s">
        <v>29</v>
      </c>
      <c r="B856" s="14"/>
      <c r="C856" s="16"/>
      <c r="D856" s="24"/>
      <c r="E856" s="24"/>
      <c r="F856" s="24"/>
      <c r="G856" s="24"/>
      <c r="H856" s="24"/>
      <c r="I856" s="24"/>
      <c r="J856" s="24"/>
      <c r="K856" s="24"/>
      <c r="L856" s="24"/>
      <c r="M856" s="24"/>
      <c r="N856" s="24"/>
      <c r="O856" s="24"/>
      <c r="P856" s="24"/>
      <c r="Q856" s="68"/>
    </row>
    <row r="857" spans="1:17" ht="14.4" x14ac:dyDescent="0.3">
      <c r="A857" s="18" t="s">
        <v>30</v>
      </c>
      <c r="B857" s="18"/>
      <c r="C857" s="16" t="s">
        <v>19</v>
      </c>
      <c r="D857" s="52" t="s">
        <v>61</v>
      </c>
      <c r="E857" s="52" t="s">
        <v>61</v>
      </c>
      <c r="F857" s="52" t="s">
        <v>61</v>
      </c>
      <c r="G857" s="52" t="s">
        <v>61</v>
      </c>
      <c r="H857" s="52" t="s">
        <v>61</v>
      </c>
      <c r="I857" s="52" t="s">
        <v>61</v>
      </c>
      <c r="J857" s="52" t="s">
        <v>61</v>
      </c>
      <c r="K857" s="52" t="s">
        <v>61</v>
      </c>
      <c r="L857" s="52" t="s">
        <v>61</v>
      </c>
      <c r="M857" s="52" t="s">
        <v>61</v>
      </c>
      <c r="N857" s="52" t="s">
        <v>61</v>
      </c>
      <c r="O857" s="52" t="s">
        <v>61</v>
      </c>
      <c r="P857" s="52" t="s">
        <v>61</v>
      </c>
      <c r="Q857" s="68"/>
    </row>
    <row r="858" spans="1:17" ht="14.4" x14ac:dyDescent="0.3">
      <c r="A858" s="18" t="s">
        <v>31</v>
      </c>
      <c r="B858" s="18"/>
      <c r="C858" s="16" t="s">
        <v>32</v>
      </c>
      <c r="D858" s="52" t="s">
        <v>62</v>
      </c>
      <c r="E858" s="52" t="s">
        <v>62</v>
      </c>
      <c r="F858" s="52" t="s">
        <v>62</v>
      </c>
      <c r="G858" s="52" t="s">
        <v>62</v>
      </c>
      <c r="H858" s="52" t="s">
        <v>62</v>
      </c>
      <c r="I858" s="52" t="s">
        <v>62</v>
      </c>
      <c r="J858" s="52" t="s">
        <v>62</v>
      </c>
      <c r="K858" s="52" t="s">
        <v>62</v>
      </c>
      <c r="L858" s="52" t="s">
        <v>62</v>
      </c>
      <c r="M858" s="52" t="s">
        <v>62</v>
      </c>
      <c r="N858" s="52" t="s">
        <v>62</v>
      </c>
      <c r="O858" s="52" t="s">
        <v>62</v>
      </c>
      <c r="P858" s="52" t="s">
        <v>62</v>
      </c>
      <c r="Q858" s="68"/>
    </row>
    <row r="859" spans="1:17" ht="14.4" x14ac:dyDescent="0.3">
      <c r="A859" s="14" t="s">
        <v>33</v>
      </c>
      <c r="B859" s="14"/>
      <c r="C859" s="16"/>
      <c r="D859" s="24"/>
      <c r="E859" s="24"/>
      <c r="F859" s="24"/>
      <c r="G859" s="24"/>
      <c r="H859" s="24"/>
      <c r="I859" s="24"/>
      <c r="J859" s="24"/>
      <c r="K859" s="24"/>
      <c r="L859" s="24"/>
      <c r="M859" s="24"/>
      <c r="N859" s="24"/>
      <c r="O859" s="24"/>
      <c r="P859" s="24"/>
      <c r="Q859" s="68"/>
    </row>
    <row r="860" spans="1:17" ht="14.4" x14ac:dyDescent="0.3">
      <c r="A860" s="18" t="s">
        <v>34</v>
      </c>
      <c r="B860" s="18"/>
      <c r="C860" s="16" t="s">
        <v>19</v>
      </c>
      <c r="D860" s="20">
        <v>0</v>
      </c>
      <c r="E860" s="20">
        <v>0</v>
      </c>
      <c r="F860" s="20">
        <v>0</v>
      </c>
      <c r="G860" s="20">
        <v>0</v>
      </c>
      <c r="H860" s="20">
        <v>0</v>
      </c>
      <c r="I860" s="20">
        <v>0</v>
      </c>
      <c r="J860" s="20">
        <v>0</v>
      </c>
      <c r="K860" s="20">
        <v>0</v>
      </c>
      <c r="L860" s="20">
        <v>0</v>
      </c>
      <c r="M860" s="20">
        <v>0</v>
      </c>
      <c r="N860" s="20">
        <v>0</v>
      </c>
      <c r="O860" s="20">
        <v>0</v>
      </c>
      <c r="P860" s="20">
        <v>0</v>
      </c>
      <c r="Q860" s="68"/>
    </row>
    <row r="861" spans="1:17" ht="14.4" x14ac:dyDescent="0.3">
      <c r="A861" s="18" t="s">
        <v>35</v>
      </c>
      <c r="B861" s="18"/>
      <c r="C861" s="16" t="s">
        <v>36</v>
      </c>
      <c r="D861" s="52" t="s">
        <v>63</v>
      </c>
      <c r="E861" s="52" t="s">
        <v>63</v>
      </c>
      <c r="F861" s="52" t="s">
        <v>63</v>
      </c>
      <c r="G861" s="52" t="s">
        <v>63</v>
      </c>
      <c r="H861" s="52" t="s">
        <v>63</v>
      </c>
      <c r="I861" s="52" t="s">
        <v>63</v>
      </c>
      <c r="J861" s="52" t="s">
        <v>63</v>
      </c>
      <c r="K861" s="52" t="s">
        <v>63</v>
      </c>
      <c r="L861" s="52" t="s">
        <v>63</v>
      </c>
      <c r="M861" s="52" t="s">
        <v>63</v>
      </c>
      <c r="N861" s="52" t="s">
        <v>63</v>
      </c>
      <c r="O861" s="52" t="s">
        <v>63</v>
      </c>
      <c r="P861" s="52" t="s">
        <v>63</v>
      </c>
      <c r="Q861" s="68"/>
    </row>
    <row r="862" spans="1:17" ht="14.25" customHeight="1" x14ac:dyDescent="0.3">
      <c r="A862" s="14" t="s">
        <v>37</v>
      </c>
      <c r="B862" s="14"/>
      <c r="C862" s="16"/>
      <c r="D862" s="24"/>
      <c r="E862" s="24"/>
      <c r="F862" s="24"/>
      <c r="G862" s="24"/>
      <c r="H862" s="24"/>
      <c r="I862" s="24"/>
      <c r="J862" s="24"/>
      <c r="K862" s="24"/>
      <c r="L862" s="24"/>
      <c r="M862" s="24"/>
      <c r="N862" s="24"/>
      <c r="O862" s="24"/>
      <c r="P862" s="24"/>
      <c r="Q862" s="68"/>
    </row>
    <row r="863" spans="1:17" ht="14.4" x14ac:dyDescent="0.3">
      <c r="A863" s="25" t="s">
        <v>38</v>
      </c>
      <c r="B863" s="18"/>
      <c r="C863" s="16" t="s">
        <v>19</v>
      </c>
      <c r="D863" s="20">
        <f>D812</f>
        <v>0.1333</v>
      </c>
      <c r="E863" s="20">
        <f t="shared" ref="E863:P863" si="48">E812</f>
        <v>0.1497</v>
      </c>
      <c r="F863" s="20">
        <f t="shared" si="48"/>
        <v>0.14410000000000001</v>
      </c>
      <c r="G863" s="20">
        <f t="shared" si="48"/>
        <v>0.15459999999999999</v>
      </c>
      <c r="H863" s="20">
        <f t="shared" si="48"/>
        <v>0.10920000000000001</v>
      </c>
      <c r="I863" s="20">
        <f t="shared" si="48"/>
        <v>0.104</v>
      </c>
      <c r="J863" s="20">
        <f t="shared" si="48"/>
        <v>0.1045</v>
      </c>
      <c r="K863" s="20">
        <f t="shared" si="48"/>
        <v>0.11609999999999999</v>
      </c>
      <c r="L863" s="20">
        <f t="shared" si="48"/>
        <v>0.1091</v>
      </c>
      <c r="M863" s="20">
        <f t="shared" si="48"/>
        <v>0.1138</v>
      </c>
      <c r="N863" s="20">
        <f t="shared" si="48"/>
        <v>0.1173</v>
      </c>
      <c r="O863" s="20">
        <f t="shared" si="48"/>
        <v>0.1173</v>
      </c>
      <c r="P863" s="20">
        <f t="shared" si="48"/>
        <v>0</v>
      </c>
      <c r="Q863" s="68"/>
    </row>
    <row r="864" spans="1:17" ht="14.4" x14ac:dyDescent="0.3">
      <c r="A864" s="25" t="s">
        <v>39</v>
      </c>
      <c r="B864" s="18"/>
      <c r="C864" s="16" t="s">
        <v>19</v>
      </c>
      <c r="D864" s="20">
        <v>0</v>
      </c>
      <c r="E864" s="20">
        <v>0</v>
      </c>
      <c r="F864" s="20">
        <v>0</v>
      </c>
      <c r="G864" s="20">
        <v>0</v>
      </c>
      <c r="H864" s="20">
        <v>0</v>
      </c>
      <c r="I864" s="20">
        <v>0</v>
      </c>
      <c r="J864" s="20">
        <v>0</v>
      </c>
      <c r="K864" s="20">
        <v>0</v>
      </c>
      <c r="L864" s="20">
        <v>0</v>
      </c>
      <c r="M864" s="20">
        <v>0</v>
      </c>
      <c r="N864" s="20">
        <v>0</v>
      </c>
      <c r="O864" s="20">
        <v>0</v>
      </c>
      <c r="P864" s="20">
        <v>0</v>
      </c>
      <c r="Q864" s="68"/>
    </row>
    <row r="865" spans="1:17" ht="14.4" x14ac:dyDescent="0.3">
      <c r="A865" s="25" t="s">
        <v>180</v>
      </c>
      <c r="B865" s="18"/>
      <c r="C865" s="16" t="s">
        <v>19</v>
      </c>
      <c r="D865" s="20">
        <f>D814</f>
        <v>3.1399999999999997E-2</v>
      </c>
      <c r="E865" s="20">
        <f t="shared" ref="E865:P868" si="49">E814</f>
        <v>3.1399999999999997E-2</v>
      </c>
      <c r="F865" s="20">
        <f t="shared" si="49"/>
        <v>3.1399999999999997E-2</v>
      </c>
      <c r="G865" s="20">
        <f t="shared" si="49"/>
        <v>3.1399999999999997E-2</v>
      </c>
      <c r="H865" s="20">
        <f t="shared" si="49"/>
        <v>3.1399999999999997E-2</v>
      </c>
      <c r="I865" s="20">
        <f t="shared" si="49"/>
        <v>3.1399999999999997E-2</v>
      </c>
      <c r="J865" s="20">
        <f t="shared" si="49"/>
        <v>3.1399999999999997E-2</v>
      </c>
      <c r="K865" s="20">
        <f t="shared" si="49"/>
        <v>3.1399999999999997E-2</v>
      </c>
      <c r="L865" s="20">
        <f t="shared" si="49"/>
        <v>3.1399999999999997E-2</v>
      </c>
      <c r="M865" s="20">
        <f t="shared" si="49"/>
        <v>3.1399999999999997E-2</v>
      </c>
      <c r="N865" s="20">
        <f t="shared" si="49"/>
        <v>3.1399999999999997E-2</v>
      </c>
      <c r="O865" s="20">
        <f t="shared" si="49"/>
        <v>3.1399999999999997E-2</v>
      </c>
      <c r="P865" s="20">
        <f t="shared" si="49"/>
        <v>3.1399999999999997E-2</v>
      </c>
      <c r="Q865" s="68"/>
    </row>
    <row r="866" spans="1:17" ht="14.4" x14ac:dyDescent="0.3">
      <c r="A866" s="26" t="s">
        <v>40</v>
      </c>
      <c r="B866" s="18"/>
      <c r="C866" s="16" t="s">
        <v>19</v>
      </c>
      <c r="D866" s="20">
        <f>D815</f>
        <v>1E-4</v>
      </c>
      <c r="E866" s="20">
        <f t="shared" si="49"/>
        <v>1E-4</v>
      </c>
      <c r="F866" s="20">
        <f t="shared" si="49"/>
        <v>1E-4</v>
      </c>
      <c r="G866" s="20">
        <f t="shared" si="49"/>
        <v>1E-4</v>
      </c>
      <c r="H866" s="20">
        <f t="shared" si="49"/>
        <v>1E-4</v>
      </c>
      <c r="I866" s="20">
        <f t="shared" si="49"/>
        <v>1E-4</v>
      </c>
      <c r="J866" s="20">
        <f t="shared" si="49"/>
        <v>1E-4</v>
      </c>
      <c r="K866" s="20">
        <f t="shared" si="49"/>
        <v>1E-4</v>
      </c>
      <c r="L866" s="20">
        <f t="shared" si="49"/>
        <v>1E-4</v>
      </c>
      <c r="M866" s="20">
        <f t="shared" si="49"/>
        <v>1E-4</v>
      </c>
      <c r="N866" s="20">
        <f t="shared" si="49"/>
        <v>1E-4</v>
      </c>
      <c r="O866" s="20">
        <f t="shared" si="49"/>
        <v>1E-4</v>
      </c>
      <c r="P866" s="20">
        <f t="shared" si="49"/>
        <v>0</v>
      </c>
      <c r="Q866" s="68"/>
    </row>
    <row r="867" spans="1:17" ht="14.4" x14ac:dyDescent="0.3">
      <c r="A867" s="26" t="s">
        <v>41</v>
      </c>
      <c r="B867" s="18"/>
      <c r="C867" s="16" t="s">
        <v>19</v>
      </c>
      <c r="D867" s="20">
        <f>D816</f>
        <v>0</v>
      </c>
      <c r="E867" s="20">
        <f t="shared" si="49"/>
        <v>0</v>
      </c>
      <c r="F867" s="20">
        <f t="shared" si="49"/>
        <v>0</v>
      </c>
      <c r="G867" s="20">
        <f t="shared" si="49"/>
        <v>0</v>
      </c>
      <c r="H867" s="20">
        <f t="shared" si="49"/>
        <v>0</v>
      </c>
      <c r="I867" s="20">
        <f t="shared" si="49"/>
        <v>0</v>
      </c>
      <c r="J867" s="20">
        <f t="shared" si="49"/>
        <v>0</v>
      </c>
      <c r="K867" s="20">
        <f t="shared" si="49"/>
        <v>0</v>
      </c>
      <c r="L867" s="20">
        <f t="shared" si="49"/>
        <v>0</v>
      </c>
      <c r="M867" s="20">
        <f t="shared" si="49"/>
        <v>0</v>
      </c>
      <c r="N867" s="20">
        <f t="shared" si="49"/>
        <v>0</v>
      </c>
      <c r="O867" s="20">
        <f t="shared" si="49"/>
        <v>0</v>
      </c>
      <c r="P867" s="20">
        <f t="shared" si="49"/>
        <v>0</v>
      </c>
      <c r="Q867" s="68"/>
    </row>
    <row r="868" spans="1:17" ht="14.4" x14ac:dyDescent="0.3">
      <c r="A868" s="154" t="s">
        <v>181</v>
      </c>
      <c r="B868" s="155"/>
      <c r="C868" s="16" t="s">
        <v>19</v>
      </c>
      <c r="D868" s="20">
        <f>D817</f>
        <v>1.03E-2</v>
      </c>
      <c r="E868" s="20">
        <f t="shared" si="49"/>
        <v>1.03E-2</v>
      </c>
      <c r="F868" s="20">
        <f t="shared" si="49"/>
        <v>1.03E-2</v>
      </c>
      <c r="G868" s="20">
        <f t="shared" si="49"/>
        <v>2.5999999999999999E-3</v>
      </c>
      <c r="H868" s="20">
        <f t="shared" si="49"/>
        <v>0</v>
      </c>
      <c r="I868" s="20">
        <f t="shared" si="49"/>
        <v>0</v>
      </c>
      <c r="J868" s="20">
        <f t="shared" si="49"/>
        <v>0</v>
      </c>
      <c r="K868" s="20">
        <f t="shared" si="49"/>
        <v>0</v>
      </c>
      <c r="L868" s="20">
        <f t="shared" si="49"/>
        <v>0</v>
      </c>
      <c r="M868" s="20">
        <f t="shared" si="49"/>
        <v>0</v>
      </c>
      <c r="N868" s="20">
        <f t="shared" si="49"/>
        <v>0</v>
      </c>
      <c r="O868" s="20">
        <f t="shared" si="49"/>
        <v>0</v>
      </c>
      <c r="P868" s="20">
        <f t="shared" si="49"/>
        <v>0</v>
      </c>
      <c r="Q868" s="68"/>
    </row>
    <row r="869" spans="1:17" ht="16.2" hidden="1" x14ac:dyDescent="0.3">
      <c r="A869" s="154" t="s">
        <v>182</v>
      </c>
      <c r="B869" s="155"/>
      <c r="C869" s="16" t="s">
        <v>19</v>
      </c>
      <c r="D869" s="20"/>
      <c r="E869" s="20"/>
      <c r="F869" s="20"/>
      <c r="G869" s="20"/>
      <c r="H869" s="20"/>
      <c r="I869" s="20"/>
      <c r="J869" s="20"/>
      <c r="K869" s="20"/>
      <c r="L869" s="20"/>
      <c r="M869" s="20"/>
      <c r="N869" s="20"/>
      <c r="O869" s="20"/>
      <c r="P869" s="20"/>
      <c r="Q869" s="68"/>
    </row>
    <row r="870" spans="1:17" ht="16.2" hidden="1" x14ac:dyDescent="0.3">
      <c r="A870" s="154" t="s">
        <v>182</v>
      </c>
      <c r="B870" s="156"/>
      <c r="C870" s="16" t="s">
        <v>19</v>
      </c>
      <c r="D870" s="20"/>
      <c r="E870" s="20"/>
      <c r="F870" s="20"/>
      <c r="G870" s="20"/>
      <c r="H870" s="20"/>
      <c r="I870" s="20"/>
      <c r="J870" s="20"/>
      <c r="K870" s="20"/>
      <c r="L870" s="20"/>
      <c r="M870" s="20"/>
      <c r="N870" s="20"/>
      <c r="O870" s="20"/>
      <c r="P870" s="20"/>
      <c r="Q870" s="68"/>
    </row>
    <row r="871" spans="1:17" ht="14.4" x14ac:dyDescent="0.3">
      <c r="A871" s="14" t="s">
        <v>42</v>
      </c>
      <c r="B871" s="14"/>
      <c r="C871" s="16"/>
      <c r="D871" s="24"/>
      <c r="E871" s="24"/>
      <c r="F871" s="24"/>
      <c r="G871" s="24"/>
      <c r="H871" s="24"/>
      <c r="I871" s="24"/>
      <c r="J871" s="24"/>
      <c r="K871" s="24"/>
      <c r="L871" s="24"/>
      <c r="M871" s="24"/>
      <c r="N871" s="24"/>
      <c r="O871" s="24"/>
      <c r="P871" s="24"/>
      <c r="Q871" s="68"/>
    </row>
    <row r="872" spans="1:17" ht="14.4" x14ac:dyDescent="0.3">
      <c r="A872" s="14" t="s">
        <v>43</v>
      </c>
      <c r="B872" s="14"/>
      <c r="C872" s="16" t="s">
        <v>44</v>
      </c>
      <c r="D872" s="27"/>
      <c r="E872" s="27"/>
      <c r="F872" s="27"/>
      <c r="G872" s="27"/>
      <c r="H872" s="27"/>
      <c r="I872" s="27"/>
      <c r="J872" s="27"/>
      <c r="K872" s="27"/>
      <c r="L872" s="27"/>
      <c r="M872" s="27"/>
      <c r="N872" s="27"/>
      <c r="O872" s="27"/>
      <c r="P872" s="27"/>
      <c r="Q872" s="68"/>
    </row>
    <row r="873" spans="1:17" ht="14.4" hidden="1" x14ac:dyDescent="0.3">
      <c r="A873" s="14" t="s">
        <v>183</v>
      </c>
      <c r="B873" s="14"/>
      <c r="C873" s="16"/>
      <c r="D873" s="28"/>
      <c r="E873" s="28"/>
      <c r="F873" s="28"/>
      <c r="G873" s="28"/>
      <c r="H873" s="28"/>
      <c r="I873" s="28"/>
      <c r="J873" s="28"/>
      <c r="K873" s="28"/>
      <c r="L873" s="28"/>
      <c r="M873" s="28"/>
      <c r="N873" s="28"/>
      <c r="O873" s="28"/>
      <c r="P873" s="28"/>
      <c r="Q873" s="68"/>
    </row>
    <row r="874" spans="1:17" ht="14.4" hidden="1" x14ac:dyDescent="0.3">
      <c r="A874" s="14" t="s">
        <v>184</v>
      </c>
      <c r="B874" s="14"/>
      <c r="C874" s="16" t="s">
        <v>19</v>
      </c>
      <c r="D874" s="20"/>
      <c r="E874" s="20"/>
      <c r="F874" s="20"/>
      <c r="G874" s="20"/>
      <c r="H874" s="20"/>
      <c r="I874" s="20"/>
      <c r="J874" s="20"/>
      <c r="K874" s="20"/>
      <c r="L874" s="20"/>
      <c r="M874" s="20"/>
      <c r="N874" s="20"/>
      <c r="O874" s="20"/>
      <c r="P874" s="20"/>
      <c r="Q874" s="68"/>
    </row>
    <row r="875" spans="1:17" ht="14.4" x14ac:dyDescent="0.3">
      <c r="A875" s="14" t="s">
        <v>45</v>
      </c>
      <c r="B875" s="14"/>
      <c r="C875" s="16"/>
      <c r="D875" s="28"/>
      <c r="E875" s="28"/>
      <c r="F875" s="28"/>
      <c r="G875" s="28"/>
      <c r="H875" s="28"/>
      <c r="I875" s="28"/>
      <c r="J875" s="28"/>
      <c r="K875" s="28"/>
      <c r="L875" s="28"/>
      <c r="M875" s="28"/>
      <c r="N875" s="28"/>
      <c r="O875" s="28"/>
      <c r="P875" s="28"/>
      <c r="Q875" s="68"/>
    </row>
    <row r="876" spans="1:17" ht="14.4" x14ac:dyDescent="0.3">
      <c r="A876" s="14" t="s">
        <v>46</v>
      </c>
      <c r="B876" s="14"/>
      <c r="C876" s="16" t="s">
        <v>19</v>
      </c>
      <c r="D876" s="20">
        <v>0</v>
      </c>
      <c r="E876" s="20">
        <v>0</v>
      </c>
      <c r="F876" s="20">
        <v>0</v>
      </c>
      <c r="G876" s="20">
        <v>0</v>
      </c>
      <c r="H876" s="20">
        <v>0</v>
      </c>
      <c r="I876" s="20">
        <v>0</v>
      </c>
      <c r="J876" s="20">
        <v>0</v>
      </c>
      <c r="K876" s="20">
        <v>0</v>
      </c>
      <c r="L876" s="20">
        <v>0</v>
      </c>
      <c r="M876" s="20">
        <v>0</v>
      </c>
      <c r="N876" s="20">
        <v>0</v>
      </c>
      <c r="O876" s="20">
        <v>0</v>
      </c>
      <c r="P876" s="20">
        <v>0</v>
      </c>
      <c r="Q876" s="68"/>
    </row>
    <row r="877" spans="1:17" ht="14.4" hidden="1" x14ac:dyDescent="0.3">
      <c r="A877" s="14" t="s">
        <v>185</v>
      </c>
      <c r="B877" s="14"/>
      <c r="C877" s="16"/>
      <c r="D877" s="28"/>
      <c r="E877" s="28"/>
      <c r="F877" s="28"/>
      <c r="G877" s="28"/>
      <c r="H877" s="28"/>
      <c r="I877" s="28"/>
      <c r="J877" s="28"/>
      <c r="K877" s="28"/>
      <c r="L877" s="28"/>
      <c r="M877" s="28"/>
      <c r="N877" s="28"/>
      <c r="O877" s="28"/>
      <c r="P877" s="28"/>
      <c r="Q877" s="68"/>
    </row>
    <row r="878" spans="1:17" ht="14.4" hidden="1" x14ac:dyDescent="0.3">
      <c r="A878" s="14" t="s">
        <v>186</v>
      </c>
      <c r="B878" s="14"/>
      <c r="C878" s="16" t="s">
        <v>19</v>
      </c>
      <c r="D878" s="20"/>
      <c r="E878" s="20"/>
      <c r="F878" s="20"/>
      <c r="G878" s="20"/>
      <c r="H878" s="20"/>
      <c r="I878" s="20"/>
      <c r="J878" s="20"/>
      <c r="K878" s="20"/>
      <c r="L878" s="20"/>
      <c r="M878" s="20"/>
      <c r="N878" s="20"/>
      <c r="O878" s="20"/>
      <c r="P878" s="20"/>
      <c r="Q878" s="68"/>
    </row>
    <row r="879" spans="1:17" ht="14.4" x14ac:dyDescent="0.3">
      <c r="A879" s="14" t="s">
        <v>47</v>
      </c>
      <c r="B879" s="14"/>
      <c r="C879" s="16"/>
      <c r="D879" s="24"/>
      <c r="E879" s="24"/>
      <c r="F879" s="24"/>
      <c r="G879" s="24"/>
      <c r="H879" s="24"/>
      <c r="I879" s="24"/>
      <c r="J879" s="24"/>
      <c r="K879" s="24"/>
      <c r="L879" s="24"/>
      <c r="M879" s="24"/>
      <c r="N879" s="24"/>
      <c r="O879" s="24"/>
      <c r="P879" s="24"/>
      <c r="Q879" s="68"/>
    </row>
    <row r="880" spans="1:17" ht="14.4" x14ac:dyDescent="0.3">
      <c r="A880" s="18" t="s">
        <v>48</v>
      </c>
      <c r="B880" s="18"/>
      <c r="C880" s="16" t="s">
        <v>19</v>
      </c>
      <c r="D880" s="20">
        <f>D829</f>
        <v>0.1163</v>
      </c>
      <c r="E880" s="20">
        <f t="shared" ref="E880:P881" si="50">E829</f>
        <v>0.1163</v>
      </c>
      <c r="F880" s="20">
        <f t="shared" si="50"/>
        <v>0.1163</v>
      </c>
      <c r="G880" s="20">
        <f t="shared" si="50"/>
        <v>0.1163</v>
      </c>
      <c r="H880" s="20">
        <f t="shared" si="50"/>
        <v>0.1163</v>
      </c>
      <c r="I880" s="20">
        <f t="shared" si="50"/>
        <v>0.1163</v>
      </c>
      <c r="J880" s="20">
        <f t="shared" si="50"/>
        <v>0.1163</v>
      </c>
      <c r="K880" s="20">
        <f t="shared" si="50"/>
        <v>0.1163</v>
      </c>
      <c r="L880" s="20">
        <f t="shared" si="50"/>
        <v>0.1163</v>
      </c>
      <c r="M880" s="20">
        <f t="shared" si="50"/>
        <v>0.1163</v>
      </c>
      <c r="N880" s="20">
        <f t="shared" si="50"/>
        <v>0.1163</v>
      </c>
      <c r="O880" s="20">
        <f t="shared" si="50"/>
        <v>0.1163</v>
      </c>
      <c r="P880" s="20">
        <f t="shared" si="50"/>
        <v>0.1163</v>
      </c>
      <c r="Q880" s="68"/>
    </row>
    <row r="881" spans="1:17" ht="14.4" x14ac:dyDescent="0.3">
      <c r="A881" s="18" t="s">
        <v>49</v>
      </c>
      <c r="B881" s="18"/>
      <c r="C881" s="16" t="s">
        <v>19</v>
      </c>
      <c r="D881" s="20">
        <f>D830</f>
        <v>2.5000000000000001E-3</v>
      </c>
      <c r="E881" s="20">
        <f t="shared" si="50"/>
        <v>2.5000000000000001E-3</v>
      </c>
      <c r="F881" s="20">
        <f t="shared" si="50"/>
        <v>2.5000000000000001E-3</v>
      </c>
      <c r="G881" s="20">
        <f t="shared" si="50"/>
        <v>2.5000000000000001E-3</v>
      </c>
      <c r="H881" s="20">
        <f t="shared" si="50"/>
        <v>2.5000000000000001E-3</v>
      </c>
      <c r="I881" s="20">
        <f t="shared" si="50"/>
        <v>2.5000000000000001E-3</v>
      </c>
      <c r="J881" s="20">
        <f t="shared" si="50"/>
        <v>2.5000000000000001E-3</v>
      </c>
      <c r="K881" s="20">
        <f t="shared" si="50"/>
        <v>2.5000000000000001E-3</v>
      </c>
      <c r="L881" s="20">
        <f t="shared" si="50"/>
        <v>2.5000000000000001E-3</v>
      </c>
      <c r="M881" s="20">
        <f t="shared" si="50"/>
        <v>2.5000000000000001E-3</v>
      </c>
      <c r="N881" s="20">
        <f t="shared" si="50"/>
        <v>2.5000000000000001E-3</v>
      </c>
      <c r="O881" s="20">
        <f t="shared" si="50"/>
        <v>2.5000000000000001E-3</v>
      </c>
      <c r="P881" s="20">
        <f t="shared" si="50"/>
        <v>2.5000000000000001E-3</v>
      </c>
      <c r="Q881" s="68"/>
    </row>
    <row r="882" spans="1:17" ht="14.4" x14ac:dyDescent="0.3">
      <c r="A882" s="18" t="s">
        <v>50</v>
      </c>
      <c r="B882" s="18"/>
      <c r="C882" s="16"/>
      <c r="D882" s="20"/>
      <c r="E882" s="20"/>
      <c r="F882" s="20">
        <v>0.1938</v>
      </c>
      <c r="G882" s="20">
        <v>0.1938</v>
      </c>
      <c r="H882" s="20">
        <v>0.1938</v>
      </c>
      <c r="I882" s="20">
        <v>0.1938</v>
      </c>
      <c r="J882" s="20">
        <v>0.1938</v>
      </c>
      <c r="K882" s="20">
        <v>0.1938</v>
      </c>
      <c r="L882" s="20">
        <v>0.1938</v>
      </c>
      <c r="M882" s="20">
        <v>0.1938</v>
      </c>
      <c r="N882" s="20">
        <v>0.1938</v>
      </c>
      <c r="O882" s="20">
        <v>0.1938</v>
      </c>
      <c r="P882" s="20">
        <v>0.1938</v>
      </c>
      <c r="Q882" s="68"/>
    </row>
    <row r="883" spans="1:17" ht="14.4" x14ac:dyDescent="0.3">
      <c r="A883" s="14" t="s">
        <v>52</v>
      </c>
      <c r="B883" s="14"/>
      <c r="C883" s="29"/>
      <c r="D883" s="22"/>
      <c r="E883" s="22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68"/>
    </row>
    <row r="884" spans="1:17" ht="14.4" x14ac:dyDescent="0.3">
      <c r="A884" s="18" t="s">
        <v>53</v>
      </c>
      <c r="B884" s="18"/>
      <c r="C884" s="16" t="s">
        <v>44</v>
      </c>
      <c r="D884" s="52" t="s">
        <v>189</v>
      </c>
      <c r="E884" s="30">
        <f>'[41]DU VAT'!E17</f>
        <v>0.1142</v>
      </c>
      <c r="F884" s="30">
        <f>'[41]DU VAT'!F17</f>
        <v>0.1147</v>
      </c>
      <c r="G884" s="30">
        <f>'[41]DU VAT'!G17</f>
        <v>0.1137</v>
      </c>
      <c r="H884" s="30">
        <f>'[41]DU VAT'!H17</f>
        <v>0.1094</v>
      </c>
      <c r="I884" s="30">
        <f>'[41]DU VAT'!I17</f>
        <v>0.1084</v>
      </c>
      <c r="J884" s="30">
        <f>'[41]DU VAT'!J17</f>
        <v>0.1182</v>
      </c>
      <c r="K884" s="30">
        <f>'[41]DU VAT'!K17</f>
        <v>0.1183</v>
      </c>
      <c r="L884" s="30">
        <f>'[41]DU VAT'!L17</f>
        <v>0.10920000000000001</v>
      </c>
      <c r="M884" s="30">
        <f>'[41]DU VAT'!M17</f>
        <v>0.11840000000000001</v>
      </c>
      <c r="N884" s="30">
        <f>'[41]DU VAT'!N17</f>
        <v>0.10970000000000001</v>
      </c>
      <c r="O884" s="30">
        <f>'[41]DU VAT'!O17</f>
        <v>0.10970000000000001</v>
      </c>
      <c r="P884" s="30" t="e">
        <f>'[41]DU VAT'!P17</f>
        <v>#DIV/0!</v>
      </c>
      <c r="Q884" s="68"/>
    </row>
    <row r="885" spans="1:17" ht="14.4" x14ac:dyDescent="0.3">
      <c r="A885" s="18" t="s">
        <v>54</v>
      </c>
      <c r="B885" s="18"/>
      <c r="C885" s="16" t="s">
        <v>44</v>
      </c>
      <c r="D885" s="30">
        <f t="shared" ref="D885:P890" si="51">D834</f>
        <v>0</v>
      </c>
      <c r="E885" s="30">
        <f t="shared" si="51"/>
        <v>0</v>
      </c>
      <c r="F885" s="30">
        <f t="shared" si="51"/>
        <v>0</v>
      </c>
      <c r="G885" s="30">
        <f t="shared" si="51"/>
        <v>0</v>
      </c>
      <c r="H885" s="30">
        <f t="shared" si="51"/>
        <v>0</v>
      </c>
      <c r="I885" s="30">
        <f t="shared" si="51"/>
        <v>0</v>
      </c>
      <c r="J885" s="30">
        <f t="shared" si="51"/>
        <v>0</v>
      </c>
      <c r="K885" s="30">
        <f t="shared" si="51"/>
        <v>0</v>
      </c>
      <c r="L885" s="30">
        <f t="shared" si="51"/>
        <v>0</v>
      </c>
      <c r="M885" s="30">
        <f t="shared" si="51"/>
        <v>2E-3</v>
      </c>
      <c r="N885" s="30">
        <f t="shared" si="51"/>
        <v>5.9999999999999995E-4</v>
      </c>
      <c r="O885" s="30">
        <f t="shared" si="51"/>
        <v>5.9999999999999984E-4</v>
      </c>
      <c r="P885" s="30" t="e">
        <f t="shared" si="51"/>
        <v>#DIV/0!</v>
      </c>
      <c r="Q885" s="68"/>
    </row>
    <row r="886" spans="1:17" ht="14.4" x14ac:dyDescent="0.3">
      <c r="A886" s="18" t="s">
        <v>55</v>
      </c>
      <c r="B886" s="18"/>
      <c r="C886" s="16" t="s">
        <v>44</v>
      </c>
      <c r="D886" s="30">
        <f t="shared" si="51"/>
        <v>9.4899999999999998E-2</v>
      </c>
      <c r="E886" s="30">
        <f t="shared" si="51"/>
        <v>9.69E-2</v>
      </c>
      <c r="F886" s="30">
        <f t="shared" si="51"/>
        <v>9.8100000000000007E-2</v>
      </c>
      <c r="G886" s="30">
        <f t="shared" si="51"/>
        <v>9.7000000000000003E-2</v>
      </c>
      <c r="H886" s="30">
        <f t="shared" si="51"/>
        <v>9.5899999999999999E-2</v>
      </c>
      <c r="I886" s="30">
        <f t="shared" si="51"/>
        <v>9.4799999999999995E-2</v>
      </c>
      <c r="J886" s="30">
        <f t="shared" si="51"/>
        <v>0.1028</v>
      </c>
      <c r="K886" s="30">
        <f t="shared" si="51"/>
        <v>0.1027</v>
      </c>
      <c r="L886" s="30">
        <f t="shared" si="51"/>
        <v>9.35E-2</v>
      </c>
      <c r="M886" s="30">
        <f t="shared" si="51"/>
        <v>0.1004</v>
      </c>
      <c r="N886" s="30">
        <f t="shared" si="51"/>
        <v>9.4299999999999995E-2</v>
      </c>
      <c r="O886" s="30">
        <f t="shared" si="51"/>
        <v>9.4299999999999995E-2</v>
      </c>
      <c r="P886" s="30" t="e">
        <f t="shared" si="51"/>
        <v>#DIV/0!</v>
      </c>
      <c r="Q886" s="68"/>
    </row>
    <row r="887" spans="1:17" ht="14.4" x14ac:dyDescent="0.3">
      <c r="A887" s="18" t="s">
        <v>187</v>
      </c>
      <c r="B887" s="18"/>
      <c r="C887" s="16" t="s">
        <v>44</v>
      </c>
      <c r="D887" s="27">
        <v>0</v>
      </c>
      <c r="E887" s="27">
        <v>0</v>
      </c>
      <c r="F887" s="27">
        <v>0</v>
      </c>
      <c r="G887" s="27">
        <v>0</v>
      </c>
      <c r="H887" s="27">
        <v>0</v>
      </c>
      <c r="I887" s="27">
        <v>0</v>
      </c>
      <c r="J887" s="27">
        <v>0</v>
      </c>
      <c r="K887" s="27">
        <v>0</v>
      </c>
      <c r="L887" s="27">
        <v>0</v>
      </c>
      <c r="M887" s="27">
        <v>0</v>
      </c>
      <c r="N887" s="27">
        <v>0</v>
      </c>
      <c r="O887" s="27">
        <v>0</v>
      </c>
      <c r="P887" s="27">
        <v>0</v>
      </c>
      <c r="Q887" s="68"/>
    </row>
    <row r="888" spans="1:17" ht="14.4" x14ac:dyDescent="0.3">
      <c r="A888" s="18" t="s">
        <v>188</v>
      </c>
      <c r="B888" s="18"/>
      <c r="C888" s="16" t="s">
        <v>44</v>
      </c>
      <c r="D888" s="30">
        <f t="shared" si="51"/>
        <v>9.8799999999999999E-2</v>
      </c>
      <c r="E888" s="30">
        <f t="shared" si="51"/>
        <v>9.8799999999999999E-2</v>
      </c>
      <c r="F888" s="30">
        <f t="shared" si="51"/>
        <v>9.8799999999999999E-2</v>
      </c>
      <c r="G888" s="30">
        <f t="shared" si="51"/>
        <v>9.8799999999999999E-2</v>
      </c>
      <c r="H888" s="30">
        <f t="shared" si="51"/>
        <v>9.8799999999999999E-2</v>
      </c>
      <c r="I888" s="30">
        <f t="shared" si="51"/>
        <v>9.8799999999999999E-2</v>
      </c>
      <c r="J888" s="30">
        <f t="shared" si="51"/>
        <v>9.8799999999999999E-2</v>
      </c>
      <c r="K888" s="30">
        <f t="shared" si="51"/>
        <v>9.8799999999999999E-2</v>
      </c>
      <c r="L888" s="30">
        <f t="shared" si="51"/>
        <v>9.8799999999999999E-2</v>
      </c>
      <c r="M888" s="30">
        <f t="shared" si="51"/>
        <v>9.8799999999999999E-2</v>
      </c>
      <c r="N888" s="30">
        <f t="shared" si="51"/>
        <v>9.8799999999999999E-2</v>
      </c>
      <c r="O888" s="30">
        <f t="shared" si="51"/>
        <v>9.8799999999999999E-2</v>
      </c>
      <c r="P888" s="30">
        <f t="shared" si="51"/>
        <v>9.8799999999999999E-2</v>
      </c>
      <c r="Q888" s="68"/>
    </row>
    <row r="889" spans="1:17" ht="14.4" x14ac:dyDescent="0.3">
      <c r="A889" s="18" t="s">
        <v>56</v>
      </c>
      <c r="B889" s="18"/>
      <c r="C889" s="16" t="s">
        <v>44</v>
      </c>
      <c r="D889" s="30">
        <f t="shared" si="51"/>
        <v>0.12</v>
      </c>
      <c r="E889" s="30">
        <f t="shared" si="51"/>
        <v>0.12</v>
      </c>
      <c r="F889" s="30">
        <f t="shared" si="51"/>
        <v>0.12</v>
      </c>
      <c r="G889" s="30">
        <f t="shared" si="51"/>
        <v>0.12</v>
      </c>
      <c r="H889" s="30">
        <f t="shared" si="51"/>
        <v>0.12</v>
      </c>
      <c r="I889" s="30">
        <f t="shared" si="51"/>
        <v>0.12</v>
      </c>
      <c r="J889" s="30">
        <f t="shared" si="51"/>
        <v>0.12</v>
      </c>
      <c r="K889" s="30">
        <f t="shared" si="51"/>
        <v>0.12</v>
      </c>
      <c r="L889" s="30">
        <f t="shared" si="51"/>
        <v>0.12</v>
      </c>
      <c r="M889" s="30">
        <f t="shared" si="51"/>
        <v>0.12</v>
      </c>
      <c r="N889" s="30">
        <f t="shared" si="51"/>
        <v>0.12</v>
      </c>
      <c r="O889" s="30">
        <f t="shared" si="51"/>
        <v>0.12</v>
      </c>
      <c r="P889" s="30">
        <f t="shared" si="51"/>
        <v>0.12</v>
      </c>
      <c r="Q889" s="68"/>
    </row>
    <row r="890" spans="1:17" ht="14.4" x14ac:dyDescent="0.3">
      <c r="A890" s="18" t="s">
        <v>57</v>
      </c>
      <c r="B890" s="18"/>
      <c r="C890" s="16" t="s">
        <v>44</v>
      </c>
      <c r="D890" s="30">
        <f t="shared" si="51"/>
        <v>0.12</v>
      </c>
      <c r="E890" s="30">
        <f t="shared" si="51"/>
        <v>0.12</v>
      </c>
      <c r="F890" s="30">
        <f t="shared" si="51"/>
        <v>0.12</v>
      </c>
      <c r="G890" s="30">
        <f t="shared" si="51"/>
        <v>0.12</v>
      </c>
      <c r="H890" s="30">
        <f t="shared" si="51"/>
        <v>0.12</v>
      </c>
      <c r="I890" s="30">
        <f t="shared" si="51"/>
        <v>0.12</v>
      </c>
      <c r="J890" s="30">
        <f t="shared" si="51"/>
        <v>0.12</v>
      </c>
      <c r="K890" s="30">
        <f t="shared" si="51"/>
        <v>0.12</v>
      </c>
      <c r="L890" s="30">
        <f t="shared" si="51"/>
        <v>0.12</v>
      </c>
      <c r="M890" s="30">
        <f t="shared" si="51"/>
        <v>0.12</v>
      </c>
      <c r="N890" s="30">
        <f t="shared" si="51"/>
        <v>0.12</v>
      </c>
      <c r="O890" s="30">
        <f t="shared" si="51"/>
        <v>0.12</v>
      </c>
      <c r="P890" s="30">
        <f t="shared" si="51"/>
        <v>0.12</v>
      </c>
      <c r="Q890" s="68"/>
    </row>
    <row r="891" spans="1:17" s="5" customFormat="1" ht="14.4" x14ac:dyDescent="0.3">
      <c r="A891" s="55"/>
      <c r="B891" s="55"/>
      <c r="C891" s="56"/>
      <c r="D891" s="57"/>
      <c r="E891" s="57"/>
      <c r="F891" s="57"/>
      <c r="G891" s="57"/>
      <c r="H891" s="57"/>
      <c r="I891" s="57"/>
      <c r="J891" s="57"/>
      <c r="K891" s="57"/>
      <c r="L891" s="57"/>
      <c r="M891" s="57"/>
      <c r="N891" s="57"/>
      <c r="O891" s="57"/>
      <c r="P891" s="57"/>
      <c r="Q891" s="68"/>
    </row>
    <row r="892" spans="1:17" x14ac:dyDescent="0.3">
      <c r="A892" s="3" t="s">
        <v>58</v>
      </c>
      <c r="Q892" s="68"/>
    </row>
    <row r="893" spans="1:17" s="5" customFormat="1" ht="14.4" x14ac:dyDescent="0.3">
      <c r="A893" s="55"/>
      <c r="B893" s="55"/>
      <c r="C893" s="56"/>
      <c r="D893" s="57"/>
      <c r="E893" s="57"/>
      <c r="F893" s="57"/>
      <c r="G893" s="57"/>
      <c r="H893" s="57"/>
      <c r="I893" s="57"/>
      <c r="J893" s="57"/>
      <c r="K893" s="57"/>
      <c r="L893" s="57"/>
      <c r="M893" s="57"/>
      <c r="N893" s="57"/>
      <c r="O893" s="57"/>
      <c r="P893" s="57"/>
      <c r="Q893" s="68"/>
    </row>
    <row r="894" spans="1:17" ht="18" x14ac:dyDescent="0.35">
      <c r="A894" s="59" t="str">
        <f>'[41]Statistical data'!A225</f>
        <v>General Power-34.5kV</v>
      </c>
      <c r="B894" s="60"/>
      <c r="C894" s="5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68"/>
    </row>
    <row r="895" spans="1:17" s="13" customFormat="1" ht="14.4" x14ac:dyDescent="0.3">
      <c r="A895" s="11" t="s">
        <v>3</v>
      </c>
      <c r="B895" s="11"/>
      <c r="C895" s="11" t="s">
        <v>4</v>
      </c>
      <c r="D895" s="12" t="str">
        <f>D844</f>
        <v>JAN</v>
      </c>
      <c r="E895" s="12" t="str">
        <f t="shared" ref="E895:P895" si="52">E844</f>
        <v>FEB</v>
      </c>
      <c r="F895" s="12" t="str">
        <f t="shared" si="52"/>
        <v>MAR</v>
      </c>
      <c r="G895" s="12" t="str">
        <f t="shared" si="52"/>
        <v>APR</v>
      </c>
      <c r="H895" s="12" t="str">
        <f t="shared" si="52"/>
        <v>MAY</v>
      </c>
      <c r="I895" s="12" t="str">
        <f t="shared" si="52"/>
        <v>JUN</v>
      </c>
      <c r="J895" s="12" t="str">
        <f t="shared" si="52"/>
        <v>JUL</v>
      </c>
      <c r="K895" s="12" t="str">
        <f t="shared" si="52"/>
        <v>AUG</v>
      </c>
      <c r="L895" s="12" t="str">
        <f t="shared" si="52"/>
        <v>SEP</v>
      </c>
      <c r="M895" s="12" t="str">
        <f t="shared" si="52"/>
        <v>OCT</v>
      </c>
      <c r="N895" s="12" t="str">
        <f t="shared" si="52"/>
        <v>NOV</v>
      </c>
      <c r="O895" s="12" t="str">
        <f t="shared" si="52"/>
        <v>DEC</v>
      </c>
      <c r="P895" s="12" t="str">
        <f t="shared" si="52"/>
        <v>JAN</v>
      </c>
      <c r="Q895" s="68"/>
    </row>
    <row r="896" spans="1:17" ht="14.4" x14ac:dyDescent="0.3">
      <c r="A896" s="14" t="s">
        <v>17</v>
      </c>
      <c r="B896" s="15"/>
      <c r="C896" s="16"/>
      <c r="D896" s="17"/>
      <c r="E896" s="17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68"/>
    </row>
    <row r="897" spans="1:17" ht="14.4" x14ac:dyDescent="0.3">
      <c r="A897" s="18" t="s">
        <v>18</v>
      </c>
      <c r="B897" s="19"/>
      <c r="C897" s="16" t="s">
        <v>19</v>
      </c>
      <c r="D897" s="52" t="s">
        <v>59</v>
      </c>
      <c r="E897" s="52" t="s">
        <v>59</v>
      </c>
      <c r="F897" s="52" t="s">
        <v>59</v>
      </c>
      <c r="G897" s="52" t="s">
        <v>59</v>
      </c>
      <c r="H897" s="52" t="s">
        <v>59</v>
      </c>
      <c r="I897" s="52" t="s">
        <v>59</v>
      </c>
      <c r="J897" s="52" t="s">
        <v>59</v>
      </c>
      <c r="K897" s="52" t="s">
        <v>59</v>
      </c>
      <c r="L897" s="52" t="s">
        <v>59</v>
      </c>
      <c r="M897" s="52" t="s">
        <v>59</v>
      </c>
      <c r="N897" s="52" t="s">
        <v>59</v>
      </c>
      <c r="O897" s="52" t="s">
        <v>59</v>
      </c>
      <c r="P897" s="52" t="s">
        <v>59</v>
      </c>
      <c r="Q897" s="68"/>
    </row>
    <row r="898" spans="1:17" ht="14.4" x14ac:dyDescent="0.3">
      <c r="A898" s="18" t="s">
        <v>66</v>
      </c>
      <c r="B898" s="19"/>
      <c r="C898" s="16" t="s">
        <v>19</v>
      </c>
      <c r="D898" s="20">
        <v>0</v>
      </c>
      <c r="E898" s="20">
        <v>0</v>
      </c>
      <c r="F898" s="20">
        <v>0</v>
      </c>
      <c r="G898" s="20">
        <v>0</v>
      </c>
      <c r="H898" s="20">
        <v>0</v>
      </c>
      <c r="I898" s="20">
        <v>0</v>
      </c>
      <c r="J898" s="20">
        <v>0</v>
      </c>
      <c r="K898" s="20">
        <v>0</v>
      </c>
      <c r="L898" s="20">
        <v>0</v>
      </c>
      <c r="M898" s="20">
        <v>0</v>
      </c>
      <c r="N898" s="20">
        <v>0</v>
      </c>
      <c r="O898" s="20">
        <v>0</v>
      </c>
      <c r="P898" s="20">
        <v>0</v>
      </c>
      <c r="Q898" s="68"/>
    </row>
    <row r="899" spans="1:17" ht="14.4" x14ac:dyDescent="0.3">
      <c r="A899" s="14" t="s">
        <v>20</v>
      </c>
      <c r="B899" s="15"/>
      <c r="C899" s="16"/>
      <c r="D899" s="21"/>
      <c r="E899" s="21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68"/>
    </row>
    <row r="900" spans="1:17" ht="14.4" x14ac:dyDescent="0.3">
      <c r="A900" s="18" t="s">
        <v>21</v>
      </c>
      <c r="B900" s="19"/>
      <c r="C900" s="16" t="s">
        <v>19</v>
      </c>
      <c r="D900" s="20">
        <v>0</v>
      </c>
      <c r="E900" s="20">
        <v>0</v>
      </c>
      <c r="F900" s="20">
        <v>0</v>
      </c>
      <c r="G900" s="20">
        <v>0</v>
      </c>
      <c r="H900" s="20">
        <v>0</v>
      </c>
      <c r="I900" s="20">
        <v>0</v>
      </c>
      <c r="J900" s="20">
        <v>0</v>
      </c>
      <c r="K900" s="20">
        <v>0</v>
      </c>
      <c r="L900" s="20">
        <v>0</v>
      </c>
      <c r="M900" s="20">
        <v>0</v>
      </c>
      <c r="N900" s="20">
        <v>0</v>
      </c>
      <c r="O900" s="20">
        <v>0</v>
      </c>
      <c r="P900" s="20">
        <v>0</v>
      </c>
      <c r="Q900" s="68"/>
    </row>
    <row r="901" spans="1:17" ht="14.4" x14ac:dyDescent="0.3">
      <c r="A901" s="18" t="s">
        <v>22</v>
      </c>
      <c r="B901" s="19"/>
      <c r="C901" s="16" t="s">
        <v>23</v>
      </c>
      <c r="D901" s="23">
        <f>[41]TR!D82</f>
        <v>336.62</v>
      </c>
      <c r="E901" s="23">
        <f>[41]TR!E82</f>
        <v>351.24</v>
      </c>
      <c r="F901" s="23">
        <f>[41]TR!F82</f>
        <v>356.84</v>
      </c>
      <c r="G901" s="23">
        <f>[41]TR!G82</f>
        <v>334.66</v>
      </c>
      <c r="H901" s="23">
        <f>[41]TR!H82</f>
        <v>304.2</v>
      </c>
      <c r="I901" s="23">
        <f>[41]TR!I82</f>
        <v>319.66000000000003</v>
      </c>
      <c r="J901" s="23">
        <f>[41]TR!J82</f>
        <v>327.77</v>
      </c>
      <c r="K901" s="23">
        <f>[41]TR!K82</f>
        <v>320.05</v>
      </c>
      <c r="L901" s="23">
        <f>[41]TR!L82</f>
        <v>353.01</v>
      </c>
      <c r="M901" s="23">
        <f>[41]TR!M82</f>
        <v>346.84</v>
      </c>
      <c r="N901" s="23">
        <f>[41]TR!N82</f>
        <v>371.06</v>
      </c>
      <c r="O901" s="23">
        <f>[41]TR!O82</f>
        <v>371.06</v>
      </c>
      <c r="P901" s="23">
        <f>[41]TR!P82</f>
        <v>0</v>
      </c>
      <c r="Q901" s="68"/>
    </row>
    <row r="902" spans="1:17" ht="14.4" x14ac:dyDescent="0.3">
      <c r="A902" s="14" t="s">
        <v>24</v>
      </c>
      <c r="B902" s="15"/>
      <c r="C902" s="16"/>
      <c r="D902" s="21"/>
      <c r="E902" s="21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68"/>
    </row>
    <row r="903" spans="1:17" ht="14.4" x14ac:dyDescent="0.3">
      <c r="A903" s="18" t="s">
        <v>25</v>
      </c>
      <c r="B903" s="19"/>
      <c r="C903" s="16" t="s">
        <v>19</v>
      </c>
      <c r="D903" s="20">
        <f>D852</f>
        <v>0.26500000000000001</v>
      </c>
      <c r="E903" s="20">
        <f t="shared" ref="E903:P903" si="53">E852</f>
        <v>0.2288</v>
      </c>
      <c r="F903" s="20">
        <f t="shared" si="53"/>
        <v>0.2319</v>
      </c>
      <c r="G903" s="20">
        <f t="shared" si="53"/>
        <v>0.2447</v>
      </c>
      <c r="H903" s="20">
        <f t="shared" si="53"/>
        <v>0.23769999999999999</v>
      </c>
      <c r="I903" s="20">
        <f t="shared" si="53"/>
        <v>0.23910000000000001</v>
      </c>
      <c r="J903" s="20">
        <f t="shared" si="53"/>
        <v>0.2339</v>
      </c>
      <c r="K903" s="20">
        <f t="shared" si="53"/>
        <v>0.2167</v>
      </c>
      <c r="L903" s="20">
        <f t="shared" si="53"/>
        <v>0.2198</v>
      </c>
      <c r="M903" s="20">
        <f t="shared" si="53"/>
        <v>0.20649999999999999</v>
      </c>
      <c r="N903" s="20">
        <f t="shared" si="53"/>
        <v>0.25230000000000002</v>
      </c>
      <c r="O903" s="20">
        <f t="shared" si="53"/>
        <v>0.25230000000000002</v>
      </c>
      <c r="P903" s="20">
        <f t="shared" si="53"/>
        <v>0</v>
      </c>
      <c r="Q903" s="68"/>
    </row>
    <row r="904" spans="1:17" ht="14.4" x14ac:dyDescent="0.3">
      <c r="A904" s="14" t="s">
        <v>26</v>
      </c>
      <c r="B904" s="14"/>
      <c r="C904" s="16"/>
      <c r="D904" s="22"/>
      <c r="E904" s="22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68"/>
    </row>
    <row r="905" spans="1:17" ht="14.4" x14ac:dyDescent="0.3">
      <c r="A905" s="18" t="s">
        <v>27</v>
      </c>
      <c r="B905" s="18"/>
      <c r="C905" s="16" t="s">
        <v>19</v>
      </c>
      <c r="D905" s="20">
        <f>D854</f>
        <v>0.06</v>
      </c>
      <c r="E905" s="20">
        <f t="shared" ref="E905:P906" si="54">E854</f>
        <v>0.06</v>
      </c>
      <c r="F905" s="20">
        <f t="shared" si="54"/>
        <v>0.06</v>
      </c>
      <c r="G905" s="20">
        <f t="shared" si="54"/>
        <v>0.06</v>
      </c>
      <c r="H905" s="20">
        <f t="shared" si="54"/>
        <v>0.06</v>
      </c>
      <c r="I905" s="20">
        <f t="shared" si="54"/>
        <v>0.06</v>
      </c>
      <c r="J905" s="20">
        <f t="shared" si="54"/>
        <v>6.0900000000000003E-2</v>
      </c>
      <c r="K905" s="20">
        <f t="shared" si="54"/>
        <v>6.0900000000000003E-2</v>
      </c>
      <c r="L905" s="20">
        <f t="shared" si="54"/>
        <v>6.0900000000000003E-2</v>
      </c>
      <c r="M905" s="20">
        <f t="shared" si="54"/>
        <v>6.0900000000000003E-2</v>
      </c>
      <c r="N905" s="20">
        <f t="shared" si="54"/>
        <v>6.0900000000000003E-2</v>
      </c>
      <c r="O905" s="20">
        <f t="shared" si="54"/>
        <v>6.0900000000000003E-2</v>
      </c>
      <c r="P905" s="20">
        <f t="shared" si="54"/>
        <v>6.0900000000000003E-2</v>
      </c>
      <c r="Q905" s="68"/>
    </row>
    <row r="906" spans="1:17" ht="14.4" x14ac:dyDescent="0.3">
      <c r="A906" s="18" t="s">
        <v>28</v>
      </c>
      <c r="B906" s="18"/>
      <c r="C906" s="16" t="s">
        <v>23</v>
      </c>
      <c r="D906" s="23">
        <f>D855</f>
        <v>213.74</v>
      </c>
      <c r="E906" s="23">
        <f t="shared" si="54"/>
        <v>213.74</v>
      </c>
      <c r="F906" s="23">
        <f t="shared" si="54"/>
        <v>213.74</v>
      </c>
      <c r="G906" s="23">
        <f t="shared" si="54"/>
        <v>213.74</v>
      </c>
      <c r="H906" s="23">
        <f t="shared" si="54"/>
        <v>213.74</v>
      </c>
      <c r="I906" s="23">
        <f t="shared" si="54"/>
        <v>213.74</v>
      </c>
      <c r="J906" s="23">
        <f t="shared" si="54"/>
        <v>217.08</v>
      </c>
      <c r="K906" s="23">
        <f t="shared" si="54"/>
        <v>217.08</v>
      </c>
      <c r="L906" s="23">
        <f t="shared" si="54"/>
        <v>217.08</v>
      </c>
      <c r="M906" s="23">
        <f t="shared" si="54"/>
        <v>217.08</v>
      </c>
      <c r="N906" s="23">
        <f t="shared" si="54"/>
        <v>217.08</v>
      </c>
      <c r="O906" s="23">
        <f t="shared" si="54"/>
        <v>217.08</v>
      </c>
      <c r="P906" s="23">
        <f t="shared" si="54"/>
        <v>217.08</v>
      </c>
      <c r="Q906" s="68"/>
    </row>
    <row r="907" spans="1:17" ht="14.4" x14ac:dyDescent="0.3">
      <c r="A907" s="14" t="s">
        <v>29</v>
      </c>
      <c r="B907" s="14"/>
      <c r="C907" s="16"/>
      <c r="D907" s="24"/>
      <c r="E907" s="24"/>
      <c r="F907" s="24"/>
      <c r="G907" s="24"/>
      <c r="H907" s="24"/>
      <c r="I907" s="24"/>
      <c r="J907" s="24"/>
      <c r="K907" s="24"/>
      <c r="L907" s="24"/>
      <c r="M907" s="24"/>
      <c r="N907" s="24"/>
      <c r="O907" s="24"/>
      <c r="P907" s="24"/>
      <c r="Q907" s="68"/>
    </row>
    <row r="908" spans="1:17" ht="14.4" x14ac:dyDescent="0.3">
      <c r="A908" s="18" t="s">
        <v>30</v>
      </c>
      <c r="B908" s="18"/>
      <c r="C908" s="16" t="s">
        <v>19</v>
      </c>
      <c r="D908" s="52" t="s">
        <v>61</v>
      </c>
      <c r="E908" s="52" t="s">
        <v>61</v>
      </c>
      <c r="F908" s="52" t="s">
        <v>61</v>
      </c>
      <c r="G908" s="52" t="s">
        <v>61</v>
      </c>
      <c r="H908" s="52" t="s">
        <v>61</v>
      </c>
      <c r="I908" s="52" t="s">
        <v>61</v>
      </c>
      <c r="J908" s="52" t="s">
        <v>61</v>
      </c>
      <c r="K908" s="52" t="s">
        <v>61</v>
      </c>
      <c r="L908" s="52" t="s">
        <v>61</v>
      </c>
      <c r="M908" s="52" t="s">
        <v>61</v>
      </c>
      <c r="N908" s="52" t="s">
        <v>61</v>
      </c>
      <c r="O908" s="52" t="s">
        <v>61</v>
      </c>
      <c r="P908" s="52" t="s">
        <v>61</v>
      </c>
      <c r="Q908" s="68"/>
    </row>
    <row r="909" spans="1:17" ht="14.4" x14ac:dyDescent="0.3">
      <c r="A909" s="18" t="s">
        <v>31</v>
      </c>
      <c r="B909" s="18"/>
      <c r="C909" s="16" t="s">
        <v>32</v>
      </c>
      <c r="D909" s="52" t="s">
        <v>62</v>
      </c>
      <c r="E909" s="52" t="s">
        <v>62</v>
      </c>
      <c r="F909" s="52" t="s">
        <v>62</v>
      </c>
      <c r="G909" s="52" t="s">
        <v>62</v>
      </c>
      <c r="H909" s="52" t="s">
        <v>62</v>
      </c>
      <c r="I909" s="52" t="s">
        <v>62</v>
      </c>
      <c r="J909" s="52" t="s">
        <v>62</v>
      </c>
      <c r="K909" s="52" t="s">
        <v>62</v>
      </c>
      <c r="L909" s="52" t="s">
        <v>62</v>
      </c>
      <c r="M909" s="52" t="s">
        <v>62</v>
      </c>
      <c r="N909" s="52" t="s">
        <v>62</v>
      </c>
      <c r="O909" s="52" t="s">
        <v>62</v>
      </c>
      <c r="P909" s="52" t="s">
        <v>62</v>
      </c>
      <c r="Q909" s="68"/>
    </row>
    <row r="910" spans="1:17" ht="14.4" x14ac:dyDescent="0.3">
      <c r="A910" s="14" t="s">
        <v>33</v>
      </c>
      <c r="B910" s="14"/>
      <c r="C910" s="16"/>
      <c r="D910" s="24"/>
      <c r="E910" s="24"/>
      <c r="F910" s="24"/>
      <c r="G910" s="24"/>
      <c r="H910" s="24"/>
      <c r="I910" s="24"/>
      <c r="J910" s="24"/>
      <c r="K910" s="24"/>
      <c r="L910" s="24"/>
      <c r="M910" s="24"/>
      <c r="N910" s="24"/>
      <c r="O910" s="24"/>
      <c r="P910" s="24"/>
      <c r="Q910" s="68"/>
    </row>
    <row r="911" spans="1:17" ht="14.4" x14ac:dyDescent="0.3">
      <c r="A911" s="18" t="s">
        <v>34</v>
      </c>
      <c r="B911" s="18"/>
      <c r="C911" s="16" t="s">
        <v>19</v>
      </c>
      <c r="D911" s="20">
        <v>0</v>
      </c>
      <c r="E911" s="20">
        <v>0</v>
      </c>
      <c r="F911" s="20">
        <v>0</v>
      </c>
      <c r="G911" s="20">
        <v>0</v>
      </c>
      <c r="H911" s="20">
        <v>0</v>
      </c>
      <c r="I911" s="20">
        <v>0</v>
      </c>
      <c r="J911" s="20">
        <v>0</v>
      </c>
      <c r="K911" s="20">
        <v>0</v>
      </c>
      <c r="L911" s="20">
        <v>0</v>
      </c>
      <c r="M911" s="20">
        <v>0</v>
      </c>
      <c r="N911" s="20">
        <v>0</v>
      </c>
      <c r="O911" s="20">
        <v>0</v>
      </c>
      <c r="P911" s="20">
        <v>0</v>
      </c>
      <c r="Q911" s="68"/>
    </row>
    <row r="912" spans="1:17" ht="14.4" x14ac:dyDescent="0.3">
      <c r="A912" s="18" t="s">
        <v>35</v>
      </c>
      <c r="B912" s="18"/>
      <c r="C912" s="16" t="s">
        <v>36</v>
      </c>
      <c r="D912" s="52" t="s">
        <v>63</v>
      </c>
      <c r="E912" s="52" t="s">
        <v>63</v>
      </c>
      <c r="F912" s="52" t="s">
        <v>63</v>
      </c>
      <c r="G912" s="52" t="s">
        <v>63</v>
      </c>
      <c r="H912" s="52" t="s">
        <v>63</v>
      </c>
      <c r="I912" s="52" t="s">
        <v>63</v>
      </c>
      <c r="J912" s="52" t="s">
        <v>63</v>
      </c>
      <c r="K912" s="52" t="s">
        <v>63</v>
      </c>
      <c r="L912" s="52" t="s">
        <v>63</v>
      </c>
      <c r="M912" s="52" t="s">
        <v>63</v>
      </c>
      <c r="N912" s="52" t="s">
        <v>63</v>
      </c>
      <c r="O912" s="52" t="s">
        <v>63</v>
      </c>
      <c r="P912" s="52" t="s">
        <v>63</v>
      </c>
      <c r="Q912" s="68"/>
    </row>
    <row r="913" spans="1:17" ht="14.4" x14ac:dyDescent="0.3">
      <c r="A913" s="14" t="s">
        <v>37</v>
      </c>
      <c r="B913" s="14"/>
      <c r="C913" s="16"/>
      <c r="D913" s="24"/>
      <c r="E913" s="24"/>
      <c r="F913" s="24"/>
      <c r="G913" s="24"/>
      <c r="H913" s="24"/>
      <c r="I913" s="24"/>
      <c r="J913" s="24"/>
      <c r="K913" s="24"/>
      <c r="L913" s="24"/>
      <c r="M913" s="24"/>
      <c r="N913" s="24"/>
      <c r="O913" s="24"/>
      <c r="P913" s="24"/>
      <c r="Q913" s="68"/>
    </row>
    <row r="914" spans="1:17" ht="14.4" x14ac:dyDescent="0.3">
      <c r="A914" s="25" t="s">
        <v>38</v>
      </c>
      <c r="B914" s="18"/>
      <c r="C914" s="16" t="s">
        <v>19</v>
      </c>
      <c r="D914" s="20">
        <f>D863</f>
        <v>0.1333</v>
      </c>
      <c r="E914" s="20">
        <f t="shared" ref="E914:P914" si="55">E863</f>
        <v>0.1497</v>
      </c>
      <c r="F914" s="20">
        <f t="shared" si="55"/>
        <v>0.14410000000000001</v>
      </c>
      <c r="G914" s="20">
        <f t="shared" si="55"/>
        <v>0.15459999999999999</v>
      </c>
      <c r="H914" s="20">
        <f t="shared" si="55"/>
        <v>0.10920000000000001</v>
      </c>
      <c r="I914" s="20">
        <f t="shared" si="55"/>
        <v>0.104</v>
      </c>
      <c r="J914" s="20">
        <f t="shared" si="55"/>
        <v>0.1045</v>
      </c>
      <c r="K914" s="20">
        <f t="shared" si="55"/>
        <v>0.11609999999999999</v>
      </c>
      <c r="L914" s="20">
        <f t="shared" si="55"/>
        <v>0.1091</v>
      </c>
      <c r="M914" s="20">
        <f t="shared" si="55"/>
        <v>0.1138</v>
      </c>
      <c r="N914" s="20">
        <f t="shared" si="55"/>
        <v>0.1173</v>
      </c>
      <c r="O914" s="20">
        <f t="shared" si="55"/>
        <v>0.1173</v>
      </c>
      <c r="P914" s="20">
        <f t="shared" si="55"/>
        <v>0</v>
      </c>
      <c r="Q914" s="68"/>
    </row>
    <row r="915" spans="1:17" ht="14.4" x14ac:dyDescent="0.3">
      <c r="A915" s="25" t="s">
        <v>39</v>
      </c>
      <c r="B915" s="18"/>
      <c r="C915" s="16" t="s">
        <v>19</v>
      </c>
      <c r="D915" s="20">
        <v>0</v>
      </c>
      <c r="E915" s="20">
        <v>0</v>
      </c>
      <c r="F915" s="20">
        <v>0</v>
      </c>
      <c r="G915" s="20">
        <v>0</v>
      </c>
      <c r="H915" s="20">
        <v>0</v>
      </c>
      <c r="I915" s="20">
        <v>0</v>
      </c>
      <c r="J915" s="20">
        <v>0</v>
      </c>
      <c r="K915" s="20">
        <v>0</v>
      </c>
      <c r="L915" s="20">
        <v>0</v>
      </c>
      <c r="M915" s="20">
        <v>0</v>
      </c>
      <c r="N915" s="20">
        <v>0</v>
      </c>
      <c r="O915" s="20">
        <v>0</v>
      </c>
      <c r="P915" s="20">
        <v>0</v>
      </c>
      <c r="Q915" s="68"/>
    </row>
    <row r="916" spans="1:17" ht="14.4" x14ac:dyDescent="0.3">
      <c r="A916" s="25" t="s">
        <v>180</v>
      </c>
      <c r="B916" s="18"/>
      <c r="C916" s="16" t="s">
        <v>19</v>
      </c>
      <c r="D916" s="20">
        <f>D865</f>
        <v>3.1399999999999997E-2</v>
      </c>
      <c r="E916" s="20">
        <f t="shared" ref="E916:P919" si="56">E865</f>
        <v>3.1399999999999997E-2</v>
      </c>
      <c r="F916" s="20">
        <f t="shared" si="56"/>
        <v>3.1399999999999997E-2</v>
      </c>
      <c r="G916" s="20">
        <f t="shared" si="56"/>
        <v>3.1399999999999997E-2</v>
      </c>
      <c r="H916" s="20">
        <f t="shared" si="56"/>
        <v>3.1399999999999997E-2</v>
      </c>
      <c r="I916" s="20">
        <f t="shared" si="56"/>
        <v>3.1399999999999997E-2</v>
      </c>
      <c r="J916" s="20">
        <f t="shared" si="56"/>
        <v>3.1399999999999997E-2</v>
      </c>
      <c r="K916" s="20">
        <f t="shared" si="56"/>
        <v>3.1399999999999997E-2</v>
      </c>
      <c r="L916" s="20">
        <f t="shared" si="56"/>
        <v>3.1399999999999997E-2</v>
      </c>
      <c r="M916" s="20">
        <f t="shared" si="56"/>
        <v>3.1399999999999997E-2</v>
      </c>
      <c r="N916" s="20">
        <f t="shared" si="56"/>
        <v>3.1399999999999997E-2</v>
      </c>
      <c r="O916" s="20">
        <f t="shared" si="56"/>
        <v>3.1399999999999997E-2</v>
      </c>
      <c r="P916" s="20">
        <f t="shared" si="56"/>
        <v>3.1399999999999997E-2</v>
      </c>
      <c r="Q916" s="68"/>
    </row>
    <row r="917" spans="1:17" ht="14.4" x14ac:dyDescent="0.3">
      <c r="A917" s="26" t="s">
        <v>40</v>
      </c>
      <c r="B917" s="18"/>
      <c r="C917" s="16" t="s">
        <v>19</v>
      </c>
      <c r="D917" s="20">
        <f>D866</f>
        <v>1E-4</v>
      </c>
      <c r="E917" s="20">
        <f t="shared" si="56"/>
        <v>1E-4</v>
      </c>
      <c r="F917" s="20">
        <f t="shared" si="56"/>
        <v>1E-4</v>
      </c>
      <c r="G917" s="20">
        <f t="shared" si="56"/>
        <v>1E-4</v>
      </c>
      <c r="H917" s="20">
        <f t="shared" si="56"/>
        <v>1E-4</v>
      </c>
      <c r="I917" s="20">
        <f t="shared" si="56"/>
        <v>1E-4</v>
      </c>
      <c r="J917" s="20">
        <f t="shared" si="56"/>
        <v>1E-4</v>
      </c>
      <c r="K917" s="20">
        <f t="shared" si="56"/>
        <v>1E-4</v>
      </c>
      <c r="L917" s="20">
        <f t="shared" si="56"/>
        <v>1E-4</v>
      </c>
      <c r="M917" s="20">
        <f t="shared" si="56"/>
        <v>1E-4</v>
      </c>
      <c r="N917" s="20">
        <f t="shared" si="56"/>
        <v>1E-4</v>
      </c>
      <c r="O917" s="20">
        <f t="shared" si="56"/>
        <v>1E-4</v>
      </c>
      <c r="P917" s="20">
        <f t="shared" si="56"/>
        <v>0</v>
      </c>
      <c r="Q917" s="68"/>
    </row>
    <row r="918" spans="1:17" ht="14.4" x14ac:dyDescent="0.3">
      <c r="A918" s="26" t="s">
        <v>41</v>
      </c>
      <c r="B918" s="18"/>
      <c r="C918" s="16" t="s">
        <v>19</v>
      </c>
      <c r="D918" s="20">
        <f>D867</f>
        <v>0</v>
      </c>
      <c r="E918" s="20">
        <f t="shared" si="56"/>
        <v>0</v>
      </c>
      <c r="F918" s="20">
        <f t="shared" si="56"/>
        <v>0</v>
      </c>
      <c r="G918" s="20">
        <f t="shared" si="56"/>
        <v>0</v>
      </c>
      <c r="H918" s="20">
        <f t="shared" si="56"/>
        <v>0</v>
      </c>
      <c r="I918" s="20">
        <f t="shared" si="56"/>
        <v>0</v>
      </c>
      <c r="J918" s="20">
        <f t="shared" si="56"/>
        <v>0</v>
      </c>
      <c r="K918" s="20">
        <f t="shared" si="56"/>
        <v>0</v>
      </c>
      <c r="L918" s="20">
        <f t="shared" si="56"/>
        <v>0</v>
      </c>
      <c r="M918" s="20">
        <f t="shared" si="56"/>
        <v>0</v>
      </c>
      <c r="N918" s="20">
        <f t="shared" si="56"/>
        <v>0</v>
      </c>
      <c r="O918" s="20">
        <f t="shared" si="56"/>
        <v>0</v>
      </c>
      <c r="P918" s="20">
        <f t="shared" si="56"/>
        <v>0</v>
      </c>
      <c r="Q918" s="68"/>
    </row>
    <row r="919" spans="1:17" ht="14.4" x14ac:dyDescent="0.3">
      <c r="A919" s="154" t="s">
        <v>181</v>
      </c>
      <c r="B919" s="155"/>
      <c r="C919" s="16" t="s">
        <v>19</v>
      </c>
      <c r="D919" s="20">
        <f>D868</f>
        <v>1.03E-2</v>
      </c>
      <c r="E919" s="20">
        <f t="shared" si="56"/>
        <v>1.03E-2</v>
      </c>
      <c r="F919" s="20">
        <f t="shared" si="56"/>
        <v>1.03E-2</v>
      </c>
      <c r="G919" s="20">
        <f t="shared" si="56"/>
        <v>2.5999999999999999E-3</v>
      </c>
      <c r="H919" s="20">
        <f t="shared" si="56"/>
        <v>0</v>
      </c>
      <c r="I919" s="20">
        <f t="shared" si="56"/>
        <v>0</v>
      </c>
      <c r="J919" s="20">
        <f t="shared" si="56"/>
        <v>0</v>
      </c>
      <c r="K919" s="20">
        <f t="shared" si="56"/>
        <v>0</v>
      </c>
      <c r="L919" s="20">
        <f t="shared" si="56"/>
        <v>0</v>
      </c>
      <c r="M919" s="20">
        <f t="shared" si="56"/>
        <v>0</v>
      </c>
      <c r="N919" s="20">
        <f t="shared" si="56"/>
        <v>0</v>
      </c>
      <c r="O919" s="20">
        <f t="shared" si="56"/>
        <v>0</v>
      </c>
      <c r="P919" s="20">
        <f t="shared" si="56"/>
        <v>0</v>
      </c>
      <c r="Q919" s="68"/>
    </row>
    <row r="920" spans="1:17" ht="16.2" hidden="1" x14ac:dyDescent="0.3">
      <c r="A920" s="154" t="s">
        <v>182</v>
      </c>
      <c r="B920" s="155"/>
      <c r="C920" s="16" t="s">
        <v>19</v>
      </c>
      <c r="D920" s="20"/>
      <c r="E920" s="20"/>
      <c r="F920" s="20"/>
      <c r="G920" s="20"/>
      <c r="H920" s="20"/>
      <c r="I920" s="20"/>
      <c r="J920" s="20"/>
      <c r="K920" s="20"/>
      <c r="L920" s="20"/>
      <c r="M920" s="20"/>
      <c r="N920" s="20"/>
      <c r="O920" s="20"/>
      <c r="P920" s="20"/>
      <c r="Q920" s="68"/>
    </row>
    <row r="921" spans="1:17" ht="16.2" hidden="1" x14ac:dyDescent="0.3">
      <c r="A921" s="154" t="s">
        <v>182</v>
      </c>
      <c r="B921" s="156"/>
      <c r="C921" s="16" t="s">
        <v>19</v>
      </c>
      <c r="D921" s="20"/>
      <c r="E921" s="20"/>
      <c r="F921" s="20"/>
      <c r="G921" s="20"/>
      <c r="H921" s="20"/>
      <c r="I921" s="20"/>
      <c r="J921" s="20"/>
      <c r="K921" s="20"/>
      <c r="L921" s="20"/>
      <c r="M921" s="20"/>
      <c r="N921" s="20"/>
      <c r="O921" s="20"/>
      <c r="P921" s="20"/>
      <c r="Q921" s="68"/>
    </row>
    <row r="922" spans="1:17" ht="14.4" x14ac:dyDescent="0.3">
      <c r="A922" s="14" t="s">
        <v>42</v>
      </c>
      <c r="B922" s="14"/>
      <c r="C922" s="16"/>
      <c r="D922" s="24"/>
      <c r="E922" s="24"/>
      <c r="F922" s="24"/>
      <c r="G922" s="24"/>
      <c r="H922" s="24"/>
      <c r="I922" s="24"/>
      <c r="J922" s="24"/>
      <c r="K922" s="24"/>
      <c r="L922" s="24"/>
      <c r="M922" s="24"/>
      <c r="N922" s="24"/>
      <c r="O922" s="24"/>
      <c r="P922" s="24"/>
      <c r="Q922" s="68"/>
    </row>
    <row r="923" spans="1:17" ht="14.4" x14ac:dyDescent="0.3">
      <c r="A923" s="14" t="s">
        <v>43</v>
      </c>
      <c r="B923" s="14"/>
      <c r="C923" s="16" t="s">
        <v>44</v>
      </c>
      <c r="D923" s="27"/>
      <c r="E923" s="27"/>
      <c r="F923" s="27"/>
      <c r="G923" s="27"/>
      <c r="H923" s="27"/>
      <c r="I923" s="27"/>
      <c r="J923" s="27"/>
      <c r="K923" s="27"/>
      <c r="L923" s="27"/>
      <c r="M923" s="27"/>
      <c r="N923" s="27"/>
      <c r="O923" s="27"/>
      <c r="P923" s="27"/>
      <c r="Q923" s="68"/>
    </row>
    <row r="924" spans="1:17" ht="14.4" hidden="1" x14ac:dyDescent="0.3">
      <c r="A924" s="14" t="s">
        <v>183</v>
      </c>
      <c r="B924" s="14"/>
      <c r="C924" s="16"/>
      <c r="D924" s="28"/>
      <c r="E924" s="28"/>
      <c r="F924" s="28"/>
      <c r="G924" s="28"/>
      <c r="H924" s="28"/>
      <c r="I924" s="28"/>
      <c r="J924" s="28"/>
      <c r="K924" s="28"/>
      <c r="L924" s="28"/>
      <c r="M924" s="28"/>
      <c r="N924" s="28"/>
      <c r="O924" s="28"/>
      <c r="P924" s="28"/>
      <c r="Q924" s="68"/>
    </row>
    <row r="925" spans="1:17" ht="14.4" hidden="1" x14ac:dyDescent="0.3">
      <c r="A925" s="14" t="s">
        <v>184</v>
      </c>
      <c r="B925" s="14"/>
      <c r="C925" s="16" t="s">
        <v>19</v>
      </c>
      <c r="D925" s="20"/>
      <c r="E925" s="20"/>
      <c r="F925" s="20"/>
      <c r="G925" s="20"/>
      <c r="H925" s="20"/>
      <c r="I925" s="20"/>
      <c r="J925" s="20"/>
      <c r="K925" s="20"/>
      <c r="L925" s="20"/>
      <c r="M925" s="20"/>
      <c r="N925" s="20"/>
      <c r="O925" s="20"/>
      <c r="P925" s="20"/>
      <c r="Q925" s="68"/>
    </row>
    <row r="926" spans="1:17" ht="14.4" x14ac:dyDescent="0.3">
      <c r="A926" s="14" t="s">
        <v>45</v>
      </c>
      <c r="B926" s="14"/>
      <c r="C926" s="16"/>
      <c r="D926" s="28"/>
      <c r="E926" s="28"/>
      <c r="F926" s="28"/>
      <c r="G926" s="28"/>
      <c r="H926" s="28"/>
      <c r="I926" s="28"/>
      <c r="J926" s="28"/>
      <c r="K926" s="28"/>
      <c r="L926" s="28"/>
      <c r="M926" s="28"/>
      <c r="N926" s="28"/>
      <c r="O926" s="28"/>
      <c r="P926" s="28"/>
      <c r="Q926" s="68"/>
    </row>
    <row r="927" spans="1:17" ht="14.4" x14ac:dyDescent="0.3">
      <c r="A927" s="14" t="s">
        <v>46</v>
      </c>
      <c r="B927" s="14"/>
      <c r="C927" s="16" t="s">
        <v>19</v>
      </c>
      <c r="D927" s="20">
        <v>0</v>
      </c>
      <c r="E927" s="20">
        <v>0</v>
      </c>
      <c r="F927" s="20">
        <v>0</v>
      </c>
      <c r="G927" s="20">
        <v>0</v>
      </c>
      <c r="H927" s="20">
        <v>0</v>
      </c>
      <c r="I927" s="20">
        <v>0</v>
      </c>
      <c r="J927" s="20">
        <v>0</v>
      </c>
      <c r="K927" s="20">
        <v>0</v>
      </c>
      <c r="L927" s="20">
        <v>0</v>
      </c>
      <c r="M927" s="20">
        <v>0</v>
      </c>
      <c r="N927" s="20">
        <v>0</v>
      </c>
      <c r="O927" s="20">
        <v>0</v>
      </c>
      <c r="P927" s="20">
        <v>0</v>
      </c>
      <c r="Q927" s="68"/>
    </row>
    <row r="928" spans="1:17" ht="14.4" hidden="1" x14ac:dyDescent="0.3">
      <c r="A928" s="14" t="s">
        <v>185</v>
      </c>
      <c r="B928" s="14"/>
      <c r="C928" s="16"/>
      <c r="D928" s="28"/>
      <c r="E928" s="28"/>
      <c r="F928" s="28"/>
      <c r="G928" s="28"/>
      <c r="H928" s="28"/>
      <c r="I928" s="28"/>
      <c r="J928" s="28"/>
      <c r="K928" s="28"/>
      <c r="L928" s="28"/>
      <c r="M928" s="28"/>
      <c r="N928" s="28"/>
      <c r="O928" s="28"/>
      <c r="P928" s="28"/>
      <c r="Q928" s="68"/>
    </row>
    <row r="929" spans="1:17" ht="14.4" hidden="1" x14ac:dyDescent="0.3">
      <c r="A929" s="14" t="s">
        <v>186</v>
      </c>
      <c r="B929" s="14"/>
      <c r="C929" s="16" t="s">
        <v>19</v>
      </c>
      <c r="D929" s="20"/>
      <c r="E929" s="20"/>
      <c r="F929" s="20"/>
      <c r="G929" s="20"/>
      <c r="H929" s="20"/>
      <c r="I929" s="20"/>
      <c r="J929" s="20"/>
      <c r="K929" s="20"/>
      <c r="L929" s="20"/>
      <c r="M929" s="20"/>
      <c r="N929" s="20"/>
      <c r="O929" s="20"/>
      <c r="P929" s="20"/>
      <c r="Q929" s="68"/>
    </row>
    <row r="930" spans="1:17" ht="14.4" x14ac:dyDescent="0.3">
      <c r="A930" s="14" t="s">
        <v>47</v>
      </c>
      <c r="B930" s="14"/>
      <c r="C930" s="16"/>
      <c r="D930" s="24"/>
      <c r="E930" s="24"/>
      <c r="F930" s="24"/>
      <c r="G930" s="24"/>
      <c r="H930" s="24"/>
      <c r="I930" s="24"/>
      <c r="J930" s="24"/>
      <c r="K930" s="24"/>
      <c r="L930" s="24"/>
      <c r="M930" s="24"/>
      <c r="N930" s="24"/>
      <c r="O930" s="24"/>
      <c r="P930" s="24"/>
      <c r="Q930" s="68"/>
    </row>
    <row r="931" spans="1:17" ht="14.4" x14ac:dyDescent="0.3">
      <c r="A931" s="18" t="s">
        <v>48</v>
      </c>
      <c r="B931" s="18"/>
      <c r="C931" s="16" t="s">
        <v>19</v>
      </c>
      <c r="D931" s="20">
        <f>D880</f>
        <v>0.1163</v>
      </c>
      <c r="E931" s="20">
        <f t="shared" ref="E931:P932" si="57">E880</f>
        <v>0.1163</v>
      </c>
      <c r="F931" s="20">
        <f t="shared" si="57"/>
        <v>0.1163</v>
      </c>
      <c r="G931" s="20">
        <f t="shared" si="57"/>
        <v>0.1163</v>
      </c>
      <c r="H931" s="20">
        <f t="shared" si="57"/>
        <v>0.1163</v>
      </c>
      <c r="I931" s="20">
        <f t="shared" si="57"/>
        <v>0.1163</v>
      </c>
      <c r="J931" s="20">
        <f t="shared" si="57"/>
        <v>0.1163</v>
      </c>
      <c r="K931" s="20">
        <f t="shared" si="57"/>
        <v>0.1163</v>
      </c>
      <c r="L931" s="20">
        <f t="shared" si="57"/>
        <v>0.1163</v>
      </c>
      <c r="M931" s="20">
        <f t="shared" si="57"/>
        <v>0.1163</v>
      </c>
      <c r="N931" s="20">
        <f t="shared" si="57"/>
        <v>0.1163</v>
      </c>
      <c r="O931" s="20">
        <f t="shared" si="57"/>
        <v>0.1163</v>
      </c>
      <c r="P931" s="20">
        <f t="shared" si="57"/>
        <v>0.1163</v>
      </c>
      <c r="Q931" s="68"/>
    </row>
    <row r="932" spans="1:17" ht="14.4" x14ac:dyDescent="0.3">
      <c r="A932" s="18" t="s">
        <v>49</v>
      </c>
      <c r="B932" s="18"/>
      <c r="C932" s="16" t="s">
        <v>19</v>
      </c>
      <c r="D932" s="20">
        <f>D881</f>
        <v>2.5000000000000001E-3</v>
      </c>
      <c r="E932" s="20">
        <f t="shared" si="57"/>
        <v>2.5000000000000001E-3</v>
      </c>
      <c r="F932" s="20">
        <f t="shared" si="57"/>
        <v>2.5000000000000001E-3</v>
      </c>
      <c r="G932" s="20">
        <f t="shared" si="57"/>
        <v>2.5000000000000001E-3</v>
      </c>
      <c r="H932" s="20">
        <f t="shared" si="57"/>
        <v>2.5000000000000001E-3</v>
      </c>
      <c r="I932" s="20">
        <f t="shared" si="57"/>
        <v>2.5000000000000001E-3</v>
      </c>
      <c r="J932" s="20">
        <f t="shared" si="57"/>
        <v>2.5000000000000001E-3</v>
      </c>
      <c r="K932" s="20">
        <f t="shared" si="57"/>
        <v>2.5000000000000001E-3</v>
      </c>
      <c r="L932" s="20">
        <f t="shared" si="57"/>
        <v>2.5000000000000001E-3</v>
      </c>
      <c r="M932" s="20">
        <f t="shared" si="57"/>
        <v>2.5000000000000001E-3</v>
      </c>
      <c r="N932" s="20">
        <f t="shared" si="57"/>
        <v>2.5000000000000001E-3</v>
      </c>
      <c r="O932" s="20">
        <f t="shared" si="57"/>
        <v>2.5000000000000001E-3</v>
      </c>
      <c r="P932" s="20">
        <f t="shared" si="57"/>
        <v>2.5000000000000001E-3</v>
      </c>
      <c r="Q932" s="68"/>
    </row>
    <row r="933" spans="1:17" ht="14.4" x14ac:dyDescent="0.3">
      <c r="A933" s="18" t="s">
        <v>50</v>
      </c>
      <c r="B933" s="18"/>
      <c r="C933" s="16"/>
      <c r="D933" s="20"/>
      <c r="E933" s="20"/>
      <c r="F933" s="20">
        <v>0.1938</v>
      </c>
      <c r="G933" s="20">
        <v>0.1938</v>
      </c>
      <c r="H933" s="20">
        <v>0.1938</v>
      </c>
      <c r="I933" s="20">
        <v>0.1938</v>
      </c>
      <c r="J933" s="20">
        <v>0.1938</v>
      </c>
      <c r="K933" s="20">
        <v>0.1938</v>
      </c>
      <c r="L933" s="20">
        <v>0.1938</v>
      </c>
      <c r="M933" s="20">
        <v>0.1938</v>
      </c>
      <c r="N933" s="20">
        <v>0.1938</v>
      </c>
      <c r="O933" s="20">
        <v>0.1938</v>
      </c>
      <c r="P933" s="20">
        <v>0.1938</v>
      </c>
      <c r="Q933" s="68"/>
    </row>
    <row r="934" spans="1:17" ht="14.4" x14ac:dyDescent="0.3">
      <c r="A934" s="14" t="s">
        <v>52</v>
      </c>
      <c r="B934" s="14"/>
      <c r="C934" s="29"/>
      <c r="D934" s="22"/>
      <c r="E934" s="22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68"/>
    </row>
    <row r="935" spans="1:17" ht="14.4" x14ac:dyDescent="0.3">
      <c r="A935" s="18" t="s">
        <v>53</v>
      </c>
      <c r="B935" s="18"/>
      <c r="C935" s="16" t="s">
        <v>44</v>
      </c>
      <c r="D935" s="52" t="s">
        <v>189</v>
      </c>
      <c r="E935" s="30">
        <f>'[41]DU VAT'!E17</f>
        <v>0.1142</v>
      </c>
      <c r="F935" s="30">
        <f>'[41]DU VAT'!F17</f>
        <v>0.1147</v>
      </c>
      <c r="G935" s="30">
        <f>'[41]DU VAT'!G17</f>
        <v>0.1137</v>
      </c>
      <c r="H935" s="30">
        <f>'[41]DU VAT'!H17</f>
        <v>0.1094</v>
      </c>
      <c r="I935" s="30">
        <f>'[41]DU VAT'!I17</f>
        <v>0.1084</v>
      </c>
      <c r="J935" s="30">
        <f>'[41]DU VAT'!J17</f>
        <v>0.1182</v>
      </c>
      <c r="K935" s="30">
        <f>'[41]DU VAT'!K17</f>
        <v>0.1183</v>
      </c>
      <c r="L935" s="30">
        <f>'[41]DU VAT'!L17</f>
        <v>0.10920000000000001</v>
      </c>
      <c r="M935" s="30">
        <f>'[41]DU VAT'!M17</f>
        <v>0.11840000000000001</v>
      </c>
      <c r="N935" s="30">
        <f>'[41]DU VAT'!N17</f>
        <v>0.10970000000000001</v>
      </c>
      <c r="O935" s="30">
        <f>'[41]DU VAT'!O17</f>
        <v>0.10970000000000001</v>
      </c>
      <c r="P935" s="30" t="e">
        <f>'[41]DU VAT'!P17</f>
        <v>#DIV/0!</v>
      </c>
      <c r="Q935" s="68"/>
    </row>
    <row r="936" spans="1:17" ht="14.4" x14ac:dyDescent="0.3">
      <c r="A936" s="18" t="s">
        <v>54</v>
      </c>
      <c r="B936" s="18"/>
      <c r="C936" s="16" t="s">
        <v>44</v>
      </c>
      <c r="D936" s="30">
        <f t="shared" ref="D936:P941" si="58">D885</f>
        <v>0</v>
      </c>
      <c r="E936" s="30">
        <f t="shared" si="58"/>
        <v>0</v>
      </c>
      <c r="F936" s="30">
        <f t="shared" si="58"/>
        <v>0</v>
      </c>
      <c r="G936" s="30">
        <f t="shared" si="58"/>
        <v>0</v>
      </c>
      <c r="H936" s="30">
        <f t="shared" si="58"/>
        <v>0</v>
      </c>
      <c r="I936" s="30">
        <f t="shared" si="58"/>
        <v>0</v>
      </c>
      <c r="J936" s="30">
        <f t="shared" si="58"/>
        <v>0</v>
      </c>
      <c r="K936" s="30">
        <f t="shared" si="58"/>
        <v>0</v>
      </c>
      <c r="L936" s="30">
        <f t="shared" si="58"/>
        <v>0</v>
      </c>
      <c r="M936" s="30">
        <f t="shared" si="58"/>
        <v>2E-3</v>
      </c>
      <c r="N936" s="30">
        <f t="shared" si="58"/>
        <v>5.9999999999999995E-4</v>
      </c>
      <c r="O936" s="30">
        <f t="shared" si="58"/>
        <v>5.9999999999999984E-4</v>
      </c>
      <c r="P936" s="30" t="e">
        <f t="shared" si="58"/>
        <v>#DIV/0!</v>
      </c>
      <c r="Q936" s="68"/>
    </row>
    <row r="937" spans="1:17" ht="14.4" x14ac:dyDescent="0.3">
      <c r="A937" s="18" t="s">
        <v>55</v>
      </c>
      <c r="B937" s="18"/>
      <c r="C937" s="16" t="s">
        <v>44</v>
      </c>
      <c r="D937" s="30">
        <f t="shared" si="58"/>
        <v>9.4899999999999998E-2</v>
      </c>
      <c r="E937" s="30">
        <f t="shared" si="58"/>
        <v>9.69E-2</v>
      </c>
      <c r="F937" s="30">
        <f t="shared" si="58"/>
        <v>9.8100000000000007E-2</v>
      </c>
      <c r="G937" s="30">
        <f t="shared" si="58"/>
        <v>9.7000000000000003E-2</v>
      </c>
      <c r="H937" s="30">
        <f t="shared" si="58"/>
        <v>9.5899999999999999E-2</v>
      </c>
      <c r="I937" s="30">
        <f t="shared" si="58"/>
        <v>9.4799999999999995E-2</v>
      </c>
      <c r="J937" s="30">
        <f t="shared" si="58"/>
        <v>0.1028</v>
      </c>
      <c r="K937" s="30">
        <f t="shared" si="58"/>
        <v>0.1027</v>
      </c>
      <c r="L937" s="30">
        <f t="shared" si="58"/>
        <v>9.35E-2</v>
      </c>
      <c r="M937" s="30">
        <f t="shared" si="58"/>
        <v>0.1004</v>
      </c>
      <c r="N937" s="30">
        <f t="shared" si="58"/>
        <v>9.4299999999999995E-2</v>
      </c>
      <c r="O937" s="30">
        <f t="shared" si="58"/>
        <v>9.4299999999999995E-2</v>
      </c>
      <c r="P937" s="30" t="e">
        <f t="shared" si="58"/>
        <v>#DIV/0!</v>
      </c>
      <c r="Q937" s="68"/>
    </row>
    <row r="938" spans="1:17" ht="14.4" x14ac:dyDescent="0.3">
      <c r="A938" s="18" t="s">
        <v>187</v>
      </c>
      <c r="B938" s="18"/>
      <c r="C938" s="16" t="s">
        <v>44</v>
      </c>
      <c r="D938" s="27">
        <v>0</v>
      </c>
      <c r="E938" s="27">
        <v>0</v>
      </c>
      <c r="F938" s="27">
        <v>0</v>
      </c>
      <c r="G938" s="27">
        <v>0</v>
      </c>
      <c r="H938" s="27">
        <v>0</v>
      </c>
      <c r="I938" s="27">
        <v>0</v>
      </c>
      <c r="J938" s="27">
        <v>0</v>
      </c>
      <c r="K938" s="27">
        <v>0</v>
      </c>
      <c r="L938" s="27">
        <v>0</v>
      </c>
      <c r="M938" s="27">
        <v>0</v>
      </c>
      <c r="N938" s="27">
        <v>0</v>
      </c>
      <c r="O938" s="27">
        <v>0</v>
      </c>
      <c r="P938" s="27">
        <v>0</v>
      </c>
      <c r="Q938" s="68"/>
    </row>
    <row r="939" spans="1:17" ht="14.4" x14ac:dyDescent="0.3">
      <c r="A939" s="18" t="s">
        <v>188</v>
      </c>
      <c r="B939" s="18"/>
      <c r="C939" s="16" t="s">
        <v>44</v>
      </c>
      <c r="D939" s="30">
        <f t="shared" si="58"/>
        <v>9.8799999999999999E-2</v>
      </c>
      <c r="E939" s="30">
        <f t="shared" si="58"/>
        <v>9.8799999999999999E-2</v>
      </c>
      <c r="F939" s="30">
        <f t="shared" si="58"/>
        <v>9.8799999999999999E-2</v>
      </c>
      <c r="G939" s="30">
        <f t="shared" si="58"/>
        <v>9.8799999999999999E-2</v>
      </c>
      <c r="H939" s="30">
        <f t="shared" si="58"/>
        <v>9.8799999999999999E-2</v>
      </c>
      <c r="I939" s="30">
        <f t="shared" si="58"/>
        <v>9.8799999999999999E-2</v>
      </c>
      <c r="J939" s="30">
        <f t="shared" si="58"/>
        <v>9.8799999999999999E-2</v>
      </c>
      <c r="K939" s="30">
        <f t="shared" si="58"/>
        <v>9.8799999999999999E-2</v>
      </c>
      <c r="L939" s="30">
        <f t="shared" si="58"/>
        <v>9.8799999999999999E-2</v>
      </c>
      <c r="M939" s="30">
        <f t="shared" si="58"/>
        <v>9.8799999999999999E-2</v>
      </c>
      <c r="N939" s="30">
        <f t="shared" si="58"/>
        <v>9.8799999999999999E-2</v>
      </c>
      <c r="O939" s="30">
        <f t="shared" si="58"/>
        <v>9.8799999999999999E-2</v>
      </c>
      <c r="P939" s="30">
        <f t="shared" si="58"/>
        <v>9.8799999999999999E-2</v>
      </c>
      <c r="Q939" s="68"/>
    </row>
    <row r="940" spans="1:17" ht="14.4" x14ac:dyDescent="0.3">
      <c r="A940" s="18" t="s">
        <v>56</v>
      </c>
      <c r="B940" s="18"/>
      <c r="C940" s="16" t="s">
        <v>44</v>
      </c>
      <c r="D940" s="30">
        <f t="shared" si="58"/>
        <v>0.12</v>
      </c>
      <c r="E940" s="30">
        <f t="shared" si="58"/>
        <v>0.12</v>
      </c>
      <c r="F940" s="30">
        <f t="shared" si="58"/>
        <v>0.12</v>
      </c>
      <c r="G940" s="30">
        <f t="shared" si="58"/>
        <v>0.12</v>
      </c>
      <c r="H940" s="30">
        <f t="shared" si="58"/>
        <v>0.12</v>
      </c>
      <c r="I940" s="30">
        <f t="shared" si="58"/>
        <v>0.12</v>
      </c>
      <c r="J940" s="30">
        <f t="shared" si="58"/>
        <v>0.12</v>
      </c>
      <c r="K940" s="30">
        <f t="shared" si="58"/>
        <v>0.12</v>
      </c>
      <c r="L940" s="30">
        <f t="shared" si="58"/>
        <v>0.12</v>
      </c>
      <c r="M940" s="30">
        <f t="shared" si="58"/>
        <v>0.12</v>
      </c>
      <c r="N940" s="30">
        <f t="shared" si="58"/>
        <v>0.12</v>
      </c>
      <c r="O940" s="30">
        <f t="shared" si="58"/>
        <v>0.12</v>
      </c>
      <c r="P940" s="30">
        <f t="shared" si="58"/>
        <v>0.12</v>
      </c>
      <c r="Q940" s="68"/>
    </row>
    <row r="941" spans="1:17" ht="14.4" x14ac:dyDescent="0.3">
      <c r="A941" s="18" t="s">
        <v>57</v>
      </c>
      <c r="B941" s="18"/>
      <c r="C941" s="16" t="s">
        <v>44</v>
      </c>
      <c r="D941" s="30">
        <f t="shared" si="58"/>
        <v>0.12</v>
      </c>
      <c r="E941" s="30">
        <f t="shared" si="58"/>
        <v>0.12</v>
      </c>
      <c r="F941" s="30">
        <f t="shared" si="58"/>
        <v>0.12</v>
      </c>
      <c r="G941" s="30">
        <f t="shared" si="58"/>
        <v>0.12</v>
      </c>
      <c r="H941" s="30">
        <f t="shared" si="58"/>
        <v>0.12</v>
      </c>
      <c r="I941" s="30">
        <f t="shared" si="58"/>
        <v>0.12</v>
      </c>
      <c r="J941" s="30">
        <f t="shared" si="58"/>
        <v>0.12</v>
      </c>
      <c r="K941" s="30">
        <f t="shared" si="58"/>
        <v>0.12</v>
      </c>
      <c r="L941" s="30">
        <f t="shared" si="58"/>
        <v>0.12</v>
      </c>
      <c r="M941" s="30">
        <f t="shared" si="58"/>
        <v>0.12</v>
      </c>
      <c r="N941" s="30">
        <f t="shared" si="58"/>
        <v>0.12</v>
      </c>
      <c r="O941" s="30">
        <f t="shared" si="58"/>
        <v>0.12</v>
      </c>
      <c r="P941" s="30">
        <f t="shared" si="58"/>
        <v>0.12</v>
      </c>
      <c r="Q941" s="68"/>
    </row>
    <row r="942" spans="1:17" s="5" customFormat="1" ht="14.4" x14ac:dyDescent="0.3">
      <c r="A942" s="55"/>
      <c r="B942" s="55"/>
      <c r="C942" s="56"/>
      <c r="D942" s="57"/>
      <c r="E942" s="57"/>
      <c r="F942" s="57"/>
      <c r="G942" s="57"/>
      <c r="H942" s="57"/>
      <c r="I942" s="57"/>
      <c r="J942" s="57"/>
      <c r="K942" s="57"/>
      <c r="L942" s="57"/>
      <c r="M942" s="57"/>
      <c r="N942" s="57"/>
      <c r="O942" s="57"/>
      <c r="P942" s="57"/>
      <c r="Q942" s="68"/>
    </row>
    <row r="943" spans="1:17" x14ac:dyDescent="0.3">
      <c r="A943" s="3" t="s">
        <v>58</v>
      </c>
      <c r="Q943" s="68"/>
    </row>
    <row r="944" spans="1:17" s="5" customFormat="1" ht="14.4" x14ac:dyDescent="0.3">
      <c r="A944" s="55"/>
      <c r="B944" s="55"/>
      <c r="C944" s="56"/>
      <c r="D944" s="57"/>
      <c r="E944" s="57"/>
      <c r="F944" s="57"/>
      <c r="G944" s="57"/>
      <c r="H944" s="57"/>
      <c r="I944" s="57"/>
      <c r="J944" s="57"/>
      <c r="K944" s="57"/>
      <c r="L944" s="57"/>
      <c r="M944" s="57"/>
      <c r="N944" s="57"/>
      <c r="O944" s="57"/>
      <c r="P944" s="57"/>
      <c r="Q944" s="68"/>
    </row>
    <row r="945" spans="1:17" ht="18" x14ac:dyDescent="0.35">
      <c r="A945" s="59" t="str">
        <f>'[41]Statistical data'!A226</f>
        <v>General Power-69/115kV</v>
      </c>
      <c r="B945" s="60"/>
      <c r="C945" s="5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68"/>
    </row>
    <row r="946" spans="1:17" s="13" customFormat="1" ht="14.4" x14ac:dyDescent="0.3">
      <c r="A946" s="11" t="s">
        <v>3</v>
      </c>
      <c r="B946" s="11"/>
      <c r="C946" s="11" t="s">
        <v>4</v>
      </c>
      <c r="D946" s="12" t="str">
        <f>D895</f>
        <v>JAN</v>
      </c>
      <c r="E946" s="12" t="str">
        <f t="shared" ref="E946:P946" si="59">E895</f>
        <v>FEB</v>
      </c>
      <c r="F946" s="12" t="str">
        <f t="shared" si="59"/>
        <v>MAR</v>
      </c>
      <c r="G946" s="12" t="str">
        <f t="shared" si="59"/>
        <v>APR</v>
      </c>
      <c r="H946" s="12" t="str">
        <f t="shared" si="59"/>
        <v>MAY</v>
      </c>
      <c r="I946" s="12" t="str">
        <f t="shared" si="59"/>
        <v>JUN</v>
      </c>
      <c r="J946" s="12" t="str">
        <f t="shared" si="59"/>
        <v>JUL</v>
      </c>
      <c r="K946" s="12" t="str">
        <f t="shared" si="59"/>
        <v>AUG</v>
      </c>
      <c r="L946" s="12" t="str">
        <f t="shared" si="59"/>
        <v>SEP</v>
      </c>
      <c r="M946" s="12" t="str">
        <f t="shared" si="59"/>
        <v>OCT</v>
      </c>
      <c r="N946" s="12" t="str">
        <f t="shared" si="59"/>
        <v>NOV</v>
      </c>
      <c r="O946" s="12" t="str">
        <f t="shared" si="59"/>
        <v>DEC</v>
      </c>
      <c r="P946" s="12" t="str">
        <f t="shared" si="59"/>
        <v>JAN</v>
      </c>
      <c r="Q946" s="68"/>
    </row>
    <row r="947" spans="1:17" ht="14.4" x14ac:dyDescent="0.3">
      <c r="A947" s="14" t="s">
        <v>17</v>
      </c>
      <c r="B947" s="15"/>
      <c r="C947" s="16"/>
      <c r="D947" s="17"/>
      <c r="E947" s="17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68"/>
    </row>
    <row r="948" spans="1:17" ht="14.4" x14ac:dyDescent="0.3">
      <c r="A948" s="18" t="s">
        <v>18</v>
      </c>
      <c r="B948" s="19"/>
      <c r="C948" s="16" t="s">
        <v>19</v>
      </c>
      <c r="D948" s="52" t="s">
        <v>59</v>
      </c>
      <c r="E948" s="52" t="s">
        <v>59</v>
      </c>
      <c r="F948" s="52" t="s">
        <v>59</v>
      </c>
      <c r="G948" s="52" t="s">
        <v>59</v>
      </c>
      <c r="H948" s="52" t="s">
        <v>59</v>
      </c>
      <c r="I948" s="52" t="s">
        <v>59</v>
      </c>
      <c r="J948" s="52" t="s">
        <v>59</v>
      </c>
      <c r="K948" s="52" t="s">
        <v>59</v>
      </c>
      <c r="L948" s="52" t="s">
        <v>59</v>
      </c>
      <c r="M948" s="52" t="s">
        <v>59</v>
      </c>
      <c r="N948" s="52" t="s">
        <v>59</v>
      </c>
      <c r="O948" s="52" t="s">
        <v>59</v>
      </c>
      <c r="P948" s="52" t="s">
        <v>59</v>
      </c>
      <c r="Q948" s="68"/>
    </row>
    <row r="949" spans="1:17" ht="14.4" x14ac:dyDescent="0.3">
      <c r="A949" s="18" t="s">
        <v>66</v>
      </c>
      <c r="B949" s="19"/>
      <c r="C949" s="16" t="s">
        <v>19</v>
      </c>
      <c r="D949" s="20">
        <v>0</v>
      </c>
      <c r="E949" s="20">
        <v>0</v>
      </c>
      <c r="F949" s="20">
        <v>0</v>
      </c>
      <c r="G949" s="20">
        <v>0</v>
      </c>
      <c r="H949" s="20">
        <v>0</v>
      </c>
      <c r="I949" s="20">
        <v>0</v>
      </c>
      <c r="J949" s="20">
        <v>0</v>
      </c>
      <c r="K949" s="20">
        <v>0</v>
      </c>
      <c r="L949" s="20">
        <v>0</v>
      </c>
      <c r="M949" s="20">
        <v>0</v>
      </c>
      <c r="N949" s="20">
        <v>0</v>
      </c>
      <c r="O949" s="20">
        <v>0</v>
      </c>
      <c r="P949" s="20">
        <v>0</v>
      </c>
      <c r="Q949" s="68"/>
    </row>
    <row r="950" spans="1:17" ht="14.4" x14ac:dyDescent="0.3">
      <c r="A950" s="14" t="s">
        <v>20</v>
      </c>
      <c r="B950" s="15"/>
      <c r="C950" s="16"/>
      <c r="D950" s="21"/>
      <c r="E950" s="21"/>
      <c r="F950" s="21"/>
      <c r="G950" s="21"/>
      <c r="H950" s="21"/>
      <c r="I950" s="21"/>
      <c r="J950" s="21"/>
      <c r="K950" s="21"/>
      <c r="L950" s="21"/>
      <c r="M950" s="21"/>
      <c r="N950" s="21"/>
      <c r="O950" s="21"/>
      <c r="P950" s="21"/>
      <c r="Q950" s="68"/>
    </row>
    <row r="951" spans="1:17" ht="14.4" x14ac:dyDescent="0.3">
      <c r="A951" s="18" t="s">
        <v>21</v>
      </c>
      <c r="B951" s="19"/>
      <c r="C951" s="16" t="s">
        <v>19</v>
      </c>
      <c r="D951" s="20">
        <v>0</v>
      </c>
      <c r="E951" s="20">
        <v>0</v>
      </c>
      <c r="F951" s="20">
        <v>0</v>
      </c>
      <c r="G951" s="20">
        <v>0</v>
      </c>
      <c r="H951" s="20">
        <v>0</v>
      </c>
      <c r="I951" s="20">
        <v>0</v>
      </c>
      <c r="J951" s="20">
        <v>0</v>
      </c>
      <c r="K951" s="20">
        <v>0</v>
      </c>
      <c r="L951" s="20">
        <v>0</v>
      </c>
      <c r="M951" s="20">
        <v>0</v>
      </c>
      <c r="N951" s="20">
        <v>0</v>
      </c>
      <c r="O951" s="20">
        <v>0</v>
      </c>
      <c r="P951" s="20">
        <v>0</v>
      </c>
      <c r="Q951" s="68"/>
    </row>
    <row r="952" spans="1:17" ht="14.4" x14ac:dyDescent="0.3">
      <c r="A952" s="18" t="s">
        <v>22</v>
      </c>
      <c r="B952" s="19"/>
      <c r="C952" s="16" t="s">
        <v>23</v>
      </c>
      <c r="D952" s="23">
        <f>[41]TR!D83</f>
        <v>253.76</v>
      </c>
      <c r="E952" s="23">
        <f>[41]TR!E83</f>
        <v>268.38</v>
      </c>
      <c r="F952" s="23">
        <f>[41]TR!F83</f>
        <v>273.98</v>
      </c>
      <c r="G952" s="23">
        <f>[41]TR!G83</f>
        <v>251.8</v>
      </c>
      <c r="H952" s="23">
        <f>[41]TR!H83</f>
        <v>221.34</v>
      </c>
      <c r="I952" s="23">
        <f>[41]TR!I83</f>
        <v>236.8</v>
      </c>
      <c r="J952" s="23">
        <f>[41]TR!J83</f>
        <v>244.91</v>
      </c>
      <c r="K952" s="23">
        <f>[41]TR!K83</f>
        <v>237.19</v>
      </c>
      <c r="L952" s="23">
        <f>[41]TR!L83</f>
        <v>270.14999999999998</v>
      </c>
      <c r="M952" s="23">
        <f>[41]TR!M83</f>
        <v>263.98</v>
      </c>
      <c r="N952" s="23">
        <f>[41]TR!N83</f>
        <v>288.2</v>
      </c>
      <c r="O952" s="23">
        <f>[41]TR!O83</f>
        <v>288.2</v>
      </c>
      <c r="P952" s="23">
        <f>[41]TR!P83</f>
        <v>0</v>
      </c>
      <c r="Q952" s="68"/>
    </row>
    <row r="953" spans="1:17" ht="14.4" x14ac:dyDescent="0.3">
      <c r="A953" s="14" t="s">
        <v>24</v>
      </c>
      <c r="B953" s="15"/>
      <c r="C953" s="16"/>
      <c r="D953" s="21"/>
      <c r="E953" s="21"/>
      <c r="F953" s="21"/>
      <c r="G953" s="21"/>
      <c r="H953" s="21"/>
      <c r="I953" s="21"/>
      <c r="J953" s="21"/>
      <c r="K953" s="21"/>
      <c r="L953" s="21"/>
      <c r="M953" s="21"/>
      <c r="N953" s="21"/>
      <c r="O953" s="21"/>
      <c r="P953" s="21"/>
      <c r="Q953" s="68"/>
    </row>
    <row r="954" spans="1:17" ht="14.4" x14ac:dyDescent="0.3">
      <c r="A954" s="18" t="s">
        <v>25</v>
      </c>
      <c r="B954" s="19"/>
      <c r="C954" s="16" t="s">
        <v>19</v>
      </c>
      <c r="D954" s="20">
        <f>[41]SLR!D136</f>
        <v>7.2400000000000006E-2</v>
      </c>
      <c r="E954" s="20">
        <f>[41]SLR!E136</f>
        <v>6.8599999999999994E-2</v>
      </c>
      <c r="F954" s="20">
        <f>[41]SLR!F136</f>
        <v>6.9000000000000006E-2</v>
      </c>
      <c r="G954" s="20">
        <f>[41]SLR!G136</f>
        <v>7.17E-2</v>
      </c>
      <c r="H954" s="20">
        <f>[41]SLR!H136</f>
        <v>6.9599999999999995E-2</v>
      </c>
      <c r="I954" s="20">
        <f>[41]SLR!I136</f>
        <v>6.9699999999999998E-2</v>
      </c>
      <c r="J954" s="20">
        <f>[41]SLR!J136</f>
        <v>6.8099999999999994E-2</v>
      </c>
      <c r="K954" s="20">
        <f>[41]SLR!K136</f>
        <v>6.3E-2</v>
      </c>
      <c r="L954" s="20">
        <f>[41]SLR!L136</f>
        <v>6.4000000000000001E-2</v>
      </c>
      <c r="M954" s="20">
        <f>[41]SLR!M136</f>
        <v>6.0400000000000002E-2</v>
      </c>
      <c r="N954" s="20">
        <f>[41]SLR!N136</f>
        <v>7.3999999999999996E-2</v>
      </c>
      <c r="O954" s="20">
        <f>[41]SLR!O136</f>
        <v>7.3999999999999996E-2</v>
      </c>
      <c r="P954" s="20">
        <f>[41]SLR!P136</f>
        <v>0</v>
      </c>
      <c r="Q954" s="68"/>
    </row>
    <row r="955" spans="1:17" ht="14.4" x14ac:dyDescent="0.3">
      <c r="A955" s="14" t="s">
        <v>26</v>
      </c>
      <c r="B955" s="14"/>
      <c r="C955" s="16"/>
      <c r="D955" s="22"/>
      <c r="E955" s="22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68"/>
    </row>
    <row r="956" spans="1:17" ht="14.4" x14ac:dyDescent="0.3">
      <c r="A956" s="18" t="s">
        <v>27</v>
      </c>
      <c r="B956" s="18"/>
      <c r="C956" s="16" t="s">
        <v>19</v>
      </c>
      <c r="D956" s="20">
        <f>D905</f>
        <v>0.06</v>
      </c>
      <c r="E956" s="20">
        <f t="shared" ref="E956:P956" si="60">E905</f>
        <v>0.06</v>
      </c>
      <c r="F956" s="20">
        <f t="shared" si="60"/>
        <v>0.06</v>
      </c>
      <c r="G956" s="20">
        <f t="shared" si="60"/>
        <v>0.06</v>
      </c>
      <c r="H956" s="20">
        <f t="shared" si="60"/>
        <v>0.06</v>
      </c>
      <c r="I956" s="20">
        <f t="shared" si="60"/>
        <v>0.06</v>
      </c>
      <c r="J956" s="20">
        <f t="shared" si="60"/>
        <v>6.0900000000000003E-2</v>
      </c>
      <c r="K956" s="20">
        <f t="shared" si="60"/>
        <v>6.0900000000000003E-2</v>
      </c>
      <c r="L956" s="20">
        <f t="shared" si="60"/>
        <v>6.0900000000000003E-2</v>
      </c>
      <c r="M956" s="20">
        <f t="shared" si="60"/>
        <v>6.0900000000000003E-2</v>
      </c>
      <c r="N956" s="20">
        <f t="shared" si="60"/>
        <v>6.0900000000000003E-2</v>
      </c>
      <c r="O956" s="20">
        <f t="shared" si="60"/>
        <v>6.0900000000000003E-2</v>
      </c>
      <c r="P956" s="20">
        <f t="shared" si="60"/>
        <v>6.0900000000000003E-2</v>
      </c>
      <c r="Q956" s="68"/>
    </row>
    <row r="957" spans="1:17" ht="14.4" x14ac:dyDescent="0.3">
      <c r="A957" s="18" t="s">
        <v>28</v>
      </c>
      <c r="B957" s="18"/>
      <c r="C957" s="16" t="s">
        <v>23</v>
      </c>
      <c r="D957" s="23">
        <v>167.46</v>
      </c>
      <c r="E957" s="23">
        <v>167.46</v>
      </c>
      <c r="F957" s="23">
        <v>167.46</v>
      </c>
      <c r="G957" s="23">
        <v>167.46</v>
      </c>
      <c r="H957" s="23">
        <v>167.46</v>
      </c>
      <c r="I957" s="23">
        <v>167.46</v>
      </c>
      <c r="J957" s="23">
        <v>170.08</v>
      </c>
      <c r="K957" s="23">
        <v>170.08</v>
      </c>
      <c r="L957" s="23">
        <v>170.08</v>
      </c>
      <c r="M957" s="23">
        <v>170.08</v>
      </c>
      <c r="N957" s="23">
        <v>170.08</v>
      </c>
      <c r="O957" s="23">
        <v>170.08</v>
      </c>
      <c r="P957" s="23">
        <v>170.08</v>
      </c>
      <c r="Q957" s="68"/>
    </row>
    <row r="958" spans="1:17" ht="14.4" x14ac:dyDescent="0.3">
      <c r="A958" s="14" t="s">
        <v>29</v>
      </c>
      <c r="B958" s="14"/>
      <c r="C958" s="16"/>
      <c r="D958" s="24"/>
      <c r="E958" s="24"/>
      <c r="F958" s="24"/>
      <c r="G958" s="24"/>
      <c r="H958" s="24"/>
      <c r="I958" s="24"/>
      <c r="J958" s="24"/>
      <c r="K958" s="24"/>
      <c r="L958" s="24"/>
      <c r="M958" s="24"/>
      <c r="N958" s="24"/>
      <c r="O958" s="24"/>
      <c r="P958" s="24"/>
      <c r="Q958" s="68"/>
    </row>
    <row r="959" spans="1:17" ht="14.4" x14ac:dyDescent="0.3">
      <c r="A959" s="18" t="s">
        <v>30</v>
      </c>
      <c r="B959" s="18"/>
      <c r="C959" s="16" t="s">
        <v>19</v>
      </c>
      <c r="D959" s="52" t="s">
        <v>61</v>
      </c>
      <c r="E959" s="52" t="s">
        <v>61</v>
      </c>
      <c r="F959" s="52" t="s">
        <v>61</v>
      </c>
      <c r="G959" s="52" t="s">
        <v>61</v>
      </c>
      <c r="H959" s="52" t="s">
        <v>61</v>
      </c>
      <c r="I959" s="52" t="s">
        <v>61</v>
      </c>
      <c r="J959" s="52" t="s">
        <v>61</v>
      </c>
      <c r="K959" s="52" t="s">
        <v>61</v>
      </c>
      <c r="L959" s="52" t="s">
        <v>61</v>
      </c>
      <c r="M959" s="52" t="s">
        <v>61</v>
      </c>
      <c r="N959" s="52" t="s">
        <v>61</v>
      </c>
      <c r="O959" s="52" t="s">
        <v>61</v>
      </c>
      <c r="P959" s="52" t="s">
        <v>61</v>
      </c>
      <c r="Q959" s="68"/>
    </row>
    <row r="960" spans="1:17" ht="14.4" x14ac:dyDescent="0.3">
      <c r="A960" s="18" t="s">
        <v>31</v>
      </c>
      <c r="B960" s="18"/>
      <c r="C960" s="16" t="s">
        <v>32</v>
      </c>
      <c r="D960" s="52" t="s">
        <v>62</v>
      </c>
      <c r="E960" s="52" t="s">
        <v>62</v>
      </c>
      <c r="F960" s="52" t="s">
        <v>62</v>
      </c>
      <c r="G960" s="52" t="s">
        <v>62</v>
      </c>
      <c r="H960" s="52" t="s">
        <v>62</v>
      </c>
      <c r="I960" s="52" t="s">
        <v>62</v>
      </c>
      <c r="J960" s="52" t="s">
        <v>62</v>
      </c>
      <c r="K960" s="52" t="s">
        <v>62</v>
      </c>
      <c r="L960" s="52" t="s">
        <v>62</v>
      </c>
      <c r="M960" s="52" t="s">
        <v>62</v>
      </c>
      <c r="N960" s="52" t="s">
        <v>62</v>
      </c>
      <c r="O960" s="52" t="s">
        <v>62</v>
      </c>
      <c r="P960" s="52" t="s">
        <v>62</v>
      </c>
      <c r="Q960" s="68"/>
    </row>
    <row r="961" spans="1:17" ht="14.4" x14ac:dyDescent="0.3">
      <c r="A961" s="14" t="s">
        <v>33</v>
      </c>
      <c r="B961" s="14"/>
      <c r="C961" s="16"/>
      <c r="D961" s="24"/>
      <c r="E961" s="24"/>
      <c r="F961" s="24"/>
      <c r="G961" s="24"/>
      <c r="H961" s="24"/>
      <c r="I961" s="24"/>
      <c r="J961" s="24"/>
      <c r="K961" s="24"/>
      <c r="L961" s="24"/>
      <c r="M961" s="24"/>
      <c r="N961" s="24"/>
      <c r="O961" s="24"/>
      <c r="P961" s="24"/>
      <c r="Q961" s="68"/>
    </row>
    <row r="962" spans="1:17" ht="14.4" x14ac:dyDescent="0.3">
      <c r="A962" s="18" t="s">
        <v>34</v>
      </c>
      <c r="B962" s="18"/>
      <c r="C962" s="16" t="s">
        <v>19</v>
      </c>
      <c r="D962" s="20">
        <v>0</v>
      </c>
      <c r="E962" s="20">
        <v>0</v>
      </c>
      <c r="F962" s="20">
        <v>0</v>
      </c>
      <c r="G962" s="20">
        <v>0</v>
      </c>
      <c r="H962" s="20">
        <v>0</v>
      </c>
      <c r="I962" s="20">
        <v>0</v>
      </c>
      <c r="J962" s="20">
        <v>0</v>
      </c>
      <c r="K962" s="20">
        <v>0</v>
      </c>
      <c r="L962" s="20">
        <v>0</v>
      </c>
      <c r="M962" s="20">
        <v>0</v>
      </c>
      <c r="N962" s="20">
        <v>0</v>
      </c>
      <c r="O962" s="20">
        <v>0</v>
      </c>
      <c r="P962" s="20">
        <v>0</v>
      </c>
      <c r="Q962" s="68"/>
    </row>
    <row r="963" spans="1:17" ht="14.4" x14ac:dyDescent="0.3">
      <c r="A963" s="18" t="s">
        <v>35</v>
      </c>
      <c r="B963" s="18"/>
      <c r="C963" s="16" t="s">
        <v>36</v>
      </c>
      <c r="D963" s="52" t="s">
        <v>63</v>
      </c>
      <c r="E963" s="52" t="s">
        <v>63</v>
      </c>
      <c r="F963" s="52" t="s">
        <v>63</v>
      </c>
      <c r="G963" s="52" t="s">
        <v>63</v>
      </c>
      <c r="H963" s="52" t="s">
        <v>63</v>
      </c>
      <c r="I963" s="52" t="s">
        <v>63</v>
      </c>
      <c r="J963" s="52" t="s">
        <v>63</v>
      </c>
      <c r="K963" s="52" t="s">
        <v>63</v>
      </c>
      <c r="L963" s="52" t="s">
        <v>63</v>
      </c>
      <c r="M963" s="52" t="s">
        <v>63</v>
      </c>
      <c r="N963" s="52" t="s">
        <v>63</v>
      </c>
      <c r="O963" s="52" t="s">
        <v>63</v>
      </c>
      <c r="P963" s="52" t="s">
        <v>63</v>
      </c>
      <c r="Q963" s="68"/>
    </row>
    <row r="964" spans="1:17" ht="14.4" x14ac:dyDescent="0.3">
      <c r="A964" s="14" t="s">
        <v>37</v>
      </c>
      <c r="B964" s="14"/>
      <c r="C964" s="16"/>
      <c r="D964" s="24"/>
      <c r="E964" s="24"/>
      <c r="F964" s="24"/>
      <c r="G964" s="24"/>
      <c r="H964" s="24"/>
      <c r="I964" s="24"/>
      <c r="J964" s="24"/>
      <c r="K964" s="24"/>
      <c r="L964" s="24"/>
      <c r="M964" s="24"/>
      <c r="N964" s="24"/>
      <c r="O964" s="24"/>
      <c r="P964" s="24"/>
      <c r="Q964" s="68"/>
    </row>
    <row r="965" spans="1:17" ht="14.4" x14ac:dyDescent="0.3">
      <c r="A965" s="25" t="s">
        <v>38</v>
      </c>
      <c r="B965" s="18"/>
      <c r="C965" s="16" t="s">
        <v>19</v>
      </c>
      <c r="D965" s="20">
        <f>D914</f>
        <v>0.1333</v>
      </c>
      <c r="E965" s="20">
        <f t="shared" ref="E965:P965" si="61">E914</f>
        <v>0.1497</v>
      </c>
      <c r="F965" s="20">
        <f t="shared" si="61"/>
        <v>0.14410000000000001</v>
      </c>
      <c r="G965" s="20">
        <f t="shared" si="61"/>
        <v>0.15459999999999999</v>
      </c>
      <c r="H965" s="20">
        <f t="shared" si="61"/>
        <v>0.10920000000000001</v>
      </c>
      <c r="I965" s="20">
        <f t="shared" si="61"/>
        <v>0.104</v>
      </c>
      <c r="J965" s="20">
        <f t="shared" si="61"/>
        <v>0.1045</v>
      </c>
      <c r="K965" s="20">
        <f t="shared" si="61"/>
        <v>0.11609999999999999</v>
      </c>
      <c r="L965" s="20">
        <f t="shared" si="61"/>
        <v>0.1091</v>
      </c>
      <c r="M965" s="20">
        <f t="shared" si="61"/>
        <v>0.1138</v>
      </c>
      <c r="N965" s="20">
        <f t="shared" si="61"/>
        <v>0.1173</v>
      </c>
      <c r="O965" s="20">
        <f t="shared" si="61"/>
        <v>0.1173</v>
      </c>
      <c r="P965" s="20">
        <f t="shared" si="61"/>
        <v>0</v>
      </c>
      <c r="Q965" s="68"/>
    </row>
    <row r="966" spans="1:17" ht="14.4" x14ac:dyDescent="0.3">
      <c r="A966" s="25" t="s">
        <v>39</v>
      </c>
      <c r="B966" s="18"/>
      <c r="C966" s="16" t="s">
        <v>19</v>
      </c>
      <c r="D966" s="20">
        <v>0</v>
      </c>
      <c r="E966" s="20">
        <v>0</v>
      </c>
      <c r="F966" s="20">
        <v>0</v>
      </c>
      <c r="G966" s="20">
        <v>0</v>
      </c>
      <c r="H966" s="20">
        <v>0</v>
      </c>
      <c r="I966" s="20">
        <v>0</v>
      </c>
      <c r="J966" s="20">
        <v>0</v>
      </c>
      <c r="K966" s="20">
        <v>0</v>
      </c>
      <c r="L966" s="20">
        <v>0</v>
      </c>
      <c r="M966" s="20">
        <v>0</v>
      </c>
      <c r="N966" s="20">
        <v>0</v>
      </c>
      <c r="O966" s="20">
        <v>0</v>
      </c>
      <c r="P966" s="20">
        <v>0</v>
      </c>
      <c r="Q966" s="68"/>
    </row>
    <row r="967" spans="1:17" ht="14.4" x14ac:dyDescent="0.3">
      <c r="A967" s="25" t="s">
        <v>180</v>
      </c>
      <c r="B967" s="18"/>
      <c r="C967" s="16" t="s">
        <v>19</v>
      </c>
      <c r="D967" s="20">
        <f>D916</f>
        <v>3.1399999999999997E-2</v>
      </c>
      <c r="E967" s="20">
        <f t="shared" ref="E967:P970" si="62">E916</f>
        <v>3.1399999999999997E-2</v>
      </c>
      <c r="F967" s="20">
        <f t="shared" si="62"/>
        <v>3.1399999999999997E-2</v>
      </c>
      <c r="G967" s="20">
        <f t="shared" si="62"/>
        <v>3.1399999999999997E-2</v>
      </c>
      <c r="H967" s="20">
        <f t="shared" si="62"/>
        <v>3.1399999999999997E-2</v>
      </c>
      <c r="I967" s="20">
        <f t="shared" si="62"/>
        <v>3.1399999999999997E-2</v>
      </c>
      <c r="J967" s="20">
        <f t="shared" si="62"/>
        <v>3.1399999999999997E-2</v>
      </c>
      <c r="K967" s="20">
        <f t="shared" si="62"/>
        <v>3.1399999999999997E-2</v>
      </c>
      <c r="L967" s="20">
        <f t="shared" si="62"/>
        <v>3.1399999999999997E-2</v>
      </c>
      <c r="M967" s="20">
        <f t="shared" si="62"/>
        <v>3.1399999999999997E-2</v>
      </c>
      <c r="N967" s="20">
        <f t="shared" si="62"/>
        <v>3.1399999999999997E-2</v>
      </c>
      <c r="O967" s="20">
        <f t="shared" si="62"/>
        <v>3.1399999999999997E-2</v>
      </c>
      <c r="P967" s="20">
        <f t="shared" si="62"/>
        <v>3.1399999999999997E-2</v>
      </c>
      <c r="Q967" s="68"/>
    </row>
    <row r="968" spans="1:17" ht="14.4" x14ac:dyDescent="0.3">
      <c r="A968" s="26" t="s">
        <v>40</v>
      </c>
      <c r="B968" s="18"/>
      <c r="C968" s="16" t="s">
        <v>19</v>
      </c>
      <c r="D968" s="20">
        <f>D917</f>
        <v>1E-4</v>
      </c>
      <c r="E968" s="20">
        <f t="shared" si="62"/>
        <v>1E-4</v>
      </c>
      <c r="F968" s="20">
        <f t="shared" si="62"/>
        <v>1E-4</v>
      </c>
      <c r="G968" s="20">
        <f t="shared" si="62"/>
        <v>1E-4</v>
      </c>
      <c r="H968" s="20">
        <f t="shared" si="62"/>
        <v>1E-4</v>
      </c>
      <c r="I968" s="20">
        <f t="shared" si="62"/>
        <v>1E-4</v>
      </c>
      <c r="J968" s="20">
        <f t="shared" si="62"/>
        <v>1E-4</v>
      </c>
      <c r="K968" s="20">
        <f t="shared" si="62"/>
        <v>1E-4</v>
      </c>
      <c r="L968" s="20">
        <f t="shared" si="62"/>
        <v>1E-4</v>
      </c>
      <c r="M968" s="20">
        <f t="shared" si="62"/>
        <v>1E-4</v>
      </c>
      <c r="N968" s="20">
        <f t="shared" si="62"/>
        <v>1E-4</v>
      </c>
      <c r="O968" s="20">
        <f t="shared" si="62"/>
        <v>1E-4</v>
      </c>
      <c r="P968" s="20">
        <f t="shared" si="62"/>
        <v>0</v>
      </c>
      <c r="Q968" s="68"/>
    </row>
    <row r="969" spans="1:17" ht="14.4" x14ac:dyDescent="0.3">
      <c r="A969" s="26" t="s">
        <v>41</v>
      </c>
      <c r="B969" s="18"/>
      <c r="C969" s="16" t="s">
        <v>19</v>
      </c>
      <c r="D969" s="20">
        <f>D918</f>
        <v>0</v>
      </c>
      <c r="E969" s="20">
        <f t="shared" si="62"/>
        <v>0</v>
      </c>
      <c r="F969" s="20">
        <f t="shared" si="62"/>
        <v>0</v>
      </c>
      <c r="G969" s="20">
        <f t="shared" si="62"/>
        <v>0</v>
      </c>
      <c r="H969" s="20">
        <f t="shared" si="62"/>
        <v>0</v>
      </c>
      <c r="I969" s="20">
        <f t="shared" si="62"/>
        <v>0</v>
      </c>
      <c r="J969" s="20">
        <f t="shared" si="62"/>
        <v>0</v>
      </c>
      <c r="K969" s="20">
        <f t="shared" si="62"/>
        <v>0</v>
      </c>
      <c r="L969" s="20">
        <f t="shared" si="62"/>
        <v>0</v>
      </c>
      <c r="M969" s="20">
        <f t="shared" si="62"/>
        <v>0</v>
      </c>
      <c r="N969" s="20">
        <f t="shared" si="62"/>
        <v>0</v>
      </c>
      <c r="O969" s="20">
        <f t="shared" si="62"/>
        <v>0</v>
      </c>
      <c r="P969" s="20">
        <f t="shared" si="62"/>
        <v>0</v>
      </c>
      <c r="Q969" s="68"/>
    </row>
    <row r="970" spans="1:17" ht="14.4" x14ac:dyDescent="0.3">
      <c r="A970" s="154" t="s">
        <v>181</v>
      </c>
      <c r="B970" s="155"/>
      <c r="C970" s="16" t="s">
        <v>19</v>
      </c>
      <c r="D970" s="20">
        <f>D919</f>
        <v>1.03E-2</v>
      </c>
      <c r="E970" s="20">
        <f t="shared" si="62"/>
        <v>1.03E-2</v>
      </c>
      <c r="F970" s="20">
        <f t="shared" si="62"/>
        <v>1.03E-2</v>
      </c>
      <c r="G970" s="20">
        <f t="shared" si="62"/>
        <v>2.5999999999999999E-3</v>
      </c>
      <c r="H970" s="20">
        <f t="shared" si="62"/>
        <v>0</v>
      </c>
      <c r="I970" s="20">
        <f t="shared" si="62"/>
        <v>0</v>
      </c>
      <c r="J970" s="20">
        <f t="shared" si="62"/>
        <v>0</v>
      </c>
      <c r="K970" s="20">
        <f t="shared" si="62"/>
        <v>0</v>
      </c>
      <c r="L970" s="20">
        <f t="shared" si="62"/>
        <v>0</v>
      </c>
      <c r="M970" s="20">
        <f t="shared" si="62"/>
        <v>0</v>
      </c>
      <c r="N970" s="20">
        <f t="shared" si="62"/>
        <v>0</v>
      </c>
      <c r="O970" s="20">
        <f t="shared" si="62"/>
        <v>0</v>
      </c>
      <c r="P970" s="20">
        <f t="shared" si="62"/>
        <v>0</v>
      </c>
      <c r="Q970" s="68"/>
    </row>
    <row r="971" spans="1:17" ht="16.2" hidden="1" x14ac:dyDescent="0.3">
      <c r="A971" s="154" t="s">
        <v>182</v>
      </c>
      <c r="B971" s="155"/>
      <c r="C971" s="16" t="s">
        <v>19</v>
      </c>
      <c r="D971" s="20"/>
      <c r="E971" s="20"/>
      <c r="F971" s="20"/>
      <c r="G971" s="20"/>
      <c r="H971" s="20"/>
      <c r="I971" s="20"/>
      <c r="J971" s="20"/>
      <c r="K971" s="20"/>
      <c r="L971" s="20"/>
      <c r="M971" s="20"/>
      <c r="N971" s="20"/>
      <c r="O971" s="20"/>
      <c r="P971" s="20"/>
      <c r="Q971" s="68"/>
    </row>
    <row r="972" spans="1:17" ht="16.2" hidden="1" x14ac:dyDescent="0.3">
      <c r="A972" s="154" t="s">
        <v>182</v>
      </c>
      <c r="B972" s="156"/>
      <c r="C972" s="16" t="s">
        <v>19</v>
      </c>
      <c r="D972" s="20"/>
      <c r="E972" s="20"/>
      <c r="F972" s="20"/>
      <c r="G972" s="20"/>
      <c r="H972" s="20"/>
      <c r="I972" s="20"/>
      <c r="J972" s="20"/>
      <c r="K972" s="20"/>
      <c r="L972" s="20"/>
      <c r="M972" s="20"/>
      <c r="N972" s="20"/>
      <c r="O972" s="20"/>
      <c r="P972" s="20"/>
      <c r="Q972" s="68"/>
    </row>
    <row r="973" spans="1:17" ht="14.4" x14ac:dyDescent="0.3">
      <c r="A973" s="14" t="s">
        <v>42</v>
      </c>
      <c r="B973" s="14"/>
      <c r="C973" s="16"/>
      <c r="D973" s="24"/>
      <c r="E973" s="24"/>
      <c r="F973" s="24"/>
      <c r="G973" s="24"/>
      <c r="H973" s="24"/>
      <c r="I973" s="24"/>
      <c r="J973" s="24"/>
      <c r="K973" s="24"/>
      <c r="L973" s="24"/>
      <c r="M973" s="24"/>
      <c r="N973" s="24"/>
      <c r="O973" s="24"/>
      <c r="P973" s="24"/>
      <c r="Q973" s="68"/>
    </row>
    <row r="974" spans="1:17" ht="14.4" x14ac:dyDescent="0.3">
      <c r="A974" s="14" t="s">
        <v>43</v>
      </c>
      <c r="B974" s="14"/>
      <c r="C974" s="16" t="s">
        <v>44</v>
      </c>
      <c r="D974" s="27"/>
      <c r="E974" s="27"/>
      <c r="F974" s="27"/>
      <c r="G974" s="27"/>
      <c r="H974" s="27"/>
      <c r="I974" s="27"/>
      <c r="J974" s="27"/>
      <c r="K974" s="27"/>
      <c r="L974" s="27"/>
      <c r="M974" s="27"/>
      <c r="N974" s="27"/>
      <c r="O974" s="27"/>
      <c r="P974" s="27"/>
      <c r="Q974" s="68"/>
    </row>
    <row r="975" spans="1:17" ht="14.4" hidden="1" x14ac:dyDescent="0.3">
      <c r="A975" s="14" t="s">
        <v>183</v>
      </c>
      <c r="B975" s="14"/>
      <c r="C975" s="16"/>
      <c r="D975" s="28"/>
      <c r="E975" s="28"/>
      <c r="F975" s="28"/>
      <c r="G975" s="28"/>
      <c r="H975" s="28"/>
      <c r="I975" s="28"/>
      <c r="J975" s="28"/>
      <c r="K975" s="28"/>
      <c r="L975" s="28"/>
      <c r="M975" s="28"/>
      <c r="N975" s="28"/>
      <c r="O975" s="28"/>
      <c r="P975" s="28"/>
      <c r="Q975" s="68"/>
    </row>
    <row r="976" spans="1:17" ht="14.4" hidden="1" x14ac:dyDescent="0.3">
      <c r="A976" s="14" t="s">
        <v>184</v>
      </c>
      <c r="B976" s="14"/>
      <c r="C976" s="16" t="s">
        <v>19</v>
      </c>
      <c r="D976" s="20"/>
      <c r="E976" s="20"/>
      <c r="F976" s="20"/>
      <c r="G976" s="20"/>
      <c r="H976" s="20"/>
      <c r="I976" s="20"/>
      <c r="J976" s="20"/>
      <c r="K976" s="20"/>
      <c r="L976" s="20"/>
      <c r="M976" s="20"/>
      <c r="N976" s="20"/>
      <c r="O976" s="20"/>
      <c r="P976" s="20"/>
      <c r="Q976" s="68"/>
    </row>
    <row r="977" spans="1:17" ht="14.4" x14ac:dyDescent="0.3">
      <c r="A977" s="14" t="s">
        <v>45</v>
      </c>
      <c r="B977" s="14"/>
      <c r="C977" s="16"/>
      <c r="D977" s="28"/>
      <c r="E977" s="28"/>
      <c r="F977" s="28"/>
      <c r="G977" s="28"/>
      <c r="H977" s="28"/>
      <c r="I977" s="28"/>
      <c r="J977" s="28"/>
      <c r="K977" s="28"/>
      <c r="L977" s="28"/>
      <c r="M977" s="28"/>
      <c r="N977" s="28"/>
      <c r="O977" s="28"/>
      <c r="P977" s="28"/>
      <c r="Q977" s="68"/>
    </row>
    <row r="978" spans="1:17" ht="14.4" x14ac:dyDescent="0.3">
      <c r="A978" s="14" t="s">
        <v>46</v>
      </c>
      <c r="B978" s="14"/>
      <c r="C978" s="16" t="s">
        <v>19</v>
      </c>
      <c r="D978" s="20">
        <v>0</v>
      </c>
      <c r="E978" s="20">
        <v>0</v>
      </c>
      <c r="F978" s="20">
        <v>0</v>
      </c>
      <c r="G978" s="20">
        <v>0</v>
      </c>
      <c r="H978" s="20">
        <v>0</v>
      </c>
      <c r="I978" s="20">
        <v>0</v>
      </c>
      <c r="J978" s="20">
        <v>0</v>
      </c>
      <c r="K978" s="20">
        <v>0</v>
      </c>
      <c r="L978" s="20">
        <v>0</v>
      </c>
      <c r="M978" s="20">
        <v>0</v>
      </c>
      <c r="N978" s="20">
        <v>0</v>
      </c>
      <c r="O978" s="20">
        <v>0</v>
      </c>
      <c r="P978" s="20">
        <v>0</v>
      </c>
      <c r="Q978" s="68"/>
    </row>
    <row r="979" spans="1:17" ht="14.4" hidden="1" x14ac:dyDescent="0.3">
      <c r="A979" s="14" t="s">
        <v>185</v>
      </c>
      <c r="B979" s="14"/>
      <c r="C979" s="16"/>
      <c r="D979" s="28"/>
      <c r="E979" s="28"/>
      <c r="F979" s="28"/>
      <c r="G979" s="28"/>
      <c r="H979" s="28"/>
      <c r="I979" s="28"/>
      <c r="J979" s="28"/>
      <c r="K979" s="28"/>
      <c r="L979" s="28"/>
      <c r="M979" s="28"/>
      <c r="N979" s="28"/>
      <c r="O979" s="28"/>
      <c r="P979" s="28"/>
      <c r="Q979" s="68"/>
    </row>
    <row r="980" spans="1:17" ht="14.4" hidden="1" x14ac:dyDescent="0.3">
      <c r="A980" s="14" t="s">
        <v>186</v>
      </c>
      <c r="B980" s="14"/>
      <c r="C980" s="16" t="s">
        <v>19</v>
      </c>
      <c r="D980" s="20"/>
      <c r="E980" s="20"/>
      <c r="F980" s="20"/>
      <c r="G980" s="20"/>
      <c r="H980" s="20"/>
      <c r="I980" s="20"/>
      <c r="J980" s="20"/>
      <c r="K980" s="20"/>
      <c r="L980" s="20"/>
      <c r="M980" s="20"/>
      <c r="N980" s="20"/>
      <c r="O980" s="20"/>
      <c r="P980" s="20"/>
      <c r="Q980" s="68"/>
    </row>
    <row r="981" spans="1:17" ht="14.4" x14ac:dyDescent="0.3">
      <c r="A981" s="14" t="s">
        <v>47</v>
      </c>
      <c r="B981" s="14"/>
      <c r="C981" s="16"/>
      <c r="D981" s="24"/>
      <c r="E981" s="24"/>
      <c r="F981" s="24"/>
      <c r="G981" s="24"/>
      <c r="H981" s="24"/>
      <c r="I981" s="24"/>
      <c r="J981" s="24"/>
      <c r="K981" s="24"/>
      <c r="L981" s="24"/>
      <c r="M981" s="24"/>
      <c r="N981" s="24"/>
      <c r="O981" s="24"/>
      <c r="P981" s="24"/>
      <c r="Q981" s="68"/>
    </row>
    <row r="982" spans="1:17" ht="14.4" x14ac:dyDescent="0.3">
      <c r="A982" s="18" t="s">
        <v>48</v>
      </c>
      <c r="B982" s="18"/>
      <c r="C982" s="16" t="s">
        <v>19</v>
      </c>
      <c r="D982" s="20">
        <f>D931</f>
        <v>0.1163</v>
      </c>
      <c r="E982" s="20">
        <f t="shared" ref="E982:P983" si="63">E931</f>
        <v>0.1163</v>
      </c>
      <c r="F982" s="20">
        <f t="shared" si="63"/>
        <v>0.1163</v>
      </c>
      <c r="G982" s="20">
        <f t="shared" si="63"/>
        <v>0.1163</v>
      </c>
      <c r="H982" s="20">
        <f t="shared" si="63"/>
        <v>0.1163</v>
      </c>
      <c r="I982" s="20">
        <f t="shared" si="63"/>
        <v>0.1163</v>
      </c>
      <c r="J982" s="20">
        <f t="shared" si="63"/>
        <v>0.1163</v>
      </c>
      <c r="K982" s="20">
        <f t="shared" si="63"/>
        <v>0.1163</v>
      </c>
      <c r="L982" s="20">
        <f t="shared" si="63"/>
        <v>0.1163</v>
      </c>
      <c r="M982" s="20">
        <f t="shared" si="63"/>
        <v>0.1163</v>
      </c>
      <c r="N982" s="20">
        <f t="shared" si="63"/>
        <v>0.1163</v>
      </c>
      <c r="O982" s="20">
        <f t="shared" si="63"/>
        <v>0.1163</v>
      </c>
      <c r="P982" s="20">
        <f t="shared" si="63"/>
        <v>0.1163</v>
      </c>
      <c r="Q982" s="68"/>
    </row>
    <row r="983" spans="1:17" ht="14.4" x14ac:dyDescent="0.3">
      <c r="A983" s="18" t="s">
        <v>49</v>
      </c>
      <c r="B983" s="18"/>
      <c r="C983" s="16" t="s">
        <v>19</v>
      </c>
      <c r="D983" s="20">
        <f>D932</f>
        <v>2.5000000000000001E-3</v>
      </c>
      <c r="E983" s="20">
        <f t="shared" si="63"/>
        <v>2.5000000000000001E-3</v>
      </c>
      <c r="F983" s="20">
        <f t="shared" si="63"/>
        <v>2.5000000000000001E-3</v>
      </c>
      <c r="G983" s="20">
        <f t="shared" si="63"/>
        <v>2.5000000000000001E-3</v>
      </c>
      <c r="H983" s="20">
        <f t="shared" si="63"/>
        <v>2.5000000000000001E-3</v>
      </c>
      <c r="I983" s="20">
        <f t="shared" si="63"/>
        <v>2.5000000000000001E-3</v>
      </c>
      <c r="J983" s="20">
        <f t="shared" si="63"/>
        <v>2.5000000000000001E-3</v>
      </c>
      <c r="K983" s="20">
        <f t="shared" si="63"/>
        <v>2.5000000000000001E-3</v>
      </c>
      <c r="L983" s="20">
        <f t="shared" si="63"/>
        <v>2.5000000000000001E-3</v>
      </c>
      <c r="M983" s="20">
        <f t="shared" si="63"/>
        <v>2.5000000000000001E-3</v>
      </c>
      <c r="N983" s="20">
        <f t="shared" si="63"/>
        <v>2.5000000000000001E-3</v>
      </c>
      <c r="O983" s="20">
        <f t="shared" si="63"/>
        <v>2.5000000000000001E-3</v>
      </c>
      <c r="P983" s="20">
        <f t="shared" si="63"/>
        <v>2.5000000000000001E-3</v>
      </c>
      <c r="Q983" s="68"/>
    </row>
    <row r="984" spans="1:17" ht="14.4" x14ac:dyDescent="0.3">
      <c r="A984" s="18" t="s">
        <v>50</v>
      </c>
      <c r="B984" s="18"/>
      <c r="C984" s="16"/>
      <c r="D984" s="20"/>
      <c r="E984" s="20"/>
      <c r="F984" s="20">
        <v>0.1938</v>
      </c>
      <c r="G984" s="20">
        <v>0.1938</v>
      </c>
      <c r="H984" s="20">
        <v>0.1938</v>
      </c>
      <c r="I984" s="20">
        <v>0.1938</v>
      </c>
      <c r="J984" s="20">
        <v>0.1938</v>
      </c>
      <c r="K984" s="20">
        <v>0.1938</v>
      </c>
      <c r="L984" s="20">
        <v>0.1938</v>
      </c>
      <c r="M984" s="20">
        <v>0.1938</v>
      </c>
      <c r="N984" s="20">
        <v>0.1938</v>
      </c>
      <c r="O984" s="20">
        <v>0.1938</v>
      </c>
      <c r="P984" s="20">
        <v>0.1938</v>
      </c>
      <c r="Q984" s="68"/>
    </row>
    <row r="985" spans="1:17" ht="14.4" x14ac:dyDescent="0.3">
      <c r="A985" s="14" t="s">
        <v>52</v>
      </c>
      <c r="B985" s="14"/>
      <c r="C985" s="29"/>
      <c r="D985" s="22"/>
      <c r="E985" s="22"/>
      <c r="F985" s="22"/>
      <c r="G985" s="22"/>
      <c r="H985" s="22"/>
      <c r="I985" s="22"/>
      <c r="J985" s="22"/>
      <c r="K985" s="22"/>
      <c r="L985" s="22"/>
      <c r="M985" s="22"/>
      <c r="N985" s="22"/>
      <c r="O985" s="22"/>
      <c r="P985" s="22"/>
      <c r="Q985" s="68"/>
    </row>
    <row r="986" spans="1:17" ht="14.4" x14ac:dyDescent="0.3">
      <c r="A986" s="18" t="s">
        <v>53</v>
      </c>
      <c r="B986" s="18"/>
      <c r="C986" s="16" t="s">
        <v>44</v>
      </c>
      <c r="D986" s="52" t="s">
        <v>189</v>
      </c>
      <c r="E986" s="30">
        <f>'[41]DU VAT'!E17</f>
        <v>0.1142</v>
      </c>
      <c r="F986" s="30">
        <f>'[41]DU VAT'!F17</f>
        <v>0.1147</v>
      </c>
      <c r="G986" s="30">
        <f>'[41]DU VAT'!G17</f>
        <v>0.1137</v>
      </c>
      <c r="H986" s="30">
        <f>'[41]DU VAT'!H17</f>
        <v>0.1094</v>
      </c>
      <c r="I986" s="30">
        <f>'[41]DU VAT'!I17</f>
        <v>0.1084</v>
      </c>
      <c r="J986" s="30">
        <f>'[41]DU VAT'!J17</f>
        <v>0.1182</v>
      </c>
      <c r="K986" s="30">
        <f>'[41]DU VAT'!K17</f>
        <v>0.1183</v>
      </c>
      <c r="L986" s="30">
        <f>'[41]DU VAT'!L17</f>
        <v>0.10920000000000001</v>
      </c>
      <c r="M986" s="30">
        <f>'[41]DU VAT'!M17</f>
        <v>0.11840000000000001</v>
      </c>
      <c r="N986" s="30">
        <f>'[41]DU VAT'!N17</f>
        <v>0.10970000000000001</v>
      </c>
      <c r="O986" s="30">
        <f>'[41]DU VAT'!O17</f>
        <v>0.10970000000000001</v>
      </c>
      <c r="P986" s="30" t="e">
        <f>'[41]DU VAT'!P17</f>
        <v>#DIV/0!</v>
      </c>
      <c r="Q986" s="68"/>
    </row>
    <row r="987" spans="1:17" ht="14.4" x14ac:dyDescent="0.3">
      <c r="A987" s="18" t="s">
        <v>54</v>
      </c>
      <c r="B987" s="18"/>
      <c r="C987" s="16" t="s">
        <v>44</v>
      </c>
      <c r="D987" s="30">
        <f t="shared" ref="D987:P992" si="64">D936</f>
        <v>0</v>
      </c>
      <c r="E987" s="30">
        <f t="shared" si="64"/>
        <v>0</v>
      </c>
      <c r="F987" s="30">
        <f t="shared" si="64"/>
        <v>0</v>
      </c>
      <c r="G987" s="30">
        <f t="shared" si="64"/>
        <v>0</v>
      </c>
      <c r="H987" s="30">
        <f t="shared" si="64"/>
        <v>0</v>
      </c>
      <c r="I987" s="30">
        <f t="shared" si="64"/>
        <v>0</v>
      </c>
      <c r="J987" s="30">
        <f t="shared" si="64"/>
        <v>0</v>
      </c>
      <c r="K987" s="30">
        <f t="shared" si="64"/>
        <v>0</v>
      </c>
      <c r="L987" s="30">
        <f t="shared" si="64"/>
        <v>0</v>
      </c>
      <c r="M987" s="30">
        <f t="shared" si="64"/>
        <v>2E-3</v>
      </c>
      <c r="N987" s="30">
        <f t="shared" si="64"/>
        <v>5.9999999999999995E-4</v>
      </c>
      <c r="O987" s="30">
        <f t="shared" si="64"/>
        <v>5.9999999999999984E-4</v>
      </c>
      <c r="P987" s="30" t="e">
        <f t="shared" si="64"/>
        <v>#DIV/0!</v>
      </c>
      <c r="Q987" s="68"/>
    </row>
    <row r="988" spans="1:17" ht="14.4" x14ac:dyDescent="0.3">
      <c r="A988" s="18" t="s">
        <v>55</v>
      </c>
      <c r="B988" s="18"/>
      <c r="C988" s="16" t="s">
        <v>44</v>
      </c>
      <c r="D988" s="30">
        <f t="shared" si="64"/>
        <v>9.4899999999999998E-2</v>
      </c>
      <c r="E988" s="30">
        <f t="shared" si="64"/>
        <v>9.69E-2</v>
      </c>
      <c r="F988" s="30">
        <f t="shared" si="64"/>
        <v>9.8100000000000007E-2</v>
      </c>
      <c r="G988" s="30">
        <f t="shared" si="64"/>
        <v>9.7000000000000003E-2</v>
      </c>
      <c r="H988" s="30">
        <f t="shared" si="64"/>
        <v>9.5899999999999999E-2</v>
      </c>
      <c r="I988" s="30">
        <f t="shared" si="64"/>
        <v>9.4799999999999995E-2</v>
      </c>
      <c r="J988" s="30">
        <f t="shared" si="64"/>
        <v>0.1028</v>
      </c>
      <c r="K988" s="30">
        <f t="shared" si="64"/>
        <v>0.1027</v>
      </c>
      <c r="L988" s="30">
        <f t="shared" si="64"/>
        <v>9.35E-2</v>
      </c>
      <c r="M988" s="30">
        <f t="shared" si="64"/>
        <v>0.1004</v>
      </c>
      <c r="N988" s="30">
        <f t="shared" si="64"/>
        <v>9.4299999999999995E-2</v>
      </c>
      <c r="O988" s="30">
        <f t="shared" si="64"/>
        <v>9.4299999999999995E-2</v>
      </c>
      <c r="P988" s="30" t="e">
        <f t="shared" si="64"/>
        <v>#DIV/0!</v>
      </c>
      <c r="Q988" s="68"/>
    </row>
    <row r="989" spans="1:17" ht="14.4" x14ac:dyDescent="0.3">
      <c r="A989" s="18" t="s">
        <v>187</v>
      </c>
      <c r="B989" s="18"/>
      <c r="C989" s="16" t="s">
        <v>44</v>
      </c>
      <c r="D989" s="27">
        <v>0</v>
      </c>
      <c r="E989" s="27">
        <v>0</v>
      </c>
      <c r="F989" s="27">
        <v>0</v>
      </c>
      <c r="G989" s="27">
        <v>0</v>
      </c>
      <c r="H989" s="27">
        <v>0</v>
      </c>
      <c r="I989" s="27">
        <v>0</v>
      </c>
      <c r="J989" s="27">
        <v>0</v>
      </c>
      <c r="K989" s="27">
        <v>0</v>
      </c>
      <c r="L989" s="27">
        <v>0</v>
      </c>
      <c r="M989" s="27">
        <v>0</v>
      </c>
      <c r="N989" s="27">
        <v>0</v>
      </c>
      <c r="O989" s="27">
        <v>0</v>
      </c>
      <c r="P989" s="27">
        <v>0</v>
      </c>
      <c r="Q989" s="68"/>
    </row>
    <row r="990" spans="1:17" ht="14.4" x14ac:dyDescent="0.3">
      <c r="A990" s="18" t="s">
        <v>188</v>
      </c>
      <c r="B990" s="18"/>
      <c r="C990" s="16" t="s">
        <v>44</v>
      </c>
      <c r="D990" s="30">
        <f t="shared" si="64"/>
        <v>9.8799999999999999E-2</v>
      </c>
      <c r="E990" s="30">
        <f t="shared" si="64"/>
        <v>9.8799999999999999E-2</v>
      </c>
      <c r="F990" s="30">
        <f t="shared" si="64"/>
        <v>9.8799999999999999E-2</v>
      </c>
      <c r="G990" s="30">
        <f t="shared" si="64"/>
        <v>9.8799999999999999E-2</v>
      </c>
      <c r="H990" s="30">
        <f t="shared" si="64"/>
        <v>9.8799999999999999E-2</v>
      </c>
      <c r="I990" s="30">
        <f t="shared" si="64"/>
        <v>9.8799999999999999E-2</v>
      </c>
      <c r="J990" s="30">
        <f t="shared" si="64"/>
        <v>9.8799999999999999E-2</v>
      </c>
      <c r="K990" s="30">
        <f t="shared" si="64"/>
        <v>9.8799999999999999E-2</v>
      </c>
      <c r="L990" s="30">
        <f t="shared" si="64"/>
        <v>9.8799999999999999E-2</v>
      </c>
      <c r="M990" s="30">
        <f t="shared" si="64"/>
        <v>9.8799999999999999E-2</v>
      </c>
      <c r="N990" s="30">
        <f t="shared" si="64"/>
        <v>9.8799999999999999E-2</v>
      </c>
      <c r="O990" s="30">
        <f t="shared" si="64"/>
        <v>9.8799999999999999E-2</v>
      </c>
      <c r="P990" s="30">
        <f t="shared" si="64"/>
        <v>9.8799999999999999E-2</v>
      </c>
      <c r="Q990" s="68"/>
    </row>
    <row r="991" spans="1:17" ht="14.4" x14ac:dyDescent="0.3">
      <c r="A991" s="18" t="s">
        <v>56</v>
      </c>
      <c r="B991" s="18"/>
      <c r="C991" s="16" t="s">
        <v>44</v>
      </c>
      <c r="D991" s="30">
        <f t="shared" si="64"/>
        <v>0.12</v>
      </c>
      <c r="E991" s="30">
        <f t="shared" si="64"/>
        <v>0.12</v>
      </c>
      <c r="F991" s="30">
        <f t="shared" si="64"/>
        <v>0.12</v>
      </c>
      <c r="G991" s="30">
        <f t="shared" si="64"/>
        <v>0.12</v>
      </c>
      <c r="H991" s="30">
        <f t="shared" si="64"/>
        <v>0.12</v>
      </c>
      <c r="I991" s="30">
        <f t="shared" si="64"/>
        <v>0.12</v>
      </c>
      <c r="J991" s="30">
        <f t="shared" si="64"/>
        <v>0.12</v>
      </c>
      <c r="K991" s="30">
        <f t="shared" si="64"/>
        <v>0.12</v>
      </c>
      <c r="L991" s="30">
        <f t="shared" si="64"/>
        <v>0.12</v>
      </c>
      <c r="M991" s="30">
        <f t="shared" si="64"/>
        <v>0.12</v>
      </c>
      <c r="N991" s="30">
        <f t="shared" si="64"/>
        <v>0.12</v>
      </c>
      <c r="O991" s="30">
        <f t="shared" si="64"/>
        <v>0.12</v>
      </c>
      <c r="P991" s="30">
        <f t="shared" si="64"/>
        <v>0.12</v>
      </c>
      <c r="Q991" s="68"/>
    </row>
    <row r="992" spans="1:17" ht="14.4" x14ac:dyDescent="0.3">
      <c r="A992" s="18" t="s">
        <v>57</v>
      </c>
      <c r="B992" s="18"/>
      <c r="C992" s="16" t="s">
        <v>44</v>
      </c>
      <c r="D992" s="30">
        <f t="shared" si="64"/>
        <v>0.12</v>
      </c>
      <c r="E992" s="30">
        <f t="shared" si="64"/>
        <v>0.12</v>
      </c>
      <c r="F992" s="30">
        <f t="shared" si="64"/>
        <v>0.12</v>
      </c>
      <c r="G992" s="30">
        <f t="shared" si="64"/>
        <v>0.12</v>
      </c>
      <c r="H992" s="30">
        <f t="shared" si="64"/>
        <v>0.12</v>
      </c>
      <c r="I992" s="30">
        <f t="shared" si="64"/>
        <v>0.12</v>
      </c>
      <c r="J992" s="30">
        <f t="shared" si="64"/>
        <v>0.12</v>
      </c>
      <c r="K992" s="30">
        <f t="shared" si="64"/>
        <v>0.12</v>
      </c>
      <c r="L992" s="30">
        <f t="shared" si="64"/>
        <v>0.12</v>
      </c>
      <c r="M992" s="30">
        <f t="shared" si="64"/>
        <v>0.12</v>
      </c>
      <c r="N992" s="30">
        <f t="shared" si="64"/>
        <v>0.12</v>
      </c>
      <c r="O992" s="30">
        <f t="shared" si="64"/>
        <v>0.12</v>
      </c>
      <c r="P992" s="30">
        <f t="shared" si="64"/>
        <v>0.12</v>
      </c>
      <c r="Q992" s="68"/>
    </row>
    <row r="993" spans="1:17" x14ac:dyDescent="0.3">
      <c r="Q993" s="68"/>
    </row>
    <row r="994" spans="1:17" hidden="1" x14ac:dyDescent="0.3">
      <c r="Q994" s="68"/>
    </row>
    <row r="995" spans="1:17" hidden="1" x14ac:dyDescent="0.3">
      <c r="Q995" s="68"/>
    </row>
    <row r="996" spans="1:17" x14ac:dyDescent="0.3">
      <c r="A996" s="3" t="s">
        <v>58</v>
      </c>
      <c r="Q996" s="68"/>
    </row>
    <row r="997" spans="1:17" s="13" customFormat="1" ht="14.4" x14ac:dyDescent="0.3">
      <c r="A997" s="11" t="s">
        <v>3</v>
      </c>
      <c r="B997" s="11"/>
      <c r="C997" s="11" t="s">
        <v>4</v>
      </c>
      <c r="D997" s="12" t="str">
        <f>D946</f>
        <v>JAN</v>
      </c>
      <c r="E997" s="12" t="str">
        <f t="shared" ref="E997:P997" si="65">E946</f>
        <v>FEB</v>
      </c>
      <c r="F997" s="12" t="str">
        <f t="shared" si="65"/>
        <v>MAR</v>
      </c>
      <c r="G997" s="12" t="str">
        <f t="shared" si="65"/>
        <v>APR</v>
      </c>
      <c r="H997" s="12" t="str">
        <f t="shared" si="65"/>
        <v>MAY</v>
      </c>
      <c r="I997" s="12" t="str">
        <f t="shared" si="65"/>
        <v>JUN</v>
      </c>
      <c r="J997" s="12" t="str">
        <f t="shared" si="65"/>
        <v>JUL</v>
      </c>
      <c r="K997" s="12" t="str">
        <f t="shared" si="65"/>
        <v>AUG</v>
      </c>
      <c r="L997" s="12" t="str">
        <f t="shared" si="65"/>
        <v>SEP</v>
      </c>
      <c r="M997" s="12" t="str">
        <f t="shared" si="65"/>
        <v>OCT</v>
      </c>
      <c r="N997" s="12" t="str">
        <f t="shared" si="65"/>
        <v>NOV</v>
      </c>
      <c r="O997" s="12" t="str">
        <f t="shared" si="65"/>
        <v>DEC</v>
      </c>
      <c r="P997" s="12" t="str">
        <f t="shared" si="65"/>
        <v>JAN</v>
      </c>
      <c r="Q997" s="68"/>
    </row>
    <row r="998" spans="1:17" ht="14.4" x14ac:dyDescent="0.3">
      <c r="A998" s="61" t="s">
        <v>67</v>
      </c>
      <c r="B998" s="62"/>
      <c r="C998" s="63"/>
      <c r="D998" s="62"/>
      <c r="E998" s="62"/>
      <c r="F998" s="62"/>
      <c r="G998" s="62"/>
      <c r="H998" s="62"/>
      <c r="I998" s="62"/>
      <c r="J998" s="62"/>
      <c r="K998" s="62"/>
      <c r="L998" s="62"/>
      <c r="M998" s="62"/>
      <c r="N998" s="62"/>
      <c r="O998" s="62"/>
      <c r="P998" s="62"/>
      <c r="Q998" s="68"/>
    </row>
    <row r="999" spans="1:17" ht="14.4" x14ac:dyDescent="0.3">
      <c r="A999" s="25" t="s">
        <v>68</v>
      </c>
      <c r="B999" s="25"/>
      <c r="C999" s="16" t="s">
        <v>19</v>
      </c>
      <c r="D999" s="20">
        <f>[41]GR!D21</f>
        <v>5.7910000000000004</v>
      </c>
      <c r="E999" s="20">
        <f>[41]GR!E21</f>
        <v>5.2413999999999996</v>
      </c>
      <c r="F999" s="20">
        <f>[41]GR!F21</f>
        <v>5.1864999999999997</v>
      </c>
      <c r="G999" s="20">
        <f>[41]GR!G21</f>
        <v>5.3872999999999998</v>
      </c>
      <c r="H999" s="20">
        <f>[41]GR!H21</f>
        <v>5.4703999999999997</v>
      </c>
      <c r="I999" s="20">
        <f>[41]GR!I21</f>
        <v>5.6580000000000004</v>
      </c>
      <c r="J999" s="20">
        <f>[41]GR!J21</f>
        <v>5.3269000000000002</v>
      </c>
      <c r="K999" s="20">
        <f>[41]GR!K21</f>
        <v>5.0479000000000003</v>
      </c>
      <c r="L999" s="20">
        <f>[41]GR!L21</f>
        <v>5.1746999999999996</v>
      </c>
      <c r="M999" s="20">
        <f>[41]GR!M21</f>
        <v>4.6832000000000003</v>
      </c>
      <c r="N999" s="20">
        <f>[41]GR!N21</f>
        <v>5.6673</v>
      </c>
      <c r="O999" s="20">
        <f>[41]GR!O21</f>
        <v>5.6673</v>
      </c>
      <c r="P999" s="20" t="e">
        <f>[41]GR!P21</f>
        <v>#DIV/0!</v>
      </c>
      <c r="Q999" s="68"/>
    </row>
    <row r="1000" spans="1:17" ht="14.4" x14ac:dyDescent="0.3">
      <c r="A1000" s="25" t="s">
        <v>192</v>
      </c>
      <c r="B1000" s="25"/>
      <c r="C1000" s="16"/>
      <c r="D1000" s="24"/>
      <c r="E1000" s="24"/>
      <c r="F1000" s="24"/>
      <c r="G1000" s="24"/>
      <c r="H1000" s="24"/>
      <c r="I1000" s="24"/>
      <c r="J1000" s="24"/>
      <c r="K1000" s="24"/>
      <c r="L1000" s="24"/>
      <c r="M1000" s="24"/>
      <c r="N1000" s="24"/>
      <c r="O1000" s="24"/>
      <c r="P1000" s="24"/>
      <c r="Q1000" s="68"/>
    </row>
    <row r="1001" spans="1:17" ht="14.4" x14ac:dyDescent="0.3">
      <c r="A1001" s="25" t="s">
        <v>70</v>
      </c>
      <c r="B1001" s="25"/>
      <c r="C1001" s="16" t="s">
        <v>19</v>
      </c>
      <c r="D1001" s="20">
        <f>6.1053+0.8484</f>
        <v>6.9536999999999995</v>
      </c>
      <c r="E1001" s="20">
        <f>7.4854-0.4857</f>
        <v>6.9997000000000007</v>
      </c>
      <c r="F1001" s="20">
        <f>7.4854-0.5985</f>
        <v>6.8869000000000007</v>
      </c>
      <c r="G1001" s="20">
        <f>7.4854-0.344</f>
        <v>7.1414</v>
      </c>
      <c r="H1001" s="20">
        <f>7.4854-0.2755</f>
        <v>7.2099000000000002</v>
      </c>
      <c r="I1001" s="20">
        <f>7.4854-0.0926</f>
        <v>7.3928000000000003</v>
      </c>
      <c r="J1001" s="20">
        <f>7.2779-0.2841</f>
        <v>6.9938000000000002</v>
      </c>
      <c r="K1001" s="20">
        <f>7.2779-0.8032</f>
        <v>6.4746999999999995</v>
      </c>
      <c r="L1001" s="20">
        <f>7.2779-0.6807</f>
        <v>6.5972</v>
      </c>
      <c r="M1001" s="20">
        <f>7.2779-0.9161</f>
        <v>6.3617999999999997</v>
      </c>
      <c r="N1001" s="20">
        <f>7.2779+0.0661</f>
        <v>7.3439999999999994</v>
      </c>
      <c r="O1001" s="20">
        <f>N1001</f>
        <v>7.3439999999999994</v>
      </c>
      <c r="P1001" s="20">
        <f>7.2779-0.2841</f>
        <v>6.9938000000000002</v>
      </c>
      <c r="Q1001" s="68"/>
    </row>
    <row r="1002" spans="1:17" ht="14.4" x14ac:dyDescent="0.3">
      <c r="A1002" s="25" t="s">
        <v>71</v>
      </c>
      <c r="B1002" s="25"/>
      <c r="C1002" s="16" t="s">
        <v>19</v>
      </c>
      <c r="D1002" s="20">
        <f>3.0925+0.8484</f>
        <v>3.9409000000000001</v>
      </c>
      <c r="E1002" s="20">
        <f>3.5461-0.4857</f>
        <v>3.0604</v>
      </c>
      <c r="F1002" s="20">
        <f>3.5461-0.5985</f>
        <v>2.9476</v>
      </c>
      <c r="G1002" s="20">
        <f>3.5461-0.344</f>
        <v>3.2021000000000002</v>
      </c>
      <c r="H1002" s="20">
        <f>3.5461-0.2755</f>
        <v>3.2706</v>
      </c>
      <c r="I1002" s="20">
        <f>3.5461-0.0926</f>
        <v>3.4535</v>
      </c>
      <c r="J1002" s="20">
        <f>3.5461-0.2841</f>
        <v>3.262</v>
      </c>
      <c r="K1002" s="20">
        <f>3.5461-0.8032</f>
        <v>2.7429000000000001</v>
      </c>
      <c r="L1002" s="20">
        <f>3.5461-0.6807</f>
        <v>2.8654000000000002</v>
      </c>
      <c r="M1002" s="20">
        <f>3.5461-0.9161</f>
        <v>2.63</v>
      </c>
      <c r="N1002" s="20">
        <f>3.5461+0.0661</f>
        <v>3.6122000000000001</v>
      </c>
      <c r="O1002" s="20">
        <f>N1002</f>
        <v>3.6122000000000001</v>
      </c>
      <c r="P1002" s="20">
        <f>3.5461+0.8484</f>
        <v>4.3944999999999999</v>
      </c>
      <c r="Q1002" s="68"/>
    </row>
    <row r="1003" spans="1:17" ht="14.4" x14ac:dyDescent="0.3">
      <c r="A1003" s="25" t="s">
        <v>193</v>
      </c>
      <c r="B1003" s="25"/>
      <c r="C1003" s="16" t="s">
        <v>19</v>
      </c>
      <c r="D1003" s="20">
        <f>[41]GR!D22</f>
        <v>4.9383999999999997</v>
      </c>
      <c r="E1003" s="20"/>
      <c r="F1003" s="20"/>
      <c r="G1003" s="20"/>
      <c r="H1003" s="20"/>
      <c r="I1003" s="20"/>
      <c r="J1003" s="20"/>
      <c r="K1003" s="20"/>
      <c r="L1003" s="20"/>
      <c r="M1003" s="20"/>
      <c r="N1003" s="20"/>
      <c r="O1003" s="20"/>
      <c r="P1003" s="20"/>
      <c r="Q1003" s="68"/>
    </row>
    <row r="1004" spans="1:17" ht="14.4" x14ac:dyDescent="0.3">
      <c r="A1004" s="25" t="s">
        <v>194</v>
      </c>
      <c r="B1004" s="25"/>
      <c r="C1004" s="16" t="s">
        <v>19</v>
      </c>
      <c r="D1004" s="20">
        <f>[41]GR!D23</f>
        <v>5.1111000000000004</v>
      </c>
      <c r="E1004" s="20"/>
      <c r="F1004" s="20"/>
      <c r="G1004" s="20"/>
      <c r="H1004" s="20"/>
      <c r="I1004" s="20"/>
      <c r="J1004" s="20"/>
      <c r="K1004" s="20"/>
      <c r="L1004" s="20"/>
      <c r="M1004" s="20"/>
      <c r="N1004" s="20"/>
      <c r="O1004" s="20"/>
      <c r="P1004" s="20"/>
      <c r="Q1004" s="68"/>
    </row>
    <row r="1005" spans="1:17" x14ac:dyDescent="0.3">
      <c r="A1005" s="62"/>
      <c r="B1005" s="62"/>
      <c r="C1005" s="63"/>
      <c r="D1005" s="62"/>
      <c r="E1005" s="62"/>
      <c r="F1005" s="62"/>
      <c r="G1005" s="62"/>
      <c r="H1005" s="62"/>
      <c r="I1005" s="62"/>
      <c r="J1005" s="62"/>
      <c r="K1005" s="62"/>
      <c r="L1005" s="62"/>
      <c r="M1005" s="62"/>
      <c r="N1005" s="62"/>
      <c r="O1005" s="62"/>
      <c r="P1005" s="62"/>
      <c r="Q1005" s="68"/>
    </row>
    <row r="1006" spans="1:17" ht="14.4" x14ac:dyDescent="0.3">
      <c r="A1006" s="64" t="s">
        <v>196</v>
      </c>
      <c r="B1006" s="64"/>
      <c r="C1006" s="65"/>
      <c r="D1006" s="66"/>
      <c r="E1006" s="66"/>
      <c r="F1006" s="66"/>
      <c r="G1006" s="66"/>
      <c r="H1006" s="66"/>
      <c r="I1006" s="66"/>
      <c r="J1006" s="66"/>
      <c r="K1006" s="66"/>
      <c r="L1006" s="66"/>
      <c r="M1006" s="66"/>
      <c r="N1006" s="66"/>
      <c r="O1006" s="66"/>
      <c r="P1006" s="66"/>
      <c r="Q1006" s="68"/>
    </row>
    <row r="1007" spans="1:17" ht="14.4" x14ac:dyDescent="0.3">
      <c r="A1007" s="64" t="s">
        <v>197</v>
      </c>
      <c r="B1007" s="64"/>
      <c r="C1007" s="65" t="s">
        <v>19</v>
      </c>
      <c r="D1007" s="67">
        <v>5.3981000000000003</v>
      </c>
      <c r="E1007" s="67">
        <v>4.7103999999999999</v>
      </c>
      <c r="F1007" s="67">
        <v>4.5651999999999999</v>
      </c>
      <c r="G1007" s="67">
        <v>4.8311999999999999</v>
      </c>
      <c r="H1007" s="67">
        <v>4.923</v>
      </c>
      <c r="I1007" s="67">
        <v>5.0217000000000001</v>
      </c>
      <c r="J1007" s="67">
        <v>4.7828999999999997</v>
      </c>
      <c r="K1007" s="67">
        <v>4.266</v>
      </c>
      <c r="L1007" s="67">
        <v>4.4371999999999998</v>
      </c>
      <c r="M1007" s="67">
        <v>4.1909000000000001</v>
      </c>
      <c r="N1007" s="67">
        <v>5.1908000000000003</v>
      </c>
      <c r="O1007" s="67"/>
      <c r="P1007" s="67"/>
      <c r="Q1007" s="68"/>
    </row>
    <row r="1008" spans="1:17" ht="14.4" x14ac:dyDescent="0.3">
      <c r="A1008" s="64" t="s">
        <v>75</v>
      </c>
      <c r="B1008" s="64"/>
      <c r="C1008" s="65" t="s">
        <v>19</v>
      </c>
      <c r="D1008" s="67">
        <v>5.258</v>
      </c>
      <c r="E1008" s="67">
        <v>4.4877000000000002</v>
      </c>
      <c r="F1008" s="67">
        <v>4.3997999999999999</v>
      </c>
      <c r="G1008" s="67">
        <v>4.7262000000000004</v>
      </c>
      <c r="H1008" s="67">
        <v>5.0972999999999997</v>
      </c>
      <c r="I1008" s="67">
        <v>5.4450000000000003</v>
      </c>
      <c r="J1008" s="67">
        <v>5.0529000000000002</v>
      </c>
      <c r="K1008" s="67">
        <v>4.4585999999999997</v>
      </c>
      <c r="L1008" s="67">
        <v>4.6382000000000003</v>
      </c>
      <c r="M1008" s="67">
        <v>4.4057000000000004</v>
      </c>
      <c r="N1008" s="67">
        <v>5.5407999999999999</v>
      </c>
      <c r="O1008" s="67"/>
      <c r="P1008" s="67"/>
      <c r="Q1008" s="68"/>
    </row>
    <row r="1009" spans="1:17" ht="14.4" x14ac:dyDescent="0.3">
      <c r="A1009" s="64" t="s">
        <v>198</v>
      </c>
      <c r="B1009" s="64"/>
      <c r="C1009" s="65" t="s">
        <v>19</v>
      </c>
      <c r="D1009" s="67">
        <v>5.6708999999999996</v>
      </c>
      <c r="E1009" s="67">
        <v>4.9542999999999999</v>
      </c>
      <c r="F1009" s="67">
        <v>4.8602999999999996</v>
      </c>
      <c r="G1009" s="67">
        <v>5.1508000000000003</v>
      </c>
      <c r="H1009" s="67">
        <v>5.1959999999999997</v>
      </c>
      <c r="I1009" s="67">
        <v>5.3818000000000001</v>
      </c>
      <c r="J1009" s="67">
        <v>5.0765000000000002</v>
      </c>
      <c r="K1009" s="67">
        <v>4.5232000000000001</v>
      </c>
      <c r="L1009" s="67">
        <v>4.6806000000000001</v>
      </c>
      <c r="M1009" s="67">
        <v>4.4307999999999996</v>
      </c>
      <c r="N1009" s="67">
        <v>5.3949999999999996</v>
      </c>
      <c r="O1009" s="67"/>
      <c r="P1009" s="67"/>
      <c r="Q1009" s="68"/>
    </row>
    <row r="1010" spans="1:17" ht="14.4" x14ac:dyDescent="0.3">
      <c r="A1010" s="64" t="s">
        <v>199</v>
      </c>
      <c r="B1010" s="64"/>
      <c r="C1010" s="65" t="s">
        <v>19</v>
      </c>
      <c r="D1010" s="67">
        <v>5.5339999999999998</v>
      </c>
      <c r="E1010" s="67">
        <v>4.5046999999999997</v>
      </c>
      <c r="F1010" s="67">
        <v>4.4379</v>
      </c>
      <c r="G1010" s="67">
        <v>4.7127999999999997</v>
      </c>
      <c r="H1010" s="67">
        <v>4.8108000000000004</v>
      </c>
      <c r="I1010" s="67">
        <v>4.9672000000000001</v>
      </c>
      <c r="J1010" s="67">
        <v>5.0987999999999998</v>
      </c>
      <c r="K1010" s="67">
        <v>6.0766</v>
      </c>
      <c r="L1010" s="67">
        <v>4.7291999999999996</v>
      </c>
      <c r="M1010" s="67">
        <v>4.4987000000000004</v>
      </c>
      <c r="N1010" s="67">
        <v>5.4394</v>
      </c>
      <c r="O1010" s="67"/>
      <c r="P1010" s="67"/>
      <c r="Q1010" s="68"/>
    </row>
    <row r="1011" spans="1:17" ht="14.4" x14ac:dyDescent="0.3">
      <c r="A1011" s="64" t="s">
        <v>200</v>
      </c>
      <c r="B1011" s="64"/>
      <c r="C1011" s="65" t="s">
        <v>19</v>
      </c>
      <c r="D1011" s="67">
        <v>5.6026999999999996</v>
      </c>
      <c r="E1011" s="67">
        <v>4.9154999999999998</v>
      </c>
      <c r="F1011" s="67">
        <v>4.8407</v>
      </c>
      <c r="G1011" s="67">
        <v>5.1130000000000004</v>
      </c>
      <c r="H1011" s="67">
        <v>5.157</v>
      </c>
      <c r="I1011" s="67">
        <v>5.3057999999999996</v>
      </c>
      <c r="J1011" s="67">
        <v>5.0834999999999999</v>
      </c>
      <c r="K1011" s="67">
        <v>4.492</v>
      </c>
      <c r="L1011" s="67">
        <v>4.6726999999999999</v>
      </c>
      <c r="M1011" s="67">
        <v>4.4286000000000003</v>
      </c>
      <c r="N1011" s="67">
        <v>5.3784999999999998</v>
      </c>
      <c r="O1011" s="67"/>
      <c r="P1011" s="67"/>
      <c r="Q1011" s="68"/>
    </row>
    <row r="1012" spans="1:17" ht="14.4" x14ac:dyDescent="0.3">
      <c r="A1012" s="64" t="s">
        <v>201</v>
      </c>
      <c r="B1012" s="64"/>
      <c r="C1012" s="65" t="s">
        <v>19</v>
      </c>
      <c r="D1012" s="67">
        <v>5.9668000000000001</v>
      </c>
      <c r="E1012" s="67">
        <v>4.4996</v>
      </c>
      <c r="F1012" s="67">
        <v>4.3198999999999996</v>
      </c>
      <c r="G1012" s="67">
        <v>4.9023000000000003</v>
      </c>
      <c r="H1012" s="67">
        <v>4.9615</v>
      </c>
      <c r="I1012" s="67">
        <v>5.0903</v>
      </c>
      <c r="J1012" s="67">
        <v>4.4546000000000001</v>
      </c>
      <c r="K1012" s="67">
        <v>3.9921000000000002</v>
      </c>
      <c r="L1012" s="67">
        <v>4.1375999999999999</v>
      </c>
      <c r="M1012" s="67">
        <v>3.8565</v>
      </c>
      <c r="N1012" s="67">
        <v>5.3620999999999999</v>
      </c>
      <c r="O1012" s="67"/>
      <c r="P1012" s="67"/>
      <c r="Q1012" s="68"/>
    </row>
    <row r="1013" spans="1:17" x14ac:dyDescent="0.3">
      <c r="A1013" s="62"/>
      <c r="B1013" s="62"/>
      <c r="C1013" s="63"/>
      <c r="D1013" s="62"/>
      <c r="E1013" s="62"/>
      <c r="F1013" s="62"/>
      <c r="G1013" s="62"/>
      <c r="H1013" s="62"/>
      <c r="I1013" s="62"/>
      <c r="J1013" s="62"/>
      <c r="K1013" s="62"/>
      <c r="L1013" s="62"/>
      <c r="M1013" s="62"/>
      <c r="N1013" s="62"/>
      <c r="O1013" s="62"/>
      <c r="P1013" s="62"/>
      <c r="Q1013" s="68"/>
    </row>
    <row r="1014" spans="1:17" x14ac:dyDescent="0.3">
      <c r="A1014" s="33" t="s">
        <v>227</v>
      </c>
      <c r="B1014" s="62"/>
      <c r="C1014" s="63"/>
      <c r="D1014" s="62"/>
      <c r="E1014" s="62"/>
      <c r="F1014" s="62"/>
      <c r="G1014" s="62"/>
      <c r="H1014" s="62"/>
      <c r="I1014" s="62"/>
      <c r="J1014" s="62"/>
      <c r="K1014" s="62"/>
      <c r="L1014" s="62"/>
      <c r="M1014" s="62"/>
      <c r="N1014" s="62"/>
      <c r="O1014" s="62"/>
      <c r="P1014" s="62"/>
      <c r="Q1014" s="68"/>
    </row>
    <row r="1015" spans="1:17" x14ac:dyDescent="0.3">
      <c r="A1015" s="62"/>
      <c r="B1015" s="62"/>
      <c r="C1015" s="63"/>
      <c r="D1015" s="62"/>
      <c r="E1015" s="62"/>
      <c r="F1015" s="62"/>
      <c r="G1015" s="62"/>
      <c r="H1015" s="62"/>
      <c r="I1015" s="62"/>
      <c r="J1015" s="62"/>
      <c r="K1015" s="62"/>
      <c r="L1015" s="62"/>
      <c r="M1015" s="62"/>
      <c r="N1015" s="62"/>
      <c r="O1015" s="62"/>
      <c r="P1015" s="62"/>
      <c r="Q1015" s="68"/>
    </row>
    <row r="1016" spans="1:17" ht="14.4" x14ac:dyDescent="0.3">
      <c r="A1016" s="61" t="s">
        <v>82</v>
      </c>
      <c r="B1016" s="62"/>
      <c r="C1016" s="63"/>
      <c r="D1016" s="62"/>
      <c r="E1016" s="62"/>
      <c r="F1016" s="62"/>
      <c r="G1016" s="62"/>
      <c r="H1016" s="62"/>
      <c r="I1016" s="62"/>
      <c r="J1016" s="62"/>
      <c r="K1016" s="62"/>
      <c r="L1016" s="62"/>
      <c r="M1016" s="62"/>
      <c r="N1016" s="62"/>
      <c r="O1016" s="62"/>
      <c r="P1016" s="62"/>
      <c r="Q1016" s="68"/>
    </row>
    <row r="1017" spans="1:17" ht="14.4" x14ac:dyDescent="0.3">
      <c r="A1017" s="25" t="s">
        <v>83</v>
      </c>
      <c r="B1017" s="25"/>
      <c r="C1017" s="16" t="s">
        <v>19</v>
      </c>
      <c r="D1017" s="20">
        <v>1.1944999999999999</v>
      </c>
      <c r="E1017" s="20">
        <v>1.1944999999999999</v>
      </c>
      <c r="F1017" s="20">
        <v>1.1944999999999999</v>
      </c>
      <c r="G1017" s="20">
        <v>1.1944999999999999</v>
      </c>
      <c r="H1017" s="20">
        <v>1.1944999999999999</v>
      </c>
      <c r="I1017" s="20">
        <v>1.1944999999999999</v>
      </c>
      <c r="J1017" s="20">
        <v>1.2224999999999999</v>
      </c>
      <c r="K1017" s="20">
        <v>1.2224999999999999</v>
      </c>
      <c r="L1017" s="20">
        <v>1.2224999999999999</v>
      </c>
      <c r="M1017" s="20">
        <v>1.2224999999999999</v>
      </c>
      <c r="N1017" s="20">
        <v>1.2224999999999999</v>
      </c>
      <c r="O1017" s="20">
        <v>1.2224999999999999</v>
      </c>
      <c r="P1017" s="20">
        <v>1.2224999999999999</v>
      </c>
      <c r="Q1017" s="68"/>
    </row>
    <row r="1018" spans="1:17" ht="14.4" x14ac:dyDescent="0.3">
      <c r="A1018" s="25" t="s">
        <v>84</v>
      </c>
      <c r="B1018" s="25"/>
      <c r="C1018" s="16" t="s">
        <v>19</v>
      </c>
      <c r="D1018" s="20">
        <v>1.5518000000000001</v>
      </c>
      <c r="E1018" s="20">
        <v>1.5518000000000001</v>
      </c>
      <c r="F1018" s="20">
        <v>1.5518000000000001</v>
      </c>
      <c r="G1018" s="20">
        <v>1.5518000000000001</v>
      </c>
      <c r="H1018" s="20">
        <v>1.5518000000000001</v>
      </c>
      <c r="I1018" s="20">
        <v>1.5518000000000001</v>
      </c>
      <c r="J1018" s="20">
        <v>1.5798000000000001</v>
      </c>
      <c r="K1018" s="20">
        <v>1.5798000000000001</v>
      </c>
      <c r="L1018" s="20">
        <v>1.5798000000000001</v>
      </c>
      <c r="M1018" s="20">
        <v>1.5798000000000001</v>
      </c>
      <c r="N1018" s="20">
        <v>1.5798000000000001</v>
      </c>
      <c r="O1018" s="20">
        <v>1.5798000000000001</v>
      </c>
      <c r="P1018" s="20">
        <v>1.5798000000000001</v>
      </c>
      <c r="Q1018" s="68"/>
    </row>
    <row r="1019" spans="1:17" ht="14.4" x14ac:dyDescent="0.3">
      <c r="A1019" s="25" t="s">
        <v>85</v>
      </c>
      <c r="B1019" s="25"/>
      <c r="C1019" s="16" t="s">
        <v>19</v>
      </c>
      <c r="D1019" s="20">
        <v>1.889</v>
      </c>
      <c r="E1019" s="20">
        <v>1.889</v>
      </c>
      <c r="F1019" s="20">
        <v>1.889</v>
      </c>
      <c r="G1019" s="20">
        <v>1.889</v>
      </c>
      <c r="H1019" s="20">
        <v>1.889</v>
      </c>
      <c r="I1019" s="20">
        <v>1.889</v>
      </c>
      <c r="J1019" s="20">
        <v>1.917</v>
      </c>
      <c r="K1019" s="20">
        <v>1.917</v>
      </c>
      <c r="L1019" s="20">
        <v>1.917</v>
      </c>
      <c r="M1019" s="20">
        <v>1.917</v>
      </c>
      <c r="N1019" s="20">
        <v>1.917</v>
      </c>
      <c r="O1019" s="20">
        <v>1.917</v>
      </c>
      <c r="P1019" s="20">
        <v>1.917</v>
      </c>
      <c r="Q1019" s="68"/>
    </row>
    <row r="1020" spans="1:17" ht="14.4" x14ac:dyDescent="0.3">
      <c r="A1020" s="25" t="s">
        <v>86</v>
      </c>
      <c r="B1020" s="25"/>
      <c r="C1020" s="16" t="s">
        <v>19</v>
      </c>
      <c r="D1020" s="20">
        <v>2.4763000000000002</v>
      </c>
      <c r="E1020" s="20">
        <v>2.4763000000000002</v>
      </c>
      <c r="F1020" s="20">
        <v>2.4763000000000002</v>
      </c>
      <c r="G1020" s="20">
        <v>2.4763000000000002</v>
      </c>
      <c r="H1020" s="20">
        <v>2.4763000000000002</v>
      </c>
      <c r="I1020" s="20">
        <v>2.4763000000000002</v>
      </c>
      <c r="J1020" s="20">
        <v>2.5043000000000002</v>
      </c>
      <c r="K1020" s="20">
        <v>2.5043000000000002</v>
      </c>
      <c r="L1020" s="20">
        <v>2.5043000000000002</v>
      </c>
      <c r="M1020" s="20">
        <v>2.5043000000000002</v>
      </c>
      <c r="N1020" s="20">
        <v>2.5043000000000002</v>
      </c>
      <c r="O1020" s="20">
        <v>2.5043000000000002</v>
      </c>
      <c r="P1020" s="20">
        <v>2.5043000000000002</v>
      </c>
      <c r="Q1020" s="68"/>
    </row>
    <row r="1021" spans="1:17" x14ac:dyDescent="0.3">
      <c r="A1021" s="62"/>
      <c r="B1021" s="62"/>
      <c r="C1021" s="63"/>
      <c r="D1021" s="62"/>
      <c r="E1021" s="62"/>
      <c r="F1021" s="62"/>
      <c r="G1021" s="62"/>
      <c r="H1021" s="62"/>
      <c r="I1021" s="62"/>
      <c r="J1021" s="62"/>
      <c r="K1021" s="62"/>
      <c r="L1021" s="62"/>
      <c r="M1021" s="62"/>
      <c r="N1021" s="62"/>
      <c r="O1021" s="62"/>
      <c r="P1021" s="62"/>
      <c r="Q1021" s="68"/>
    </row>
    <row r="1022" spans="1:17" ht="14.4" x14ac:dyDescent="0.3">
      <c r="A1022" s="61" t="s">
        <v>202</v>
      </c>
      <c r="B1022" s="62"/>
      <c r="C1022" s="63"/>
      <c r="D1022" s="62"/>
      <c r="E1022" s="62"/>
      <c r="F1022" s="62"/>
      <c r="G1022" s="62"/>
      <c r="H1022" s="62"/>
      <c r="I1022" s="62"/>
      <c r="J1022" s="62"/>
      <c r="K1022" s="62"/>
      <c r="L1022" s="62"/>
      <c r="M1022" s="62"/>
      <c r="N1022" s="62"/>
      <c r="O1022" s="62"/>
      <c r="P1022" s="62"/>
      <c r="Q1022" s="68"/>
    </row>
    <row r="1023" spans="1:17" ht="14.4" x14ac:dyDescent="0.3">
      <c r="A1023" s="25" t="s">
        <v>68</v>
      </c>
      <c r="B1023" s="25"/>
      <c r="C1023" s="16"/>
      <c r="D1023" s="24"/>
      <c r="E1023" s="24"/>
      <c r="F1023" s="24"/>
      <c r="G1023" s="24"/>
      <c r="H1023" s="24"/>
      <c r="I1023" s="24"/>
      <c r="J1023" s="24"/>
      <c r="K1023" s="24"/>
      <c r="L1023" s="24"/>
      <c r="M1023" s="24"/>
      <c r="N1023" s="24"/>
      <c r="O1023" s="24"/>
      <c r="P1023" s="24"/>
      <c r="Q1023" s="68"/>
    </row>
    <row r="1024" spans="1:17" ht="14.4" x14ac:dyDescent="0.3">
      <c r="A1024" s="25" t="s">
        <v>88</v>
      </c>
      <c r="B1024" s="25"/>
      <c r="C1024" s="16" t="s">
        <v>19</v>
      </c>
      <c r="D1024" s="20">
        <v>0.59499999999999997</v>
      </c>
      <c r="E1024" s="20">
        <v>0.59499999999999997</v>
      </c>
      <c r="F1024" s="20">
        <v>0.59499999999999997</v>
      </c>
      <c r="G1024" s="20">
        <v>0.59499999999999997</v>
      </c>
      <c r="H1024" s="20">
        <v>0.59499999999999997</v>
      </c>
      <c r="I1024" s="20">
        <v>0.59499999999999997</v>
      </c>
      <c r="J1024" s="20">
        <v>0.60429999999999995</v>
      </c>
      <c r="K1024" s="20">
        <v>0.60429999999999995</v>
      </c>
      <c r="L1024" s="20">
        <v>0.60429999999999995</v>
      </c>
      <c r="M1024" s="20">
        <v>0.60429999999999995</v>
      </c>
      <c r="N1024" s="20">
        <v>0.60429999999999995</v>
      </c>
      <c r="O1024" s="20">
        <v>0.60429999999999995</v>
      </c>
      <c r="P1024" s="20">
        <v>0.60429999999999995</v>
      </c>
      <c r="Q1024" s="68"/>
    </row>
    <row r="1025" spans="1:17" ht="14.4" x14ac:dyDescent="0.3">
      <c r="A1025" s="25" t="s">
        <v>203</v>
      </c>
      <c r="B1025" s="25"/>
      <c r="C1025" s="16" t="s">
        <v>19</v>
      </c>
      <c r="D1025" s="20">
        <v>0</v>
      </c>
      <c r="E1025" s="20">
        <v>0</v>
      </c>
      <c r="F1025" s="20">
        <v>0</v>
      </c>
      <c r="G1025" s="20">
        <v>0</v>
      </c>
      <c r="H1025" s="20">
        <v>0</v>
      </c>
      <c r="I1025" s="20">
        <v>0</v>
      </c>
      <c r="J1025" s="20">
        <v>0</v>
      </c>
      <c r="K1025" s="20">
        <v>0</v>
      </c>
      <c r="L1025" s="20">
        <v>0</v>
      </c>
      <c r="M1025" s="20">
        <v>0</v>
      </c>
      <c r="N1025" s="20">
        <v>0</v>
      </c>
      <c r="O1025" s="20">
        <v>0</v>
      </c>
      <c r="P1025" s="20">
        <v>0</v>
      </c>
      <c r="Q1025" s="68"/>
    </row>
    <row r="1026" spans="1:17" ht="14.4" x14ac:dyDescent="0.3">
      <c r="A1026" s="25" t="s">
        <v>192</v>
      </c>
      <c r="B1026" s="25"/>
      <c r="C1026" s="16"/>
      <c r="D1026" s="24"/>
      <c r="E1026" s="24"/>
      <c r="F1026" s="24"/>
      <c r="G1026" s="24"/>
      <c r="H1026" s="24"/>
      <c r="I1026" s="24"/>
      <c r="J1026" s="24"/>
      <c r="K1026" s="24"/>
      <c r="L1026" s="24"/>
      <c r="M1026" s="24"/>
      <c r="N1026" s="24"/>
      <c r="O1026" s="24"/>
      <c r="P1026" s="24"/>
      <c r="Q1026" s="68"/>
    </row>
    <row r="1027" spans="1:17" ht="14.4" x14ac:dyDescent="0.3">
      <c r="A1027" s="25" t="s">
        <v>88</v>
      </c>
      <c r="B1027" s="25"/>
      <c r="C1027" s="16" t="s">
        <v>19</v>
      </c>
      <c r="D1027" s="20">
        <f>D1024+0.01</f>
        <v>0.60499999999999998</v>
      </c>
      <c r="E1027" s="20">
        <f>E1024+0.01</f>
        <v>0.60499999999999998</v>
      </c>
      <c r="F1027" s="20">
        <f t="shared" ref="F1027:P1027" si="66">F1024+0.01</f>
        <v>0.60499999999999998</v>
      </c>
      <c r="G1027" s="20">
        <f t="shared" si="66"/>
        <v>0.60499999999999998</v>
      </c>
      <c r="H1027" s="20">
        <f t="shared" si="66"/>
        <v>0.60499999999999998</v>
      </c>
      <c r="I1027" s="20">
        <f t="shared" si="66"/>
        <v>0.60499999999999998</v>
      </c>
      <c r="J1027" s="20">
        <f t="shared" si="66"/>
        <v>0.61429999999999996</v>
      </c>
      <c r="K1027" s="20">
        <f t="shared" si="66"/>
        <v>0.61429999999999996</v>
      </c>
      <c r="L1027" s="20">
        <f t="shared" si="66"/>
        <v>0.61429999999999996</v>
      </c>
      <c r="M1027" s="20">
        <f t="shared" si="66"/>
        <v>0.61429999999999996</v>
      </c>
      <c r="N1027" s="20">
        <f t="shared" si="66"/>
        <v>0.61429999999999996</v>
      </c>
      <c r="O1027" s="20">
        <f t="shared" si="66"/>
        <v>0.61429999999999996</v>
      </c>
      <c r="P1027" s="20">
        <f t="shared" si="66"/>
        <v>0.61429999999999996</v>
      </c>
      <c r="Q1027" s="68"/>
    </row>
    <row r="1028" spans="1:17" ht="14.4" x14ac:dyDescent="0.3">
      <c r="A1028" s="25" t="s">
        <v>203</v>
      </c>
      <c r="B1028" s="25"/>
      <c r="C1028" s="16" t="s">
        <v>19</v>
      </c>
      <c r="D1028" s="20">
        <f>D1025+0.01</f>
        <v>0.01</v>
      </c>
      <c r="E1028" s="20">
        <f>E1025+0.01</f>
        <v>0.01</v>
      </c>
      <c r="F1028" s="20">
        <f>F1026+0.01</f>
        <v>0.01</v>
      </c>
      <c r="G1028" s="20">
        <f t="shared" ref="G1028:P1028" si="67">G1026+0.01</f>
        <v>0.01</v>
      </c>
      <c r="H1028" s="20">
        <f t="shared" si="67"/>
        <v>0.01</v>
      </c>
      <c r="I1028" s="20">
        <f t="shared" si="67"/>
        <v>0.01</v>
      </c>
      <c r="J1028" s="20">
        <f t="shared" si="67"/>
        <v>0.01</v>
      </c>
      <c r="K1028" s="20">
        <f t="shared" si="67"/>
        <v>0.01</v>
      </c>
      <c r="L1028" s="20">
        <f t="shared" si="67"/>
        <v>0.01</v>
      </c>
      <c r="M1028" s="20">
        <f t="shared" si="67"/>
        <v>0.01</v>
      </c>
      <c r="N1028" s="20">
        <f t="shared" si="67"/>
        <v>0.01</v>
      </c>
      <c r="O1028" s="20">
        <f t="shared" si="67"/>
        <v>0.01</v>
      </c>
      <c r="P1028" s="20">
        <f t="shared" si="67"/>
        <v>0.01</v>
      </c>
      <c r="Q1028" s="68"/>
    </row>
    <row r="1029" spans="1:17" x14ac:dyDescent="0.3">
      <c r="A1029" s="62"/>
      <c r="B1029" s="62"/>
      <c r="C1029" s="63"/>
      <c r="D1029" s="62"/>
      <c r="E1029" s="62"/>
      <c r="F1029" s="62"/>
      <c r="G1029" s="62"/>
      <c r="H1029" s="62"/>
      <c r="I1029" s="62"/>
      <c r="J1029" s="62"/>
      <c r="K1029" s="62"/>
      <c r="L1029" s="62"/>
      <c r="M1029" s="62"/>
      <c r="N1029" s="62"/>
      <c r="O1029" s="62"/>
      <c r="P1029" s="62"/>
      <c r="Q1029" s="68"/>
    </row>
    <row r="1030" spans="1:17" ht="14.4" x14ac:dyDescent="0.3">
      <c r="A1030" s="61" t="s">
        <v>90</v>
      </c>
      <c r="B1030" s="62"/>
      <c r="C1030" s="63"/>
      <c r="D1030" s="62"/>
      <c r="E1030" s="62"/>
      <c r="F1030" s="62"/>
      <c r="G1030" s="62"/>
      <c r="H1030" s="62"/>
      <c r="I1030" s="62"/>
      <c r="J1030" s="62"/>
      <c r="K1030" s="62"/>
      <c r="L1030" s="62"/>
      <c r="M1030" s="62"/>
      <c r="N1030" s="62"/>
      <c r="O1030" s="62"/>
      <c r="P1030" s="62"/>
      <c r="Q1030" s="68"/>
    </row>
    <row r="1031" spans="1:17" ht="14.4" x14ac:dyDescent="0.3">
      <c r="A1031" s="25" t="s">
        <v>68</v>
      </c>
      <c r="B1031" s="25"/>
      <c r="C1031" s="16"/>
      <c r="D1031" s="24"/>
      <c r="E1031" s="24"/>
      <c r="F1031" s="24"/>
      <c r="G1031" s="24"/>
      <c r="H1031" s="24"/>
      <c r="I1031" s="24"/>
      <c r="J1031" s="24"/>
      <c r="K1031" s="24"/>
      <c r="L1031" s="24"/>
      <c r="M1031" s="24"/>
      <c r="N1031" s="24"/>
      <c r="O1031" s="24"/>
      <c r="P1031" s="24"/>
      <c r="Q1031" s="68"/>
    </row>
    <row r="1032" spans="1:17" ht="14.4" x14ac:dyDescent="0.3">
      <c r="A1032" s="25" t="s">
        <v>204</v>
      </c>
      <c r="B1032" s="25"/>
      <c r="C1032" s="16"/>
      <c r="D1032" s="69">
        <v>19.57</v>
      </c>
      <c r="E1032" s="69">
        <v>19.57</v>
      </c>
      <c r="F1032" s="69">
        <v>19.57</v>
      </c>
      <c r="G1032" s="69">
        <v>19.57</v>
      </c>
      <c r="H1032" s="69">
        <v>19.57</v>
      </c>
      <c r="I1032" s="69">
        <v>19.57</v>
      </c>
      <c r="J1032" s="69">
        <v>19.88</v>
      </c>
      <c r="K1032" s="69">
        <v>19.88</v>
      </c>
      <c r="L1032" s="69">
        <v>19.88</v>
      </c>
      <c r="M1032" s="69">
        <v>19.88</v>
      </c>
      <c r="N1032" s="69">
        <v>19.88</v>
      </c>
      <c r="O1032" s="69">
        <v>19.88</v>
      </c>
      <c r="P1032" s="69">
        <v>19.88</v>
      </c>
      <c r="Q1032" s="68"/>
    </row>
    <row r="1033" spans="1:17" ht="14.4" x14ac:dyDescent="0.3">
      <c r="A1033" s="25" t="s">
        <v>205</v>
      </c>
      <c r="B1033" s="25"/>
      <c r="C1033" s="16" t="s">
        <v>32</v>
      </c>
      <c r="D1033" s="69">
        <v>434.7</v>
      </c>
      <c r="E1033" s="69">
        <v>434.7</v>
      </c>
      <c r="F1033" s="69">
        <v>434.7</v>
      </c>
      <c r="G1033" s="69">
        <v>434.7</v>
      </c>
      <c r="H1033" s="69">
        <v>434.7</v>
      </c>
      <c r="I1033" s="69">
        <v>434.7</v>
      </c>
      <c r="J1033" s="69">
        <v>441.49</v>
      </c>
      <c r="K1033" s="69">
        <v>441.49</v>
      </c>
      <c r="L1033" s="69">
        <v>441.49</v>
      </c>
      <c r="M1033" s="69">
        <v>441.49</v>
      </c>
      <c r="N1033" s="69">
        <v>441.49</v>
      </c>
      <c r="O1033" s="69">
        <v>441.49</v>
      </c>
      <c r="P1033" s="69">
        <v>441.49</v>
      </c>
      <c r="Q1033" s="68"/>
    </row>
    <row r="1034" spans="1:17" ht="14.4" x14ac:dyDescent="0.3">
      <c r="A1034" s="25" t="s">
        <v>206</v>
      </c>
      <c r="B1034" s="25"/>
      <c r="C1034" s="16" t="s">
        <v>32</v>
      </c>
      <c r="D1034" s="69">
        <v>989</v>
      </c>
      <c r="E1034" s="69">
        <v>989</v>
      </c>
      <c r="F1034" s="69">
        <v>989</v>
      </c>
      <c r="G1034" s="69">
        <v>989</v>
      </c>
      <c r="H1034" s="69">
        <v>989</v>
      </c>
      <c r="I1034" s="69">
        <v>989</v>
      </c>
      <c r="J1034" s="69">
        <v>1004.45</v>
      </c>
      <c r="K1034" s="69">
        <v>1004.45</v>
      </c>
      <c r="L1034" s="69">
        <v>1004.45</v>
      </c>
      <c r="M1034" s="69">
        <v>1004.45</v>
      </c>
      <c r="N1034" s="69">
        <v>1004.45</v>
      </c>
      <c r="O1034" s="69">
        <v>1004.45</v>
      </c>
      <c r="P1034" s="69">
        <v>1004.45</v>
      </c>
      <c r="Q1034" s="68"/>
    </row>
    <row r="1035" spans="1:17" ht="14.4" x14ac:dyDescent="0.3">
      <c r="A1035" s="25" t="s">
        <v>207</v>
      </c>
      <c r="B1035" s="25"/>
      <c r="C1035" s="16" t="s">
        <v>32</v>
      </c>
      <c r="D1035" s="69">
        <v>4102</v>
      </c>
      <c r="E1035" s="69">
        <v>4102</v>
      </c>
      <c r="F1035" s="69">
        <v>4102</v>
      </c>
      <c r="G1035" s="69">
        <v>4102</v>
      </c>
      <c r="H1035" s="69">
        <v>4102</v>
      </c>
      <c r="I1035" s="69">
        <v>4102</v>
      </c>
      <c r="J1035" s="69">
        <v>4166.09</v>
      </c>
      <c r="K1035" s="69">
        <v>4166.09</v>
      </c>
      <c r="L1035" s="69">
        <v>4166.09</v>
      </c>
      <c r="M1035" s="69">
        <v>4166.09</v>
      </c>
      <c r="N1035" s="69">
        <v>4166.09</v>
      </c>
      <c r="O1035" s="69">
        <v>4166.09</v>
      </c>
      <c r="P1035" s="69">
        <v>4166.09</v>
      </c>
      <c r="Q1035" s="68"/>
    </row>
    <row r="1036" spans="1:17" ht="14.4" x14ac:dyDescent="0.3">
      <c r="A1036" s="25" t="s">
        <v>208</v>
      </c>
      <c r="B1036" s="25"/>
      <c r="C1036" s="16" t="s">
        <v>32</v>
      </c>
      <c r="D1036" s="69">
        <v>14892</v>
      </c>
      <c r="E1036" s="69">
        <v>14892</v>
      </c>
      <c r="F1036" s="69">
        <v>14892</v>
      </c>
      <c r="G1036" s="69">
        <v>14892</v>
      </c>
      <c r="H1036" s="69">
        <v>14892</v>
      </c>
      <c r="I1036" s="69">
        <v>14892</v>
      </c>
      <c r="J1036" s="69">
        <v>15124.68</v>
      </c>
      <c r="K1036" s="69">
        <v>15124.68</v>
      </c>
      <c r="L1036" s="69">
        <v>15124.68</v>
      </c>
      <c r="M1036" s="69">
        <v>15124.68</v>
      </c>
      <c r="N1036" s="69">
        <v>15124.68</v>
      </c>
      <c r="O1036" s="69">
        <v>15124.68</v>
      </c>
      <c r="P1036" s="69">
        <v>15124.68</v>
      </c>
      <c r="Q1036" s="68"/>
    </row>
    <row r="1037" spans="1:17" ht="14.4" x14ac:dyDescent="0.3">
      <c r="A1037" s="25" t="s">
        <v>209</v>
      </c>
      <c r="B1037" s="25"/>
      <c r="C1037" s="16"/>
      <c r="D1037" s="24"/>
      <c r="E1037" s="24"/>
      <c r="F1037" s="24"/>
      <c r="G1037" s="24"/>
      <c r="H1037" s="24"/>
      <c r="I1037" s="24"/>
      <c r="J1037" s="24"/>
      <c r="K1037" s="24"/>
      <c r="L1037" s="24"/>
      <c r="M1037" s="24"/>
      <c r="N1037" s="24"/>
      <c r="O1037" s="24"/>
      <c r="P1037" s="24"/>
      <c r="Q1037" s="68"/>
    </row>
    <row r="1038" spans="1:17" ht="14.4" x14ac:dyDescent="0.3">
      <c r="A1038" s="25" t="s">
        <v>204</v>
      </c>
      <c r="B1038" s="25"/>
      <c r="C1038" s="16"/>
      <c r="D1038" s="69">
        <f>D1032*110%</f>
        <v>21.527000000000001</v>
      </c>
      <c r="E1038" s="69">
        <f t="shared" ref="E1038:P1042" si="68">E1032*110%</f>
        <v>21.527000000000001</v>
      </c>
      <c r="F1038" s="69">
        <f t="shared" si="68"/>
        <v>21.527000000000001</v>
      </c>
      <c r="G1038" s="69">
        <f t="shared" si="68"/>
        <v>21.527000000000001</v>
      </c>
      <c r="H1038" s="69">
        <f t="shared" si="68"/>
        <v>21.527000000000001</v>
      </c>
      <c r="I1038" s="69">
        <f t="shared" si="68"/>
        <v>21.527000000000001</v>
      </c>
      <c r="J1038" s="69">
        <f t="shared" si="68"/>
        <v>21.868000000000002</v>
      </c>
      <c r="K1038" s="69">
        <f t="shared" si="68"/>
        <v>21.868000000000002</v>
      </c>
      <c r="L1038" s="69">
        <f t="shared" si="68"/>
        <v>21.868000000000002</v>
      </c>
      <c r="M1038" s="69">
        <f t="shared" si="68"/>
        <v>21.868000000000002</v>
      </c>
      <c r="N1038" s="69">
        <f t="shared" si="68"/>
        <v>21.868000000000002</v>
      </c>
      <c r="O1038" s="69">
        <f t="shared" si="68"/>
        <v>21.868000000000002</v>
      </c>
      <c r="P1038" s="69">
        <f t="shared" si="68"/>
        <v>21.868000000000002</v>
      </c>
      <c r="Q1038" s="68"/>
    </row>
    <row r="1039" spans="1:17" ht="14.4" x14ac:dyDescent="0.3">
      <c r="A1039" s="25" t="s">
        <v>205</v>
      </c>
      <c r="B1039" s="25"/>
      <c r="C1039" s="16" t="s">
        <v>32</v>
      </c>
      <c r="D1039" s="69">
        <f>D1033*110%</f>
        <v>478.17</v>
      </c>
      <c r="E1039" s="69">
        <f t="shared" si="68"/>
        <v>478.17</v>
      </c>
      <c r="F1039" s="69">
        <f t="shared" si="68"/>
        <v>478.17</v>
      </c>
      <c r="G1039" s="69">
        <f t="shared" si="68"/>
        <v>478.17</v>
      </c>
      <c r="H1039" s="69">
        <f t="shared" si="68"/>
        <v>478.17</v>
      </c>
      <c r="I1039" s="69">
        <f t="shared" si="68"/>
        <v>478.17</v>
      </c>
      <c r="J1039" s="69">
        <f t="shared" si="68"/>
        <v>485.63900000000007</v>
      </c>
      <c r="K1039" s="69">
        <f t="shared" si="68"/>
        <v>485.63900000000007</v>
      </c>
      <c r="L1039" s="69">
        <f t="shared" si="68"/>
        <v>485.63900000000007</v>
      </c>
      <c r="M1039" s="69">
        <f t="shared" si="68"/>
        <v>485.63900000000007</v>
      </c>
      <c r="N1039" s="69">
        <f t="shared" si="68"/>
        <v>485.63900000000007</v>
      </c>
      <c r="O1039" s="69">
        <f t="shared" si="68"/>
        <v>485.63900000000007</v>
      </c>
      <c r="P1039" s="69">
        <f t="shared" si="68"/>
        <v>485.63900000000007</v>
      </c>
      <c r="Q1039" s="68"/>
    </row>
    <row r="1040" spans="1:17" ht="14.4" x14ac:dyDescent="0.3">
      <c r="A1040" s="25" t="s">
        <v>206</v>
      </c>
      <c r="B1040" s="25"/>
      <c r="C1040" s="16" t="s">
        <v>32</v>
      </c>
      <c r="D1040" s="69">
        <f>D1034*110%</f>
        <v>1087.9000000000001</v>
      </c>
      <c r="E1040" s="69">
        <f t="shared" si="68"/>
        <v>1087.9000000000001</v>
      </c>
      <c r="F1040" s="69">
        <f t="shared" si="68"/>
        <v>1087.9000000000001</v>
      </c>
      <c r="G1040" s="69">
        <f t="shared" si="68"/>
        <v>1087.9000000000001</v>
      </c>
      <c r="H1040" s="69">
        <f t="shared" si="68"/>
        <v>1087.9000000000001</v>
      </c>
      <c r="I1040" s="69">
        <f t="shared" si="68"/>
        <v>1087.9000000000001</v>
      </c>
      <c r="J1040" s="69">
        <f t="shared" si="68"/>
        <v>1104.8950000000002</v>
      </c>
      <c r="K1040" s="69">
        <f t="shared" si="68"/>
        <v>1104.8950000000002</v>
      </c>
      <c r="L1040" s="69">
        <f t="shared" si="68"/>
        <v>1104.8950000000002</v>
      </c>
      <c r="M1040" s="69">
        <f t="shared" si="68"/>
        <v>1104.8950000000002</v>
      </c>
      <c r="N1040" s="69">
        <f t="shared" si="68"/>
        <v>1104.8950000000002</v>
      </c>
      <c r="O1040" s="69">
        <f t="shared" si="68"/>
        <v>1104.8950000000002</v>
      </c>
      <c r="P1040" s="69">
        <f t="shared" si="68"/>
        <v>1104.8950000000002</v>
      </c>
      <c r="Q1040" s="68"/>
    </row>
    <row r="1041" spans="1:17" ht="14.4" x14ac:dyDescent="0.3">
      <c r="A1041" s="25" t="s">
        <v>207</v>
      </c>
      <c r="B1041" s="25"/>
      <c r="C1041" s="16" t="s">
        <v>32</v>
      </c>
      <c r="D1041" s="69">
        <f>D1035*110%</f>
        <v>4512.2000000000007</v>
      </c>
      <c r="E1041" s="69">
        <f t="shared" si="68"/>
        <v>4512.2000000000007</v>
      </c>
      <c r="F1041" s="69">
        <f t="shared" si="68"/>
        <v>4512.2000000000007</v>
      </c>
      <c r="G1041" s="69">
        <f t="shared" si="68"/>
        <v>4512.2000000000007</v>
      </c>
      <c r="H1041" s="69">
        <f t="shared" si="68"/>
        <v>4512.2000000000007</v>
      </c>
      <c r="I1041" s="69">
        <f t="shared" si="68"/>
        <v>4512.2000000000007</v>
      </c>
      <c r="J1041" s="69">
        <f t="shared" si="68"/>
        <v>4582.6990000000005</v>
      </c>
      <c r="K1041" s="69">
        <f t="shared" si="68"/>
        <v>4582.6990000000005</v>
      </c>
      <c r="L1041" s="69">
        <f t="shared" si="68"/>
        <v>4582.6990000000005</v>
      </c>
      <c r="M1041" s="69">
        <f t="shared" si="68"/>
        <v>4582.6990000000005</v>
      </c>
      <c r="N1041" s="69">
        <f t="shared" si="68"/>
        <v>4582.6990000000005</v>
      </c>
      <c r="O1041" s="69">
        <f t="shared" si="68"/>
        <v>4582.6990000000005</v>
      </c>
      <c r="P1041" s="69">
        <f t="shared" si="68"/>
        <v>4582.6990000000005</v>
      </c>
      <c r="Q1041" s="68"/>
    </row>
    <row r="1042" spans="1:17" ht="14.4" x14ac:dyDescent="0.3">
      <c r="A1042" s="25" t="s">
        <v>208</v>
      </c>
      <c r="B1042" s="25"/>
      <c r="C1042" s="16" t="s">
        <v>32</v>
      </c>
      <c r="D1042" s="69">
        <f>D1036*110%</f>
        <v>16381.2</v>
      </c>
      <c r="E1042" s="69">
        <f t="shared" si="68"/>
        <v>16381.2</v>
      </c>
      <c r="F1042" s="69">
        <f t="shared" si="68"/>
        <v>16381.2</v>
      </c>
      <c r="G1042" s="69">
        <f t="shared" si="68"/>
        <v>16381.2</v>
      </c>
      <c r="H1042" s="69">
        <f t="shared" si="68"/>
        <v>16381.2</v>
      </c>
      <c r="I1042" s="69">
        <f t="shared" si="68"/>
        <v>16381.2</v>
      </c>
      <c r="J1042" s="69">
        <f t="shared" si="68"/>
        <v>16637.148000000001</v>
      </c>
      <c r="K1042" s="69">
        <f t="shared" si="68"/>
        <v>16637.148000000001</v>
      </c>
      <c r="L1042" s="69">
        <f t="shared" si="68"/>
        <v>16637.148000000001</v>
      </c>
      <c r="M1042" s="69">
        <f t="shared" si="68"/>
        <v>16637.148000000001</v>
      </c>
      <c r="N1042" s="69">
        <f t="shared" si="68"/>
        <v>16637.148000000001</v>
      </c>
      <c r="O1042" s="69">
        <f t="shared" si="68"/>
        <v>16637.148000000001</v>
      </c>
      <c r="P1042" s="69">
        <f t="shared" si="68"/>
        <v>16637.148000000001</v>
      </c>
      <c r="Q1042" s="68"/>
    </row>
    <row r="1043" spans="1:17" ht="14.4" x14ac:dyDescent="0.3">
      <c r="A1043" s="25" t="s">
        <v>210</v>
      </c>
      <c r="B1043" s="25"/>
      <c r="C1043" s="16"/>
      <c r="D1043" s="24"/>
      <c r="E1043" s="24"/>
      <c r="F1043" s="24"/>
      <c r="G1043" s="24"/>
      <c r="H1043" s="24"/>
      <c r="I1043" s="24"/>
      <c r="J1043" s="24"/>
      <c r="K1043" s="24"/>
      <c r="L1043" s="24"/>
      <c r="M1043" s="24"/>
      <c r="N1043" s="24"/>
      <c r="O1043" s="24"/>
      <c r="P1043" s="24"/>
      <c r="Q1043" s="68"/>
    </row>
    <row r="1044" spans="1:17" ht="14.4" x14ac:dyDescent="0.3">
      <c r="A1044" s="25" t="s">
        <v>204</v>
      </c>
      <c r="B1044" s="25"/>
      <c r="C1044" s="16"/>
      <c r="D1044" s="69">
        <f>D1032+49.39</f>
        <v>68.960000000000008</v>
      </c>
      <c r="E1044" s="69"/>
      <c r="F1044" s="69"/>
      <c r="G1044" s="69"/>
      <c r="H1044" s="69"/>
      <c r="I1044" s="69"/>
      <c r="J1044" s="69"/>
      <c r="K1044" s="69"/>
      <c r="L1044" s="69"/>
      <c r="M1044" s="69"/>
      <c r="N1044" s="69"/>
      <c r="O1044" s="69"/>
      <c r="P1044" s="69"/>
      <c r="Q1044" s="68"/>
    </row>
    <row r="1045" spans="1:17" ht="14.4" x14ac:dyDescent="0.3">
      <c r="A1045" s="25" t="s">
        <v>205</v>
      </c>
      <c r="B1045" s="25"/>
      <c r="C1045" s="16" t="s">
        <v>32</v>
      </c>
      <c r="D1045" s="69">
        <f>D1033+49.39</f>
        <v>484.09</v>
      </c>
      <c r="E1045" s="69"/>
      <c r="F1045" s="69"/>
      <c r="G1045" s="69"/>
      <c r="H1045" s="69"/>
      <c r="I1045" s="69"/>
      <c r="J1045" s="69"/>
      <c r="K1045" s="69"/>
      <c r="L1045" s="69"/>
      <c r="M1045" s="69"/>
      <c r="N1045" s="69"/>
      <c r="O1045" s="69"/>
      <c r="P1045" s="69"/>
      <c r="Q1045" s="68"/>
    </row>
    <row r="1046" spans="1:17" ht="14.4" x14ac:dyDescent="0.3">
      <c r="A1046" s="25" t="s">
        <v>206</v>
      </c>
      <c r="B1046" s="25"/>
      <c r="C1046" s="16" t="s">
        <v>32</v>
      </c>
      <c r="D1046" s="69">
        <f>D1034+49.39</f>
        <v>1038.3900000000001</v>
      </c>
      <c r="E1046" s="69"/>
      <c r="F1046" s="69"/>
      <c r="G1046" s="69"/>
      <c r="H1046" s="69"/>
      <c r="I1046" s="69"/>
      <c r="J1046" s="69"/>
      <c r="K1046" s="69"/>
      <c r="L1046" s="69"/>
      <c r="M1046" s="69"/>
      <c r="N1046" s="69"/>
      <c r="O1046" s="69"/>
      <c r="P1046" s="69"/>
      <c r="Q1046" s="68"/>
    </row>
    <row r="1047" spans="1:17" ht="14.4" x14ac:dyDescent="0.3">
      <c r="A1047" s="25" t="s">
        <v>207</v>
      </c>
      <c r="B1047" s="25"/>
      <c r="C1047" s="16" t="s">
        <v>32</v>
      </c>
      <c r="D1047" s="69">
        <f>D1035+49.39</f>
        <v>4151.3900000000003</v>
      </c>
      <c r="E1047" s="69"/>
      <c r="F1047" s="69"/>
      <c r="G1047" s="69"/>
      <c r="H1047" s="69"/>
      <c r="I1047" s="69"/>
      <c r="J1047" s="69"/>
      <c r="K1047" s="69"/>
      <c r="L1047" s="69"/>
      <c r="M1047" s="69"/>
      <c r="N1047" s="69"/>
      <c r="O1047" s="69"/>
      <c r="P1047" s="69"/>
      <c r="Q1047" s="68"/>
    </row>
    <row r="1048" spans="1:17" ht="14.4" x14ac:dyDescent="0.3">
      <c r="A1048" s="25" t="s">
        <v>208</v>
      </c>
      <c r="B1048" s="25"/>
      <c r="C1048" s="16" t="s">
        <v>32</v>
      </c>
      <c r="D1048" s="69">
        <f>D1036+49.39</f>
        <v>14941.39</v>
      </c>
      <c r="E1048" s="69"/>
      <c r="F1048" s="69"/>
      <c r="G1048" s="69"/>
      <c r="H1048" s="69"/>
      <c r="I1048" s="69"/>
      <c r="J1048" s="69"/>
      <c r="K1048" s="69"/>
      <c r="L1048" s="69"/>
      <c r="M1048" s="69"/>
      <c r="N1048" s="69"/>
      <c r="O1048" s="69"/>
      <c r="P1048" s="69"/>
      <c r="Q1048" s="68"/>
    </row>
    <row r="1049" spans="1:17" ht="14.4" x14ac:dyDescent="0.3">
      <c r="A1049" s="11" t="s">
        <v>3</v>
      </c>
      <c r="B1049" s="11"/>
      <c r="C1049" s="11" t="s">
        <v>4</v>
      </c>
      <c r="D1049" s="12" t="str">
        <f>D997</f>
        <v>JAN</v>
      </c>
      <c r="E1049" s="12" t="str">
        <f t="shared" ref="E1049:O1049" si="69">E997</f>
        <v>FEB</v>
      </c>
      <c r="F1049" s="12" t="str">
        <f t="shared" si="69"/>
        <v>MAR</v>
      </c>
      <c r="G1049" s="12" t="str">
        <f t="shared" si="69"/>
        <v>APR</v>
      </c>
      <c r="H1049" s="12" t="str">
        <f t="shared" si="69"/>
        <v>MAY</v>
      </c>
      <c r="I1049" s="12" t="str">
        <f t="shared" si="69"/>
        <v>JUN</v>
      </c>
      <c r="J1049" s="12" t="str">
        <f t="shared" si="69"/>
        <v>JUL</v>
      </c>
      <c r="K1049" s="12" t="str">
        <f t="shared" si="69"/>
        <v>AUG</v>
      </c>
      <c r="L1049" s="12" t="str">
        <f t="shared" si="69"/>
        <v>SEP</v>
      </c>
      <c r="M1049" s="12" t="str">
        <f t="shared" si="69"/>
        <v>OCT</v>
      </c>
      <c r="N1049" s="12" t="str">
        <f t="shared" si="69"/>
        <v>NOV</v>
      </c>
      <c r="O1049" s="12" t="str">
        <f t="shared" si="69"/>
        <v>DEC</v>
      </c>
      <c r="P1049" s="181"/>
      <c r="Q1049" s="68"/>
    </row>
    <row r="1050" spans="1:17" ht="14.4" x14ac:dyDescent="0.3">
      <c r="A1050" s="61" t="s">
        <v>96</v>
      </c>
      <c r="B1050" s="62"/>
      <c r="C1050" s="63"/>
      <c r="D1050" s="12"/>
      <c r="E1050" s="12"/>
      <c r="F1050" s="12"/>
      <c r="G1050" s="12"/>
      <c r="H1050" s="12"/>
      <c r="I1050" s="12"/>
      <c r="J1050" s="12"/>
      <c r="K1050" s="12"/>
      <c r="L1050" s="12"/>
      <c r="M1050" s="12"/>
      <c r="N1050" s="12"/>
      <c r="O1050" s="12"/>
      <c r="P1050" s="12"/>
      <c r="Q1050" s="68"/>
    </row>
    <row r="1051" spans="1:17" ht="14.4" x14ac:dyDescent="0.3">
      <c r="A1051" s="25" t="s">
        <v>68</v>
      </c>
      <c r="B1051" s="25"/>
      <c r="C1051" s="16"/>
      <c r="D1051" s="24"/>
      <c r="E1051" s="24"/>
      <c r="F1051" s="24"/>
      <c r="G1051" s="24"/>
      <c r="H1051" s="24"/>
      <c r="I1051" s="24"/>
      <c r="J1051" s="24"/>
      <c r="K1051" s="24"/>
      <c r="L1051" s="24"/>
      <c r="M1051" s="24"/>
      <c r="N1051" s="24"/>
      <c r="O1051" s="24"/>
      <c r="P1051" s="24"/>
      <c r="Q1051" s="68"/>
    </row>
    <row r="1052" spans="1:17" ht="14.4" x14ac:dyDescent="0.3">
      <c r="A1052" s="25" t="s">
        <v>204</v>
      </c>
      <c r="B1052" s="25"/>
      <c r="C1052" s="16" t="s">
        <v>32</v>
      </c>
      <c r="D1052" s="69">
        <v>5</v>
      </c>
      <c r="E1052" s="69">
        <v>5</v>
      </c>
      <c r="F1052" s="69">
        <v>5</v>
      </c>
      <c r="G1052" s="69">
        <v>5</v>
      </c>
      <c r="H1052" s="69">
        <v>5</v>
      </c>
      <c r="I1052" s="69">
        <v>5</v>
      </c>
      <c r="J1052" s="69">
        <v>5</v>
      </c>
      <c r="K1052" s="69">
        <v>5</v>
      </c>
      <c r="L1052" s="69">
        <v>5</v>
      </c>
      <c r="M1052" s="69">
        <v>5</v>
      </c>
      <c r="N1052" s="69">
        <v>5</v>
      </c>
      <c r="O1052" s="69">
        <v>5</v>
      </c>
      <c r="P1052" s="69">
        <v>5</v>
      </c>
      <c r="Q1052" s="68"/>
    </row>
    <row r="1053" spans="1:17" ht="14.4" x14ac:dyDescent="0.3">
      <c r="A1053" s="25" t="s">
        <v>205</v>
      </c>
      <c r="B1053" s="25"/>
      <c r="C1053" s="16" t="s">
        <v>32</v>
      </c>
      <c r="D1053" s="69">
        <v>424</v>
      </c>
      <c r="E1053" s="69">
        <v>424</v>
      </c>
      <c r="F1053" s="69">
        <v>424</v>
      </c>
      <c r="G1053" s="69">
        <v>424</v>
      </c>
      <c r="H1053" s="69">
        <v>424</v>
      </c>
      <c r="I1053" s="69">
        <v>424</v>
      </c>
      <c r="J1053" s="69">
        <v>430.62</v>
      </c>
      <c r="K1053" s="69">
        <v>430.62</v>
      </c>
      <c r="L1053" s="69">
        <v>430.62</v>
      </c>
      <c r="M1053" s="69">
        <v>430.62</v>
      </c>
      <c r="N1053" s="69">
        <v>430.62</v>
      </c>
      <c r="O1053" s="69">
        <v>430.62</v>
      </c>
      <c r="P1053" s="69">
        <v>430.62</v>
      </c>
      <c r="Q1053" s="68"/>
    </row>
    <row r="1054" spans="1:17" ht="14.4" x14ac:dyDescent="0.3">
      <c r="A1054" s="25" t="s">
        <v>206</v>
      </c>
      <c r="B1054" s="25"/>
      <c r="C1054" s="16" t="s">
        <v>32</v>
      </c>
      <c r="D1054" s="69">
        <v>994</v>
      </c>
      <c r="E1054" s="69">
        <v>994</v>
      </c>
      <c r="F1054" s="69">
        <v>994</v>
      </c>
      <c r="G1054" s="69">
        <v>994</v>
      </c>
      <c r="H1054" s="69">
        <v>994</v>
      </c>
      <c r="I1054" s="69">
        <v>994</v>
      </c>
      <c r="J1054" s="69">
        <v>1009.53</v>
      </c>
      <c r="K1054" s="69">
        <v>1009.53</v>
      </c>
      <c r="L1054" s="69">
        <v>1009.53</v>
      </c>
      <c r="M1054" s="69">
        <v>1009.53</v>
      </c>
      <c r="N1054" s="69">
        <v>1009.53</v>
      </c>
      <c r="O1054" s="69">
        <v>1009.53</v>
      </c>
      <c r="P1054" s="69">
        <v>1009.53</v>
      </c>
      <c r="Q1054" s="68"/>
    </row>
    <row r="1055" spans="1:17" ht="14.4" x14ac:dyDescent="0.3">
      <c r="A1055" s="25" t="s">
        <v>207</v>
      </c>
      <c r="B1055" s="25"/>
      <c r="C1055" s="16" t="s">
        <v>32</v>
      </c>
      <c r="D1055" s="69">
        <v>4125</v>
      </c>
      <c r="E1055" s="69">
        <v>4125</v>
      </c>
      <c r="F1055" s="69">
        <v>4125</v>
      </c>
      <c r="G1055" s="69">
        <v>4125</v>
      </c>
      <c r="H1055" s="69">
        <v>4125</v>
      </c>
      <c r="I1055" s="69">
        <v>4125</v>
      </c>
      <c r="J1055" s="69">
        <v>4189.45</v>
      </c>
      <c r="K1055" s="69">
        <v>4189.45</v>
      </c>
      <c r="L1055" s="69">
        <v>4189.45</v>
      </c>
      <c r="M1055" s="69">
        <v>4189.45</v>
      </c>
      <c r="N1055" s="69">
        <v>4189.45</v>
      </c>
      <c r="O1055" s="69">
        <v>4189.45</v>
      </c>
      <c r="P1055" s="69">
        <v>4189.45</v>
      </c>
      <c r="Q1055" s="68"/>
    </row>
    <row r="1056" spans="1:17" ht="14.4" x14ac:dyDescent="0.3">
      <c r="A1056" s="25" t="s">
        <v>208</v>
      </c>
      <c r="B1056" s="25"/>
      <c r="C1056" s="16" t="s">
        <v>32</v>
      </c>
      <c r="D1056" s="69">
        <v>14130</v>
      </c>
      <c r="E1056" s="69">
        <v>14130</v>
      </c>
      <c r="F1056" s="69">
        <v>14130</v>
      </c>
      <c r="G1056" s="69">
        <v>14130</v>
      </c>
      <c r="H1056" s="69">
        <v>14130</v>
      </c>
      <c r="I1056" s="69">
        <v>14130</v>
      </c>
      <c r="J1056" s="69">
        <v>14350.77</v>
      </c>
      <c r="K1056" s="69">
        <v>14350.77</v>
      </c>
      <c r="L1056" s="69">
        <v>14350.77</v>
      </c>
      <c r="M1056" s="69">
        <v>14350.77</v>
      </c>
      <c r="N1056" s="69">
        <v>14350.77</v>
      </c>
      <c r="O1056" s="69">
        <v>14350.77</v>
      </c>
      <c r="P1056" s="69">
        <v>14350.77</v>
      </c>
      <c r="Q1056" s="68"/>
    </row>
    <row r="1057" spans="1:17" ht="14.4" x14ac:dyDescent="0.3">
      <c r="A1057" s="25" t="s">
        <v>209</v>
      </c>
      <c r="B1057" s="25"/>
      <c r="C1057" s="16"/>
      <c r="D1057" s="24"/>
      <c r="E1057" s="24"/>
      <c r="F1057" s="24"/>
      <c r="G1057" s="24"/>
      <c r="H1057" s="24"/>
      <c r="I1057" s="24"/>
      <c r="J1057" s="24"/>
      <c r="K1057" s="24"/>
      <c r="L1057" s="24"/>
      <c r="M1057" s="24"/>
      <c r="N1057" s="24"/>
      <c r="O1057" s="24"/>
      <c r="P1057" s="24"/>
      <c r="Q1057" s="68"/>
    </row>
    <row r="1058" spans="1:17" ht="14.4" x14ac:dyDescent="0.3">
      <c r="A1058" s="25" t="s">
        <v>204</v>
      </c>
      <c r="B1058" s="25"/>
      <c r="C1058" s="16"/>
      <c r="D1058" s="69">
        <f>D1052*110%</f>
        <v>5.5</v>
      </c>
      <c r="E1058" s="69">
        <f t="shared" ref="E1058:P1062" si="70">E1052*110%</f>
        <v>5.5</v>
      </c>
      <c r="F1058" s="69">
        <f t="shared" si="70"/>
        <v>5.5</v>
      </c>
      <c r="G1058" s="69">
        <f t="shared" si="70"/>
        <v>5.5</v>
      </c>
      <c r="H1058" s="69">
        <f t="shared" si="70"/>
        <v>5.5</v>
      </c>
      <c r="I1058" s="69">
        <f t="shared" si="70"/>
        <v>5.5</v>
      </c>
      <c r="J1058" s="69">
        <f t="shared" si="70"/>
        <v>5.5</v>
      </c>
      <c r="K1058" s="69">
        <f t="shared" si="70"/>
        <v>5.5</v>
      </c>
      <c r="L1058" s="69">
        <f t="shared" si="70"/>
        <v>5.5</v>
      </c>
      <c r="M1058" s="69">
        <f t="shared" si="70"/>
        <v>5.5</v>
      </c>
      <c r="N1058" s="69">
        <f t="shared" si="70"/>
        <v>5.5</v>
      </c>
      <c r="O1058" s="69">
        <f t="shared" si="70"/>
        <v>5.5</v>
      </c>
      <c r="P1058" s="69">
        <f t="shared" si="70"/>
        <v>5.5</v>
      </c>
      <c r="Q1058" s="68"/>
    </row>
    <row r="1059" spans="1:17" ht="14.4" x14ac:dyDescent="0.3">
      <c r="A1059" s="25" t="s">
        <v>205</v>
      </c>
      <c r="B1059" s="25"/>
      <c r="C1059" s="16" t="s">
        <v>32</v>
      </c>
      <c r="D1059" s="69">
        <f>D1053*110%</f>
        <v>466.40000000000003</v>
      </c>
      <c r="E1059" s="69">
        <f t="shared" si="70"/>
        <v>466.40000000000003</v>
      </c>
      <c r="F1059" s="69">
        <f t="shared" si="70"/>
        <v>466.40000000000003</v>
      </c>
      <c r="G1059" s="69">
        <f t="shared" si="70"/>
        <v>466.40000000000003</v>
      </c>
      <c r="H1059" s="69">
        <f t="shared" si="70"/>
        <v>466.40000000000003</v>
      </c>
      <c r="I1059" s="69">
        <f t="shared" si="70"/>
        <v>466.40000000000003</v>
      </c>
      <c r="J1059" s="69">
        <f t="shared" si="70"/>
        <v>473.68200000000002</v>
      </c>
      <c r="K1059" s="69">
        <f t="shared" si="70"/>
        <v>473.68200000000002</v>
      </c>
      <c r="L1059" s="69">
        <f t="shared" si="70"/>
        <v>473.68200000000002</v>
      </c>
      <c r="M1059" s="69">
        <f t="shared" si="70"/>
        <v>473.68200000000002</v>
      </c>
      <c r="N1059" s="69">
        <f t="shared" si="70"/>
        <v>473.68200000000002</v>
      </c>
      <c r="O1059" s="69">
        <f t="shared" si="70"/>
        <v>473.68200000000002</v>
      </c>
      <c r="P1059" s="69">
        <f t="shared" si="70"/>
        <v>473.68200000000002</v>
      </c>
      <c r="Q1059" s="68"/>
    </row>
    <row r="1060" spans="1:17" ht="14.4" x14ac:dyDescent="0.3">
      <c r="A1060" s="25" t="s">
        <v>206</v>
      </c>
      <c r="B1060" s="25"/>
      <c r="C1060" s="16" t="s">
        <v>32</v>
      </c>
      <c r="D1060" s="69">
        <f>D1054*110%</f>
        <v>1093.4000000000001</v>
      </c>
      <c r="E1060" s="69">
        <f t="shared" si="70"/>
        <v>1093.4000000000001</v>
      </c>
      <c r="F1060" s="69">
        <f t="shared" si="70"/>
        <v>1093.4000000000001</v>
      </c>
      <c r="G1060" s="69">
        <f t="shared" si="70"/>
        <v>1093.4000000000001</v>
      </c>
      <c r="H1060" s="69">
        <f t="shared" si="70"/>
        <v>1093.4000000000001</v>
      </c>
      <c r="I1060" s="69">
        <f t="shared" si="70"/>
        <v>1093.4000000000001</v>
      </c>
      <c r="J1060" s="69">
        <f t="shared" si="70"/>
        <v>1110.4829999999999</v>
      </c>
      <c r="K1060" s="69">
        <f t="shared" si="70"/>
        <v>1110.4829999999999</v>
      </c>
      <c r="L1060" s="69">
        <f t="shared" si="70"/>
        <v>1110.4829999999999</v>
      </c>
      <c r="M1060" s="69">
        <f t="shared" si="70"/>
        <v>1110.4829999999999</v>
      </c>
      <c r="N1060" s="69">
        <f t="shared" si="70"/>
        <v>1110.4829999999999</v>
      </c>
      <c r="O1060" s="69">
        <f t="shared" si="70"/>
        <v>1110.4829999999999</v>
      </c>
      <c r="P1060" s="69">
        <f t="shared" si="70"/>
        <v>1110.4829999999999</v>
      </c>
      <c r="Q1060" s="68"/>
    </row>
    <row r="1061" spans="1:17" ht="14.4" x14ac:dyDescent="0.3">
      <c r="A1061" s="25" t="s">
        <v>207</v>
      </c>
      <c r="B1061" s="25"/>
      <c r="C1061" s="16" t="s">
        <v>32</v>
      </c>
      <c r="D1061" s="69">
        <f>D1055*110%</f>
        <v>4537.5</v>
      </c>
      <c r="E1061" s="69">
        <f t="shared" si="70"/>
        <v>4537.5</v>
      </c>
      <c r="F1061" s="69">
        <f t="shared" si="70"/>
        <v>4537.5</v>
      </c>
      <c r="G1061" s="69">
        <f t="shared" si="70"/>
        <v>4537.5</v>
      </c>
      <c r="H1061" s="69">
        <f t="shared" si="70"/>
        <v>4537.5</v>
      </c>
      <c r="I1061" s="69">
        <f t="shared" si="70"/>
        <v>4537.5</v>
      </c>
      <c r="J1061" s="69">
        <f t="shared" si="70"/>
        <v>4608.3950000000004</v>
      </c>
      <c r="K1061" s="69">
        <f t="shared" si="70"/>
        <v>4608.3950000000004</v>
      </c>
      <c r="L1061" s="69">
        <f t="shared" si="70"/>
        <v>4608.3950000000004</v>
      </c>
      <c r="M1061" s="69">
        <f t="shared" si="70"/>
        <v>4608.3950000000004</v>
      </c>
      <c r="N1061" s="69">
        <f t="shared" si="70"/>
        <v>4608.3950000000004</v>
      </c>
      <c r="O1061" s="69">
        <f t="shared" si="70"/>
        <v>4608.3950000000004</v>
      </c>
      <c r="P1061" s="69">
        <f t="shared" si="70"/>
        <v>4608.3950000000004</v>
      </c>
      <c r="Q1061" s="68"/>
    </row>
    <row r="1062" spans="1:17" ht="14.4" x14ac:dyDescent="0.3">
      <c r="A1062" s="25" t="s">
        <v>208</v>
      </c>
      <c r="B1062" s="25"/>
      <c r="C1062" s="16" t="s">
        <v>32</v>
      </c>
      <c r="D1062" s="69">
        <f>D1056*110%</f>
        <v>15543.000000000002</v>
      </c>
      <c r="E1062" s="69">
        <f t="shared" si="70"/>
        <v>15543.000000000002</v>
      </c>
      <c r="F1062" s="69">
        <f t="shared" si="70"/>
        <v>15543.000000000002</v>
      </c>
      <c r="G1062" s="69">
        <f t="shared" si="70"/>
        <v>15543.000000000002</v>
      </c>
      <c r="H1062" s="69">
        <f t="shared" si="70"/>
        <v>15543.000000000002</v>
      </c>
      <c r="I1062" s="69">
        <f t="shared" si="70"/>
        <v>15543.000000000002</v>
      </c>
      <c r="J1062" s="69">
        <f t="shared" si="70"/>
        <v>15785.847000000002</v>
      </c>
      <c r="K1062" s="69">
        <f t="shared" si="70"/>
        <v>15785.847000000002</v>
      </c>
      <c r="L1062" s="69">
        <f t="shared" si="70"/>
        <v>15785.847000000002</v>
      </c>
      <c r="M1062" s="69">
        <f t="shared" si="70"/>
        <v>15785.847000000002</v>
      </c>
      <c r="N1062" s="69">
        <f t="shared" si="70"/>
        <v>15785.847000000002</v>
      </c>
      <c r="O1062" s="69">
        <f t="shared" si="70"/>
        <v>15785.847000000002</v>
      </c>
      <c r="P1062" s="69">
        <f t="shared" si="70"/>
        <v>15785.847000000002</v>
      </c>
      <c r="Q1062" s="68"/>
    </row>
    <row r="1063" spans="1:17" ht="14.4" x14ac:dyDescent="0.3">
      <c r="A1063" s="25" t="s">
        <v>210</v>
      </c>
      <c r="B1063" s="25"/>
      <c r="C1063" s="16"/>
      <c r="D1063" s="24"/>
      <c r="E1063" s="24"/>
      <c r="F1063" s="24"/>
      <c r="G1063" s="24"/>
      <c r="H1063" s="24"/>
      <c r="I1063" s="24"/>
      <c r="J1063" s="24"/>
      <c r="K1063" s="24"/>
      <c r="L1063" s="24"/>
      <c r="M1063" s="24"/>
      <c r="N1063" s="24"/>
      <c r="O1063" s="24"/>
      <c r="P1063" s="24"/>
      <c r="Q1063" s="68"/>
    </row>
    <row r="1064" spans="1:17" ht="14.4" x14ac:dyDescent="0.3">
      <c r="A1064" s="25" t="s">
        <v>206</v>
      </c>
      <c r="B1064" s="25"/>
      <c r="C1064" s="16" t="s">
        <v>32</v>
      </c>
      <c r="D1064" s="69">
        <f>D1054+1620.67</f>
        <v>2614.67</v>
      </c>
      <c r="E1064" s="69"/>
      <c r="F1064" s="69"/>
      <c r="G1064" s="69"/>
      <c r="H1064" s="69"/>
      <c r="I1064" s="69"/>
      <c r="J1064" s="69"/>
      <c r="K1064" s="69"/>
      <c r="L1064" s="69"/>
      <c r="M1064" s="69"/>
      <c r="N1064" s="69"/>
      <c r="O1064" s="69"/>
      <c r="P1064" s="69"/>
      <c r="Q1064" s="68"/>
    </row>
    <row r="1065" spans="1:17" ht="14.4" x14ac:dyDescent="0.3">
      <c r="A1065" s="25" t="s">
        <v>207</v>
      </c>
      <c r="B1065" s="25"/>
      <c r="C1065" s="16" t="s">
        <v>32</v>
      </c>
      <c r="D1065" s="69">
        <f>D1055+1620.67</f>
        <v>5745.67</v>
      </c>
      <c r="E1065" s="69"/>
      <c r="F1065" s="69"/>
      <c r="G1065" s="69"/>
      <c r="H1065" s="69"/>
      <c r="I1065" s="69"/>
      <c r="J1065" s="69"/>
      <c r="K1065" s="69"/>
      <c r="L1065" s="69"/>
      <c r="M1065" s="69"/>
      <c r="N1065" s="69"/>
      <c r="O1065" s="69"/>
      <c r="P1065" s="69"/>
      <c r="Q1065" s="68"/>
    </row>
    <row r="1066" spans="1:17" ht="14.4" x14ac:dyDescent="0.3">
      <c r="A1066" s="25" t="s">
        <v>208</v>
      </c>
      <c r="B1066" s="25"/>
      <c r="C1066" s="16" t="s">
        <v>32</v>
      </c>
      <c r="D1066" s="69">
        <f>D1056+1620.67</f>
        <v>15750.67</v>
      </c>
      <c r="E1066" s="69"/>
      <c r="F1066" s="69"/>
      <c r="G1066" s="69"/>
      <c r="H1066" s="69"/>
      <c r="I1066" s="69"/>
      <c r="J1066" s="69"/>
      <c r="K1066" s="69"/>
      <c r="L1066" s="69"/>
      <c r="M1066" s="69"/>
      <c r="N1066" s="69"/>
      <c r="O1066" s="69"/>
      <c r="P1066" s="69"/>
      <c r="Q1066" s="68"/>
    </row>
    <row r="1067" spans="1:17" ht="14.4" x14ac:dyDescent="0.3">
      <c r="A1067" s="25"/>
      <c r="B1067" s="25"/>
      <c r="C1067" s="16"/>
      <c r="D1067" s="24"/>
      <c r="E1067" s="24"/>
      <c r="F1067" s="24"/>
      <c r="G1067" s="24"/>
      <c r="H1067" s="24"/>
      <c r="I1067" s="24"/>
      <c r="J1067" s="24"/>
      <c r="K1067" s="24"/>
      <c r="L1067" s="24"/>
      <c r="M1067" s="24"/>
      <c r="N1067" s="24"/>
      <c r="O1067" s="24"/>
      <c r="P1067" s="24"/>
      <c r="Q1067" s="68"/>
    </row>
    <row r="1068" spans="1:17" ht="14.4" x14ac:dyDescent="0.3">
      <c r="A1068" s="61" t="s">
        <v>97</v>
      </c>
      <c r="B1068" s="62"/>
      <c r="C1068" s="63"/>
      <c r="D1068" s="62"/>
      <c r="E1068" s="62"/>
      <c r="F1068" s="62"/>
      <c r="G1068" s="62"/>
      <c r="H1068" s="62"/>
      <c r="I1068" s="62"/>
      <c r="J1068" s="62"/>
      <c r="K1068" s="62"/>
      <c r="L1068" s="62"/>
      <c r="M1068" s="62"/>
      <c r="N1068" s="62"/>
      <c r="O1068" s="62"/>
      <c r="P1068" s="62"/>
      <c r="Q1068" s="68"/>
    </row>
    <row r="1069" spans="1:17" ht="14.4" x14ac:dyDescent="0.3">
      <c r="A1069" s="25" t="s">
        <v>98</v>
      </c>
      <c r="B1069" s="25"/>
      <c r="C1069" s="16" t="s">
        <v>44</v>
      </c>
      <c r="D1069" s="70">
        <v>1</v>
      </c>
      <c r="E1069" s="70">
        <v>1</v>
      </c>
      <c r="F1069" s="70">
        <v>1</v>
      </c>
      <c r="G1069" s="70">
        <v>1</v>
      </c>
      <c r="H1069" s="70">
        <v>1</v>
      </c>
      <c r="I1069" s="70">
        <v>1</v>
      </c>
      <c r="J1069" s="70">
        <v>1</v>
      </c>
      <c r="K1069" s="70">
        <v>1</v>
      </c>
      <c r="L1069" s="70">
        <v>1</v>
      </c>
      <c r="M1069" s="70">
        <v>1</v>
      </c>
      <c r="N1069" s="70">
        <v>1</v>
      </c>
      <c r="O1069" s="70">
        <v>1</v>
      </c>
      <c r="P1069" s="70">
        <v>1</v>
      </c>
      <c r="Q1069" s="68"/>
    </row>
    <row r="1070" spans="1:17" ht="14.4" x14ac:dyDescent="0.3">
      <c r="A1070" s="25" t="s">
        <v>99</v>
      </c>
      <c r="B1070" s="25"/>
      <c r="C1070" s="16" t="s">
        <v>44</v>
      </c>
      <c r="D1070" s="70">
        <v>0.5</v>
      </c>
      <c r="E1070" s="70">
        <v>0.5</v>
      </c>
      <c r="F1070" s="70">
        <v>0.5</v>
      </c>
      <c r="G1070" s="70">
        <v>0.5</v>
      </c>
      <c r="H1070" s="70">
        <v>0.5</v>
      </c>
      <c r="I1070" s="70">
        <v>0.5</v>
      </c>
      <c r="J1070" s="70">
        <v>0.5</v>
      </c>
      <c r="K1070" s="70">
        <v>0.5</v>
      </c>
      <c r="L1070" s="70">
        <v>0.5</v>
      </c>
      <c r="M1070" s="70">
        <v>0.5</v>
      </c>
      <c r="N1070" s="70">
        <v>0.5</v>
      </c>
      <c r="O1070" s="70">
        <v>0.5</v>
      </c>
      <c r="P1070" s="70">
        <v>0.5</v>
      </c>
      <c r="Q1070" s="68"/>
    </row>
    <row r="1071" spans="1:17" ht="14.4" x14ac:dyDescent="0.3">
      <c r="A1071" s="25" t="s">
        <v>100</v>
      </c>
      <c r="B1071" s="25"/>
      <c r="C1071" s="16" t="s">
        <v>44</v>
      </c>
      <c r="D1071" s="70">
        <v>0.35</v>
      </c>
      <c r="E1071" s="70">
        <v>0.35</v>
      </c>
      <c r="F1071" s="70">
        <v>0.35</v>
      </c>
      <c r="G1071" s="70">
        <v>0.35</v>
      </c>
      <c r="H1071" s="70">
        <v>0.35</v>
      </c>
      <c r="I1071" s="70">
        <v>0.35</v>
      </c>
      <c r="J1071" s="70">
        <v>0.35</v>
      </c>
      <c r="K1071" s="70">
        <v>0.35</v>
      </c>
      <c r="L1071" s="70">
        <v>0.35</v>
      </c>
      <c r="M1071" s="70">
        <v>0.35</v>
      </c>
      <c r="N1071" s="70">
        <v>0.35</v>
      </c>
      <c r="O1071" s="70">
        <v>0.35</v>
      </c>
      <c r="P1071" s="70">
        <v>0.35</v>
      </c>
      <c r="Q1071" s="68"/>
    </row>
    <row r="1072" spans="1:17" ht="14.4" x14ac:dyDescent="0.3">
      <c r="A1072" s="25" t="s">
        <v>101</v>
      </c>
      <c r="B1072" s="25"/>
      <c r="C1072" s="16" t="s">
        <v>44</v>
      </c>
      <c r="D1072" s="70">
        <v>0.2</v>
      </c>
      <c r="E1072" s="70">
        <v>0.2</v>
      </c>
      <c r="F1072" s="70">
        <v>0.2</v>
      </c>
      <c r="G1072" s="70">
        <v>0.2</v>
      </c>
      <c r="H1072" s="70">
        <v>0.2</v>
      </c>
      <c r="I1072" s="70">
        <v>0.2</v>
      </c>
      <c r="J1072" s="70">
        <v>0.2</v>
      </c>
      <c r="K1072" s="70">
        <v>0.2</v>
      </c>
      <c r="L1072" s="70">
        <v>0.2</v>
      </c>
      <c r="M1072" s="70">
        <v>0.2</v>
      </c>
      <c r="N1072" s="70">
        <v>0.2</v>
      </c>
      <c r="O1072" s="70">
        <v>0.2</v>
      </c>
      <c r="P1072" s="70">
        <v>0.2</v>
      </c>
      <c r="Q1072" s="68"/>
    </row>
    <row r="1073" spans="1:17" x14ac:dyDescent="0.3">
      <c r="A1073" s="62"/>
      <c r="B1073" s="62"/>
      <c r="C1073" s="63"/>
      <c r="D1073" s="62"/>
      <c r="E1073" s="62"/>
      <c r="F1073" s="62"/>
      <c r="G1073" s="62"/>
      <c r="H1073" s="62"/>
      <c r="I1073" s="62"/>
      <c r="J1073" s="62"/>
      <c r="K1073" s="62"/>
      <c r="L1073" s="62"/>
      <c r="M1073" s="62"/>
      <c r="N1073" s="62"/>
      <c r="O1073" s="62"/>
      <c r="P1073" s="62"/>
      <c r="Q1073" s="68"/>
    </row>
    <row r="1074" spans="1:17" ht="14.4" x14ac:dyDescent="0.3">
      <c r="A1074" s="61" t="s">
        <v>102</v>
      </c>
      <c r="B1074" s="62"/>
      <c r="C1074" s="63"/>
      <c r="D1074" s="62"/>
      <c r="E1074" s="62"/>
      <c r="F1074" s="62"/>
      <c r="G1074" s="62"/>
      <c r="H1074" s="62"/>
      <c r="I1074" s="62"/>
      <c r="J1074" s="62"/>
      <c r="K1074" s="62"/>
      <c r="L1074" s="62"/>
      <c r="M1074" s="62"/>
      <c r="N1074" s="62"/>
      <c r="O1074" s="62"/>
      <c r="P1074" s="62"/>
      <c r="Q1074" s="68"/>
    </row>
    <row r="1075" spans="1:17" ht="14.4" x14ac:dyDescent="0.3">
      <c r="A1075" s="25" t="s">
        <v>103</v>
      </c>
      <c r="B1075" s="25" t="s">
        <v>104</v>
      </c>
      <c r="C1075" s="16" t="s">
        <v>19</v>
      </c>
      <c r="D1075" s="20" t="s">
        <v>104</v>
      </c>
      <c r="E1075" s="20" t="s">
        <v>104</v>
      </c>
      <c r="F1075" s="20" t="s">
        <v>104</v>
      </c>
      <c r="G1075" s="20" t="s">
        <v>104</v>
      </c>
      <c r="H1075" s="20" t="s">
        <v>104</v>
      </c>
      <c r="I1075" s="20" t="s">
        <v>104</v>
      </c>
      <c r="J1075" s="20" t="s">
        <v>104</v>
      </c>
      <c r="K1075" s="20" t="s">
        <v>104</v>
      </c>
      <c r="L1075" s="20" t="s">
        <v>104</v>
      </c>
      <c r="M1075" s="20" t="s">
        <v>104</v>
      </c>
      <c r="N1075" s="20" t="s">
        <v>104</v>
      </c>
      <c r="O1075" s="20" t="s">
        <v>104</v>
      </c>
      <c r="P1075" s="20" t="s">
        <v>104</v>
      </c>
      <c r="Q1075" s="68"/>
    </row>
    <row r="1076" spans="1:17" ht="14.4" x14ac:dyDescent="0.3">
      <c r="A1076" s="25" t="s">
        <v>105</v>
      </c>
      <c r="B1076" s="25" t="s">
        <v>106</v>
      </c>
      <c r="C1076" s="16" t="s">
        <v>19</v>
      </c>
      <c r="D1076" s="20">
        <v>0.1</v>
      </c>
      <c r="E1076" s="20">
        <v>0.1</v>
      </c>
      <c r="F1076" s="20">
        <v>0.1</v>
      </c>
      <c r="G1076" s="20">
        <v>0.1</v>
      </c>
      <c r="H1076" s="20">
        <v>0.1</v>
      </c>
      <c r="I1076" s="20">
        <v>0.1</v>
      </c>
      <c r="J1076" s="20">
        <v>0.1</v>
      </c>
      <c r="K1076" s="20">
        <v>0.1</v>
      </c>
      <c r="L1076" s="20">
        <v>0.1</v>
      </c>
      <c r="M1076" s="20">
        <v>0.1</v>
      </c>
      <c r="N1076" s="20">
        <v>0.1</v>
      </c>
      <c r="O1076" s="20">
        <v>0.1</v>
      </c>
      <c r="P1076" s="20">
        <v>0.1</v>
      </c>
      <c r="Q1076" s="68"/>
    </row>
    <row r="1077" spans="1:17" ht="14.4" x14ac:dyDescent="0.3">
      <c r="A1077" s="25" t="s">
        <v>107</v>
      </c>
      <c r="B1077" s="25" t="s">
        <v>108</v>
      </c>
      <c r="C1077" s="16" t="s">
        <v>19</v>
      </c>
      <c r="D1077" s="20">
        <v>0.2</v>
      </c>
      <c r="E1077" s="20">
        <v>0.2</v>
      </c>
      <c r="F1077" s="20">
        <v>0.2</v>
      </c>
      <c r="G1077" s="20">
        <v>0.2</v>
      </c>
      <c r="H1077" s="20">
        <v>0.2</v>
      </c>
      <c r="I1077" s="20">
        <v>0.2</v>
      </c>
      <c r="J1077" s="20">
        <v>0.2</v>
      </c>
      <c r="K1077" s="20">
        <v>0.2</v>
      </c>
      <c r="L1077" s="20">
        <v>0.2</v>
      </c>
      <c r="M1077" s="20">
        <v>0.2</v>
      </c>
      <c r="N1077" s="20">
        <v>0.2</v>
      </c>
      <c r="O1077" s="20">
        <v>0.2</v>
      </c>
      <c r="P1077" s="20">
        <v>0.2</v>
      </c>
      <c r="Q1077" s="68"/>
    </row>
    <row r="1078" spans="1:17" ht="14.4" x14ac:dyDescent="0.3">
      <c r="A1078" s="25" t="s">
        <v>109</v>
      </c>
      <c r="B1078" s="25" t="s">
        <v>110</v>
      </c>
      <c r="C1078" s="16" t="s">
        <v>19</v>
      </c>
      <c r="D1078" s="20">
        <v>0.35</v>
      </c>
      <c r="E1078" s="20">
        <v>0.35</v>
      </c>
      <c r="F1078" s="20">
        <v>0.35</v>
      </c>
      <c r="G1078" s="20">
        <v>0.35</v>
      </c>
      <c r="H1078" s="20">
        <v>0.35</v>
      </c>
      <c r="I1078" s="20">
        <v>0.35</v>
      </c>
      <c r="J1078" s="20">
        <v>0.35</v>
      </c>
      <c r="K1078" s="20">
        <v>0.35</v>
      </c>
      <c r="L1078" s="20">
        <v>0.35</v>
      </c>
      <c r="M1078" s="20">
        <v>0.35</v>
      </c>
      <c r="N1078" s="20">
        <v>0.35</v>
      </c>
      <c r="O1078" s="20">
        <v>0.35</v>
      </c>
      <c r="P1078" s="20">
        <v>0.35</v>
      </c>
      <c r="Q1078" s="68"/>
    </row>
    <row r="1079" spans="1:17" x14ac:dyDescent="0.3">
      <c r="A1079" s="62"/>
      <c r="B1079" s="62"/>
      <c r="C1079" s="63"/>
      <c r="D1079" s="62"/>
      <c r="E1079" s="62"/>
      <c r="F1079" s="62"/>
      <c r="G1079" s="62"/>
      <c r="H1079" s="62"/>
      <c r="I1079" s="62"/>
      <c r="J1079" s="62"/>
      <c r="K1079" s="62"/>
      <c r="L1079" s="62"/>
      <c r="M1079" s="62"/>
      <c r="N1079" s="62"/>
      <c r="O1079" s="62"/>
      <c r="P1079" s="62"/>
      <c r="Q1079" s="68"/>
    </row>
    <row r="1080" spans="1:17" ht="14.4" x14ac:dyDescent="0.3">
      <c r="A1080" s="61" t="s">
        <v>212</v>
      </c>
      <c r="B1080" s="62"/>
      <c r="C1080" s="63"/>
      <c r="D1080" s="181"/>
      <c r="E1080" s="181"/>
      <c r="F1080" s="181"/>
      <c r="G1080" s="181"/>
      <c r="H1080" s="181"/>
      <c r="I1080" s="181"/>
      <c r="J1080" s="181"/>
      <c r="K1080" s="181"/>
      <c r="L1080" s="181"/>
      <c r="M1080" s="181"/>
      <c r="N1080" s="181"/>
      <c r="O1080" s="181"/>
      <c r="P1080" s="181"/>
      <c r="Q1080" s="68"/>
    </row>
    <row r="1081" spans="1:17" ht="14.4" x14ac:dyDescent="0.3">
      <c r="A1081" s="25" t="s">
        <v>213</v>
      </c>
      <c r="B1081" s="25"/>
      <c r="C1081" s="16" t="s">
        <v>44</v>
      </c>
      <c r="D1081" s="70">
        <f>'[41]DU VAT'!D17</f>
        <v>0.10920000000000001</v>
      </c>
      <c r="E1081" s="70">
        <f>'[41]DU VAT'!E17</f>
        <v>0.1142</v>
      </c>
      <c r="F1081" s="70">
        <f>'[41]DU VAT'!F17</f>
        <v>0.1147</v>
      </c>
      <c r="G1081" s="70">
        <f>'[41]DU VAT'!G17</f>
        <v>0.1137</v>
      </c>
      <c r="H1081" s="70">
        <f>'[41]DU VAT'!H17</f>
        <v>0.1094</v>
      </c>
      <c r="I1081" s="70">
        <f>'[41]DU VAT'!I17</f>
        <v>0.1084</v>
      </c>
      <c r="J1081" s="70">
        <f>'[41]DU VAT'!J17</f>
        <v>0.1182</v>
      </c>
      <c r="K1081" s="70">
        <f>'[41]DU VAT'!K17</f>
        <v>0.1183</v>
      </c>
      <c r="L1081" s="70">
        <f>'[41]DU VAT'!L17</f>
        <v>0.10920000000000001</v>
      </c>
      <c r="M1081" s="70">
        <f>'[41]DU VAT'!M17</f>
        <v>0.11840000000000001</v>
      </c>
      <c r="N1081" s="70">
        <f>'[41]DU VAT'!N17</f>
        <v>0.10970000000000001</v>
      </c>
      <c r="O1081" s="70">
        <f>'[41]DU VAT'!O17</f>
        <v>0.10970000000000001</v>
      </c>
      <c r="P1081" s="70" t="e">
        <f>'[41]DU VAT'!P17</f>
        <v>#DIV/0!</v>
      </c>
      <c r="Q1081" s="68"/>
    </row>
    <row r="1082" spans="1:17" ht="14.4" x14ac:dyDescent="0.3">
      <c r="A1082" s="25" t="s">
        <v>193</v>
      </c>
      <c r="B1082" s="25"/>
      <c r="C1082" s="16" t="s">
        <v>44</v>
      </c>
      <c r="D1082" s="70">
        <f>'[41]DU VAT'!D18</f>
        <v>9.35E-2</v>
      </c>
      <c r="E1082" s="70"/>
      <c r="F1082" s="70"/>
      <c r="G1082" s="70"/>
      <c r="H1082" s="70"/>
      <c r="I1082" s="70"/>
      <c r="J1082" s="70"/>
      <c r="K1082" s="70"/>
      <c r="L1082" s="70"/>
      <c r="M1082" s="70"/>
      <c r="N1082" s="70"/>
      <c r="O1082" s="70"/>
      <c r="P1082" s="70"/>
      <c r="Q1082" s="68"/>
    </row>
    <row r="1083" spans="1:17" ht="14.4" x14ac:dyDescent="0.3">
      <c r="A1083" s="25" t="s">
        <v>194</v>
      </c>
      <c r="B1083" s="25"/>
      <c r="C1083" s="16" t="s">
        <v>44</v>
      </c>
      <c r="D1083" s="70">
        <v>0.1164</v>
      </c>
      <c r="E1083" s="70"/>
      <c r="F1083" s="70"/>
      <c r="G1083" s="70"/>
      <c r="H1083" s="70"/>
      <c r="I1083" s="70"/>
      <c r="J1083" s="70"/>
      <c r="K1083" s="70"/>
      <c r="L1083" s="70"/>
      <c r="M1083" s="70"/>
      <c r="N1083" s="70"/>
      <c r="O1083" s="70"/>
      <c r="P1083" s="70"/>
      <c r="Q1083" s="68"/>
    </row>
    <row r="1084" spans="1:17" x14ac:dyDescent="0.3">
      <c r="A1084" s="62"/>
      <c r="B1084" s="62"/>
      <c r="C1084" s="63"/>
      <c r="D1084" s="62"/>
      <c r="E1084" s="62"/>
      <c r="F1084" s="62"/>
      <c r="G1084" s="62"/>
      <c r="H1084" s="62"/>
      <c r="I1084" s="62"/>
      <c r="J1084" s="62"/>
      <c r="K1084" s="62"/>
      <c r="L1084" s="62"/>
      <c r="M1084" s="62"/>
      <c r="N1084" s="62"/>
      <c r="O1084" s="62"/>
      <c r="P1084" s="62"/>
      <c r="Q1084" s="68"/>
    </row>
    <row r="1085" spans="1:17" ht="14.4" x14ac:dyDescent="0.3">
      <c r="A1085" s="64" t="s">
        <v>215</v>
      </c>
      <c r="B1085" s="64"/>
      <c r="C1085" s="65"/>
      <c r="D1085" s="66"/>
      <c r="E1085" s="66"/>
      <c r="F1085" s="66"/>
      <c r="G1085" s="66"/>
      <c r="H1085" s="66"/>
      <c r="I1085" s="66"/>
      <c r="J1085" s="66"/>
      <c r="K1085" s="66"/>
      <c r="L1085" s="66"/>
      <c r="M1085" s="66"/>
      <c r="N1085" s="66"/>
      <c r="O1085" s="66"/>
      <c r="P1085" s="66"/>
      <c r="Q1085" s="68"/>
    </row>
    <row r="1086" spans="1:17" ht="14.4" x14ac:dyDescent="0.3">
      <c r="A1086" s="64" t="s">
        <v>220</v>
      </c>
      <c r="B1086" s="64"/>
      <c r="C1086" s="65" t="s">
        <v>19</v>
      </c>
      <c r="D1086" s="67">
        <f>[41]SLR!D141</f>
        <v>0.60129999999999995</v>
      </c>
      <c r="E1086" s="67">
        <f>[41]SLR!E141</f>
        <v>0.55579999999999996</v>
      </c>
      <c r="F1086" s="67">
        <f>[41]SLR!F141</f>
        <v>0.53920000000000001</v>
      </c>
      <c r="G1086" s="67">
        <f>[41]SLR!G141</f>
        <v>0.5675</v>
      </c>
      <c r="H1086" s="67">
        <f>[41]SLR!H141</f>
        <v>0.56020000000000003</v>
      </c>
      <c r="I1086" s="67">
        <f>[41]SLR!I141</f>
        <v>0.5796</v>
      </c>
      <c r="J1086" s="67">
        <f>[41]SLR!J141</f>
        <v>0.54959999999999998</v>
      </c>
      <c r="K1086" s="67">
        <f>[41]SLR!K141</f>
        <v>0.504</v>
      </c>
      <c r="L1086" s="67">
        <f>[41]SLR!L141</f>
        <v>0.52270000000000005</v>
      </c>
      <c r="M1086" s="67">
        <f>[41]SLR!M141</f>
        <v>0.49519999999999997</v>
      </c>
      <c r="N1086" s="67">
        <f>[41]SLR!N141</f>
        <v>0.58179999999999998</v>
      </c>
      <c r="O1086" s="67">
        <f>[41]SLR!O141</f>
        <v>0.58179999999999998</v>
      </c>
      <c r="P1086" s="67">
        <f>[41]SLR!P141</f>
        <v>0</v>
      </c>
      <c r="Q1086" s="68"/>
    </row>
    <row r="1087" spans="1:17" ht="14.4" x14ac:dyDescent="0.3">
      <c r="A1087" s="64" t="s">
        <v>221</v>
      </c>
      <c r="B1087" s="64"/>
      <c r="C1087" s="65" t="s">
        <v>19</v>
      </c>
      <c r="D1087" s="67">
        <f>[41]SLR!D141</f>
        <v>0.60129999999999995</v>
      </c>
      <c r="E1087" s="67">
        <f>[41]SLR!E141</f>
        <v>0.55579999999999996</v>
      </c>
      <c r="F1087" s="67">
        <f>[41]SLR!F141</f>
        <v>0.53920000000000001</v>
      </c>
      <c r="G1087" s="67">
        <f>[41]SLR!G141</f>
        <v>0.5675</v>
      </c>
      <c r="H1087" s="67">
        <f>[41]SLR!H141</f>
        <v>0.56020000000000003</v>
      </c>
      <c r="I1087" s="67">
        <f>[41]SLR!I141</f>
        <v>0.5796</v>
      </c>
      <c r="J1087" s="67">
        <f>[41]SLR!J141</f>
        <v>0.54959999999999998</v>
      </c>
      <c r="K1087" s="67">
        <f>[41]SLR!K141</f>
        <v>0.504</v>
      </c>
      <c r="L1087" s="67">
        <f>[41]SLR!L141</f>
        <v>0.52270000000000005</v>
      </c>
      <c r="M1087" s="67">
        <f>[41]SLR!M141</f>
        <v>0.49519999999999997</v>
      </c>
      <c r="N1087" s="67">
        <f>[41]SLR!N141</f>
        <v>0.58179999999999998</v>
      </c>
      <c r="O1087" s="67">
        <f>[41]SLR!O141</f>
        <v>0.58179999999999998</v>
      </c>
      <c r="P1087" s="67">
        <f>[41]SLR!P141</f>
        <v>0</v>
      </c>
      <c r="Q1087" s="68"/>
    </row>
    <row r="1088" spans="1:17" ht="14.4" x14ac:dyDescent="0.3">
      <c r="A1088" s="64" t="s">
        <v>222</v>
      </c>
      <c r="B1088" s="64"/>
      <c r="C1088" s="65" t="s">
        <v>19</v>
      </c>
      <c r="D1088" s="67">
        <f>[41]SLR!D142</f>
        <v>6.3500000000000001E-2</v>
      </c>
      <c r="E1088" s="67">
        <f>[41]SLR!E142</f>
        <v>5.8700000000000002E-2</v>
      </c>
      <c r="F1088" s="67">
        <f>[41]SLR!F142</f>
        <v>5.7000000000000002E-2</v>
      </c>
      <c r="G1088" s="67">
        <f>[41]SLR!G142</f>
        <v>0.06</v>
      </c>
      <c r="H1088" s="67">
        <f>[41]SLR!H142</f>
        <v>5.9200000000000003E-2</v>
      </c>
      <c r="I1088" s="67">
        <f>[41]SLR!I142</f>
        <v>6.13E-2</v>
      </c>
      <c r="J1088" s="67">
        <f>[41]SLR!J142</f>
        <v>5.8099999999999999E-2</v>
      </c>
      <c r="K1088" s="67">
        <f>[41]SLR!K142</f>
        <v>5.33E-2</v>
      </c>
      <c r="L1088" s="67">
        <f>[41]SLR!L142</f>
        <v>5.5199999999999999E-2</v>
      </c>
      <c r="M1088" s="67">
        <f>[41]SLR!M142</f>
        <v>5.2299999999999999E-2</v>
      </c>
      <c r="N1088" s="67">
        <f>[41]SLR!N142</f>
        <v>6.1499999999999999E-2</v>
      </c>
      <c r="O1088" s="67">
        <f>[41]SLR!O142</f>
        <v>6.1499999999999999E-2</v>
      </c>
      <c r="P1088" s="67">
        <f>[41]SLR!P142</f>
        <v>0</v>
      </c>
      <c r="Q1088" s="68"/>
    </row>
    <row r="1089" spans="1:17" x14ac:dyDescent="0.3">
      <c r="A1089" s="71"/>
      <c r="B1089" s="71"/>
      <c r="C1089" s="72"/>
      <c r="D1089" s="71"/>
      <c r="E1089" s="71"/>
      <c r="F1089" s="71"/>
      <c r="G1089" s="71"/>
      <c r="H1089" s="71"/>
      <c r="I1089" s="71"/>
      <c r="J1089" s="71"/>
      <c r="K1089" s="71"/>
      <c r="L1089" s="71"/>
      <c r="M1089" s="71"/>
      <c r="N1089" s="71"/>
      <c r="O1089" s="71"/>
      <c r="P1089" s="71"/>
      <c r="Q1089" s="68"/>
    </row>
    <row r="1090" spans="1:17" x14ac:dyDescent="0.3">
      <c r="A1090" s="33"/>
      <c r="B1090" s="71"/>
      <c r="C1090" s="72"/>
      <c r="D1090" s="71"/>
      <c r="E1090" s="71"/>
      <c r="F1090" s="71"/>
      <c r="G1090" s="71"/>
      <c r="H1090" s="71"/>
      <c r="I1090" s="71"/>
      <c r="J1090" s="71"/>
      <c r="K1090" s="71"/>
      <c r="L1090" s="71"/>
      <c r="M1090" s="71"/>
      <c r="N1090" s="71"/>
      <c r="O1090" s="71"/>
      <c r="P1090" s="71"/>
    </row>
    <row r="1092" spans="1:17" x14ac:dyDescent="0.3">
      <c r="A1092" s="33"/>
    </row>
  </sheetData>
  <printOptions horizontalCentered="1" verticalCentered="1"/>
  <pageMargins left="0.2" right="0.2" top="0.2" bottom="0.4" header="0.5" footer="0.1"/>
  <pageSetup paperSize="14" scale="67" orientation="landscape" r:id="rId1"/>
  <headerFooter alignWithMargins="0">
    <oddFooter>&amp;C&amp;"Calibri,Regular"&amp;12GENERAL NOTE: All data used in the actual implemented rates were based on available information as of the time rates were computed.&amp;R&amp;"Calibri,Italic"&amp;8Actual Implemented Rates
Page &amp;P of &amp;N</oddFooter>
  </headerFooter>
  <rowBreaks count="11" manualBreakCount="11">
    <brk id="56" max="14" man="1"/>
    <brk id="107" max="14" man="1"/>
    <brk id="158" max="14" man="1"/>
    <brk id="209" max="14" man="1"/>
    <brk id="740" max="14" man="1"/>
    <brk id="791" max="14" man="1"/>
    <brk id="842" max="14" man="1"/>
    <brk id="893" max="14" man="1"/>
    <brk id="944" max="14" man="1"/>
    <brk id="996" max="14" man="1"/>
    <brk id="1048" max="14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R1072"/>
  <sheetViews>
    <sheetView zoomScale="85" zoomScaleNormal="85" zoomScaleSheetLayoutView="115" workbookViewId="0">
      <pane xSplit="1" topLeftCell="F1" activePane="topRight" state="frozen"/>
      <selection pane="topRight" activeCell="F992" sqref="F992"/>
    </sheetView>
  </sheetViews>
  <sheetFormatPr defaultColWidth="9.109375" defaultRowHeight="13.8" x14ac:dyDescent="0.3"/>
  <cols>
    <col min="1" max="1" width="39.109375" style="3" customWidth="1"/>
    <col min="2" max="2" width="1.109375" style="3" customWidth="1"/>
    <col min="3" max="3" width="14.5546875" style="32" customWidth="1"/>
    <col min="4" max="15" width="15.88671875" style="3" customWidth="1"/>
    <col min="16" max="16" width="15.88671875" style="3" hidden="1" customWidth="1"/>
    <col min="17" max="16384" width="9.109375" style="3"/>
  </cols>
  <sheetData>
    <row r="1" spans="1:16" ht="21" x14ac:dyDescent="0.4">
      <c r="A1" s="1" t="s">
        <v>0</v>
      </c>
      <c r="B1" s="1"/>
      <c r="C1" s="2"/>
    </row>
    <row r="2" spans="1:16" ht="21" x14ac:dyDescent="0.4">
      <c r="A2" s="4" t="s">
        <v>1</v>
      </c>
      <c r="B2" s="4"/>
      <c r="C2" s="5"/>
    </row>
    <row r="3" spans="1:16" ht="21" x14ac:dyDescent="0.4">
      <c r="A3" s="6" t="str">
        <f>'[42]Supplier &amp; Trans Data 2014'!A3</f>
        <v>For January  - December 2014 Billing</v>
      </c>
      <c r="B3" s="6"/>
      <c r="C3" s="7"/>
    </row>
    <row r="4" spans="1:16" ht="21" x14ac:dyDescent="0.4">
      <c r="A4" s="4"/>
      <c r="B4" s="4"/>
      <c r="C4" s="5"/>
    </row>
    <row r="5" spans="1:16" ht="21" x14ac:dyDescent="0.4">
      <c r="A5" s="8"/>
      <c r="B5" s="4"/>
      <c r="C5" s="5"/>
    </row>
    <row r="6" spans="1:16" ht="18" x14ac:dyDescent="0.35">
      <c r="A6" s="9" t="s">
        <v>2</v>
      </c>
      <c r="B6" s="9"/>
      <c r="C6" s="5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</row>
    <row r="7" spans="1:16" s="13" customFormat="1" ht="14.4" x14ac:dyDescent="0.3">
      <c r="A7" s="11" t="s">
        <v>3</v>
      </c>
      <c r="B7" s="11"/>
      <c r="C7" s="11" t="s">
        <v>4</v>
      </c>
      <c r="D7" s="12" t="s">
        <v>5</v>
      </c>
      <c r="E7" s="12" t="s">
        <v>6</v>
      </c>
      <c r="F7" s="12" t="s">
        <v>7</v>
      </c>
      <c r="G7" s="12" t="s">
        <v>8</v>
      </c>
      <c r="H7" s="12" t="s">
        <v>9</v>
      </c>
      <c r="I7" s="12" t="s">
        <v>10</v>
      </c>
      <c r="J7" s="12" t="s">
        <v>11</v>
      </c>
      <c r="K7" s="12" t="s">
        <v>12</v>
      </c>
      <c r="L7" s="12" t="s">
        <v>13</v>
      </c>
      <c r="M7" s="12" t="s">
        <v>14</v>
      </c>
      <c r="N7" s="12" t="s">
        <v>15</v>
      </c>
      <c r="O7" s="12" t="s">
        <v>16</v>
      </c>
      <c r="P7" s="12" t="s">
        <v>5</v>
      </c>
    </row>
    <row r="8" spans="1:16" ht="14.4" x14ac:dyDescent="0.3">
      <c r="A8" s="14" t="s">
        <v>17</v>
      </c>
      <c r="B8" s="15"/>
      <c r="C8" s="16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</row>
    <row r="9" spans="1:16" ht="14.4" x14ac:dyDescent="0.3">
      <c r="A9" s="18" t="s">
        <v>18</v>
      </c>
      <c r="B9" s="19"/>
      <c r="C9" s="16" t="s">
        <v>19</v>
      </c>
      <c r="D9" s="20">
        <f>D1000</f>
        <v>5.6673</v>
      </c>
      <c r="E9" s="20">
        <f t="shared" ref="E9:P9" si="0">E1000</f>
        <v>5.5358999999999998</v>
      </c>
      <c r="F9" s="20">
        <f t="shared" si="0"/>
        <v>5.2064000000000004</v>
      </c>
      <c r="G9" s="20">
        <f t="shared" si="0"/>
        <v>5.8994999999999997</v>
      </c>
      <c r="H9" s="20">
        <f t="shared" si="0"/>
        <v>5.9702999999999999</v>
      </c>
      <c r="I9" s="20">
        <f t="shared" si="0"/>
        <v>5.3105000000000002</v>
      </c>
      <c r="J9" s="20">
        <f t="shared" si="0"/>
        <v>5.4071999999999996</v>
      </c>
      <c r="K9" s="20">
        <f t="shared" si="0"/>
        <v>5.6352000000000002</v>
      </c>
      <c r="L9" s="20">
        <f t="shared" si="0"/>
        <v>5.1936999999999998</v>
      </c>
      <c r="M9" s="20">
        <f t="shared" si="0"/>
        <v>5.3522999999999996</v>
      </c>
      <c r="N9" s="20">
        <f t="shared" si="0"/>
        <v>5.1071999999999997</v>
      </c>
      <c r="O9" s="20">
        <f t="shared" si="0"/>
        <v>4.9371999999999998</v>
      </c>
      <c r="P9" s="20" t="e">
        <f t="shared" si="0"/>
        <v>#DIV/0!</v>
      </c>
    </row>
    <row r="10" spans="1:16" ht="14.4" hidden="1" x14ac:dyDescent="0.3">
      <c r="A10" s="18" t="s">
        <v>66</v>
      </c>
      <c r="B10" s="19"/>
      <c r="C10" s="16" t="s">
        <v>19</v>
      </c>
      <c r="D10" s="20">
        <v>0</v>
      </c>
      <c r="E10" s="20">
        <v>0</v>
      </c>
      <c r="F10" s="20">
        <v>0</v>
      </c>
      <c r="G10" s="20">
        <v>0</v>
      </c>
      <c r="H10" s="20">
        <v>0</v>
      </c>
      <c r="I10" s="20">
        <v>0</v>
      </c>
      <c r="J10" s="20">
        <v>0</v>
      </c>
      <c r="K10" s="20">
        <v>0</v>
      </c>
      <c r="L10" s="20">
        <v>0</v>
      </c>
      <c r="M10" s="20">
        <v>0</v>
      </c>
      <c r="N10" s="20">
        <v>0</v>
      </c>
      <c r="O10" s="20">
        <v>0</v>
      </c>
      <c r="P10" s="20">
        <v>0</v>
      </c>
    </row>
    <row r="11" spans="1:16" ht="14.4" x14ac:dyDescent="0.3">
      <c r="A11" s="14" t="s">
        <v>20</v>
      </c>
      <c r="B11" s="15"/>
      <c r="C11" s="16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</row>
    <row r="12" spans="1:16" ht="14.4" x14ac:dyDescent="0.3">
      <c r="A12" s="18" t="s">
        <v>21</v>
      </c>
      <c r="B12" s="19"/>
      <c r="C12" s="16" t="s">
        <v>19</v>
      </c>
      <c r="D12" s="20">
        <f>[42]TR!D64</f>
        <v>0.93920000000000003</v>
      </c>
      <c r="E12" s="20">
        <f>[42]TR!E64</f>
        <v>0.94969999999999999</v>
      </c>
      <c r="F12" s="20">
        <f>[42]TR!F64</f>
        <v>1.0012000000000001</v>
      </c>
      <c r="G12" s="20">
        <f>[42]TR!G64</f>
        <v>1.0187999999999999</v>
      </c>
      <c r="H12" s="20">
        <f>[42]TR!H64</f>
        <v>0.94610000000000005</v>
      </c>
      <c r="I12" s="20">
        <f>[42]TR!I64</f>
        <v>0.90359999999999996</v>
      </c>
      <c r="J12" s="20">
        <f>[42]TR!J64</f>
        <v>1.0034000000000001</v>
      </c>
      <c r="K12" s="20">
        <f>[42]TR!K64</f>
        <v>0.97570000000000001</v>
      </c>
      <c r="L12" s="20">
        <f>[42]TR!L64</f>
        <v>0.92920000000000003</v>
      </c>
      <c r="M12" s="20">
        <f>[42]TR!M64</f>
        <v>0.87870000000000004</v>
      </c>
      <c r="N12" s="20">
        <f>[42]TR!N64</f>
        <v>0.79159999999999997</v>
      </c>
      <c r="O12" s="20">
        <f>[42]TR!O64</f>
        <v>0.81179999999999997</v>
      </c>
      <c r="P12" s="20">
        <f>[42]TR!P64</f>
        <v>0</v>
      </c>
    </row>
    <row r="13" spans="1:16" ht="14.4" x14ac:dyDescent="0.3">
      <c r="A13" s="18" t="s">
        <v>22</v>
      </c>
      <c r="B13" s="19"/>
      <c r="C13" s="16" t="s">
        <v>23</v>
      </c>
      <c r="D13" s="20">
        <v>0</v>
      </c>
      <c r="E13" s="20">
        <v>0</v>
      </c>
      <c r="F13" s="20">
        <v>0</v>
      </c>
      <c r="G13" s="20">
        <v>0</v>
      </c>
      <c r="H13" s="20">
        <v>0</v>
      </c>
      <c r="I13" s="20">
        <v>0</v>
      </c>
      <c r="J13" s="20">
        <v>0</v>
      </c>
      <c r="K13" s="20">
        <v>0</v>
      </c>
      <c r="L13" s="20">
        <v>0</v>
      </c>
      <c r="M13" s="20">
        <v>0</v>
      </c>
      <c r="N13" s="20">
        <v>0</v>
      </c>
      <c r="O13" s="20">
        <v>0</v>
      </c>
      <c r="P13" s="20">
        <v>0</v>
      </c>
    </row>
    <row r="14" spans="1:16" ht="14.4" x14ac:dyDescent="0.3">
      <c r="A14" s="14" t="s">
        <v>24</v>
      </c>
      <c r="B14" s="15"/>
      <c r="C14" s="16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</row>
    <row r="15" spans="1:16" ht="14.4" x14ac:dyDescent="0.3">
      <c r="A15" s="18" t="s">
        <v>25</v>
      </c>
      <c r="B15" s="19"/>
      <c r="C15" s="16" t="s">
        <v>19</v>
      </c>
      <c r="D15" s="20">
        <f>[42]SLR!D102</f>
        <v>0.60619999999999996</v>
      </c>
      <c r="E15" s="20">
        <f>[42]SLR!E102</f>
        <v>0.59540000000000004</v>
      </c>
      <c r="F15" s="20">
        <f>[42]SLR!F102</f>
        <v>0.55020000000000002</v>
      </c>
      <c r="G15" s="20">
        <f>[42]SLR!G102</f>
        <v>0.61329999999999996</v>
      </c>
      <c r="H15" s="20">
        <f>[42]SLR!H102</f>
        <v>0.59940000000000004</v>
      </c>
      <c r="I15" s="20">
        <f>[42]SLR!I102</f>
        <v>0.55889999999999995</v>
      </c>
      <c r="J15" s="20">
        <f>[42]SLR!J102</f>
        <v>0.5776</v>
      </c>
      <c r="K15" s="20">
        <f>[42]SLR!K102</f>
        <v>0.57809999999999995</v>
      </c>
      <c r="L15" s="20">
        <f>[42]SLR!L102</f>
        <v>0.55659999999999998</v>
      </c>
      <c r="M15" s="20">
        <f>[42]SLR!M102</f>
        <v>0.56210000000000004</v>
      </c>
      <c r="N15" s="20">
        <f>[42]SLR!N102</f>
        <v>0.5272</v>
      </c>
      <c r="O15" s="20">
        <f>[42]SLR!O102</f>
        <v>0.51049999999999995</v>
      </c>
      <c r="P15" s="20">
        <f>[42]SLR!P102</f>
        <v>0</v>
      </c>
    </row>
    <row r="16" spans="1:16" ht="14.4" x14ac:dyDescent="0.3">
      <c r="A16" s="14" t="s">
        <v>26</v>
      </c>
      <c r="B16" s="14"/>
      <c r="C16" s="16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</row>
    <row r="17" spans="1:16" ht="14.4" x14ac:dyDescent="0.3">
      <c r="A17" s="18" t="s">
        <v>27</v>
      </c>
      <c r="B17" s="18"/>
      <c r="C17" s="16" t="s">
        <v>19</v>
      </c>
      <c r="D17" s="20">
        <v>2.3866999999999998</v>
      </c>
      <c r="E17" s="20">
        <v>2.3866999999999998</v>
      </c>
      <c r="F17" s="20">
        <v>2.3866999999999998</v>
      </c>
      <c r="G17" s="20">
        <v>2.3866999999999998</v>
      </c>
      <c r="H17" s="20">
        <v>2.3866999999999998</v>
      </c>
      <c r="I17" s="20">
        <v>2.3866999999999998</v>
      </c>
      <c r="J17" s="20">
        <v>2.2629999999999999</v>
      </c>
      <c r="K17" s="20">
        <v>2.2629999999999999</v>
      </c>
      <c r="L17" s="20">
        <v>2.2629999999999999</v>
      </c>
      <c r="M17" s="20">
        <v>2.2629999999999999</v>
      </c>
      <c r="N17" s="20">
        <v>2.2629999999999999</v>
      </c>
      <c r="O17" s="20">
        <v>2.2629999999999999</v>
      </c>
      <c r="P17" s="20">
        <v>2.2629999999999999</v>
      </c>
    </row>
    <row r="18" spans="1:16" ht="14.4" x14ac:dyDescent="0.3">
      <c r="A18" s="18" t="s">
        <v>28</v>
      </c>
      <c r="B18" s="18"/>
      <c r="C18" s="16" t="s">
        <v>23</v>
      </c>
      <c r="D18" s="23">
        <v>0</v>
      </c>
      <c r="E18" s="23">
        <v>0</v>
      </c>
      <c r="F18" s="23">
        <v>0</v>
      </c>
      <c r="G18" s="23">
        <v>0</v>
      </c>
      <c r="H18" s="23">
        <v>0</v>
      </c>
      <c r="I18" s="23">
        <v>0</v>
      </c>
      <c r="J18" s="23">
        <v>0</v>
      </c>
      <c r="K18" s="23">
        <v>0</v>
      </c>
      <c r="L18" s="23">
        <v>0</v>
      </c>
      <c r="M18" s="23">
        <v>0</v>
      </c>
      <c r="N18" s="23">
        <v>0</v>
      </c>
      <c r="O18" s="23">
        <v>0</v>
      </c>
      <c r="P18" s="23">
        <v>0</v>
      </c>
    </row>
    <row r="19" spans="1:16" s="5" customFormat="1" ht="14.4" x14ac:dyDescent="0.3">
      <c r="A19" s="14" t="s">
        <v>29</v>
      </c>
      <c r="B19" s="14"/>
      <c r="C19" s="16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</row>
    <row r="20" spans="1:16" ht="14.4" x14ac:dyDescent="0.3">
      <c r="A20" s="18" t="s">
        <v>30</v>
      </c>
      <c r="B20" s="18"/>
      <c r="C20" s="16" t="s">
        <v>19</v>
      </c>
      <c r="D20" s="20">
        <v>0.77190000000000003</v>
      </c>
      <c r="E20" s="20">
        <v>0.77190000000000003</v>
      </c>
      <c r="F20" s="20">
        <v>0.77190000000000003</v>
      </c>
      <c r="G20" s="20">
        <v>0.77190000000000003</v>
      </c>
      <c r="H20" s="20">
        <v>0.77190000000000003</v>
      </c>
      <c r="I20" s="20">
        <v>0.77190000000000003</v>
      </c>
      <c r="J20" s="20">
        <v>0.7319</v>
      </c>
      <c r="K20" s="20">
        <v>0.7319</v>
      </c>
      <c r="L20" s="20">
        <v>0.7319</v>
      </c>
      <c r="M20" s="20">
        <v>0.7319</v>
      </c>
      <c r="N20" s="20">
        <v>0.7319</v>
      </c>
      <c r="O20" s="20">
        <v>0.7319</v>
      </c>
      <c r="P20" s="20">
        <v>0.7319</v>
      </c>
    </row>
    <row r="21" spans="1:16" ht="14.4" x14ac:dyDescent="0.3">
      <c r="A21" s="18" t="s">
        <v>31</v>
      </c>
      <c r="B21" s="18"/>
      <c r="C21" s="16" t="s">
        <v>32</v>
      </c>
      <c r="D21" s="23">
        <v>0</v>
      </c>
      <c r="E21" s="23">
        <v>0</v>
      </c>
      <c r="F21" s="23">
        <v>0</v>
      </c>
      <c r="G21" s="23">
        <v>0</v>
      </c>
      <c r="H21" s="23">
        <v>0</v>
      </c>
      <c r="I21" s="23">
        <v>0</v>
      </c>
      <c r="J21" s="23">
        <v>0</v>
      </c>
      <c r="K21" s="23">
        <v>0</v>
      </c>
      <c r="L21" s="23">
        <v>0</v>
      </c>
      <c r="M21" s="23">
        <v>0</v>
      </c>
      <c r="N21" s="23">
        <v>0</v>
      </c>
      <c r="O21" s="23">
        <v>0</v>
      </c>
      <c r="P21" s="23">
        <v>0</v>
      </c>
    </row>
    <row r="22" spans="1:16" ht="14.4" x14ac:dyDescent="0.3">
      <c r="A22" s="14" t="s">
        <v>33</v>
      </c>
      <c r="B22" s="14"/>
      <c r="C22" s="16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</row>
    <row r="23" spans="1:16" ht="14.4" x14ac:dyDescent="0.3">
      <c r="A23" s="18" t="s">
        <v>34</v>
      </c>
      <c r="B23" s="18"/>
      <c r="C23" s="16" t="s">
        <v>19</v>
      </c>
      <c r="D23" s="20">
        <v>0</v>
      </c>
      <c r="E23" s="20">
        <v>0</v>
      </c>
      <c r="F23" s="20">
        <v>0</v>
      </c>
      <c r="G23" s="20">
        <v>0</v>
      </c>
      <c r="H23" s="20">
        <v>0</v>
      </c>
      <c r="I23" s="20">
        <v>0</v>
      </c>
      <c r="J23" s="20">
        <v>0</v>
      </c>
      <c r="K23" s="20">
        <v>0</v>
      </c>
      <c r="L23" s="20">
        <v>0</v>
      </c>
      <c r="M23" s="20">
        <v>0</v>
      </c>
      <c r="N23" s="20">
        <v>0</v>
      </c>
      <c r="O23" s="20">
        <v>0</v>
      </c>
      <c r="P23" s="20">
        <v>0</v>
      </c>
    </row>
    <row r="24" spans="1:16" ht="14.4" x14ac:dyDescent="0.3">
      <c r="A24" s="18" t="s">
        <v>35</v>
      </c>
      <c r="B24" s="18"/>
      <c r="C24" s="16" t="s">
        <v>36</v>
      </c>
      <c r="D24" s="23">
        <v>0</v>
      </c>
      <c r="E24" s="23">
        <v>0</v>
      </c>
      <c r="F24" s="23">
        <v>0</v>
      </c>
      <c r="G24" s="23">
        <v>0</v>
      </c>
      <c r="H24" s="23">
        <v>0</v>
      </c>
      <c r="I24" s="23">
        <v>0</v>
      </c>
      <c r="J24" s="23">
        <v>0</v>
      </c>
      <c r="K24" s="23">
        <v>0</v>
      </c>
      <c r="L24" s="23">
        <v>0</v>
      </c>
      <c r="M24" s="23">
        <v>0</v>
      </c>
      <c r="N24" s="23">
        <v>0</v>
      </c>
      <c r="O24" s="23">
        <v>0</v>
      </c>
      <c r="P24" s="23">
        <v>0</v>
      </c>
    </row>
    <row r="25" spans="1:16" ht="14.4" x14ac:dyDescent="0.3">
      <c r="A25" s="14" t="s">
        <v>37</v>
      </c>
      <c r="B25" s="14"/>
      <c r="C25" s="16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</row>
    <row r="26" spans="1:16" ht="14.4" x14ac:dyDescent="0.3">
      <c r="A26" s="25" t="s">
        <v>38</v>
      </c>
      <c r="B26" s="18"/>
      <c r="C26" s="16" t="s">
        <v>19</v>
      </c>
      <c r="D26" s="20">
        <f>[42]LD!E36</f>
        <v>0.1173</v>
      </c>
      <c r="E26" s="20">
        <f>[42]LD!F36</f>
        <v>0.1527</v>
      </c>
      <c r="F26" s="20">
        <f>[42]LD!G36</f>
        <v>0.15920000000000001</v>
      </c>
      <c r="G26" s="20">
        <f>[42]LD!H36</f>
        <v>0.16189999999999999</v>
      </c>
      <c r="H26" s="20">
        <f>[42]LD!I36</f>
        <v>0.11899999999999999</v>
      </c>
      <c r="I26" s="20">
        <f>[42]LD!J36</f>
        <v>0.1066</v>
      </c>
      <c r="J26" s="20">
        <f>[42]LD!K36</f>
        <v>8.9300000000000004E-2</v>
      </c>
      <c r="K26" s="20">
        <f>[42]LD!L36</f>
        <v>0.1177</v>
      </c>
      <c r="L26" s="20">
        <f>[42]LD!M36</f>
        <v>0.1222</v>
      </c>
      <c r="M26" s="20">
        <f>[42]LD!N36</f>
        <v>0.1089</v>
      </c>
      <c r="N26" s="20">
        <f>[42]LD!O36</f>
        <v>0.1176</v>
      </c>
      <c r="O26" s="20">
        <f>[42]LD!P36</f>
        <v>0.1109</v>
      </c>
      <c r="P26" s="20">
        <f>[42]LD!Q36</f>
        <v>0</v>
      </c>
    </row>
    <row r="27" spans="1:16" ht="14.4" x14ac:dyDescent="0.3">
      <c r="A27" s="25" t="s">
        <v>39</v>
      </c>
      <c r="B27" s="18"/>
      <c r="C27" s="16" t="s">
        <v>19</v>
      </c>
      <c r="D27" s="20">
        <v>0</v>
      </c>
      <c r="E27" s="20">
        <v>0</v>
      </c>
      <c r="F27" s="20">
        <v>0</v>
      </c>
      <c r="G27" s="20">
        <v>0</v>
      </c>
      <c r="H27" s="20">
        <v>0</v>
      </c>
      <c r="I27" s="20">
        <v>0</v>
      </c>
      <c r="J27" s="20">
        <v>0</v>
      </c>
      <c r="K27" s="20">
        <v>0</v>
      </c>
      <c r="L27" s="20">
        <v>0</v>
      </c>
      <c r="M27" s="20">
        <v>0</v>
      </c>
      <c r="N27" s="20">
        <v>0</v>
      </c>
      <c r="O27" s="20">
        <v>0</v>
      </c>
      <c r="P27" s="20">
        <v>0</v>
      </c>
    </row>
    <row r="28" spans="1:16" ht="14.4" x14ac:dyDescent="0.3">
      <c r="A28" s="25" t="s">
        <v>180</v>
      </c>
      <c r="B28" s="18"/>
      <c r="C28" s="16" t="s">
        <v>19</v>
      </c>
      <c r="D28" s="20">
        <v>3.1399999999999997E-2</v>
      </c>
      <c r="E28" s="20">
        <v>3.1399999999999997E-2</v>
      </c>
      <c r="F28" s="20">
        <v>0</v>
      </c>
      <c r="G28" s="20">
        <v>0</v>
      </c>
      <c r="H28" s="20">
        <v>0</v>
      </c>
      <c r="I28" s="20">
        <v>0</v>
      </c>
      <c r="J28" s="20">
        <v>0</v>
      </c>
      <c r="K28" s="20">
        <v>0</v>
      </c>
      <c r="L28" s="20">
        <v>0</v>
      </c>
      <c r="M28" s="20">
        <v>0</v>
      </c>
      <c r="N28" s="20">
        <v>0</v>
      </c>
      <c r="O28" s="20">
        <v>0</v>
      </c>
      <c r="P28" s="20">
        <v>0</v>
      </c>
    </row>
    <row r="29" spans="1:16" ht="14.4" x14ac:dyDescent="0.3">
      <c r="A29" s="26" t="s">
        <v>40</v>
      </c>
      <c r="B29" s="18"/>
      <c r="C29" s="16" t="s">
        <v>19</v>
      </c>
      <c r="D29" s="20">
        <f>'[42]SR CIT. SUBSIDY'!E96</f>
        <v>1E-4</v>
      </c>
      <c r="E29" s="20">
        <f>'[42]SR CIT. SUBSIDY'!F96</f>
        <v>1E-4</v>
      </c>
      <c r="F29" s="20">
        <f>'[42]SR CIT. SUBSIDY'!G96</f>
        <v>1E-4</v>
      </c>
      <c r="G29" s="20">
        <f>'[42]SR CIT. SUBSIDY'!H96</f>
        <v>1E-4</v>
      </c>
      <c r="H29" s="20">
        <f>'[42]SR CIT. SUBSIDY'!I96</f>
        <v>1E-4</v>
      </c>
      <c r="I29" s="20">
        <f>'[42]SR CIT. SUBSIDY'!J96</f>
        <v>0</v>
      </c>
      <c r="J29" s="20">
        <f>'[42]SR CIT. SUBSIDY'!K96</f>
        <v>1E-4</v>
      </c>
      <c r="K29" s="20">
        <f>'[42]SR CIT. SUBSIDY'!L96</f>
        <v>1E-4</v>
      </c>
      <c r="L29" s="20">
        <f>'[42]SR CIT. SUBSIDY'!M96</f>
        <v>1E-4</v>
      </c>
      <c r="M29" s="20">
        <f>'[42]SR CIT. SUBSIDY'!N96</f>
        <v>2.0000000000000001E-4</v>
      </c>
      <c r="N29" s="20">
        <f>'[42]SR CIT. SUBSIDY'!O96</f>
        <v>1E-4</v>
      </c>
      <c r="O29" s="20">
        <f>'[42]SR CIT. SUBSIDY'!P96</f>
        <v>1E-4</v>
      </c>
      <c r="P29" s="20">
        <f>'[42]SR CIT. SUBSIDY'!Q96</f>
        <v>0</v>
      </c>
    </row>
    <row r="30" spans="1:16" ht="14.4" x14ac:dyDescent="0.3">
      <c r="A30" s="26" t="s">
        <v>41</v>
      </c>
      <c r="B30" s="18"/>
      <c r="C30" s="16" t="s">
        <v>19</v>
      </c>
      <c r="D30" s="20">
        <v>0</v>
      </c>
      <c r="E30" s="20">
        <v>0</v>
      </c>
      <c r="F30" s="20">
        <v>0</v>
      </c>
      <c r="G30" s="20">
        <v>0</v>
      </c>
      <c r="H30" s="20">
        <v>0</v>
      </c>
      <c r="I30" s="20">
        <v>0</v>
      </c>
      <c r="J30" s="20">
        <v>0</v>
      </c>
      <c r="K30" s="20">
        <v>0</v>
      </c>
      <c r="L30" s="20">
        <v>0</v>
      </c>
      <c r="M30" s="20">
        <v>0</v>
      </c>
      <c r="N30" s="20">
        <v>0</v>
      </c>
      <c r="O30" s="20">
        <v>0</v>
      </c>
      <c r="P30" s="20">
        <v>0</v>
      </c>
    </row>
    <row r="31" spans="1:16" ht="14.4" hidden="1" x14ac:dyDescent="0.3">
      <c r="A31" s="154" t="s">
        <v>181</v>
      </c>
      <c r="B31" s="155"/>
      <c r="C31" s="16" t="s">
        <v>19</v>
      </c>
      <c r="D31" s="20">
        <v>0</v>
      </c>
      <c r="E31" s="20">
        <v>0</v>
      </c>
      <c r="F31" s="20">
        <v>0</v>
      </c>
      <c r="G31" s="20">
        <v>0</v>
      </c>
      <c r="H31" s="20">
        <v>0</v>
      </c>
      <c r="I31" s="20">
        <v>0</v>
      </c>
      <c r="J31" s="20">
        <v>0</v>
      </c>
      <c r="K31" s="20">
        <v>0</v>
      </c>
      <c r="L31" s="20">
        <v>0</v>
      </c>
      <c r="M31" s="20">
        <v>0</v>
      </c>
      <c r="N31" s="20">
        <v>0</v>
      </c>
      <c r="O31" s="20">
        <v>0</v>
      </c>
      <c r="P31" s="20">
        <v>0</v>
      </c>
    </row>
    <row r="32" spans="1:16" ht="16.2" hidden="1" x14ac:dyDescent="0.3">
      <c r="A32" s="154" t="s">
        <v>182</v>
      </c>
      <c r="B32" s="155"/>
      <c r="C32" s="16" t="s">
        <v>19</v>
      </c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</row>
    <row r="33" spans="1:16" ht="16.2" hidden="1" x14ac:dyDescent="0.3">
      <c r="A33" s="154" t="s">
        <v>182</v>
      </c>
      <c r="B33" s="156"/>
      <c r="C33" s="16" t="s">
        <v>19</v>
      </c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</row>
    <row r="34" spans="1:16" ht="14.4" x14ac:dyDescent="0.3">
      <c r="A34" s="14" t="s">
        <v>42</v>
      </c>
      <c r="B34" s="14"/>
      <c r="C34" s="16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</row>
    <row r="35" spans="1:16" ht="14.4" x14ac:dyDescent="0.3">
      <c r="A35" s="14" t="s">
        <v>43</v>
      </c>
      <c r="B35" s="14"/>
      <c r="C35" s="16" t="s">
        <v>44</v>
      </c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</row>
    <row r="36" spans="1:16" ht="14.4" hidden="1" x14ac:dyDescent="0.3">
      <c r="A36" s="14" t="s">
        <v>183</v>
      </c>
      <c r="B36" s="14"/>
      <c r="C36" s="16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</row>
    <row r="37" spans="1:16" ht="14.4" hidden="1" x14ac:dyDescent="0.3">
      <c r="A37" s="14" t="s">
        <v>184</v>
      </c>
      <c r="B37" s="14"/>
      <c r="C37" s="16" t="s">
        <v>19</v>
      </c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</row>
    <row r="38" spans="1:16" ht="14.4" x14ac:dyDescent="0.3">
      <c r="A38" s="14" t="s">
        <v>45</v>
      </c>
      <c r="B38" s="14"/>
      <c r="C38" s="16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</row>
    <row r="39" spans="1:16" ht="14.4" x14ac:dyDescent="0.3">
      <c r="A39" s="14" t="s">
        <v>46</v>
      </c>
      <c r="B39" s="14"/>
      <c r="C39" s="16" t="s">
        <v>19</v>
      </c>
      <c r="D39" s="20">
        <v>0</v>
      </c>
      <c r="E39" s="20">
        <v>0</v>
      </c>
      <c r="F39" s="20">
        <v>0</v>
      </c>
      <c r="G39" s="20">
        <v>0</v>
      </c>
      <c r="H39" s="20">
        <v>0</v>
      </c>
      <c r="I39" s="20">
        <v>0</v>
      </c>
      <c r="J39" s="20">
        <v>0</v>
      </c>
      <c r="K39" s="20">
        <v>0</v>
      </c>
      <c r="L39" s="20">
        <v>0</v>
      </c>
      <c r="M39" s="20">
        <v>0</v>
      </c>
      <c r="N39" s="20">
        <v>0</v>
      </c>
      <c r="O39" s="20">
        <v>0</v>
      </c>
      <c r="P39" s="20">
        <v>0</v>
      </c>
    </row>
    <row r="40" spans="1:16" ht="14.4" hidden="1" x14ac:dyDescent="0.3">
      <c r="A40" s="14" t="s">
        <v>185</v>
      </c>
      <c r="B40" s="14"/>
      <c r="C40" s="16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</row>
    <row r="41" spans="1:16" ht="14.4" hidden="1" x14ac:dyDescent="0.3">
      <c r="A41" s="14" t="s">
        <v>186</v>
      </c>
      <c r="B41" s="14"/>
      <c r="C41" s="16" t="s">
        <v>19</v>
      </c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</row>
    <row r="42" spans="1:16" ht="14.4" x14ac:dyDescent="0.3">
      <c r="A42" s="14" t="s">
        <v>47</v>
      </c>
      <c r="B42" s="14"/>
      <c r="C42" s="16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</row>
    <row r="43" spans="1:16" ht="14.4" x14ac:dyDescent="0.3">
      <c r="A43" s="18" t="s">
        <v>48</v>
      </c>
      <c r="B43" s="18"/>
      <c r="C43" s="16" t="s">
        <v>19</v>
      </c>
      <c r="D43" s="20">
        <v>0.15609999999999999</v>
      </c>
      <c r="E43" s="20">
        <v>0.15609999999999999</v>
      </c>
      <c r="F43" s="20">
        <v>0.11799999999999999</v>
      </c>
      <c r="G43" s="20">
        <v>0.11799999999999999</v>
      </c>
      <c r="H43" s="20">
        <v>0.11799999999999999</v>
      </c>
      <c r="I43" s="20">
        <v>0.11799999999999999</v>
      </c>
      <c r="J43" s="20">
        <v>0.11799999999999999</v>
      </c>
      <c r="K43" s="20">
        <v>0.15609999999999999</v>
      </c>
      <c r="L43" s="20">
        <v>0.15609999999999999</v>
      </c>
      <c r="M43" s="20">
        <v>0.15609999999999999</v>
      </c>
      <c r="N43" s="20">
        <v>0.15609999999999999</v>
      </c>
      <c r="O43" s="20">
        <v>0.15609999999999999</v>
      </c>
      <c r="P43" s="20">
        <v>0.15609999999999999</v>
      </c>
    </row>
    <row r="44" spans="1:16" ht="14.4" x14ac:dyDescent="0.3">
      <c r="A44" s="18" t="s">
        <v>49</v>
      </c>
      <c r="B44" s="18"/>
      <c r="C44" s="16" t="s">
        <v>19</v>
      </c>
      <c r="D44" s="20">
        <v>2.5000000000000001E-3</v>
      </c>
      <c r="E44" s="20">
        <v>2.5000000000000001E-3</v>
      </c>
      <c r="F44" s="20">
        <v>2.5000000000000001E-3</v>
      </c>
      <c r="G44" s="20">
        <v>2.5000000000000001E-3</v>
      </c>
      <c r="H44" s="20">
        <v>2.5000000000000001E-3</v>
      </c>
      <c r="I44" s="20">
        <v>2.5000000000000001E-3</v>
      </c>
      <c r="J44" s="20">
        <v>2.5000000000000001E-3</v>
      </c>
      <c r="K44" s="20">
        <v>2.5000000000000001E-3</v>
      </c>
      <c r="L44" s="20">
        <v>2.5000000000000001E-3</v>
      </c>
      <c r="M44" s="20">
        <v>2.5000000000000001E-3</v>
      </c>
      <c r="N44" s="20">
        <v>2.5000000000000001E-3</v>
      </c>
      <c r="O44" s="20">
        <v>2.5000000000000001E-3</v>
      </c>
      <c r="P44" s="20">
        <v>2.5000000000000001E-3</v>
      </c>
    </row>
    <row r="45" spans="1:16" ht="14.4" x14ac:dyDescent="0.3">
      <c r="A45" s="18" t="s">
        <v>50</v>
      </c>
      <c r="B45" s="18"/>
      <c r="C45" s="16"/>
      <c r="D45" s="20">
        <v>0.1938</v>
      </c>
      <c r="E45" s="20">
        <v>0.1938</v>
      </c>
      <c r="F45" s="20">
        <v>0.1938</v>
      </c>
      <c r="G45" s="20">
        <v>0.1938</v>
      </c>
      <c r="H45" s="20">
        <v>0.1938</v>
      </c>
      <c r="I45" s="20">
        <v>0.1938</v>
      </c>
      <c r="J45" s="20">
        <v>0.1938</v>
      </c>
      <c r="K45" s="20">
        <v>0.1938</v>
      </c>
      <c r="L45" s="20">
        <v>0.1938</v>
      </c>
      <c r="M45" s="20">
        <v>0.1938</v>
      </c>
      <c r="N45" s="20">
        <v>0.1938</v>
      </c>
      <c r="O45" s="20">
        <v>0.1938</v>
      </c>
      <c r="P45" s="20">
        <v>0.1938</v>
      </c>
    </row>
    <row r="46" spans="1:16" ht="14.4" x14ac:dyDescent="0.3">
      <c r="A46" s="14" t="s">
        <v>52</v>
      </c>
      <c r="B46" s="14"/>
      <c r="C46" s="29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</row>
    <row r="47" spans="1:16" ht="14.4" x14ac:dyDescent="0.3">
      <c r="A47" s="18" t="s">
        <v>53</v>
      </c>
      <c r="B47" s="18"/>
      <c r="C47" s="16" t="s">
        <v>44</v>
      </c>
      <c r="D47" s="30">
        <f>'[42]DU VAT'!D17</f>
        <v>0.10970000000000001</v>
      </c>
      <c r="E47" s="30">
        <f>'[42]DU VAT'!E17</f>
        <v>0.1176</v>
      </c>
      <c r="F47" s="30">
        <f>'[42]DU VAT'!F17</f>
        <v>0.1169</v>
      </c>
      <c r="G47" s="30">
        <f>'[42]DU VAT'!G17</f>
        <v>0.1177</v>
      </c>
      <c r="H47" s="30">
        <f>'[42]DU VAT'!H17</f>
        <v>0.11890000000000001</v>
      </c>
      <c r="I47" s="30">
        <f>'[42]DU VAT'!I17</f>
        <v>0.1192</v>
      </c>
      <c r="J47" s="30">
        <f>'[42]DU VAT'!J17</f>
        <v>0.1179</v>
      </c>
      <c r="K47" s="30">
        <f>'[42]DU VAT'!K17</f>
        <v>0.11700000000000001</v>
      </c>
      <c r="L47" s="30">
        <f>'[42]DU VAT'!L17</f>
        <v>0.11650000000000001</v>
      </c>
      <c r="M47" s="30">
        <f>'[42]DU VAT'!M17</f>
        <v>0.1154</v>
      </c>
      <c r="N47" s="30">
        <f>'[42]DU VAT'!N17</f>
        <v>0.1129</v>
      </c>
      <c r="O47" s="30">
        <f>'[42]DU VAT'!O17</f>
        <v>0.115</v>
      </c>
      <c r="P47" s="30" t="e">
        <f>'[42]DU VAT'!P17</f>
        <v>#DIV/0!</v>
      </c>
    </row>
    <row r="48" spans="1:16" ht="14.4" x14ac:dyDescent="0.3">
      <c r="A48" s="18" t="s">
        <v>54</v>
      </c>
      <c r="B48" s="18"/>
      <c r="C48" s="16" t="s">
        <v>44</v>
      </c>
      <c r="D48" s="30">
        <f>'[42]DU VAT'!D22</f>
        <v>6.0000000000000006E-4</v>
      </c>
      <c r="E48" s="30">
        <f>'[42]DU VAT'!E22</f>
        <v>3.2000000000000002E-3</v>
      </c>
      <c r="F48" s="30">
        <f>'[42]DU VAT'!F22</f>
        <v>3.5000000000000001E-3</v>
      </c>
      <c r="G48" s="30">
        <f>'[42]DU VAT'!G22</f>
        <v>1.3899999999999999E-2</v>
      </c>
      <c r="H48" s="30">
        <f>'[42]DU VAT'!H22</f>
        <v>2.5600000000000001E-2</v>
      </c>
      <c r="I48" s="30">
        <f>'[42]DU VAT'!I22</f>
        <v>2.8000000000000001E-2</v>
      </c>
      <c r="J48" s="30">
        <f>'[42]DU VAT'!J22</f>
        <v>3.73E-2</v>
      </c>
      <c r="K48" s="30">
        <f>'[42]DU VAT'!K22</f>
        <v>3.4099999999999998E-2</v>
      </c>
      <c r="L48" s="30">
        <f>'[42]DU VAT'!L22</f>
        <v>1.9699999999999999E-2</v>
      </c>
      <c r="M48" s="30">
        <f>'[42]DU VAT'!M22</f>
        <v>1.5299999999999999E-2</v>
      </c>
      <c r="N48" s="30">
        <f>'[42]DU VAT'!N22</f>
        <v>6.0000000000000001E-3</v>
      </c>
      <c r="O48" s="30">
        <f>'[42]DU VAT'!O22</f>
        <v>2.8999999999999998E-3</v>
      </c>
      <c r="P48" s="30" t="e">
        <f>'[42]DU VAT'!P22</f>
        <v>#DIV/0!</v>
      </c>
    </row>
    <row r="49" spans="1:16" ht="14.4" x14ac:dyDescent="0.3">
      <c r="A49" s="18" t="s">
        <v>55</v>
      </c>
      <c r="B49" s="18"/>
      <c r="C49" s="16" t="s">
        <v>44</v>
      </c>
      <c r="D49" s="30">
        <f>'[42]DU VAT'!D28</f>
        <v>9.4299999999999995E-2</v>
      </c>
      <c r="E49" s="30">
        <f>'[42]DU VAT'!E28</f>
        <v>0.1008</v>
      </c>
      <c r="F49" s="30">
        <f>'[42]DU VAT'!F28</f>
        <v>9.9400000000000002E-2</v>
      </c>
      <c r="G49" s="30">
        <f>'[42]DU VAT'!G28</f>
        <v>0.10249999999999999</v>
      </c>
      <c r="H49" s="30">
        <f>'[42]DU VAT'!H28</f>
        <v>0.1066</v>
      </c>
      <c r="I49" s="30">
        <f>'[42]DU VAT'!I28</f>
        <v>0.10630000000000001</v>
      </c>
      <c r="J49" s="30">
        <f>'[42]DU VAT'!J28</f>
        <v>0.10589999999999999</v>
      </c>
      <c r="K49" s="30">
        <f>'[42]DU VAT'!K28</f>
        <v>0.10489999999999999</v>
      </c>
      <c r="L49" s="30">
        <f>'[42]DU VAT'!L28</f>
        <v>0.1022</v>
      </c>
      <c r="M49" s="30">
        <f>'[42]DU VAT'!M28</f>
        <v>0.1019</v>
      </c>
      <c r="N49" s="30">
        <f>'[42]DU VAT'!N28</f>
        <v>9.8799999999999999E-2</v>
      </c>
      <c r="O49" s="30">
        <f>'[42]DU VAT'!O28</f>
        <v>9.98E-2</v>
      </c>
      <c r="P49" s="30" t="e">
        <f>'[42]DU VAT'!P28</f>
        <v>#DIV/0!</v>
      </c>
    </row>
    <row r="50" spans="1:16" ht="14.4" hidden="1" x14ac:dyDescent="0.3">
      <c r="A50" s="18" t="s">
        <v>187</v>
      </c>
      <c r="B50" s="18"/>
      <c r="C50" s="16" t="s">
        <v>44</v>
      </c>
      <c r="D50" s="27">
        <v>0</v>
      </c>
      <c r="E50" s="27">
        <v>0</v>
      </c>
      <c r="F50" s="27">
        <v>0</v>
      </c>
      <c r="G50" s="27">
        <v>0</v>
      </c>
      <c r="H50" s="27">
        <v>0</v>
      </c>
      <c r="I50" s="27">
        <v>0</v>
      </c>
      <c r="J50" s="27">
        <v>0</v>
      </c>
      <c r="K50" s="27">
        <v>0</v>
      </c>
      <c r="L50" s="27">
        <v>0</v>
      </c>
      <c r="M50" s="27">
        <v>0</v>
      </c>
      <c r="N50" s="27">
        <v>0</v>
      </c>
      <c r="O50" s="27">
        <v>0</v>
      </c>
      <c r="P50" s="27">
        <v>0</v>
      </c>
    </row>
    <row r="51" spans="1:16" ht="14.4" x14ac:dyDescent="0.3">
      <c r="A51" s="18" t="s">
        <v>188</v>
      </c>
      <c r="B51" s="18"/>
      <c r="C51" s="16" t="s">
        <v>44</v>
      </c>
      <c r="D51" s="30">
        <v>9.8799999999999999E-2</v>
      </c>
      <c r="E51" s="30">
        <v>9.8799999999999999E-2</v>
      </c>
      <c r="F51" s="30">
        <v>0</v>
      </c>
      <c r="G51" s="30">
        <v>0</v>
      </c>
      <c r="H51" s="30">
        <v>0</v>
      </c>
      <c r="I51" s="30">
        <v>0</v>
      </c>
      <c r="J51" s="30">
        <v>0</v>
      </c>
      <c r="K51" s="30">
        <v>0</v>
      </c>
      <c r="L51" s="30">
        <v>0</v>
      </c>
      <c r="M51" s="30">
        <v>0</v>
      </c>
      <c r="N51" s="30">
        <v>0</v>
      </c>
      <c r="O51" s="30">
        <v>0</v>
      </c>
      <c r="P51" s="30">
        <v>0</v>
      </c>
    </row>
    <row r="52" spans="1:16" ht="14.4" x14ac:dyDescent="0.3">
      <c r="A52" s="18" t="s">
        <v>56</v>
      </c>
      <c r="B52" s="18"/>
      <c r="C52" s="16" t="s">
        <v>44</v>
      </c>
      <c r="D52" s="30">
        <v>0.12</v>
      </c>
      <c r="E52" s="30">
        <v>0.12</v>
      </c>
      <c r="F52" s="30">
        <v>0.12</v>
      </c>
      <c r="G52" s="30">
        <v>0.12</v>
      </c>
      <c r="H52" s="30">
        <v>0.12</v>
      </c>
      <c r="I52" s="30">
        <v>0.12</v>
      </c>
      <c r="J52" s="30">
        <v>0.12</v>
      </c>
      <c r="K52" s="30">
        <v>0.12</v>
      </c>
      <c r="L52" s="30">
        <v>0.12</v>
      </c>
      <c r="M52" s="30">
        <v>0.12</v>
      </c>
      <c r="N52" s="30">
        <v>0.12</v>
      </c>
      <c r="O52" s="30">
        <v>0.12</v>
      </c>
      <c r="P52" s="30">
        <v>0.12</v>
      </c>
    </row>
    <row r="53" spans="1:16" ht="14.4" x14ac:dyDescent="0.3">
      <c r="A53" s="18" t="s">
        <v>57</v>
      </c>
      <c r="B53" s="18"/>
      <c r="C53" s="16" t="s">
        <v>44</v>
      </c>
      <c r="D53" s="30">
        <v>0.12</v>
      </c>
      <c r="E53" s="30">
        <v>0.12</v>
      </c>
      <c r="F53" s="30">
        <v>0.12</v>
      </c>
      <c r="G53" s="30">
        <v>0.12</v>
      </c>
      <c r="H53" s="30">
        <v>0.12</v>
      </c>
      <c r="I53" s="30">
        <v>0.12</v>
      </c>
      <c r="J53" s="30">
        <v>0.12</v>
      </c>
      <c r="K53" s="30">
        <v>0.12</v>
      </c>
      <c r="L53" s="30">
        <v>0.12</v>
      </c>
      <c r="M53" s="30">
        <v>0.12</v>
      </c>
      <c r="N53" s="30">
        <v>0.12</v>
      </c>
      <c r="O53" s="30">
        <v>0.12</v>
      </c>
      <c r="P53" s="30">
        <v>0.12</v>
      </c>
    </row>
    <row r="54" spans="1:16" s="5" customFormat="1" x14ac:dyDescent="0.3">
      <c r="A54" s="31"/>
      <c r="B54" s="31"/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</row>
    <row r="55" spans="1:16" x14ac:dyDescent="0.3">
      <c r="A55" s="3" t="s">
        <v>58</v>
      </c>
    </row>
    <row r="56" spans="1:16" x14ac:dyDescent="0.3">
      <c r="A56" s="33"/>
    </row>
    <row r="57" spans="1:16" ht="18" x14ac:dyDescent="0.35">
      <c r="A57" s="9" t="str">
        <f>'[42]Statistical data'!A221</f>
        <v xml:space="preserve">Residential </v>
      </c>
      <c r="B57" s="9"/>
      <c r="C57" s="5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</row>
    <row r="58" spans="1:16" s="13" customFormat="1" ht="14.4" x14ac:dyDescent="0.3">
      <c r="A58" s="11" t="s">
        <v>3</v>
      </c>
      <c r="B58" s="11"/>
      <c r="C58" s="11" t="s">
        <v>4</v>
      </c>
      <c r="D58" s="12" t="str">
        <f>D7</f>
        <v>JAN</v>
      </c>
      <c r="E58" s="12" t="str">
        <f t="shared" ref="E58:P58" si="1">E7</f>
        <v>FEB</v>
      </c>
      <c r="F58" s="12" t="str">
        <f t="shared" si="1"/>
        <v>MAR</v>
      </c>
      <c r="G58" s="12" t="str">
        <f t="shared" si="1"/>
        <v>APR</v>
      </c>
      <c r="H58" s="12" t="str">
        <f t="shared" si="1"/>
        <v>MAY</v>
      </c>
      <c r="I58" s="12" t="str">
        <f t="shared" si="1"/>
        <v>JUN</v>
      </c>
      <c r="J58" s="12" t="str">
        <f t="shared" si="1"/>
        <v>JUL</v>
      </c>
      <c r="K58" s="12" t="str">
        <f t="shared" si="1"/>
        <v>AUG</v>
      </c>
      <c r="L58" s="12" t="str">
        <f t="shared" si="1"/>
        <v>SEP</v>
      </c>
      <c r="M58" s="12" t="str">
        <f t="shared" si="1"/>
        <v>OCT</v>
      </c>
      <c r="N58" s="12" t="str">
        <f t="shared" si="1"/>
        <v>NOV</v>
      </c>
      <c r="O58" s="12" t="str">
        <f t="shared" si="1"/>
        <v>DEC</v>
      </c>
      <c r="P58" s="12" t="str">
        <f t="shared" si="1"/>
        <v>JAN</v>
      </c>
    </row>
    <row r="59" spans="1:16" ht="14.4" x14ac:dyDescent="0.3">
      <c r="A59" s="34" t="s">
        <v>17</v>
      </c>
      <c r="B59" s="35"/>
      <c r="C59" s="36"/>
      <c r="D59" s="37"/>
      <c r="E59" s="37"/>
      <c r="F59" s="37"/>
      <c r="G59" s="37"/>
      <c r="H59" s="37"/>
      <c r="I59" s="37"/>
      <c r="J59" s="37"/>
      <c r="K59" s="37"/>
      <c r="L59" s="37"/>
      <c r="M59" s="37"/>
      <c r="N59" s="37"/>
      <c r="O59" s="37"/>
      <c r="P59" s="37"/>
    </row>
    <row r="60" spans="1:16" ht="14.4" x14ac:dyDescent="0.3">
      <c r="A60" s="38" t="s">
        <v>18</v>
      </c>
      <c r="B60" s="39"/>
      <c r="C60" s="36" t="s">
        <v>19</v>
      </c>
      <c r="D60" s="40" t="s">
        <v>59</v>
      </c>
      <c r="E60" s="40" t="s">
        <v>59</v>
      </c>
      <c r="F60" s="40" t="s">
        <v>59</v>
      </c>
      <c r="G60" s="40" t="s">
        <v>59</v>
      </c>
      <c r="H60" s="40" t="s">
        <v>59</v>
      </c>
      <c r="I60" s="40" t="s">
        <v>59</v>
      </c>
      <c r="J60" s="40" t="s">
        <v>59</v>
      </c>
      <c r="K60" s="40" t="s">
        <v>59</v>
      </c>
      <c r="L60" s="40" t="s">
        <v>59</v>
      </c>
      <c r="M60" s="40" t="s">
        <v>59</v>
      </c>
      <c r="N60" s="40" t="s">
        <v>59</v>
      </c>
      <c r="O60" s="40" t="s">
        <v>59</v>
      </c>
      <c r="P60" s="40" t="s">
        <v>59</v>
      </c>
    </row>
    <row r="61" spans="1:16" ht="14.4" hidden="1" x14ac:dyDescent="0.3">
      <c r="A61" s="38" t="s">
        <v>66</v>
      </c>
      <c r="B61" s="39"/>
      <c r="C61" s="36" t="s">
        <v>19</v>
      </c>
      <c r="D61" s="20">
        <v>0</v>
      </c>
      <c r="E61" s="20">
        <v>0</v>
      </c>
      <c r="F61" s="20">
        <v>0</v>
      </c>
      <c r="G61" s="20">
        <v>0</v>
      </c>
      <c r="H61" s="20">
        <v>0</v>
      </c>
      <c r="I61" s="20">
        <v>0</v>
      </c>
      <c r="J61" s="20">
        <v>0</v>
      </c>
      <c r="K61" s="20">
        <v>0</v>
      </c>
      <c r="L61" s="20">
        <v>0</v>
      </c>
      <c r="M61" s="20">
        <v>0</v>
      </c>
      <c r="N61" s="20">
        <v>0</v>
      </c>
      <c r="O61" s="20">
        <v>0</v>
      </c>
      <c r="P61" s="20">
        <v>0</v>
      </c>
    </row>
    <row r="62" spans="1:16" ht="14.4" x14ac:dyDescent="0.3">
      <c r="A62" s="34" t="s">
        <v>20</v>
      </c>
      <c r="B62" s="35"/>
      <c r="C62" s="36"/>
      <c r="D62" s="41"/>
      <c r="E62" s="41"/>
      <c r="F62" s="41"/>
      <c r="G62" s="41"/>
      <c r="H62" s="41"/>
      <c r="I62" s="41"/>
      <c r="J62" s="41"/>
      <c r="K62" s="41"/>
      <c r="L62" s="41"/>
      <c r="M62" s="41"/>
      <c r="N62" s="41"/>
      <c r="O62" s="41"/>
      <c r="P62" s="41"/>
    </row>
    <row r="63" spans="1:16" ht="14.4" x14ac:dyDescent="0.3">
      <c r="A63" s="38" t="s">
        <v>21</v>
      </c>
      <c r="B63" s="39"/>
      <c r="C63" s="36" t="s">
        <v>19</v>
      </c>
      <c r="D63" s="42">
        <f>[42]TR!D65</f>
        <v>0.93330000000000002</v>
      </c>
      <c r="E63" s="42">
        <f>[42]TR!E65</f>
        <v>0.94679999999999997</v>
      </c>
      <c r="F63" s="42">
        <f>[42]TR!F65</f>
        <v>0.99039999999999995</v>
      </c>
      <c r="G63" s="42">
        <f>[42]TR!G65</f>
        <v>1.0165</v>
      </c>
      <c r="H63" s="42">
        <f>[42]TR!H65</f>
        <v>0.93389999999999995</v>
      </c>
      <c r="I63" s="42">
        <f>[42]TR!I65</f>
        <v>0.89280000000000004</v>
      </c>
      <c r="J63" s="42">
        <f>[42]TR!J65</f>
        <v>0.97740000000000005</v>
      </c>
      <c r="K63" s="42">
        <f>[42]TR!K65</f>
        <v>0.96640000000000004</v>
      </c>
      <c r="L63" s="42">
        <f>[42]TR!L65</f>
        <v>0.92249999999999999</v>
      </c>
      <c r="M63" s="42">
        <f>[42]TR!M65</f>
        <v>0.86870000000000003</v>
      </c>
      <c r="N63" s="42">
        <f>[42]TR!N65</f>
        <v>0.78549999999999998</v>
      </c>
      <c r="O63" s="42">
        <f>[42]TR!O65</f>
        <v>0.80289999999999995</v>
      </c>
      <c r="P63" s="42">
        <f>[42]TR!P65</f>
        <v>0</v>
      </c>
    </row>
    <row r="64" spans="1:16" ht="14.4" x14ac:dyDescent="0.3">
      <c r="A64" s="38" t="s">
        <v>22</v>
      </c>
      <c r="B64" s="39"/>
      <c r="C64" s="36" t="s">
        <v>23</v>
      </c>
      <c r="D64" s="43">
        <v>0</v>
      </c>
      <c r="E64" s="43">
        <v>0</v>
      </c>
      <c r="F64" s="43">
        <v>0</v>
      </c>
      <c r="G64" s="43">
        <v>0</v>
      </c>
      <c r="H64" s="43">
        <v>0</v>
      </c>
      <c r="I64" s="43">
        <v>0</v>
      </c>
      <c r="J64" s="43">
        <v>0</v>
      </c>
      <c r="K64" s="43">
        <v>0</v>
      </c>
      <c r="L64" s="43">
        <v>0</v>
      </c>
      <c r="M64" s="43">
        <v>0</v>
      </c>
      <c r="N64" s="43">
        <v>0</v>
      </c>
      <c r="O64" s="43">
        <v>0</v>
      </c>
      <c r="P64" s="43">
        <v>0</v>
      </c>
    </row>
    <row r="65" spans="1:16" ht="14.4" x14ac:dyDescent="0.3">
      <c r="A65" s="34" t="s">
        <v>24</v>
      </c>
      <c r="B65" s="35"/>
      <c r="C65" s="36"/>
      <c r="D65" s="41"/>
      <c r="E65" s="41"/>
      <c r="F65" s="41"/>
      <c r="G65" s="41"/>
      <c r="H65" s="41"/>
      <c r="I65" s="41"/>
      <c r="J65" s="41"/>
      <c r="K65" s="41"/>
      <c r="L65" s="41"/>
      <c r="M65" s="41"/>
      <c r="N65" s="41"/>
      <c r="O65" s="41"/>
      <c r="P65" s="41"/>
    </row>
    <row r="66" spans="1:16" ht="14.4" x14ac:dyDescent="0.3">
      <c r="A66" s="38" t="s">
        <v>25</v>
      </c>
      <c r="B66" s="39"/>
      <c r="C66" s="36" t="s">
        <v>19</v>
      </c>
      <c r="D66" s="42">
        <f>D15</f>
        <v>0.60619999999999996</v>
      </c>
      <c r="E66" s="42">
        <f t="shared" ref="E66:P66" si="2">E15</f>
        <v>0.59540000000000004</v>
      </c>
      <c r="F66" s="42">
        <f t="shared" si="2"/>
        <v>0.55020000000000002</v>
      </c>
      <c r="G66" s="42">
        <f t="shared" si="2"/>
        <v>0.61329999999999996</v>
      </c>
      <c r="H66" s="42">
        <f t="shared" si="2"/>
        <v>0.59940000000000004</v>
      </c>
      <c r="I66" s="42">
        <f t="shared" si="2"/>
        <v>0.55889999999999995</v>
      </c>
      <c r="J66" s="42">
        <f t="shared" si="2"/>
        <v>0.5776</v>
      </c>
      <c r="K66" s="42">
        <f t="shared" si="2"/>
        <v>0.57809999999999995</v>
      </c>
      <c r="L66" s="42">
        <f t="shared" si="2"/>
        <v>0.55659999999999998</v>
      </c>
      <c r="M66" s="42">
        <f t="shared" si="2"/>
        <v>0.56210000000000004</v>
      </c>
      <c r="N66" s="42">
        <f t="shared" si="2"/>
        <v>0.5272</v>
      </c>
      <c r="O66" s="42">
        <f t="shared" si="2"/>
        <v>0.51049999999999995</v>
      </c>
      <c r="P66" s="42">
        <f t="shared" si="2"/>
        <v>0</v>
      </c>
    </row>
    <row r="67" spans="1:16" ht="14.4" x14ac:dyDescent="0.3">
      <c r="A67" s="34" t="s">
        <v>26</v>
      </c>
      <c r="B67" s="34"/>
      <c r="C67" s="36"/>
      <c r="D67" s="44"/>
      <c r="E67" s="44"/>
      <c r="F67" s="44"/>
      <c r="G67" s="44"/>
      <c r="H67" s="44"/>
      <c r="I67" s="44"/>
      <c r="J67" s="44"/>
      <c r="K67" s="44"/>
      <c r="L67" s="44"/>
      <c r="M67" s="44"/>
      <c r="N67" s="44"/>
      <c r="O67" s="44"/>
      <c r="P67" s="44"/>
    </row>
    <row r="68" spans="1:16" ht="14.4" x14ac:dyDescent="0.3">
      <c r="A68" s="38" t="s">
        <v>27</v>
      </c>
      <c r="B68" s="38"/>
      <c r="C68" s="36" t="s">
        <v>19</v>
      </c>
      <c r="D68" s="40" t="s">
        <v>60</v>
      </c>
      <c r="E68" s="40" t="s">
        <v>60</v>
      </c>
      <c r="F68" s="40" t="s">
        <v>60</v>
      </c>
      <c r="G68" s="40" t="s">
        <v>60</v>
      </c>
      <c r="H68" s="40" t="s">
        <v>60</v>
      </c>
      <c r="I68" s="40" t="s">
        <v>60</v>
      </c>
      <c r="J68" s="40" t="s">
        <v>60</v>
      </c>
      <c r="K68" s="40" t="s">
        <v>60</v>
      </c>
      <c r="L68" s="40" t="s">
        <v>60</v>
      </c>
      <c r="M68" s="40" t="s">
        <v>60</v>
      </c>
      <c r="N68" s="40" t="s">
        <v>60</v>
      </c>
      <c r="O68" s="40" t="s">
        <v>60</v>
      </c>
      <c r="P68" s="40" t="s">
        <v>60</v>
      </c>
    </row>
    <row r="69" spans="1:16" ht="14.4" x14ac:dyDescent="0.3">
      <c r="A69" s="38" t="s">
        <v>28</v>
      </c>
      <c r="B69" s="38"/>
      <c r="C69" s="36" t="s">
        <v>23</v>
      </c>
      <c r="D69" s="43">
        <v>0</v>
      </c>
      <c r="E69" s="43">
        <v>0</v>
      </c>
      <c r="F69" s="43">
        <v>0</v>
      </c>
      <c r="G69" s="43">
        <v>0</v>
      </c>
      <c r="H69" s="43">
        <v>0</v>
      </c>
      <c r="I69" s="43">
        <v>0</v>
      </c>
      <c r="J69" s="43">
        <v>0</v>
      </c>
      <c r="K69" s="43">
        <v>0</v>
      </c>
      <c r="L69" s="43">
        <v>0</v>
      </c>
      <c r="M69" s="43">
        <v>0</v>
      </c>
      <c r="N69" s="43">
        <v>0</v>
      </c>
      <c r="O69" s="43">
        <v>0</v>
      </c>
      <c r="P69" s="43">
        <v>0</v>
      </c>
    </row>
    <row r="70" spans="1:16" ht="14.4" x14ac:dyDescent="0.3">
      <c r="A70" s="34" t="s">
        <v>29</v>
      </c>
      <c r="B70" s="34"/>
      <c r="C70" s="36"/>
      <c r="D70" s="45"/>
      <c r="E70" s="45"/>
      <c r="F70" s="45"/>
      <c r="G70" s="45"/>
      <c r="H70" s="45"/>
      <c r="I70" s="45"/>
      <c r="J70" s="45"/>
      <c r="K70" s="45"/>
      <c r="L70" s="45"/>
      <c r="M70" s="45"/>
      <c r="N70" s="45"/>
      <c r="O70" s="45"/>
      <c r="P70" s="45"/>
    </row>
    <row r="71" spans="1:16" ht="14.4" x14ac:dyDescent="0.3">
      <c r="A71" s="38" t="s">
        <v>30</v>
      </c>
      <c r="B71" s="38"/>
      <c r="C71" s="36" t="s">
        <v>19</v>
      </c>
      <c r="D71" s="40" t="s">
        <v>61</v>
      </c>
      <c r="E71" s="40" t="s">
        <v>61</v>
      </c>
      <c r="F71" s="40" t="s">
        <v>61</v>
      </c>
      <c r="G71" s="40" t="s">
        <v>61</v>
      </c>
      <c r="H71" s="40" t="s">
        <v>61</v>
      </c>
      <c r="I71" s="40" t="s">
        <v>61</v>
      </c>
      <c r="J71" s="40" t="s">
        <v>61</v>
      </c>
      <c r="K71" s="40" t="s">
        <v>61</v>
      </c>
      <c r="L71" s="40" t="s">
        <v>61</v>
      </c>
      <c r="M71" s="40" t="s">
        <v>61</v>
      </c>
      <c r="N71" s="40" t="s">
        <v>61</v>
      </c>
      <c r="O71" s="40" t="s">
        <v>61</v>
      </c>
      <c r="P71" s="40" t="s">
        <v>61</v>
      </c>
    </row>
    <row r="72" spans="1:16" ht="14.4" x14ac:dyDescent="0.3">
      <c r="A72" s="38" t="s">
        <v>31</v>
      </c>
      <c r="B72" s="38"/>
      <c r="C72" s="36" t="s">
        <v>32</v>
      </c>
      <c r="D72" s="40" t="s">
        <v>62</v>
      </c>
      <c r="E72" s="40" t="s">
        <v>62</v>
      </c>
      <c r="F72" s="40" t="s">
        <v>62</v>
      </c>
      <c r="G72" s="40" t="s">
        <v>62</v>
      </c>
      <c r="H72" s="40" t="s">
        <v>62</v>
      </c>
      <c r="I72" s="40" t="s">
        <v>62</v>
      </c>
      <c r="J72" s="40" t="s">
        <v>62</v>
      </c>
      <c r="K72" s="40" t="s">
        <v>62</v>
      </c>
      <c r="L72" s="40" t="s">
        <v>62</v>
      </c>
      <c r="M72" s="40" t="s">
        <v>62</v>
      </c>
      <c r="N72" s="40" t="s">
        <v>62</v>
      </c>
      <c r="O72" s="40" t="s">
        <v>62</v>
      </c>
      <c r="P72" s="40" t="s">
        <v>62</v>
      </c>
    </row>
    <row r="73" spans="1:16" ht="14.4" x14ac:dyDescent="0.3">
      <c r="A73" s="34" t="s">
        <v>33</v>
      </c>
      <c r="B73" s="34"/>
      <c r="C73" s="36"/>
      <c r="D73" s="45"/>
      <c r="E73" s="45"/>
      <c r="F73" s="45"/>
      <c r="G73" s="45"/>
      <c r="H73" s="45"/>
      <c r="I73" s="45"/>
      <c r="J73" s="45"/>
      <c r="K73" s="45"/>
      <c r="L73" s="45"/>
      <c r="M73" s="45"/>
      <c r="N73" s="45"/>
      <c r="O73" s="45"/>
      <c r="P73" s="45"/>
    </row>
    <row r="74" spans="1:16" ht="14.4" x14ac:dyDescent="0.3">
      <c r="A74" s="38" t="s">
        <v>34</v>
      </c>
      <c r="B74" s="38"/>
      <c r="C74" s="36" t="s">
        <v>19</v>
      </c>
      <c r="D74" s="42">
        <v>0.40660000000000002</v>
      </c>
      <c r="E74" s="42">
        <v>0.40660000000000002</v>
      </c>
      <c r="F74" s="42">
        <v>0.40660000000000002</v>
      </c>
      <c r="G74" s="42">
        <v>0.40660000000000002</v>
      </c>
      <c r="H74" s="42">
        <v>0.40660000000000002</v>
      </c>
      <c r="I74" s="42">
        <v>0.40660000000000002</v>
      </c>
      <c r="J74" s="42">
        <v>0.38400000000000001</v>
      </c>
      <c r="K74" s="42">
        <v>0.38400000000000001</v>
      </c>
      <c r="L74" s="42">
        <v>0.38400000000000001</v>
      </c>
      <c r="M74" s="42">
        <v>0.38400000000000001</v>
      </c>
      <c r="N74" s="42">
        <v>0.38400000000000001</v>
      </c>
      <c r="O74" s="42">
        <v>0.38400000000000001</v>
      </c>
      <c r="P74" s="42">
        <v>0.38400000000000001</v>
      </c>
    </row>
    <row r="75" spans="1:16" ht="14.4" x14ac:dyDescent="0.3">
      <c r="A75" s="38" t="s">
        <v>35</v>
      </c>
      <c r="B75" s="38"/>
      <c r="C75" s="36" t="s">
        <v>36</v>
      </c>
      <c r="D75" s="40" t="s">
        <v>63</v>
      </c>
      <c r="E75" s="40" t="s">
        <v>63</v>
      </c>
      <c r="F75" s="40" t="s">
        <v>63</v>
      </c>
      <c r="G75" s="40" t="s">
        <v>63</v>
      </c>
      <c r="H75" s="40" t="s">
        <v>63</v>
      </c>
      <c r="I75" s="40" t="s">
        <v>63</v>
      </c>
      <c r="J75" s="40" t="s">
        <v>63</v>
      </c>
      <c r="K75" s="40" t="s">
        <v>63</v>
      </c>
      <c r="L75" s="40" t="s">
        <v>63</v>
      </c>
      <c r="M75" s="40" t="s">
        <v>63</v>
      </c>
      <c r="N75" s="40" t="s">
        <v>63</v>
      </c>
      <c r="O75" s="40" t="s">
        <v>63</v>
      </c>
      <c r="P75" s="40" t="s">
        <v>63</v>
      </c>
    </row>
    <row r="76" spans="1:16" ht="14.4" x14ac:dyDescent="0.3">
      <c r="A76" s="34" t="s">
        <v>37</v>
      </c>
      <c r="B76" s="34"/>
      <c r="C76" s="36"/>
      <c r="D76" s="45"/>
      <c r="E76" s="45"/>
      <c r="F76" s="45"/>
      <c r="G76" s="45"/>
      <c r="H76" s="45"/>
      <c r="I76" s="45"/>
      <c r="J76" s="45"/>
      <c r="K76" s="45"/>
      <c r="L76" s="45"/>
      <c r="M76" s="45"/>
      <c r="N76" s="45"/>
      <c r="O76" s="45"/>
      <c r="P76" s="45"/>
    </row>
    <row r="77" spans="1:16" ht="14.4" x14ac:dyDescent="0.3">
      <c r="A77" s="46" t="s">
        <v>38</v>
      </c>
      <c r="B77" s="38"/>
      <c r="C77" s="36" t="s">
        <v>19</v>
      </c>
      <c r="D77" s="42">
        <f>D26</f>
        <v>0.1173</v>
      </c>
      <c r="E77" s="42">
        <f t="shared" ref="E77:P77" si="3">E26</f>
        <v>0.1527</v>
      </c>
      <c r="F77" s="42">
        <f t="shared" si="3"/>
        <v>0.15920000000000001</v>
      </c>
      <c r="G77" s="42">
        <f t="shared" si="3"/>
        <v>0.16189999999999999</v>
      </c>
      <c r="H77" s="42">
        <f t="shared" si="3"/>
        <v>0.11899999999999999</v>
      </c>
      <c r="I77" s="42">
        <f t="shared" si="3"/>
        <v>0.1066</v>
      </c>
      <c r="J77" s="42">
        <f t="shared" si="3"/>
        <v>8.9300000000000004E-2</v>
      </c>
      <c r="K77" s="42">
        <f t="shared" si="3"/>
        <v>0.1177</v>
      </c>
      <c r="L77" s="42">
        <f t="shared" si="3"/>
        <v>0.1222</v>
      </c>
      <c r="M77" s="42">
        <f t="shared" si="3"/>
        <v>0.1089</v>
      </c>
      <c r="N77" s="42">
        <f t="shared" si="3"/>
        <v>0.1176</v>
      </c>
      <c r="O77" s="42">
        <f t="shared" si="3"/>
        <v>0.1109</v>
      </c>
      <c r="P77" s="42">
        <f t="shared" si="3"/>
        <v>0</v>
      </c>
    </row>
    <row r="78" spans="1:16" ht="14.4" x14ac:dyDescent="0.3">
      <c r="A78" s="46" t="s">
        <v>39</v>
      </c>
      <c r="B78" s="38"/>
      <c r="C78" s="36" t="s">
        <v>19</v>
      </c>
      <c r="D78" s="40" t="s">
        <v>64</v>
      </c>
      <c r="E78" s="40" t="s">
        <v>64</v>
      </c>
      <c r="F78" s="40" t="s">
        <v>64</v>
      </c>
      <c r="G78" s="40" t="s">
        <v>64</v>
      </c>
      <c r="H78" s="40" t="s">
        <v>64</v>
      </c>
      <c r="I78" s="40" t="s">
        <v>64</v>
      </c>
      <c r="J78" s="40" t="s">
        <v>64</v>
      </c>
      <c r="K78" s="40" t="s">
        <v>64</v>
      </c>
      <c r="L78" s="40" t="s">
        <v>64</v>
      </c>
      <c r="M78" s="40" t="s">
        <v>64</v>
      </c>
      <c r="N78" s="40" t="s">
        <v>64</v>
      </c>
      <c r="O78" s="40" t="s">
        <v>64</v>
      </c>
      <c r="P78" s="40" t="s">
        <v>64</v>
      </c>
    </row>
    <row r="79" spans="1:16" ht="14.4" x14ac:dyDescent="0.3">
      <c r="A79" s="46" t="s">
        <v>180</v>
      </c>
      <c r="B79" s="38"/>
      <c r="C79" s="36" t="s">
        <v>19</v>
      </c>
      <c r="D79" s="42">
        <f>D28</f>
        <v>3.1399999999999997E-2</v>
      </c>
      <c r="E79" s="42">
        <f t="shared" ref="E79:P82" si="4">E28</f>
        <v>3.1399999999999997E-2</v>
      </c>
      <c r="F79" s="42">
        <f t="shared" si="4"/>
        <v>0</v>
      </c>
      <c r="G79" s="42">
        <f t="shared" si="4"/>
        <v>0</v>
      </c>
      <c r="H79" s="42">
        <f t="shared" si="4"/>
        <v>0</v>
      </c>
      <c r="I79" s="42">
        <f t="shared" si="4"/>
        <v>0</v>
      </c>
      <c r="J79" s="42">
        <f t="shared" si="4"/>
        <v>0</v>
      </c>
      <c r="K79" s="42">
        <f t="shared" si="4"/>
        <v>0</v>
      </c>
      <c r="L79" s="42">
        <f t="shared" si="4"/>
        <v>0</v>
      </c>
      <c r="M79" s="42">
        <f t="shared" si="4"/>
        <v>0</v>
      </c>
      <c r="N79" s="42">
        <f t="shared" si="4"/>
        <v>0</v>
      </c>
      <c r="O79" s="42">
        <f t="shared" si="4"/>
        <v>0</v>
      </c>
      <c r="P79" s="42">
        <f t="shared" si="4"/>
        <v>0</v>
      </c>
    </row>
    <row r="80" spans="1:16" ht="14.4" x14ac:dyDescent="0.3">
      <c r="A80" s="47" t="s">
        <v>40</v>
      </c>
      <c r="B80" s="38"/>
      <c r="C80" s="36" t="s">
        <v>19</v>
      </c>
      <c r="D80" s="42">
        <f>D29</f>
        <v>1E-4</v>
      </c>
      <c r="E80" s="42">
        <f t="shared" si="4"/>
        <v>1E-4</v>
      </c>
      <c r="F80" s="42">
        <f t="shared" si="4"/>
        <v>1E-4</v>
      </c>
      <c r="G80" s="42">
        <f t="shared" si="4"/>
        <v>1E-4</v>
      </c>
      <c r="H80" s="42">
        <f t="shared" si="4"/>
        <v>1E-4</v>
      </c>
      <c r="I80" s="42">
        <f t="shared" si="4"/>
        <v>0</v>
      </c>
      <c r="J80" s="42">
        <f t="shared" si="4"/>
        <v>1E-4</v>
      </c>
      <c r="K80" s="42">
        <f t="shared" si="4"/>
        <v>1E-4</v>
      </c>
      <c r="L80" s="42">
        <f t="shared" si="4"/>
        <v>1E-4</v>
      </c>
      <c r="M80" s="42">
        <f t="shared" si="4"/>
        <v>2.0000000000000001E-4</v>
      </c>
      <c r="N80" s="42">
        <f t="shared" si="4"/>
        <v>1E-4</v>
      </c>
      <c r="O80" s="42">
        <f t="shared" si="4"/>
        <v>1E-4</v>
      </c>
      <c r="P80" s="42">
        <f t="shared" si="4"/>
        <v>0</v>
      </c>
    </row>
    <row r="81" spans="1:16" ht="14.4" x14ac:dyDescent="0.3">
      <c r="A81" s="47" t="s">
        <v>41</v>
      </c>
      <c r="B81" s="38"/>
      <c r="C81" s="36" t="s">
        <v>19</v>
      </c>
      <c r="D81" s="42">
        <f>D30</f>
        <v>0</v>
      </c>
      <c r="E81" s="42">
        <f t="shared" si="4"/>
        <v>0</v>
      </c>
      <c r="F81" s="42">
        <f t="shared" si="4"/>
        <v>0</v>
      </c>
      <c r="G81" s="42">
        <f t="shared" si="4"/>
        <v>0</v>
      </c>
      <c r="H81" s="42">
        <f t="shared" si="4"/>
        <v>0</v>
      </c>
      <c r="I81" s="42">
        <f t="shared" si="4"/>
        <v>0</v>
      </c>
      <c r="J81" s="42">
        <f t="shared" si="4"/>
        <v>0</v>
      </c>
      <c r="K81" s="42">
        <f t="shared" si="4"/>
        <v>0</v>
      </c>
      <c r="L81" s="42">
        <f t="shared" si="4"/>
        <v>0</v>
      </c>
      <c r="M81" s="42">
        <f t="shared" si="4"/>
        <v>0</v>
      </c>
      <c r="N81" s="42">
        <f t="shared" si="4"/>
        <v>0</v>
      </c>
      <c r="O81" s="42">
        <f t="shared" si="4"/>
        <v>0</v>
      </c>
      <c r="P81" s="42">
        <f t="shared" si="4"/>
        <v>0</v>
      </c>
    </row>
    <row r="82" spans="1:16" ht="14.4" hidden="1" x14ac:dyDescent="0.3">
      <c r="A82" s="157" t="s">
        <v>181</v>
      </c>
      <c r="B82" s="158"/>
      <c r="C82" s="36" t="s">
        <v>19</v>
      </c>
      <c r="D82" s="42">
        <f>D31</f>
        <v>0</v>
      </c>
      <c r="E82" s="42">
        <f t="shared" si="4"/>
        <v>0</v>
      </c>
      <c r="F82" s="42">
        <f t="shared" si="4"/>
        <v>0</v>
      </c>
      <c r="G82" s="42">
        <f t="shared" si="4"/>
        <v>0</v>
      </c>
      <c r="H82" s="42">
        <f t="shared" si="4"/>
        <v>0</v>
      </c>
      <c r="I82" s="42">
        <f t="shared" si="4"/>
        <v>0</v>
      </c>
      <c r="J82" s="42">
        <f t="shared" si="4"/>
        <v>0</v>
      </c>
      <c r="K82" s="42">
        <f t="shared" si="4"/>
        <v>0</v>
      </c>
      <c r="L82" s="42">
        <f t="shared" si="4"/>
        <v>0</v>
      </c>
      <c r="M82" s="42">
        <f t="shared" si="4"/>
        <v>0</v>
      </c>
      <c r="N82" s="42">
        <f t="shared" si="4"/>
        <v>0</v>
      </c>
      <c r="O82" s="42">
        <f t="shared" si="4"/>
        <v>0</v>
      </c>
      <c r="P82" s="42">
        <f t="shared" si="4"/>
        <v>0</v>
      </c>
    </row>
    <row r="83" spans="1:16" ht="16.2" hidden="1" x14ac:dyDescent="0.3">
      <c r="A83" s="157" t="s">
        <v>182</v>
      </c>
      <c r="B83" s="158"/>
      <c r="C83" s="36" t="s">
        <v>19</v>
      </c>
      <c r="D83" s="42"/>
      <c r="E83" s="42"/>
      <c r="F83" s="42"/>
      <c r="G83" s="42"/>
      <c r="H83" s="42"/>
      <c r="I83" s="42"/>
      <c r="J83" s="42"/>
      <c r="K83" s="42"/>
      <c r="L83" s="42"/>
      <c r="M83" s="42"/>
      <c r="N83" s="42"/>
      <c r="O83" s="42"/>
      <c r="P83" s="42"/>
    </row>
    <row r="84" spans="1:16" ht="16.2" hidden="1" x14ac:dyDescent="0.3">
      <c r="A84" s="157" t="s">
        <v>182</v>
      </c>
      <c r="B84" s="159"/>
      <c r="C84" s="36" t="s">
        <v>19</v>
      </c>
      <c r="D84" s="42"/>
      <c r="E84" s="42"/>
      <c r="F84" s="42"/>
      <c r="G84" s="42"/>
      <c r="H84" s="42"/>
      <c r="I84" s="42"/>
      <c r="J84" s="42"/>
      <c r="K84" s="42"/>
      <c r="L84" s="42"/>
      <c r="M84" s="42"/>
      <c r="N84" s="42"/>
      <c r="O84" s="42"/>
      <c r="P84" s="42"/>
    </row>
    <row r="85" spans="1:16" ht="14.4" x14ac:dyDescent="0.3">
      <c r="A85" s="34" t="s">
        <v>42</v>
      </c>
      <c r="B85" s="34"/>
      <c r="C85" s="36"/>
      <c r="D85" s="45"/>
      <c r="E85" s="45"/>
      <c r="F85" s="45"/>
      <c r="G85" s="45"/>
      <c r="H85" s="45"/>
      <c r="I85" s="45"/>
      <c r="J85" s="45"/>
      <c r="K85" s="45"/>
      <c r="L85" s="45"/>
      <c r="M85" s="45"/>
      <c r="N85" s="45"/>
      <c r="O85" s="45"/>
      <c r="P85" s="45"/>
    </row>
    <row r="86" spans="1:16" ht="14.4" x14ac:dyDescent="0.3">
      <c r="A86" s="34" t="s">
        <v>43</v>
      </c>
      <c r="B86" s="34"/>
      <c r="C86" s="36" t="s">
        <v>44</v>
      </c>
      <c r="D86" s="48"/>
      <c r="E86" s="48"/>
      <c r="F86" s="48"/>
      <c r="G86" s="48"/>
      <c r="H86" s="48"/>
      <c r="I86" s="48"/>
      <c r="J86" s="48"/>
      <c r="K86" s="48"/>
      <c r="L86" s="48"/>
      <c r="M86" s="48"/>
      <c r="N86" s="48"/>
      <c r="O86" s="48"/>
      <c r="P86" s="48"/>
    </row>
    <row r="87" spans="1:16" ht="14.4" hidden="1" x14ac:dyDescent="0.3">
      <c r="A87" s="34" t="s">
        <v>183</v>
      </c>
      <c r="B87" s="34"/>
      <c r="C87" s="36"/>
      <c r="D87" s="49"/>
      <c r="E87" s="49"/>
      <c r="F87" s="49"/>
      <c r="G87" s="49"/>
      <c r="H87" s="49"/>
      <c r="I87" s="49"/>
      <c r="J87" s="49"/>
      <c r="K87" s="49"/>
      <c r="L87" s="49"/>
      <c r="M87" s="49"/>
      <c r="N87" s="49"/>
      <c r="O87" s="49"/>
      <c r="P87" s="49"/>
    </row>
    <row r="88" spans="1:16" ht="14.4" hidden="1" x14ac:dyDescent="0.3">
      <c r="A88" s="34" t="s">
        <v>184</v>
      </c>
      <c r="B88" s="34"/>
      <c r="C88" s="36" t="s">
        <v>19</v>
      </c>
      <c r="D88" s="42"/>
      <c r="E88" s="42"/>
      <c r="F88" s="42"/>
      <c r="G88" s="42"/>
      <c r="H88" s="42"/>
      <c r="I88" s="42"/>
      <c r="J88" s="42"/>
      <c r="K88" s="42"/>
      <c r="L88" s="42"/>
      <c r="M88" s="42"/>
      <c r="N88" s="42"/>
      <c r="O88" s="42"/>
      <c r="P88" s="42"/>
    </row>
    <row r="89" spans="1:16" ht="14.4" x14ac:dyDescent="0.3">
      <c r="A89" s="34" t="s">
        <v>45</v>
      </c>
      <c r="B89" s="34"/>
      <c r="C89" s="36"/>
      <c r="D89" s="49"/>
      <c r="E89" s="49"/>
      <c r="F89" s="49"/>
      <c r="G89" s="49"/>
      <c r="H89" s="49"/>
      <c r="I89" s="49"/>
      <c r="J89" s="49"/>
      <c r="K89" s="49"/>
      <c r="L89" s="49"/>
      <c r="M89" s="49"/>
      <c r="N89" s="49"/>
      <c r="O89" s="49"/>
      <c r="P89" s="49"/>
    </row>
    <row r="90" spans="1:16" ht="14.4" x14ac:dyDescent="0.3">
      <c r="A90" s="34" t="s">
        <v>46</v>
      </c>
      <c r="B90" s="34"/>
      <c r="C90" s="36" t="s">
        <v>19</v>
      </c>
      <c r="D90" s="40" t="s">
        <v>65</v>
      </c>
      <c r="E90" s="40" t="s">
        <v>65</v>
      </c>
      <c r="F90" s="40" t="s">
        <v>65</v>
      </c>
      <c r="G90" s="40" t="s">
        <v>65</v>
      </c>
      <c r="H90" s="40" t="s">
        <v>65</v>
      </c>
      <c r="I90" s="40" t="s">
        <v>65</v>
      </c>
      <c r="J90" s="40" t="s">
        <v>65</v>
      </c>
      <c r="K90" s="40" t="s">
        <v>65</v>
      </c>
      <c r="L90" s="40" t="s">
        <v>65</v>
      </c>
      <c r="M90" s="40" t="s">
        <v>65</v>
      </c>
      <c r="N90" s="40" t="s">
        <v>65</v>
      </c>
      <c r="O90" s="40" t="s">
        <v>65</v>
      </c>
      <c r="P90" s="40" t="s">
        <v>65</v>
      </c>
    </row>
    <row r="91" spans="1:16" ht="14.4" hidden="1" x14ac:dyDescent="0.3">
      <c r="A91" s="34" t="s">
        <v>185</v>
      </c>
      <c r="B91" s="34"/>
      <c r="C91" s="36"/>
      <c r="D91" s="49"/>
      <c r="E91" s="49"/>
      <c r="F91" s="49"/>
      <c r="G91" s="49"/>
      <c r="H91" s="49"/>
      <c r="I91" s="49"/>
      <c r="J91" s="49"/>
      <c r="K91" s="49"/>
      <c r="L91" s="49"/>
      <c r="M91" s="49"/>
      <c r="N91" s="49"/>
      <c r="O91" s="49"/>
      <c r="P91" s="49"/>
    </row>
    <row r="92" spans="1:16" ht="14.4" hidden="1" x14ac:dyDescent="0.3">
      <c r="A92" s="34" t="s">
        <v>186</v>
      </c>
      <c r="B92" s="34"/>
      <c r="C92" s="36" t="s">
        <v>19</v>
      </c>
      <c r="D92" s="42"/>
      <c r="E92" s="42"/>
      <c r="F92" s="42"/>
      <c r="G92" s="42"/>
      <c r="H92" s="42"/>
      <c r="I92" s="42"/>
      <c r="J92" s="42"/>
      <c r="K92" s="42"/>
      <c r="L92" s="42"/>
      <c r="M92" s="42"/>
      <c r="N92" s="42"/>
      <c r="O92" s="42"/>
      <c r="P92" s="42"/>
    </row>
    <row r="93" spans="1:16" ht="14.4" x14ac:dyDescent="0.3">
      <c r="A93" s="34" t="s">
        <v>47</v>
      </c>
      <c r="B93" s="34"/>
      <c r="C93" s="36"/>
      <c r="D93" s="45"/>
      <c r="E93" s="45"/>
      <c r="F93" s="45"/>
      <c r="G93" s="45"/>
      <c r="H93" s="45"/>
      <c r="I93" s="45"/>
      <c r="J93" s="45"/>
      <c r="K93" s="45"/>
      <c r="L93" s="45"/>
      <c r="M93" s="45"/>
      <c r="N93" s="45"/>
      <c r="O93" s="45"/>
      <c r="P93" s="45"/>
    </row>
    <row r="94" spans="1:16" ht="14.4" x14ac:dyDescent="0.3">
      <c r="A94" s="38" t="s">
        <v>48</v>
      </c>
      <c r="B94" s="38"/>
      <c r="C94" s="36" t="s">
        <v>19</v>
      </c>
      <c r="D94" s="42">
        <f>D43</f>
        <v>0.15609999999999999</v>
      </c>
      <c r="E94" s="42">
        <f t="shared" ref="E94:P95" si="5">E43</f>
        <v>0.15609999999999999</v>
      </c>
      <c r="F94" s="42">
        <f t="shared" si="5"/>
        <v>0.11799999999999999</v>
      </c>
      <c r="G94" s="42">
        <f t="shared" si="5"/>
        <v>0.11799999999999999</v>
      </c>
      <c r="H94" s="42">
        <f t="shared" si="5"/>
        <v>0.11799999999999999</v>
      </c>
      <c r="I94" s="42">
        <f t="shared" si="5"/>
        <v>0.11799999999999999</v>
      </c>
      <c r="J94" s="42">
        <f t="shared" si="5"/>
        <v>0.11799999999999999</v>
      </c>
      <c r="K94" s="42">
        <f t="shared" si="5"/>
        <v>0.15609999999999999</v>
      </c>
      <c r="L94" s="42">
        <f t="shared" si="5"/>
        <v>0.15609999999999999</v>
      </c>
      <c r="M94" s="42">
        <f t="shared" si="5"/>
        <v>0.15609999999999999</v>
      </c>
      <c r="N94" s="42">
        <f t="shared" si="5"/>
        <v>0.15609999999999999</v>
      </c>
      <c r="O94" s="42">
        <f t="shared" si="5"/>
        <v>0.15609999999999999</v>
      </c>
      <c r="P94" s="42">
        <f t="shared" si="5"/>
        <v>0.15609999999999999</v>
      </c>
    </row>
    <row r="95" spans="1:16" ht="14.4" x14ac:dyDescent="0.3">
      <c r="A95" s="38" t="s">
        <v>49</v>
      </c>
      <c r="B95" s="38"/>
      <c r="C95" s="36" t="s">
        <v>19</v>
      </c>
      <c r="D95" s="42">
        <f>D44</f>
        <v>2.5000000000000001E-3</v>
      </c>
      <c r="E95" s="42">
        <f t="shared" si="5"/>
        <v>2.5000000000000001E-3</v>
      </c>
      <c r="F95" s="42">
        <f t="shared" si="5"/>
        <v>2.5000000000000001E-3</v>
      </c>
      <c r="G95" s="42">
        <f t="shared" si="5"/>
        <v>2.5000000000000001E-3</v>
      </c>
      <c r="H95" s="42">
        <f t="shared" si="5"/>
        <v>2.5000000000000001E-3</v>
      </c>
      <c r="I95" s="42">
        <f t="shared" si="5"/>
        <v>2.5000000000000001E-3</v>
      </c>
      <c r="J95" s="42">
        <f t="shared" si="5"/>
        <v>2.5000000000000001E-3</v>
      </c>
      <c r="K95" s="42">
        <f t="shared" si="5"/>
        <v>2.5000000000000001E-3</v>
      </c>
      <c r="L95" s="42">
        <f t="shared" si="5"/>
        <v>2.5000000000000001E-3</v>
      </c>
      <c r="M95" s="42">
        <f t="shared" si="5"/>
        <v>2.5000000000000001E-3</v>
      </c>
      <c r="N95" s="42">
        <f t="shared" si="5"/>
        <v>2.5000000000000001E-3</v>
      </c>
      <c r="O95" s="42">
        <f t="shared" si="5"/>
        <v>2.5000000000000001E-3</v>
      </c>
      <c r="P95" s="42">
        <f t="shared" si="5"/>
        <v>2.5000000000000001E-3</v>
      </c>
    </row>
    <row r="96" spans="1:16" ht="14.4" x14ac:dyDescent="0.3">
      <c r="A96" s="18" t="s">
        <v>50</v>
      </c>
      <c r="B96" s="18"/>
      <c r="C96" s="16"/>
      <c r="D96" s="20">
        <v>0.1938</v>
      </c>
      <c r="E96" s="20">
        <v>0.1938</v>
      </c>
      <c r="F96" s="20">
        <v>0.1938</v>
      </c>
      <c r="G96" s="20">
        <v>0.1938</v>
      </c>
      <c r="H96" s="20">
        <v>0.1938</v>
      </c>
      <c r="I96" s="20">
        <v>0.1938</v>
      </c>
      <c r="J96" s="20">
        <v>0.1938</v>
      </c>
      <c r="K96" s="20">
        <v>0.1938</v>
      </c>
      <c r="L96" s="20">
        <v>0.1938</v>
      </c>
      <c r="M96" s="20">
        <v>0.1938</v>
      </c>
      <c r="N96" s="20">
        <v>0.1938</v>
      </c>
      <c r="O96" s="20">
        <v>0.1938</v>
      </c>
      <c r="P96" s="20">
        <v>0.1938</v>
      </c>
    </row>
    <row r="97" spans="1:16" ht="14.4" x14ac:dyDescent="0.3">
      <c r="A97" s="34" t="s">
        <v>52</v>
      </c>
      <c r="B97" s="34"/>
      <c r="C97" s="50"/>
      <c r="D97" s="44"/>
      <c r="E97" s="44"/>
      <c r="F97" s="44"/>
      <c r="G97" s="44"/>
      <c r="H97" s="44"/>
      <c r="I97" s="44"/>
      <c r="J97" s="44"/>
      <c r="K97" s="44"/>
      <c r="L97" s="44"/>
      <c r="M97" s="44"/>
      <c r="N97" s="44"/>
      <c r="O97" s="44"/>
      <c r="P97" s="44"/>
    </row>
    <row r="98" spans="1:16" ht="14.4" x14ac:dyDescent="0.3">
      <c r="A98" s="38" t="s">
        <v>53</v>
      </c>
      <c r="B98" s="38"/>
      <c r="C98" s="36" t="s">
        <v>44</v>
      </c>
      <c r="D98" s="51">
        <f t="shared" ref="D98:P104" si="6">D47</f>
        <v>0.10970000000000001</v>
      </c>
      <c r="E98" s="51">
        <f t="shared" si="6"/>
        <v>0.1176</v>
      </c>
      <c r="F98" s="51">
        <f t="shared" si="6"/>
        <v>0.1169</v>
      </c>
      <c r="G98" s="51">
        <f t="shared" si="6"/>
        <v>0.1177</v>
      </c>
      <c r="H98" s="51">
        <f t="shared" si="6"/>
        <v>0.11890000000000001</v>
      </c>
      <c r="I98" s="51">
        <f t="shared" si="6"/>
        <v>0.1192</v>
      </c>
      <c r="J98" s="51">
        <f t="shared" si="6"/>
        <v>0.1179</v>
      </c>
      <c r="K98" s="51">
        <f t="shared" si="6"/>
        <v>0.11700000000000001</v>
      </c>
      <c r="L98" s="51">
        <f t="shared" si="6"/>
        <v>0.11650000000000001</v>
      </c>
      <c r="M98" s="51">
        <f t="shared" si="6"/>
        <v>0.1154</v>
      </c>
      <c r="N98" s="51">
        <f t="shared" si="6"/>
        <v>0.1129</v>
      </c>
      <c r="O98" s="51">
        <f t="shared" si="6"/>
        <v>0.115</v>
      </c>
      <c r="P98" s="51" t="e">
        <f t="shared" si="6"/>
        <v>#DIV/0!</v>
      </c>
    </row>
    <row r="99" spans="1:16" ht="14.4" x14ac:dyDescent="0.3">
      <c r="A99" s="38" t="s">
        <v>54</v>
      </c>
      <c r="B99" s="38"/>
      <c r="C99" s="36" t="s">
        <v>44</v>
      </c>
      <c r="D99" s="51">
        <f t="shared" si="6"/>
        <v>6.0000000000000006E-4</v>
      </c>
      <c r="E99" s="51">
        <f t="shared" si="6"/>
        <v>3.2000000000000002E-3</v>
      </c>
      <c r="F99" s="51">
        <f t="shared" si="6"/>
        <v>3.5000000000000001E-3</v>
      </c>
      <c r="G99" s="51">
        <f t="shared" si="6"/>
        <v>1.3899999999999999E-2</v>
      </c>
      <c r="H99" s="51">
        <f t="shared" si="6"/>
        <v>2.5600000000000001E-2</v>
      </c>
      <c r="I99" s="51">
        <f t="shared" si="6"/>
        <v>2.8000000000000001E-2</v>
      </c>
      <c r="J99" s="51">
        <f t="shared" si="6"/>
        <v>3.73E-2</v>
      </c>
      <c r="K99" s="51">
        <f t="shared" si="6"/>
        <v>3.4099999999999998E-2</v>
      </c>
      <c r="L99" s="51">
        <f t="shared" si="6"/>
        <v>1.9699999999999999E-2</v>
      </c>
      <c r="M99" s="51">
        <f t="shared" si="6"/>
        <v>1.5299999999999999E-2</v>
      </c>
      <c r="N99" s="51">
        <f t="shared" si="6"/>
        <v>6.0000000000000001E-3</v>
      </c>
      <c r="O99" s="51">
        <f t="shared" si="6"/>
        <v>2.8999999999999998E-3</v>
      </c>
      <c r="P99" s="51" t="e">
        <f t="shared" si="6"/>
        <v>#DIV/0!</v>
      </c>
    </row>
    <row r="100" spans="1:16" ht="14.4" x14ac:dyDescent="0.3">
      <c r="A100" s="38" t="s">
        <v>55</v>
      </c>
      <c r="B100" s="38"/>
      <c r="C100" s="36" t="s">
        <v>44</v>
      </c>
      <c r="D100" s="51">
        <f t="shared" si="6"/>
        <v>9.4299999999999995E-2</v>
      </c>
      <c r="E100" s="51">
        <f t="shared" si="6"/>
        <v>0.1008</v>
      </c>
      <c r="F100" s="51">
        <f t="shared" si="6"/>
        <v>9.9400000000000002E-2</v>
      </c>
      <c r="G100" s="51">
        <f t="shared" si="6"/>
        <v>0.10249999999999999</v>
      </c>
      <c r="H100" s="51">
        <f t="shared" si="6"/>
        <v>0.1066</v>
      </c>
      <c r="I100" s="51">
        <f t="shared" si="6"/>
        <v>0.10630000000000001</v>
      </c>
      <c r="J100" s="51">
        <f t="shared" si="6"/>
        <v>0.10589999999999999</v>
      </c>
      <c r="K100" s="51">
        <f t="shared" si="6"/>
        <v>0.10489999999999999</v>
      </c>
      <c r="L100" s="51">
        <f t="shared" si="6"/>
        <v>0.1022</v>
      </c>
      <c r="M100" s="51">
        <f t="shared" si="6"/>
        <v>0.1019</v>
      </c>
      <c r="N100" s="51">
        <f t="shared" si="6"/>
        <v>9.8799999999999999E-2</v>
      </c>
      <c r="O100" s="51">
        <f t="shared" si="6"/>
        <v>9.98E-2</v>
      </c>
      <c r="P100" s="51" t="e">
        <f t="shared" si="6"/>
        <v>#DIV/0!</v>
      </c>
    </row>
    <row r="101" spans="1:16" ht="14.4" hidden="1" x14ac:dyDescent="0.3">
      <c r="A101" s="38" t="s">
        <v>187</v>
      </c>
      <c r="B101" s="38"/>
      <c r="C101" s="36" t="s">
        <v>44</v>
      </c>
      <c r="D101" s="51">
        <f t="shared" si="6"/>
        <v>0</v>
      </c>
      <c r="E101" s="51">
        <f t="shared" si="6"/>
        <v>0</v>
      </c>
      <c r="F101" s="51">
        <f t="shared" si="6"/>
        <v>0</v>
      </c>
      <c r="G101" s="51">
        <f t="shared" si="6"/>
        <v>0</v>
      </c>
      <c r="H101" s="51">
        <f t="shared" si="6"/>
        <v>0</v>
      </c>
      <c r="I101" s="51">
        <f t="shared" si="6"/>
        <v>0</v>
      </c>
      <c r="J101" s="51">
        <f t="shared" si="6"/>
        <v>0</v>
      </c>
      <c r="K101" s="51">
        <f t="shared" si="6"/>
        <v>0</v>
      </c>
      <c r="L101" s="51">
        <f t="shared" si="6"/>
        <v>0</v>
      </c>
      <c r="M101" s="51">
        <f t="shared" si="6"/>
        <v>0</v>
      </c>
      <c r="N101" s="51">
        <f t="shared" si="6"/>
        <v>0</v>
      </c>
      <c r="O101" s="51">
        <f t="shared" si="6"/>
        <v>0</v>
      </c>
      <c r="P101" s="51">
        <f t="shared" si="6"/>
        <v>0</v>
      </c>
    </row>
    <row r="102" spans="1:16" ht="14.4" x14ac:dyDescent="0.3">
      <c r="A102" s="38" t="s">
        <v>188</v>
      </c>
      <c r="B102" s="38"/>
      <c r="C102" s="36" t="s">
        <v>44</v>
      </c>
      <c r="D102" s="51">
        <f t="shared" si="6"/>
        <v>9.8799999999999999E-2</v>
      </c>
      <c r="E102" s="51">
        <f t="shared" si="6"/>
        <v>9.8799999999999999E-2</v>
      </c>
      <c r="F102" s="51">
        <f t="shared" si="6"/>
        <v>0</v>
      </c>
      <c r="G102" s="51">
        <f t="shared" si="6"/>
        <v>0</v>
      </c>
      <c r="H102" s="51">
        <f t="shared" si="6"/>
        <v>0</v>
      </c>
      <c r="I102" s="51">
        <f t="shared" si="6"/>
        <v>0</v>
      </c>
      <c r="J102" s="51">
        <f t="shared" si="6"/>
        <v>0</v>
      </c>
      <c r="K102" s="51">
        <f t="shared" si="6"/>
        <v>0</v>
      </c>
      <c r="L102" s="51">
        <f t="shared" si="6"/>
        <v>0</v>
      </c>
      <c r="M102" s="51">
        <f t="shared" si="6"/>
        <v>0</v>
      </c>
      <c r="N102" s="51">
        <f t="shared" si="6"/>
        <v>0</v>
      </c>
      <c r="O102" s="51">
        <f t="shared" si="6"/>
        <v>0</v>
      </c>
      <c r="P102" s="51">
        <f t="shared" si="6"/>
        <v>0</v>
      </c>
    </row>
    <row r="103" spans="1:16" ht="14.4" x14ac:dyDescent="0.3">
      <c r="A103" s="38" t="s">
        <v>56</v>
      </c>
      <c r="B103" s="38"/>
      <c r="C103" s="36" t="s">
        <v>44</v>
      </c>
      <c r="D103" s="51">
        <f t="shared" si="6"/>
        <v>0.12</v>
      </c>
      <c r="E103" s="51">
        <f t="shared" si="6"/>
        <v>0.12</v>
      </c>
      <c r="F103" s="51">
        <f t="shared" si="6"/>
        <v>0.12</v>
      </c>
      <c r="G103" s="51">
        <f t="shared" si="6"/>
        <v>0.12</v>
      </c>
      <c r="H103" s="51">
        <f t="shared" si="6"/>
        <v>0.12</v>
      </c>
      <c r="I103" s="51">
        <f t="shared" si="6"/>
        <v>0.12</v>
      </c>
      <c r="J103" s="51">
        <f t="shared" si="6"/>
        <v>0.12</v>
      </c>
      <c r="K103" s="51">
        <f t="shared" si="6"/>
        <v>0.12</v>
      </c>
      <c r="L103" s="51">
        <f t="shared" si="6"/>
        <v>0.12</v>
      </c>
      <c r="M103" s="51">
        <f t="shared" si="6"/>
        <v>0.12</v>
      </c>
      <c r="N103" s="51">
        <f t="shared" si="6"/>
        <v>0.12</v>
      </c>
      <c r="O103" s="51">
        <f t="shared" si="6"/>
        <v>0.12</v>
      </c>
      <c r="P103" s="51">
        <f t="shared" si="6"/>
        <v>0.12</v>
      </c>
    </row>
    <row r="104" spans="1:16" ht="14.4" x14ac:dyDescent="0.3">
      <c r="A104" s="38" t="s">
        <v>57</v>
      </c>
      <c r="B104" s="38"/>
      <c r="C104" s="36" t="s">
        <v>44</v>
      </c>
      <c r="D104" s="51">
        <f t="shared" si="6"/>
        <v>0.12</v>
      </c>
      <c r="E104" s="51">
        <f t="shared" si="6"/>
        <v>0.12</v>
      </c>
      <c r="F104" s="51">
        <f t="shared" si="6"/>
        <v>0.12</v>
      </c>
      <c r="G104" s="51">
        <f t="shared" si="6"/>
        <v>0.12</v>
      </c>
      <c r="H104" s="51">
        <f t="shared" si="6"/>
        <v>0.12</v>
      </c>
      <c r="I104" s="51">
        <f t="shared" si="6"/>
        <v>0.12</v>
      </c>
      <c r="J104" s="51">
        <f t="shared" si="6"/>
        <v>0.12</v>
      </c>
      <c r="K104" s="51">
        <f t="shared" si="6"/>
        <v>0.12</v>
      </c>
      <c r="L104" s="51">
        <f t="shared" si="6"/>
        <v>0.12</v>
      </c>
      <c r="M104" s="51">
        <f t="shared" si="6"/>
        <v>0.12</v>
      </c>
      <c r="N104" s="51">
        <f t="shared" si="6"/>
        <v>0.12</v>
      </c>
      <c r="O104" s="51">
        <f t="shared" si="6"/>
        <v>0.12</v>
      </c>
      <c r="P104" s="51">
        <f t="shared" si="6"/>
        <v>0.12</v>
      </c>
    </row>
    <row r="106" spans="1:16" x14ac:dyDescent="0.3">
      <c r="A106" s="3" t="s">
        <v>58</v>
      </c>
    </row>
    <row r="107" spans="1:16" x14ac:dyDescent="0.3">
      <c r="A107" s="33"/>
    </row>
    <row r="108" spans="1:16" ht="18" x14ac:dyDescent="0.35">
      <c r="A108" s="9" t="str">
        <f>'[42]Statistical data'!A224</f>
        <v>General Service A</v>
      </c>
      <c r="B108" s="9"/>
      <c r="C108" s="5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</row>
    <row r="109" spans="1:16" s="13" customFormat="1" ht="14.4" x14ac:dyDescent="0.3">
      <c r="A109" s="11" t="s">
        <v>3</v>
      </c>
      <c r="B109" s="11"/>
      <c r="C109" s="11" t="s">
        <v>4</v>
      </c>
      <c r="D109" s="12" t="str">
        <f>D58</f>
        <v>JAN</v>
      </c>
      <c r="E109" s="12" t="str">
        <f t="shared" ref="E109:P109" si="7">E58</f>
        <v>FEB</v>
      </c>
      <c r="F109" s="12" t="str">
        <f t="shared" si="7"/>
        <v>MAR</v>
      </c>
      <c r="G109" s="12" t="str">
        <f t="shared" si="7"/>
        <v>APR</v>
      </c>
      <c r="H109" s="12" t="str">
        <f t="shared" si="7"/>
        <v>MAY</v>
      </c>
      <c r="I109" s="12" t="str">
        <f t="shared" si="7"/>
        <v>JUN</v>
      </c>
      <c r="J109" s="12" t="str">
        <f t="shared" si="7"/>
        <v>JUL</v>
      </c>
      <c r="K109" s="12" t="str">
        <f t="shared" si="7"/>
        <v>AUG</v>
      </c>
      <c r="L109" s="12" t="str">
        <f t="shared" si="7"/>
        <v>SEP</v>
      </c>
      <c r="M109" s="12" t="str">
        <f t="shared" si="7"/>
        <v>OCT</v>
      </c>
      <c r="N109" s="12" t="str">
        <f t="shared" si="7"/>
        <v>NOV</v>
      </c>
      <c r="O109" s="12" t="str">
        <f t="shared" si="7"/>
        <v>DEC</v>
      </c>
      <c r="P109" s="12" t="str">
        <f t="shared" si="7"/>
        <v>JAN</v>
      </c>
    </row>
    <row r="110" spans="1:16" ht="14.4" x14ac:dyDescent="0.3">
      <c r="A110" s="14" t="s">
        <v>17</v>
      </c>
      <c r="B110" s="15"/>
      <c r="C110" s="16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</row>
    <row r="111" spans="1:16" ht="14.4" x14ac:dyDescent="0.3">
      <c r="A111" s="18" t="s">
        <v>18</v>
      </c>
      <c r="B111" s="19"/>
      <c r="C111" s="16" t="s">
        <v>19</v>
      </c>
      <c r="D111" s="42">
        <f>[42]GR!D23</f>
        <v>5.6673</v>
      </c>
      <c r="E111" s="42">
        <f>[42]GR!F23</f>
        <v>5.5358999999999998</v>
      </c>
      <c r="F111" s="42">
        <f>[42]GR!G23</f>
        <v>5.2064000000000004</v>
      </c>
      <c r="G111" s="42">
        <f>[42]GR!H23</f>
        <v>5.8994999999999997</v>
      </c>
      <c r="H111" s="42">
        <f>[42]GR!I23</f>
        <v>5.9702999999999999</v>
      </c>
      <c r="I111" s="42">
        <f>[42]GR!J23</f>
        <v>5.3105000000000002</v>
      </c>
      <c r="J111" s="20">
        <f>[42]GR!K23</f>
        <v>5.4071999999999996</v>
      </c>
      <c r="K111" s="20">
        <f>[42]GR!L23</f>
        <v>5.6352000000000002</v>
      </c>
      <c r="L111" s="20">
        <f>[42]GR!M23</f>
        <v>5.1936999999999998</v>
      </c>
      <c r="M111" s="20">
        <f>[42]GR!N23</f>
        <v>5.3522999999999996</v>
      </c>
      <c r="N111" s="20">
        <f>[42]GR!O23</f>
        <v>5.1071999999999997</v>
      </c>
      <c r="O111" s="20">
        <f>[42]GR!P23</f>
        <v>4.9371999999999998</v>
      </c>
      <c r="P111" s="20" t="e">
        <f>[42]GR!Q23</f>
        <v>#DIV/0!</v>
      </c>
    </row>
    <row r="112" spans="1:16" ht="14.4" hidden="1" x14ac:dyDescent="0.3">
      <c r="A112" s="18" t="s">
        <v>66</v>
      </c>
      <c r="B112" s="19"/>
      <c r="C112" s="16" t="s">
        <v>19</v>
      </c>
      <c r="D112" s="20">
        <v>0</v>
      </c>
      <c r="E112" s="20">
        <v>0</v>
      </c>
      <c r="F112" s="20">
        <v>0</v>
      </c>
      <c r="G112" s="20">
        <v>0</v>
      </c>
      <c r="H112" s="20">
        <v>0</v>
      </c>
      <c r="I112" s="20">
        <v>0</v>
      </c>
      <c r="J112" s="20">
        <v>0</v>
      </c>
      <c r="K112" s="20">
        <v>0</v>
      </c>
      <c r="L112" s="20">
        <v>0</v>
      </c>
      <c r="M112" s="20">
        <v>0</v>
      </c>
      <c r="N112" s="20">
        <v>0</v>
      </c>
      <c r="O112" s="20">
        <v>0</v>
      </c>
      <c r="P112" s="20">
        <v>0</v>
      </c>
    </row>
    <row r="113" spans="1:16" ht="14.4" x14ac:dyDescent="0.3">
      <c r="A113" s="14" t="s">
        <v>20</v>
      </c>
      <c r="B113" s="15"/>
      <c r="C113" s="16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</row>
    <row r="114" spans="1:16" ht="14.4" x14ac:dyDescent="0.3">
      <c r="A114" s="18" t="s">
        <v>21</v>
      </c>
      <c r="B114" s="19"/>
      <c r="C114" s="16" t="s">
        <v>19</v>
      </c>
      <c r="D114" s="20">
        <f>D63</f>
        <v>0.93330000000000002</v>
      </c>
      <c r="E114" s="20">
        <f t="shared" ref="E114:P115" si="8">E63</f>
        <v>0.94679999999999997</v>
      </c>
      <c r="F114" s="20">
        <f t="shared" si="8"/>
        <v>0.99039999999999995</v>
      </c>
      <c r="G114" s="20">
        <f t="shared" si="8"/>
        <v>1.0165</v>
      </c>
      <c r="H114" s="20">
        <f t="shared" si="8"/>
        <v>0.93389999999999995</v>
      </c>
      <c r="I114" s="20">
        <f t="shared" si="8"/>
        <v>0.89280000000000004</v>
      </c>
      <c r="J114" s="20">
        <f t="shared" si="8"/>
        <v>0.97740000000000005</v>
      </c>
      <c r="K114" s="20">
        <f t="shared" si="8"/>
        <v>0.96640000000000004</v>
      </c>
      <c r="L114" s="20">
        <f t="shared" si="8"/>
        <v>0.92249999999999999</v>
      </c>
      <c r="M114" s="20">
        <f t="shared" si="8"/>
        <v>0.86870000000000003</v>
      </c>
      <c r="N114" s="20">
        <f t="shared" si="8"/>
        <v>0.78549999999999998</v>
      </c>
      <c r="O114" s="20">
        <f t="shared" si="8"/>
        <v>0.80289999999999995</v>
      </c>
      <c r="P114" s="20">
        <f t="shared" si="8"/>
        <v>0</v>
      </c>
    </row>
    <row r="115" spans="1:16" ht="14.4" x14ac:dyDescent="0.3">
      <c r="A115" s="18" t="s">
        <v>22</v>
      </c>
      <c r="B115" s="19"/>
      <c r="C115" s="16" t="s">
        <v>23</v>
      </c>
      <c r="D115" s="23">
        <f>D64</f>
        <v>0</v>
      </c>
      <c r="E115" s="23">
        <f t="shared" si="8"/>
        <v>0</v>
      </c>
      <c r="F115" s="23">
        <f t="shared" si="8"/>
        <v>0</v>
      </c>
      <c r="G115" s="23">
        <f t="shared" si="8"/>
        <v>0</v>
      </c>
      <c r="H115" s="23">
        <f t="shared" si="8"/>
        <v>0</v>
      </c>
      <c r="I115" s="23">
        <f t="shared" si="8"/>
        <v>0</v>
      </c>
      <c r="J115" s="23">
        <f t="shared" si="8"/>
        <v>0</v>
      </c>
      <c r="K115" s="23">
        <f t="shared" si="8"/>
        <v>0</v>
      </c>
      <c r="L115" s="23">
        <f t="shared" si="8"/>
        <v>0</v>
      </c>
      <c r="M115" s="23">
        <f t="shared" si="8"/>
        <v>0</v>
      </c>
      <c r="N115" s="23">
        <f t="shared" si="8"/>
        <v>0</v>
      </c>
      <c r="O115" s="23">
        <f t="shared" si="8"/>
        <v>0</v>
      </c>
      <c r="P115" s="23">
        <f t="shared" si="8"/>
        <v>0</v>
      </c>
    </row>
    <row r="116" spans="1:16" ht="14.4" x14ac:dyDescent="0.3">
      <c r="A116" s="14" t="s">
        <v>24</v>
      </c>
      <c r="B116" s="15"/>
      <c r="C116" s="16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</row>
    <row r="117" spans="1:16" ht="14.4" x14ac:dyDescent="0.3">
      <c r="A117" s="18" t="s">
        <v>25</v>
      </c>
      <c r="B117" s="19"/>
      <c r="C117" s="16" t="s">
        <v>19</v>
      </c>
      <c r="D117" s="20">
        <f>D66</f>
        <v>0.60619999999999996</v>
      </c>
      <c r="E117" s="20">
        <f t="shared" ref="E117:P117" si="9">E66</f>
        <v>0.59540000000000004</v>
      </c>
      <c r="F117" s="20">
        <f t="shared" si="9"/>
        <v>0.55020000000000002</v>
      </c>
      <c r="G117" s="20">
        <f t="shared" si="9"/>
        <v>0.61329999999999996</v>
      </c>
      <c r="H117" s="20">
        <f t="shared" si="9"/>
        <v>0.59940000000000004</v>
      </c>
      <c r="I117" s="20">
        <f t="shared" si="9"/>
        <v>0.55889999999999995</v>
      </c>
      <c r="J117" s="20">
        <f t="shared" si="9"/>
        <v>0.5776</v>
      </c>
      <c r="K117" s="20">
        <f t="shared" si="9"/>
        <v>0.57809999999999995</v>
      </c>
      <c r="L117" s="20">
        <f t="shared" si="9"/>
        <v>0.55659999999999998</v>
      </c>
      <c r="M117" s="20">
        <f t="shared" si="9"/>
        <v>0.56210000000000004</v>
      </c>
      <c r="N117" s="20">
        <f t="shared" si="9"/>
        <v>0.5272</v>
      </c>
      <c r="O117" s="20">
        <f t="shared" si="9"/>
        <v>0.51049999999999995</v>
      </c>
      <c r="P117" s="20">
        <f t="shared" si="9"/>
        <v>0</v>
      </c>
    </row>
    <row r="118" spans="1:16" ht="14.4" x14ac:dyDescent="0.3">
      <c r="A118" s="14" t="s">
        <v>26</v>
      </c>
      <c r="B118" s="14"/>
      <c r="C118" s="16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</row>
    <row r="119" spans="1:16" ht="14.4" x14ac:dyDescent="0.3">
      <c r="A119" s="18" t="s">
        <v>27</v>
      </c>
      <c r="B119" s="18"/>
      <c r="C119" s="16" t="s">
        <v>19</v>
      </c>
      <c r="D119" s="52" t="str">
        <f>D68</f>
        <v>See Schedule 2</v>
      </c>
      <c r="E119" s="52" t="str">
        <f t="shared" ref="E119:P120" si="10">E68</f>
        <v>See Schedule 2</v>
      </c>
      <c r="F119" s="52" t="str">
        <f t="shared" si="10"/>
        <v>See Schedule 2</v>
      </c>
      <c r="G119" s="52" t="str">
        <f t="shared" si="10"/>
        <v>See Schedule 2</v>
      </c>
      <c r="H119" s="52" t="str">
        <f t="shared" si="10"/>
        <v>See Schedule 2</v>
      </c>
      <c r="I119" s="52" t="str">
        <f t="shared" si="10"/>
        <v>See Schedule 2</v>
      </c>
      <c r="J119" s="52" t="str">
        <f t="shared" si="10"/>
        <v>See Schedule 2</v>
      </c>
      <c r="K119" s="52" t="str">
        <f t="shared" si="10"/>
        <v>See Schedule 2</v>
      </c>
      <c r="L119" s="52" t="str">
        <f t="shared" si="10"/>
        <v>See Schedule 2</v>
      </c>
      <c r="M119" s="52" t="str">
        <f t="shared" si="10"/>
        <v>See Schedule 2</v>
      </c>
      <c r="N119" s="52" t="str">
        <f t="shared" si="10"/>
        <v>See Schedule 2</v>
      </c>
      <c r="O119" s="52" t="str">
        <f t="shared" si="10"/>
        <v>See Schedule 2</v>
      </c>
      <c r="P119" s="52" t="str">
        <f t="shared" si="10"/>
        <v>See Schedule 2</v>
      </c>
    </row>
    <row r="120" spans="1:16" ht="14.4" x14ac:dyDescent="0.3">
      <c r="A120" s="18" t="s">
        <v>28</v>
      </c>
      <c r="B120" s="18"/>
      <c r="C120" s="16" t="s">
        <v>23</v>
      </c>
      <c r="D120" s="23">
        <f>D69</f>
        <v>0</v>
      </c>
      <c r="E120" s="23">
        <f t="shared" si="10"/>
        <v>0</v>
      </c>
      <c r="F120" s="23">
        <f t="shared" si="10"/>
        <v>0</v>
      </c>
      <c r="G120" s="23">
        <f t="shared" si="10"/>
        <v>0</v>
      </c>
      <c r="H120" s="23">
        <f t="shared" si="10"/>
        <v>0</v>
      </c>
      <c r="I120" s="23">
        <f t="shared" si="10"/>
        <v>0</v>
      </c>
      <c r="J120" s="23">
        <f t="shared" si="10"/>
        <v>0</v>
      </c>
      <c r="K120" s="23">
        <f t="shared" si="10"/>
        <v>0</v>
      </c>
      <c r="L120" s="23">
        <f t="shared" si="10"/>
        <v>0</v>
      </c>
      <c r="M120" s="23">
        <f t="shared" si="10"/>
        <v>0</v>
      </c>
      <c r="N120" s="23">
        <f t="shared" si="10"/>
        <v>0</v>
      </c>
      <c r="O120" s="23">
        <f t="shared" si="10"/>
        <v>0</v>
      </c>
      <c r="P120" s="23">
        <f t="shared" si="10"/>
        <v>0</v>
      </c>
    </row>
    <row r="121" spans="1:16" ht="14.4" x14ac:dyDescent="0.3">
      <c r="A121" s="14" t="s">
        <v>29</v>
      </c>
      <c r="B121" s="14"/>
      <c r="C121" s="16"/>
      <c r="D121" s="24"/>
      <c r="E121" s="24"/>
      <c r="F121" s="24"/>
      <c r="G121" s="24"/>
      <c r="H121" s="24"/>
      <c r="I121" s="24"/>
      <c r="J121" s="24"/>
      <c r="K121" s="24"/>
      <c r="L121" s="24"/>
      <c r="M121" s="24"/>
      <c r="N121" s="24"/>
      <c r="O121" s="24"/>
      <c r="P121" s="24"/>
    </row>
    <row r="122" spans="1:16" ht="14.4" x14ac:dyDescent="0.3">
      <c r="A122" s="18" t="s">
        <v>30</v>
      </c>
      <c r="B122" s="18"/>
      <c r="C122" s="16" t="s">
        <v>19</v>
      </c>
      <c r="D122" s="20">
        <v>0.60429999999999995</v>
      </c>
      <c r="E122" s="20">
        <v>0.60429999999999995</v>
      </c>
      <c r="F122" s="20">
        <v>0.60429999999999995</v>
      </c>
      <c r="G122" s="20">
        <v>0.60429999999999995</v>
      </c>
      <c r="H122" s="20">
        <v>0.60429999999999995</v>
      </c>
      <c r="I122" s="20">
        <v>0.60429999999999995</v>
      </c>
      <c r="J122" s="20">
        <v>0.57299999999999995</v>
      </c>
      <c r="K122" s="20">
        <v>0.57299999999999995</v>
      </c>
      <c r="L122" s="20">
        <v>0.57299999999999995</v>
      </c>
      <c r="M122" s="20">
        <v>0.57299999999999995</v>
      </c>
      <c r="N122" s="20">
        <v>0.57299999999999995</v>
      </c>
      <c r="O122" s="20">
        <v>0.57299999999999995</v>
      </c>
      <c r="P122" s="20">
        <v>0.57299999999999995</v>
      </c>
    </row>
    <row r="123" spans="1:16" ht="14.4" x14ac:dyDescent="0.3">
      <c r="A123" s="18" t="s">
        <v>31</v>
      </c>
      <c r="B123" s="18"/>
      <c r="C123" s="16" t="s">
        <v>32</v>
      </c>
      <c r="D123" s="23">
        <v>19.88</v>
      </c>
      <c r="E123" s="23">
        <v>19.88</v>
      </c>
      <c r="F123" s="23">
        <v>19.88</v>
      </c>
      <c r="G123" s="23">
        <v>19.88</v>
      </c>
      <c r="H123" s="23">
        <v>19.88</v>
      </c>
      <c r="I123" s="23">
        <v>19.88</v>
      </c>
      <c r="J123" s="23">
        <v>18.850000000000001</v>
      </c>
      <c r="K123" s="23">
        <v>18.850000000000001</v>
      </c>
      <c r="L123" s="23">
        <v>18.850000000000001</v>
      </c>
      <c r="M123" s="23">
        <v>18.850000000000001</v>
      </c>
      <c r="N123" s="23">
        <v>18.850000000000001</v>
      </c>
      <c r="O123" s="23">
        <v>18.850000000000001</v>
      </c>
      <c r="P123" s="23">
        <v>18.850000000000001</v>
      </c>
    </row>
    <row r="124" spans="1:16" ht="14.4" x14ac:dyDescent="0.3">
      <c r="A124" s="14" t="s">
        <v>33</v>
      </c>
      <c r="B124" s="14"/>
      <c r="C124" s="16"/>
      <c r="D124" s="24"/>
      <c r="E124" s="24"/>
      <c r="F124" s="24"/>
      <c r="G124" s="24"/>
      <c r="H124" s="24"/>
      <c r="I124" s="24"/>
      <c r="J124" s="24"/>
      <c r="K124" s="24"/>
      <c r="L124" s="24"/>
      <c r="M124" s="24"/>
      <c r="N124" s="24"/>
      <c r="O124" s="24"/>
      <c r="P124" s="24"/>
    </row>
    <row r="125" spans="1:16" ht="14.4" x14ac:dyDescent="0.3">
      <c r="A125" s="18" t="s">
        <v>34</v>
      </c>
      <c r="B125" s="18"/>
      <c r="C125" s="16" t="s">
        <v>19</v>
      </c>
      <c r="D125" s="20">
        <f>D74</f>
        <v>0.40660000000000002</v>
      </c>
      <c r="E125" s="20">
        <f t="shared" ref="E125:O125" si="11">E74</f>
        <v>0.40660000000000002</v>
      </c>
      <c r="F125" s="20">
        <f t="shared" si="11"/>
        <v>0.40660000000000002</v>
      </c>
      <c r="G125" s="20">
        <f t="shared" si="11"/>
        <v>0.40660000000000002</v>
      </c>
      <c r="H125" s="20">
        <f t="shared" si="11"/>
        <v>0.40660000000000002</v>
      </c>
      <c r="I125" s="20">
        <f t="shared" si="11"/>
        <v>0.40660000000000002</v>
      </c>
      <c r="J125" s="20">
        <f>J74</f>
        <v>0.38400000000000001</v>
      </c>
      <c r="K125" s="20">
        <f t="shared" si="11"/>
        <v>0.38400000000000001</v>
      </c>
      <c r="L125" s="20">
        <f t="shared" si="11"/>
        <v>0.38400000000000001</v>
      </c>
      <c r="M125" s="20">
        <f t="shared" si="11"/>
        <v>0.38400000000000001</v>
      </c>
      <c r="N125" s="20">
        <f t="shared" si="11"/>
        <v>0.38400000000000001</v>
      </c>
      <c r="O125" s="20">
        <f t="shared" si="11"/>
        <v>0.38400000000000001</v>
      </c>
      <c r="P125" s="20">
        <f>P74</f>
        <v>0.38400000000000001</v>
      </c>
    </row>
    <row r="126" spans="1:16" ht="14.4" x14ac:dyDescent="0.3">
      <c r="A126" s="18" t="s">
        <v>35</v>
      </c>
      <c r="B126" s="18"/>
      <c r="C126" s="16" t="s">
        <v>36</v>
      </c>
      <c r="D126" s="23">
        <v>5</v>
      </c>
      <c r="E126" s="23">
        <v>5</v>
      </c>
      <c r="F126" s="23">
        <v>5</v>
      </c>
      <c r="G126" s="23">
        <v>5</v>
      </c>
      <c r="H126" s="23">
        <v>5</v>
      </c>
      <c r="I126" s="23">
        <v>5</v>
      </c>
      <c r="J126" s="23">
        <v>5</v>
      </c>
      <c r="K126" s="23">
        <v>5</v>
      </c>
      <c r="L126" s="23">
        <v>5</v>
      </c>
      <c r="M126" s="23">
        <v>5</v>
      </c>
      <c r="N126" s="23">
        <v>5</v>
      </c>
      <c r="O126" s="23">
        <v>5</v>
      </c>
      <c r="P126" s="23">
        <v>5</v>
      </c>
    </row>
    <row r="127" spans="1:16" ht="14.4" x14ac:dyDescent="0.3">
      <c r="A127" s="14" t="s">
        <v>37</v>
      </c>
      <c r="B127" s="14"/>
      <c r="C127" s="16"/>
      <c r="D127" s="24"/>
      <c r="E127" s="24"/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P127" s="24"/>
    </row>
    <row r="128" spans="1:16" ht="14.4" x14ac:dyDescent="0.3">
      <c r="A128" s="25" t="s">
        <v>38</v>
      </c>
      <c r="B128" s="18"/>
      <c r="C128" s="16" t="s">
        <v>19</v>
      </c>
      <c r="D128" s="20">
        <f>D77</f>
        <v>0.1173</v>
      </c>
      <c r="E128" s="20">
        <f t="shared" ref="E128:P128" si="12">E77</f>
        <v>0.1527</v>
      </c>
      <c r="F128" s="20">
        <f t="shared" si="12"/>
        <v>0.15920000000000001</v>
      </c>
      <c r="G128" s="20">
        <f t="shared" si="12"/>
        <v>0.16189999999999999</v>
      </c>
      <c r="H128" s="20">
        <f t="shared" si="12"/>
        <v>0.11899999999999999</v>
      </c>
      <c r="I128" s="20">
        <f t="shared" si="12"/>
        <v>0.1066</v>
      </c>
      <c r="J128" s="20">
        <f t="shared" si="12"/>
        <v>8.9300000000000004E-2</v>
      </c>
      <c r="K128" s="20">
        <f t="shared" si="12"/>
        <v>0.1177</v>
      </c>
      <c r="L128" s="20">
        <f t="shared" si="12"/>
        <v>0.1222</v>
      </c>
      <c r="M128" s="20">
        <f t="shared" si="12"/>
        <v>0.1089</v>
      </c>
      <c r="N128" s="20">
        <f t="shared" si="12"/>
        <v>0.1176</v>
      </c>
      <c r="O128" s="20">
        <f t="shared" si="12"/>
        <v>0.1109</v>
      </c>
      <c r="P128" s="20">
        <f t="shared" si="12"/>
        <v>0</v>
      </c>
    </row>
    <row r="129" spans="1:16" ht="14.4" x14ac:dyDescent="0.3">
      <c r="A129" s="25" t="s">
        <v>39</v>
      </c>
      <c r="B129" s="18"/>
      <c r="C129" s="16" t="s">
        <v>19</v>
      </c>
      <c r="D129" s="20">
        <v>0</v>
      </c>
      <c r="E129" s="20">
        <v>0</v>
      </c>
      <c r="F129" s="20">
        <v>0</v>
      </c>
      <c r="G129" s="20">
        <v>0</v>
      </c>
      <c r="H129" s="20">
        <v>0</v>
      </c>
      <c r="I129" s="20">
        <v>0</v>
      </c>
      <c r="J129" s="20">
        <v>0</v>
      </c>
      <c r="K129" s="20">
        <v>0</v>
      </c>
      <c r="L129" s="20">
        <v>0</v>
      </c>
      <c r="M129" s="20">
        <v>0</v>
      </c>
      <c r="N129" s="20">
        <v>0</v>
      </c>
      <c r="O129" s="20">
        <v>0</v>
      </c>
      <c r="P129" s="20">
        <v>0</v>
      </c>
    </row>
    <row r="130" spans="1:16" ht="14.4" x14ac:dyDescent="0.3">
      <c r="A130" s="25" t="s">
        <v>180</v>
      </c>
      <c r="B130" s="18"/>
      <c r="C130" s="16" t="s">
        <v>19</v>
      </c>
      <c r="D130" s="20">
        <f>D79</f>
        <v>3.1399999999999997E-2</v>
      </c>
      <c r="E130" s="20">
        <f t="shared" ref="E130:P133" si="13">E79</f>
        <v>3.1399999999999997E-2</v>
      </c>
      <c r="F130" s="20">
        <f t="shared" si="13"/>
        <v>0</v>
      </c>
      <c r="G130" s="20">
        <f t="shared" si="13"/>
        <v>0</v>
      </c>
      <c r="H130" s="20">
        <f t="shared" si="13"/>
        <v>0</v>
      </c>
      <c r="I130" s="20">
        <f t="shared" si="13"/>
        <v>0</v>
      </c>
      <c r="J130" s="20">
        <f t="shared" si="13"/>
        <v>0</v>
      </c>
      <c r="K130" s="20">
        <f t="shared" si="13"/>
        <v>0</v>
      </c>
      <c r="L130" s="20">
        <f t="shared" si="13"/>
        <v>0</v>
      </c>
      <c r="M130" s="20">
        <f t="shared" si="13"/>
        <v>0</v>
      </c>
      <c r="N130" s="20">
        <f t="shared" si="13"/>
        <v>0</v>
      </c>
      <c r="O130" s="20">
        <f t="shared" si="13"/>
        <v>0</v>
      </c>
      <c r="P130" s="20">
        <f t="shared" si="13"/>
        <v>0</v>
      </c>
    </row>
    <row r="131" spans="1:16" ht="14.4" x14ac:dyDescent="0.3">
      <c r="A131" s="26" t="s">
        <v>40</v>
      </c>
      <c r="B131" s="18"/>
      <c r="C131" s="16" t="s">
        <v>19</v>
      </c>
      <c r="D131" s="20">
        <f>D80</f>
        <v>1E-4</v>
      </c>
      <c r="E131" s="20">
        <f t="shared" si="13"/>
        <v>1E-4</v>
      </c>
      <c r="F131" s="20">
        <f t="shared" si="13"/>
        <v>1E-4</v>
      </c>
      <c r="G131" s="20">
        <f t="shared" si="13"/>
        <v>1E-4</v>
      </c>
      <c r="H131" s="20">
        <f t="shared" si="13"/>
        <v>1E-4</v>
      </c>
      <c r="I131" s="20">
        <f t="shared" si="13"/>
        <v>0</v>
      </c>
      <c r="J131" s="20">
        <f t="shared" si="13"/>
        <v>1E-4</v>
      </c>
      <c r="K131" s="20">
        <f t="shared" si="13"/>
        <v>1E-4</v>
      </c>
      <c r="L131" s="20">
        <f t="shared" si="13"/>
        <v>1E-4</v>
      </c>
      <c r="M131" s="20">
        <f t="shared" si="13"/>
        <v>2.0000000000000001E-4</v>
      </c>
      <c r="N131" s="20">
        <f t="shared" si="13"/>
        <v>1E-4</v>
      </c>
      <c r="O131" s="20">
        <f t="shared" si="13"/>
        <v>1E-4</v>
      </c>
      <c r="P131" s="20">
        <f t="shared" si="13"/>
        <v>0</v>
      </c>
    </row>
    <row r="132" spans="1:16" ht="14.4" x14ac:dyDescent="0.3">
      <c r="A132" s="26" t="s">
        <v>41</v>
      </c>
      <c r="B132" s="18"/>
      <c r="C132" s="16" t="s">
        <v>19</v>
      </c>
      <c r="D132" s="20">
        <f>D81</f>
        <v>0</v>
      </c>
      <c r="E132" s="20">
        <f t="shared" si="13"/>
        <v>0</v>
      </c>
      <c r="F132" s="20">
        <f t="shared" si="13"/>
        <v>0</v>
      </c>
      <c r="G132" s="20">
        <f t="shared" si="13"/>
        <v>0</v>
      </c>
      <c r="H132" s="20">
        <f t="shared" si="13"/>
        <v>0</v>
      </c>
      <c r="I132" s="20">
        <f t="shared" si="13"/>
        <v>0</v>
      </c>
      <c r="J132" s="20">
        <f t="shared" si="13"/>
        <v>0</v>
      </c>
      <c r="K132" s="20">
        <f t="shared" si="13"/>
        <v>0</v>
      </c>
      <c r="L132" s="20">
        <f t="shared" si="13"/>
        <v>0</v>
      </c>
      <c r="M132" s="20">
        <f t="shared" si="13"/>
        <v>0</v>
      </c>
      <c r="N132" s="20">
        <f t="shared" si="13"/>
        <v>0</v>
      </c>
      <c r="O132" s="20">
        <f t="shared" si="13"/>
        <v>0</v>
      </c>
      <c r="P132" s="20">
        <f t="shared" si="13"/>
        <v>0</v>
      </c>
    </row>
    <row r="133" spans="1:16" ht="14.4" hidden="1" x14ac:dyDescent="0.3">
      <c r="A133" s="154" t="s">
        <v>181</v>
      </c>
      <c r="B133" s="155"/>
      <c r="C133" s="16" t="s">
        <v>19</v>
      </c>
      <c r="D133" s="20">
        <f>D82</f>
        <v>0</v>
      </c>
      <c r="E133" s="20">
        <f t="shared" si="13"/>
        <v>0</v>
      </c>
      <c r="F133" s="20">
        <f t="shared" si="13"/>
        <v>0</v>
      </c>
      <c r="G133" s="20">
        <f t="shared" si="13"/>
        <v>0</v>
      </c>
      <c r="H133" s="20">
        <f t="shared" si="13"/>
        <v>0</v>
      </c>
      <c r="I133" s="20">
        <f t="shared" si="13"/>
        <v>0</v>
      </c>
      <c r="J133" s="20">
        <f t="shared" si="13"/>
        <v>0</v>
      </c>
      <c r="K133" s="20">
        <f t="shared" si="13"/>
        <v>0</v>
      </c>
      <c r="L133" s="20">
        <f t="shared" si="13"/>
        <v>0</v>
      </c>
      <c r="M133" s="20">
        <f t="shared" si="13"/>
        <v>0</v>
      </c>
      <c r="N133" s="20">
        <f t="shared" si="13"/>
        <v>0</v>
      </c>
      <c r="O133" s="20">
        <f t="shared" si="13"/>
        <v>0</v>
      </c>
      <c r="P133" s="20">
        <f t="shared" si="13"/>
        <v>0</v>
      </c>
    </row>
    <row r="134" spans="1:16" ht="16.2" hidden="1" x14ac:dyDescent="0.3">
      <c r="A134" s="154" t="s">
        <v>182</v>
      </c>
      <c r="B134" s="155"/>
      <c r="C134" s="16" t="s">
        <v>19</v>
      </c>
      <c r="D134" s="20">
        <v>0</v>
      </c>
      <c r="E134" s="20">
        <v>0</v>
      </c>
      <c r="F134" s="20">
        <v>0</v>
      </c>
      <c r="G134" s="20">
        <v>0</v>
      </c>
      <c r="H134" s="20">
        <v>0</v>
      </c>
      <c r="I134" s="20">
        <v>0</v>
      </c>
      <c r="J134" s="20">
        <v>0</v>
      </c>
      <c r="K134" s="20">
        <v>0</v>
      </c>
      <c r="L134" s="20">
        <v>0</v>
      </c>
      <c r="M134" s="20">
        <v>0</v>
      </c>
      <c r="N134" s="20">
        <v>0</v>
      </c>
      <c r="O134" s="20">
        <v>0</v>
      </c>
      <c r="P134" s="20">
        <v>0</v>
      </c>
    </row>
    <row r="135" spans="1:16" ht="16.2" hidden="1" x14ac:dyDescent="0.3">
      <c r="A135" s="154" t="s">
        <v>182</v>
      </c>
      <c r="B135" s="156"/>
      <c r="C135" s="16" t="s">
        <v>19</v>
      </c>
      <c r="D135" s="20">
        <v>0</v>
      </c>
      <c r="E135" s="20">
        <v>0</v>
      </c>
      <c r="F135" s="20">
        <v>0</v>
      </c>
      <c r="G135" s="20">
        <v>0</v>
      </c>
      <c r="H135" s="20">
        <v>0</v>
      </c>
      <c r="I135" s="20">
        <v>0</v>
      </c>
      <c r="J135" s="20">
        <v>0</v>
      </c>
      <c r="K135" s="20">
        <v>0</v>
      </c>
      <c r="L135" s="20">
        <v>0</v>
      </c>
      <c r="M135" s="20">
        <v>0</v>
      </c>
      <c r="N135" s="20">
        <v>0</v>
      </c>
      <c r="O135" s="20">
        <v>0</v>
      </c>
      <c r="P135" s="20">
        <v>0</v>
      </c>
    </row>
    <row r="136" spans="1:16" ht="14.4" x14ac:dyDescent="0.3">
      <c r="A136" s="14" t="s">
        <v>42</v>
      </c>
      <c r="B136" s="14"/>
      <c r="C136" s="16"/>
      <c r="D136" s="24"/>
      <c r="E136" s="24"/>
      <c r="F136" s="24"/>
      <c r="G136" s="24"/>
      <c r="H136" s="24"/>
      <c r="I136" s="24"/>
      <c r="J136" s="24"/>
      <c r="K136" s="24"/>
      <c r="L136" s="24"/>
      <c r="M136" s="24"/>
      <c r="N136" s="24"/>
      <c r="O136" s="24"/>
      <c r="P136" s="24"/>
    </row>
    <row r="137" spans="1:16" ht="14.4" x14ac:dyDescent="0.3">
      <c r="A137" s="14" t="s">
        <v>43</v>
      </c>
      <c r="B137" s="14"/>
      <c r="C137" s="16" t="s">
        <v>44</v>
      </c>
      <c r="D137" s="27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</row>
    <row r="138" spans="1:16" ht="14.4" hidden="1" x14ac:dyDescent="0.3">
      <c r="A138" s="14" t="s">
        <v>183</v>
      </c>
      <c r="B138" s="14"/>
      <c r="C138" s="16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</row>
    <row r="139" spans="1:16" ht="14.4" hidden="1" x14ac:dyDescent="0.3">
      <c r="A139" s="14" t="s">
        <v>184</v>
      </c>
      <c r="B139" s="14"/>
      <c r="C139" s="16" t="s">
        <v>19</v>
      </c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</row>
    <row r="140" spans="1:16" ht="14.4" x14ac:dyDescent="0.3">
      <c r="A140" s="14" t="s">
        <v>45</v>
      </c>
      <c r="B140" s="14"/>
      <c r="C140" s="16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</row>
    <row r="141" spans="1:16" ht="14.4" x14ac:dyDescent="0.3">
      <c r="A141" s="14" t="s">
        <v>46</v>
      </c>
      <c r="B141" s="14"/>
      <c r="C141" s="16" t="s">
        <v>19</v>
      </c>
      <c r="D141" s="20">
        <v>0</v>
      </c>
      <c r="E141" s="20">
        <v>0</v>
      </c>
      <c r="F141" s="20">
        <v>0</v>
      </c>
      <c r="G141" s="20">
        <v>0</v>
      </c>
      <c r="H141" s="20">
        <v>0</v>
      </c>
      <c r="I141" s="20">
        <v>0</v>
      </c>
      <c r="J141" s="20">
        <v>0</v>
      </c>
      <c r="K141" s="20">
        <v>0</v>
      </c>
      <c r="L141" s="20">
        <v>0</v>
      </c>
      <c r="M141" s="20">
        <v>0</v>
      </c>
      <c r="N141" s="20">
        <v>0</v>
      </c>
      <c r="O141" s="20">
        <v>0</v>
      </c>
      <c r="P141" s="20">
        <v>0</v>
      </c>
    </row>
    <row r="142" spans="1:16" ht="14.4" hidden="1" x14ac:dyDescent="0.3">
      <c r="A142" s="14" t="s">
        <v>185</v>
      </c>
      <c r="B142" s="14"/>
      <c r="C142" s="16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</row>
    <row r="143" spans="1:16" ht="14.4" hidden="1" x14ac:dyDescent="0.3">
      <c r="A143" s="14" t="s">
        <v>186</v>
      </c>
      <c r="B143" s="14"/>
      <c r="C143" s="16" t="s">
        <v>19</v>
      </c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</row>
    <row r="144" spans="1:16" ht="14.4" x14ac:dyDescent="0.3">
      <c r="A144" s="14" t="s">
        <v>47</v>
      </c>
      <c r="B144" s="14"/>
      <c r="C144" s="16"/>
      <c r="D144" s="24"/>
      <c r="E144" s="24"/>
      <c r="F144" s="24"/>
      <c r="G144" s="24"/>
      <c r="H144" s="24"/>
      <c r="I144" s="24"/>
      <c r="J144" s="24"/>
      <c r="K144" s="24"/>
      <c r="L144" s="24"/>
      <c r="M144" s="24"/>
      <c r="N144" s="24"/>
      <c r="O144" s="24"/>
      <c r="P144" s="24"/>
    </row>
    <row r="145" spans="1:16" ht="14.4" x14ac:dyDescent="0.3">
      <c r="A145" s="18" t="s">
        <v>48</v>
      </c>
      <c r="B145" s="18"/>
      <c r="C145" s="16" t="s">
        <v>19</v>
      </c>
      <c r="D145" s="20">
        <f t="shared" ref="D145:O146" si="14">D94</f>
        <v>0.15609999999999999</v>
      </c>
      <c r="E145" s="20">
        <f t="shared" si="14"/>
        <v>0.15609999999999999</v>
      </c>
      <c r="F145" s="20">
        <f>F94</f>
        <v>0.11799999999999999</v>
      </c>
      <c r="G145" s="20">
        <f t="shared" si="14"/>
        <v>0.11799999999999999</v>
      </c>
      <c r="H145" s="20">
        <f t="shared" si="14"/>
        <v>0.11799999999999999</v>
      </c>
      <c r="I145" s="20">
        <f t="shared" si="14"/>
        <v>0.11799999999999999</v>
      </c>
      <c r="J145" s="20">
        <f t="shared" si="14"/>
        <v>0.11799999999999999</v>
      </c>
      <c r="K145" s="20">
        <f t="shared" si="14"/>
        <v>0.15609999999999999</v>
      </c>
      <c r="L145" s="20">
        <f t="shared" si="14"/>
        <v>0.15609999999999999</v>
      </c>
      <c r="M145" s="20">
        <f t="shared" si="14"/>
        <v>0.15609999999999999</v>
      </c>
      <c r="N145" s="20">
        <f t="shared" si="14"/>
        <v>0.15609999999999999</v>
      </c>
      <c r="O145" s="20">
        <f t="shared" si="14"/>
        <v>0.15609999999999999</v>
      </c>
      <c r="P145" s="20">
        <f>P94</f>
        <v>0.15609999999999999</v>
      </c>
    </row>
    <row r="146" spans="1:16" ht="14.4" x14ac:dyDescent="0.3">
      <c r="A146" s="18" t="s">
        <v>49</v>
      </c>
      <c r="B146" s="18"/>
      <c r="C146" s="16" t="s">
        <v>19</v>
      </c>
      <c r="D146" s="20">
        <f t="shared" si="14"/>
        <v>2.5000000000000001E-3</v>
      </c>
      <c r="E146" s="20">
        <f t="shared" si="14"/>
        <v>2.5000000000000001E-3</v>
      </c>
      <c r="F146" s="20">
        <f t="shared" si="14"/>
        <v>2.5000000000000001E-3</v>
      </c>
      <c r="G146" s="20">
        <f t="shared" si="14"/>
        <v>2.5000000000000001E-3</v>
      </c>
      <c r="H146" s="20">
        <f t="shared" si="14"/>
        <v>2.5000000000000001E-3</v>
      </c>
      <c r="I146" s="20">
        <f t="shared" si="14"/>
        <v>2.5000000000000001E-3</v>
      </c>
      <c r="J146" s="20">
        <f t="shared" si="14"/>
        <v>2.5000000000000001E-3</v>
      </c>
      <c r="K146" s="20">
        <f t="shared" si="14"/>
        <v>2.5000000000000001E-3</v>
      </c>
      <c r="L146" s="20">
        <f t="shared" si="14"/>
        <v>2.5000000000000001E-3</v>
      </c>
      <c r="M146" s="20">
        <f t="shared" si="14"/>
        <v>2.5000000000000001E-3</v>
      </c>
      <c r="N146" s="20">
        <f t="shared" si="14"/>
        <v>2.5000000000000001E-3</v>
      </c>
      <c r="O146" s="20">
        <f t="shared" si="14"/>
        <v>2.5000000000000001E-3</v>
      </c>
      <c r="P146" s="20">
        <f>P95</f>
        <v>2.5000000000000001E-3</v>
      </c>
    </row>
    <row r="147" spans="1:16" ht="14.4" x14ac:dyDescent="0.3">
      <c r="A147" s="18" t="s">
        <v>50</v>
      </c>
      <c r="B147" s="18"/>
      <c r="C147" s="16"/>
      <c r="D147" s="20">
        <v>0.1938</v>
      </c>
      <c r="E147" s="20">
        <v>0.1938</v>
      </c>
      <c r="F147" s="20">
        <v>0.1938</v>
      </c>
      <c r="G147" s="20">
        <v>0.1938</v>
      </c>
      <c r="H147" s="20">
        <v>0.1938</v>
      </c>
      <c r="I147" s="20">
        <v>0.1938</v>
      </c>
      <c r="J147" s="20">
        <v>0.1938</v>
      </c>
      <c r="K147" s="20">
        <v>0.1938</v>
      </c>
      <c r="L147" s="20">
        <v>0.1938</v>
      </c>
      <c r="M147" s="20">
        <v>0.1938</v>
      </c>
      <c r="N147" s="20">
        <v>0.1938</v>
      </c>
      <c r="O147" s="20">
        <v>0.1938</v>
      </c>
      <c r="P147" s="20">
        <v>0.1938</v>
      </c>
    </row>
    <row r="148" spans="1:16" ht="14.4" x14ac:dyDescent="0.3">
      <c r="A148" s="14" t="s">
        <v>52</v>
      </c>
      <c r="B148" s="14"/>
      <c r="C148" s="29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</row>
    <row r="149" spans="1:16" ht="14.4" x14ac:dyDescent="0.3">
      <c r="A149" s="18" t="s">
        <v>53</v>
      </c>
      <c r="B149" s="18"/>
      <c r="C149" s="16" t="s">
        <v>44</v>
      </c>
      <c r="D149" s="27">
        <f t="shared" ref="D149:O151" si="15">D98</f>
        <v>0.10970000000000001</v>
      </c>
      <c r="E149" s="27">
        <f t="shared" si="15"/>
        <v>0.1176</v>
      </c>
      <c r="F149" s="27">
        <f t="shared" si="15"/>
        <v>0.1169</v>
      </c>
      <c r="G149" s="27">
        <f t="shared" si="15"/>
        <v>0.1177</v>
      </c>
      <c r="H149" s="27">
        <f t="shared" si="15"/>
        <v>0.11890000000000001</v>
      </c>
      <c r="I149" s="27">
        <f t="shared" si="15"/>
        <v>0.1192</v>
      </c>
      <c r="J149" s="27">
        <f t="shared" si="15"/>
        <v>0.1179</v>
      </c>
      <c r="K149" s="27">
        <f t="shared" si="15"/>
        <v>0.11700000000000001</v>
      </c>
      <c r="L149" s="27">
        <f t="shared" si="15"/>
        <v>0.11650000000000001</v>
      </c>
      <c r="M149" s="27">
        <f t="shared" si="15"/>
        <v>0.1154</v>
      </c>
      <c r="N149" s="27">
        <f t="shared" si="15"/>
        <v>0.1129</v>
      </c>
      <c r="O149" s="27">
        <f t="shared" si="15"/>
        <v>0.115</v>
      </c>
      <c r="P149" s="27" t="e">
        <f>P98</f>
        <v>#DIV/0!</v>
      </c>
    </row>
    <row r="150" spans="1:16" ht="14.4" x14ac:dyDescent="0.3">
      <c r="A150" s="18" t="s">
        <v>54</v>
      </c>
      <c r="B150" s="18"/>
      <c r="C150" s="16" t="s">
        <v>44</v>
      </c>
      <c r="D150" s="27">
        <f t="shared" si="15"/>
        <v>6.0000000000000006E-4</v>
      </c>
      <c r="E150" s="27">
        <f t="shared" si="15"/>
        <v>3.2000000000000002E-3</v>
      </c>
      <c r="F150" s="27">
        <f t="shared" si="15"/>
        <v>3.5000000000000001E-3</v>
      </c>
      <c r="G150" s="27">
        <f t="shared" si="15"/>
        <v>1.3899999999999999E-2</v>
      </c>
      <c r="H150" s="27">
        <f t="shared" si="15"/>
        <v>2.5600000000000001E-2</v>
      </c>
      <c r="I150" s="27">
        <f t="shared" si="15"/>
        <v>2.8000000000000001E-2</v>
      </c>
      <c r="J150" s="27">
        <f t="shared" si="15"/>
        <v>3.73E-2</v>
      </c>
      <c r="K150" s="27">
        <f t="shared" si="15"/>
        <v>3.4099999999999998E-2</v>
      </c>
      <c r="L150" s="27">
        <f t="shared" si="15"/>
        <v>1.9699999999999999E-2</v>
      </c>
      <c r="M150" s="27">
        <f t="shared" si="15"/>
        <v>1.5299999999999999E-2</v>
      </c>
      <c r="N150" s="27">
        <f t="shared" si="15"/>
        <v>6.0000000000000001E-3</v>
      </c>
      <c r="O150" s="27">
        <f t="shared" si="15"/>
        <v>2.8999999999999998E-3</v>
      </c>
      <c r="P150" s="27" t="e">
        <f>P99</f>
        <v>#DIV/0!</v>
      </c>
    </row>
    <row r="151" spans="1:16" ht="14.4" x14ac:dyDescent="0.3">
      <c r="A151" s="18" t="s">
        <v>55</v>
      </c>
      <c r="B151" s="18"/>
      <c r="C151" s="16" t="s">
        <v>44</v>
      </c>
      <c r="D151" s="27">
        <f t="shared" si="15"/>
        <v>9.4299999999999995E-2</v>
      </c>
      <c r="E151" s="27">
        <f t="shared" si="15"/>
        <v>0.1008</v>
      </c>
      <c r="F151" s="27">
        <f t="shared" si="15"/>
        <v>9.9400000000000002E-2</v>
      </c>
      <c r="G151" s="27">
        <f t="shared" si="15"/>
        <v>0.10249999999999999</v>
      </c>
      <c r="H151" s="27">
        <f t="shared" si="15"/>
        <v>0.1066</v>
      </c>
      <c r="I151" s="27">
        <f t="shared" si="15"/>
        <v>0.10630000000000001</v>
      </c>
      <c r="J151" s="27">
        <f t="shared" si="15"/>
        <v>0.10589999999999999</v>
      </c>
      <c r="K151" s="27">
        <f t="shared" si="15"/>
        <v>0.10489999999999999</v>
      </c>
      <c r="L151" s="27">
        <f t="shared" si="15"/>
        <v>0.1022</v>
      </c>
      <c r="M151" s="27">
        <f t="shared" si="15"/>
        <v>0.1019</v>
      </c>
      <c r="N151" s="27">
        <f t="shared" si="15"/>
        <v>9.8799999999999999E-2</v>
      </c>
      <c r="O151" s="27">
        <f t="shared" si="15"/>
        <v>9.98E-2</v>
      </c>
      <c r="P151" s="27" t="e">
        <f>P100</f>
        <v>#DIV/0!</v>
      </c>
    </row>
    <row r="152" spans="1:16" ht="14.4" hidden="1" x14ac:dyDescent="0.3">
      <c r="A152" s="18" t="s">
        <v>187</v>
      </c>
      <c r="B152" s="18"/>
      <c r="C152" s="16" t="s">
        <v>44</v>
      </c>
      <c r="D152" s="27">
        <v>0</v>
      </c>
      <c r="E152" s="27">
        <v>0</v>
      </c>
      <c r="F152" s="27">
        <v>0</v>
      </c>
      <c r="G152" s="27">
        <v>0</v>
      </c>
      <c r="H152" s="27">
        <v>0</v>
      </c>
      <c r="I152" s="27">
        <v>0</v>
      </c>
      <c r="J152" s="27">
        <v>0</v>
      </c>
      <c r="K152" s="27">
        <v>0</v>
      </c>
      <c r="L152" s="27">
        <v>0</v>
      </c>
      <c r="M152" s="27">
        <v>0</v>
      </c>
      <c r="N152" s="27">
        <v>0</v>
      </c>
      <c r="O152" s="27">
        <v>0</v>
      </c>
      <c r="P152" s="27">
        <v>0</v>
      </c>
    </row>
    <row r="153" spans="1:16" ht="14.4" x14ac:dyDescent="0.3">
      <c r="A153" s="18" t="s">
        <v>188</v>
      </c>
      <c r="B153" s="18"/>
      <c r="C153" s="16" t="s">
        <v>44</v>
      </c>
      <c r="D153" s="27">
        <f t="shared" ref="D153:O155" si="16">D102</f>
        <v>9.8799999999999999E-2</v>
      </c>
      <c r="E153" s="27">
        <f t="shared" si="16"/>
        <v>9.8799999999999999E-2</v>
      </c>
      <c r="F153" s="27">
        <f t="shared" si="16"/>
        <v>0</v>
      </c>
      <c r="G153" s="27">
        <f t="shared" si="16"/>
        <v>0</v>
      </c>
      <c r="H153" s="27">
        <f t="shared" si="16"/>
        <v>0</v>
      </c>
      <c r="I153" s="27">
        <f t="shared" si="16"/>
        <v>0</v>
      </c>
      <c r="J153" s="27">
        <f t="shared" si="16"/>
        <v>0</v>
      </c>
      <c r="K153" s="27">
        <f t="shared" si="16"/>
        <v>0</v>
      </c>
      <c r="L153" s="27">
        <f t="shared" si="16"/>
        <v>0</v>
      </c>
      <c r="M153" s="27">
        <f t="shared" si="16"/>
        <v>0</v>
      </c>
      <c r="N153" s="27">
        <f t="shared" si="16"/>
        <v>0</v>
      </c>
      <c r="O153" s="27">
        <f t="shared" si="16"/>
        <v>0</v>
      </c>
      <c r="P153" s="27">
        <f>P102</f>
        <v>0</v>
      </c>
    </row>
    <row r="154" spans="1:16" ht="14.4" x14ac:dyDescent="0.3">
      <c r="A154" s="18" t="s">
        <v>56</v>
      </c>
      <c r="B154" s="18"/>
      <c r="C154" s="16" t="s">
        <v>44</v>
      </c>
      <c r="D154" s="27">
        <f t="shared" si="16"/>
        <v>0.12</v>
      </c>
      <c r="E154" s="27">
        <f t="shared" si="16"/>
        <v>0.12</v>
      </c>
      <c r="F154" s="27">
        <f t="shared" si="16"/>
        <v>0.12</v>
      </c>
      <c r="G154" s="27">
        <f t="shared" si="16"/>
        <v>0.12</v>
      </c>
      <c r="H154" s="27">
        <f t="shared" si="16"/>
        <v>0.12</v>
      </c>
      <c r="I154" s="27">
        <f t="shared" si="16"/>
        <v>0.12</v>
      </c>
      <c r="J154" s="27">
        <f t="shared" si="16"/>
        <v>0.12</v>
      </c>
      <c r="K154" s="27">
        <f t="shared" si="16"/>
        <v>0.12</v>
      </c>
      <c r="L154" s="27">
        <f t="shared" si="16"/>
        <v>0.12</v>
      </c>
      <c r="M154" s="27">
        <f t="shared" si="16"/>
        <v>0.12</v>
      </c>
      <c r="N154" s="27">
        <f t="shared" si="16"/>
        <v>0.12</v>
      </c>
      <c r="O154" s="27">
        <f t="shared" si="16"/>
        <v>0.12</v>
      </c>
      <c r="P154" s="27">
        <f>P103</f>
        <v>0.12</v>
      </c>
    </row>
    <row r="155" spans="1:16" ht="14.4" x14ac:dyDescent="0.3">
      <c r="A155" s="18" t="s">
        <v>57</v>
      </c>
      <c r="B155" s="18"/>
      <c r="C155" s="16" t="s">
        <v>44</v>
      </c>
      <c r="D155" s="27">
        <f t="shared" si="16"/>
        <v>0.12</v>
      </c>
      <c r="E155" s="27">
        <f t="shared" si="16"/>
        <v>0.12</v>
      </c>
      <c r="F155" s="27">
        <f t="shared" si="16"/>
        <v>0.12</v>
      </c>
      <c r="G155" s="27">
        <f t="shared" si="16"/>
        <v>0.12</v>
      </c>
      <c r="H155" s="27">
        <f t="shared" si="16"/>
        <v>0.12</v>
      </c>
      <c r="I155" s="27">
        <f t="shared" si="16"/>
        <v>0.12</v>
      </c>
      <c r="J155" s="27">
        <f t="shared" si="16"/>
        <v>0.12</v>
      </c>
      <c r="K155" s="27">
        <f t="shared" si="16"/>
        <v>0.12</v>
      </c>
      <c r="L155" s="27">
        <f t="shared" si="16"/>
        <v>0.12</v>
      </c>
      <c r="M155" s="27">
        <f t="shared" si="16"/>
        <v>0.12</v>
      </c>
      <c r="N155" s="27">
        <f t="shared" si="16"/>
        <v>0.12</v>
      </c>
      <c r="O155" s="27">
        <f t="shared" si="16"/>
        <v>0.12</v>
      </c>
      <c r="P155" s="27">
        <f>P104</f>
        <v>0.12</v>
      </c>
    </row>
    <row r="157" spans="1:16" x14ac:dyDescent="0.3">
      <c r="A157" s="3" t="s">
        <v>58</v>
      </c>
    </row>
    <row r="158" spans="1:16" x14ac:dyDescent="0.3">
      <c r="A158" s="33"/>
    </row>
    <row r="159" spans="1:16" ht="18" x14ac:dyDescent="0.35">
      <c r="A159" s="9" t="str">
        <f>'[42]Statistical data'!A225</f>
        <v>GHMSCI</v>
      </c>
      <c r="B159" s="9"/>
      <c r="C159" s="5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</row>
    <row r="160" spans="1:16" s="13" customFormat="1" ht="14.4" x14ac:dyDescent="0.3">
      <c r="A160" s="11" t="s">
        <v>3</v>
      </c>
      <c r="B160" s="11"/>
      <c r="C160" s="11" t="s">
        <v>4</v>
      </c>
      <c r="D160" s="12" t="str">
        <f>D109</f>
        <v>JAN</v>
      </c>
      <c r="E160" s="12" t="str">
        <f t="shared" ref="E160:P160" si="17">E109</f>
        <v>FEB</v>
      </c>
      <c r="F160" s="12" t="str">
        <f t="shared" si="17"/>
        <v>MAR</v>
      </c>
      <c r="G160" s="12" t="str">
        <f t="shared" si="17"/>
        <v>APR</v>
      </c>
      <c r="H160" s="12" t="str">
        <f t="shared" si="17"/>
        <v>MAY</v>
      </c>
      <c r="I160" s="12" t="str">
        <f t="shared" si="17"/>
        <v>JUN</v>
      </c>
      <c r="J160" s="12" t="str">
        <f t="shared" si="17"/>
        <v>JUL</v>
      </c>
      <c r="K160" s="12" t="str">
        <f t="shared" si="17"/>
        <v>AUG</v>
      </c>
      <c r="L160" s="12" t="str">
        <f t="shared" si="17"/>
        <v>SEP</v>
      </c>
      <c r="M160" s="12" t="str">
        <f t="shared" si="17"/>
        <v>OCT</v>
      </c>
      <c r="N160" s="12" t="str">
        <f t="shared" si="17"/>
        <v>NOV</v>
      </c>
      <c r="O160" s="12" t="str">
        <f t="shared" si="17"/>
        <v>DEC</v>
      </c>
      <c r="P160" s="12" t="str">
        <f t="shared" si="17"/>
        <v>JAN</v>
      </c>
    </row>
    <row r="161" spans="1:16" ht="14.4" x14ac:dyDescent="0.3">
      <c r="A161" s="14" t="s">
        <v>17</v>
      </c>
      <c r="B161" s="15"/>
      <c r="C161" s="16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</row>
    <row r="162" spans="1:16" ht="14.4" x14ac:dyDescent="0.3">
      <c r="A162" s="18" t="s">
        <v>18</v>
      </c>
      <c r="B162" s="19"/>
      <c r="C162" s="16" t="s">
        <v>19</v>
      </c>
      <c r="D162" s="20">
        <f>D1000</f>
        <v>5.6673</v>
      </c>
      <c r="E162" s="20">
        <f t="shared" ref="E162:P162" si="18">E1000</f>
        <v>5.5358999999999998</v>
      </c>
      <c r="F162" s="20">
        <f t="shared" si="18"/>
        <v>5.2064000000000004</v>
      </c>
      <c r="G162" s="20">
        <f t="shared" si="18"/>
        <v>5.8994999999999997</v>
      </c>
      <c r="H162" s="20">
        <f t="shared" si="18"/>
        <v>5.9702999999999999</v>
      </c>
      <c r="I162" s="20">
        <f t="shared" si="18"/>
        <v>5.3105000000000002</v>
      </c>
      <c r="J162" s="20">
        <f t="shared" si="18"/>
        <v>5.4071999999999996</v>
      </c>
      <c r="K162" s="20">
        <f t="shared" si="18"/>
        <v>5.6352000000000002</v>
      </c>
      <c r="L162" s="20">
        <f t="shared" si="18"/>
        <v>5.1936999999999998</v>
      </c>
      <c r="M162" s="20">
        <f t="shared" si="18"/>
        <v>5.3522999999999996</v>
      </c>
      <c r="N162" s="20">
        <f t="shared" si="18"/>
        <v>5.1071999999999997</v>
      </c>
      <c r="O162" s="20">
        <f t="shared" si="18"/>
        <v>4.9371999999999998</v>
      </c>
      <c r="P162" s="20" t="e">
        <f t="shared" si="18"/>
        <v>#DIV/0!</v>
      </c>
    </row>
    <row r="163" spans="1:16" ht="14.4" hidden="1" x14ac:dyDescent="0.3">
      <c r="A163" s="18" t="s">
        <v>66</v>
      </c>
      <c r="B163" s="19"/>
      <c r="C163" s="16" t="s">
        <v>19</v>
      </c>
      <c r="D163" s="20">
        <v>0</v>
      </c>
      <c r="E163" s="20">
        <v>0</v>
      </c>
      <c r="F163" s="20">
        <v>0</v>
      </c>
      <c r="G163" s="20">
        <v>0</v>
      </c>
      <c r="H163" s="20">
        <v>0</v>
      </c>
      <c r="I163" s="20">
        <v>0</v>
      </c>
      <c r="J163" s="20">
        <v>0</v>
      </c>
      <c r="K163" s="20">
        <v>0</v>
      </c>
      <c r="L163" s="20">
        <v>0</v>
      </c>
      <c r="M163" s="20">
        <v>0</v>
      </c>
      <c r="N163" s="20">
        <v>0</v>
      </c>
      <c r="O163" s="20">
        <v>0</v>
      </c>
      <c r="P163" s="20">
        <v>0</v>
      </c>
    </row>
    <row r="164" spans="1:16" ht="14.4" x14ac:dyDescent="0.3">
      <c r="A164" s="14" t="s">
        <v>20</v>
      </c>
      <c r="B164" s="15"/>
      <c r="C164" s="16"/>
      <c r="D164" s="53"/>
      <c r="E164" s="53"/>
      <c r="F164" s="53"/>
      <c r="G164" s="53"/>
      <c r="H164" s="53"/>
      <c r="I164" s="53"/>
      <c r="J164" s="53"/>
      <c r="K164" s="53"/>
      <c r="L164" s="53"/>
      <c r="M164" s="53"/>
      <c r="N164" s="53"/>
      <c r="O164" s="53"/>
      <c r="P164" s="53"/>
    </row>
    <row r="165" spans="1:16" ht="14.4" x14ac:dyDescent="0.3">
      <c r="A165" s="18" t="s">
        <v>21</v>
      </c>
      <c r="B165" s="19"/>
      <c r="C165" s="16" t="s">
        <v>19</v>
      </c>
      <c r="D165" s="20">
        <f>[42]TR!D67</f>
        <v>1.0762</v>
      </c>
      <c r="E165" s="20">
        <f>[42]TR!E67</f>
        <v>1.1135999999999999</v>
      </c>
      <c r="F165" s="20">
        <f>[42]TR!F67</f>
        <v>1.0819000000000001</v>
      </c>
      <c r="G165" s="20">
        <f>[42]TR!G67</f>
        <v>1.2229000000000001</v>
      </c>
      <c r="H165" s="20">
        <f>[42]TR!H67</f>
        <v>1.0478000000000001</v>
      </c>
      <c r="I165" s="20">
        <f>[42]TR!I67</f>
        <v>1.0439000000000001</v>
      </c>
      <c r="J165" s="20">
        <f>[42]TR!J67</f>
        <v>1.0872999999999999</v>
      </c>
      <c r="K165" s="20">
        <f>[42]TR!K67</f>
        <v>1.1405000000000001</v>
      </c>
      <c r="L165" s="20">
        <f>[42]TR!L67</f>
        <v>1.0632999999999999</v>
      </c>
      <c r="M165" s="20">
        <f>[42]TR!M67</f>
        <v>0.96109999999999995</v>
      </c>
      <c r="N165" s="20">
        <f>[42]TR!N67</f>
        <v>0.90100000000000002</v>
      </c>
      <c r="O165" s="20">
        <f>[42]TR!O67</f>
        <v>0.88460000000000005</v>
      </c>
      <c r="P165" s="20">
        <f>[42]TR!P67</f>
        <v>0</v>
      </c>
    </row>
    <row r="166" spans="1:16" ht="14.4" x14ac:dyDescent="0.3">
      <c r="A166" s="18" t="s">
        <v>22</v>
      </c>
      <c r="B166" s="19"/>
      <c r="C166" s="16" t="s">
        <v>23</v>
      </c>
      <c r="D166" s="23">
        <v>0</v>
      </c>
      <c r="E166" s="23">
        <v>0</v>
      </c>
      <c r="F166" s="23">
        <v>0</v>
      </c>
      <c r="G166" s="23">
        <v>0</v>
      </c>
      <c r="H166" s="23">
        <v>0</v>
      </c>
      <c r="I166" s="23">
        <v>0</v>
      </c>
      <c r="J166" s="23">
        <v>0</v>
      </c>
      <c r="K166" s="23">
        <v>0</v>
      </c>
      <c r="L166" s="23">
        <v>0</v>
      </c>
      <c r="M166" s="23">
        <v>0</v>
      </c>
      <c r="N166" s="23">
        <v>0</v>
      </c>
      <c r="O166" s="23">
        <v>0</v>
      </c>
      <c r="P166" s="23">
        <v>0</v>
      </c>
    </row>
    <row r="167" spans="1:16" ht="14.4" x14ac:dyDescent="0.3">
      <c r="A167" s="14" t="s">
        <v>24</v>
      </c>
      <c r="B167" s="15"/>
      <c r="C167" s="16"/>
      <c r="D167" s="53"/>
      <c r="E167" s="53"/>
      <c r="F167" s="53"/>
      <c r="G167" s="53"/>
      <c r="H167" s="53"/>
      <c r="I167" s="53"/>
      <c r="J167" s="53"/>
      <c r="K167" s="53"/>
      <c r="L167" s="53"/>
      <c r="M167" s="53"/>
      <c r="N167" s="53"/>
      <c r="O167" s="53"/>
      <c r="P167" s="53"/>
    </row>
    <row r="168" spans="1:16" ht="14.4" x14ac:dyDescent="0.3">
      <c r="A168" s="18" t="s">
        <v>25</v>
      </c>
      <c r="B168" s="19"/>
      <c r="C168" s="16" t="s">
        <v>19</v>
      </c>
      <c r="D168" s="20">
        <f>D117</f>
        <v>0.60619999999999996</v>
      </c>
      <c r="E168" s="20">
        <f t="shared" ref="E168:P168" si="19">E117</f>
        <v>0.59540000000000004</v>
      </c>
      <c r="F168" s="20">
        <f t="shared" si="19"/>
        <v>0.55020000000000002</v>
      </c>
      <c r="G168" s="20">
        <f t="shared" si="19"/>
        <v>0.61329999999999996</v>
      </c>
      <c r="H168" s="20">
        <f t="shared" si="19"/>
        <v>0.59940000000000004</v>
      </c>
      <c r="I168" s="20">
        <f t="shared" si="19"/>
        <v>0.55889999999999995</v>
      </c>
      <c r="J168" s="20">
        <f t="shared" si="19"/>
        <v>0.5776</v>
      </c>
      <c r="K168" s="20">
        <f t="shared" si="19"/>
        <v>0.57809999999999995</v>
      </c>
      <c r="L168" s="20">
        <f t="shared" si="19"/>
        <v>0.55659999999999998</v>
      </c>
      <c r="M168" s="20">
        <f t="shared" si="19"/>
        <v>0.56210000000000004</v>
      </c>
      <c r="N168" s="20">
        <f t="shared" si="19"/>
        <v>0.5272</v>
      </c>
      <c r="O168" s="20">
        <f t="shared" si="19"/>
        <v>0.51049999999999995</v>
      </c>
      <c r="P168" s="20">
        <f t="shared" si="19"/>
        <v>0</v>
      </c>
    </row>
    <row r="169" spans="1:16" ht="14.4" x14ac:dyDescent="0.3">
      <c r="A169" s="14" t="s">
        <v>26</v>
      </c>
      <c r="B169" s="14"/>
      <c r="C169" s="16"/>
      <c r="D169" s="54"/>
      <c r="E169" s="54"/>
      <c r="F169" s="54"/>
      <c r="G169" s="54"/>
      <c r="H169" s="54"/>
      <c r="I169" s="54"/>
      <c r="J169" s="54"/>
      <c r="K169" s="54"/>
      <c r="L169" s="54"/>
      <c r="M169" s="54"/>
      <c r="N169" s="54"/>
      <c r="O169" s="54"/>
      <c r="P169" s="54"/>
    </row>
    <row r="170" spans="1:16" ht="14.4" x14ac:dyDescent="0.3">
      <c r="A170" s="18" t="s">
        <v>27</v>
      </c>
      <c r="B170" s="18"/>
      <c r="C170" s="16" t="s">
        <v>19</v>
      </c>
      <c r="D170" s="20">
        <v>1.0301</v>
      </c>
      <c r="E170" s="20">
        <v>1.0301</v>
      </c>
      <c r="F170" s="20">
        <v>1.0301</v>
      </c>
      <c r="G170" s="20">
        <v>1.0301</v>
      </c>
      <c r="H170" s="20">
        <v>1.0301</v>
      </c>
      <c r="I170" s="20">
        <v>1.0301</v>
      </c>
      <c r="J170" s="20">
        <v>0.97670000000000001</v>
      </c>
      <c r="K170" s="20">
        <v>0.97670000000000001</v>
      </c>
      <c r="L170" s="20">
        <v>0.97670000000000001</v>
      </c>
      <c r="M170" s="20">
        <v>0.97670000000000001</v>
      </c>
      <c r="N170" s="20">
        <v>0.97670000000000001</v>
      </c>
      <c r="O170" s="20">
        <v>0.97670000000000001</v>
      </c>
      <c r="P170" s="20">
        <v>0.97670000000000001</v>
      </c>
    </row>
    <row r="171" spans="1:16" ht="14.4" x14ac:dyDescent="0.3">
      <c r="A171" s="18" t="s">
        <v>28</v>
      </c>
      <c r="B171" s="18"/>
      <c r="C171" s="16" t="s">
        <v>23</v>
      </c>
      <c r="D171" s="23">
        <v>0</v>
      </c>
      <c r="E171" s="23">
        <v>0</v>
      </c>
      <c r="F171" s="23">
        <v>0</v>
      </c>
      <c r="G171" s="23">
        <v>0</v>
      </c>
      <c r="H171" s="23">
        <v>0</v>
      </c>
      <c r="I171" s="23">
        <v>0</v>
      </c>
      <c r="J171" s="23">
        <v>0</v>
      </c>
      <c r="K171" s="23">
        <v>0</v>
      </c>
      <c r="L171" s="23">
        <v>0</v>
      </c>
      <c r="M171" s="23">
        <v>0</v>
      </c>
      <c r="N171" s="23">
        <v>0</v>
      </c>
      <c r="O171" s="23">
        <v>0</v>
      </c>
      <c r="P171" s="23">
        <v>0</v>
      </c>
    </row>
    <row r="172" spans="1:16" ht="14.4" x14ac:dyDescent="0.3">
      <c r="A172" s="14" t="s">
        <v>29</v>
      </c>
      <c r="B172" s="14"/>
      <c r="C172" s="16"/>
      <c r="D172" s="24"/>
      <c r="E172" s="24"/>
      <c r="F172" s="24"/>
      <c r="G172" s="24"/>
      <c r="H172" s="24"/>
      <c r="I172" s="24"/>
      <c r="J172" s="24"/>
      <c r="K172" s="24"/>
      <c r="L172" s="24"/>
      <c r="M172" s="24"/>
      <c r="N172" s="24"/>
      <c r="O172" s="24"/>
      <c r="P172" s="24"/>
    </row>
    <row r="173" spans="1:16" ht="14.4" x14ac:dyDescent="0.3">
      <c r="A173" s="18" t="s">
        <v>30</v>
      </c>
      <c r="B173" s="18"/>
      <c r="C173" s="16" t="s">
        <v>19</v>
      </c>
      <c r="D173" s="20">
        <v>0</v>
      </c>
      <c r="E173" s="20">
        <v>0</v>
      </c>
      <c r="F173" s="20">
        <v>0</v>
      </c>
      <c r="G173" s="20">
        <v>0</v>
      </c>
      <c r="H173" s="20">
        <v>0</v>
      </c>
      <c r="I173" s="20">
        <v>0</v>
      </c>
      <c r="J173" s="20">
        <v>0</v>
      </c>
      <c r="K173" s="20">
        <v>0</v>
      </c>
      <c r="L173" s="20">
        <v>0</v>
      </c>
      <c r="M173" s="20">
        <v>0</v>
      </c>
      <c r="N173" s="20">
        <v>0</v>
      </c>
      <c r="O173" s="20">
        <v>0</v>
      </c>
      <c r="P173" s="20">
        <v>0</v>
      </c>
    </row>
    <row r="174" spans="1:16" ht="14.4" x14ac:dyDescent="0.3">
      <c r="A174" s="18" t="s">
        <v>31</v>
      </c>
      <c r="B174" s="18"/>
      <c r="C174" s="16" t="s">
        <v>32</v>
      </c>
      <c r="D174" s="23">
        <v>331.09</v>
      </c>
      <c r="E174" s="23">
        <v>331.09</v>
      </c>
      <c r="F174" s="23">
        <v>331.09</v>
      </c>
      <c r="G174" s="23">
        <v>331.09</v>
      </c>
      <c r="H174" s="23">
        <v>331.09</v>
      </c>
      <c r="I174" s="23">
        <v>331.09</v>
      </c>
      <c r="J174" s="23">
        <v>313.93</v>
      </c>
      <c r="K174" s="23">
        <v>313.93</v>
      </c>
      <c r="L174" s="23">
        <v>313.93</v>
      </c>
      <c r="M174" s="23">
        <v>313.93</v>
      </c>
      <c r="N174" s="23">
        <v>313.93</v>
      </c>
      <c r="O174" s="23">
        <v>313.93</v>
      </c>
      <c r="P174" s="23">
        <v>313.93</v>
      </c>
    </row>
    <row r="175" spans="1:16" ht="14.4" x14ac:dyDescent="0.3">
      <c r="A175" s="14" t="s">
        <v>33</v>
      </c>
      <c r="B175" s="14"/>
      <c r="C175" s="16"/>
      <c r="D175" s="24"/>
      <c r="E175" s="24"/>
      <c r="F175" s="24"/>
      <c r="G175" s="24"/>
      <c r="H175" s="24"/>
      <c r="I175" s="24"/>
      <c r="J175" s="24"/>
      <c r="K175" s="24"/>
      <c r="L175" s="24"/>
      <c r="M175" s="24"/>
      <c r="N175" s="24"/>
      <c r="O175" s="24"/>
      <c r="P175" s="24"/>
    </row>
    <row r="176" spans="1:16" ht="14.4" x14ac:dyDescent="0.3">
      <c r="A176" s="18" t="s">
        <v>34</v>
      </c>
      <c r="B176" s="18"/>
      <c r="C176" s="16" t="s">
        <v>19</v>
      </c>
      <c r="D176" s="20">
        <v>0</v>
      </c>
      <c r="E176" s="20">
        <v>0</v>
      </c>
      <c r="F176" s="20">
        <v>0</v>
      </c>
      <c r="G176" s="20">
        <v>0</v>
      </c>
      <c r="H176" s="20">
        <v>0</v>
      </c>
      <c r="I176" s="20">
        <v>0</v>
      </c>
      <c r="J176" s="20">
        <v>0</v>
      </c>
      <c r="K176" s="20">
        <v>0</v>
      </c>
      <c r="L176" s="20">
        <v>0</v>
      </c>
      <c r="M176" s="20">
        <v>0</v>
      </c>
      <c r="N176" s="20">
        <v>0</v>
      </c>
      <c r="O176" s="20">
        <v>0</v>
      </c>
      <c r="P176" s="20">
        <v>0</v>
      </c>
    </row>
    <row r="177" spans="1:16" ht="14.4" x14ac:dyDescent="0.3">
      <c r="A177" s="18" t="s">
        <v>35</v>
      </c>
      <c r="B177" s="18"/>
      <c r="C177" s="16" t="s">
        <v>36</v>
      </c>
      <c r="D177" s="23">
        <v>330.93</v>
      </c>
      <c r="E177" s="23">
        <v>330.93</v>
      </c>
      <c r="F177" s="23">
        <v>330.93</v>
      </c>
      <c r="G177" s="23">
        <v>330.93</v>
      </c>
      <c r="H177" s="23">
        <v>330.93</v>
      </c>
      <c r="I177" s="23">
        <v>330.93</v>
      </c>
      <c r="J177" s="23">
        <v>313.77999999999997</v>
      </c>
      <c r="K177" s="23">
        <v>313.77999999999997</v>
      </c>
      <c r="L177" s="23">
        <v>313.77999999999997</v>
      </c>
      <c r="M177" s="23">
        <v>313.77999999999997</v>
      </c>
      <c r="N177" s="23">
        <v>313.77999999999997</v>
      </c>
      <c r="O177" s="23">
        <v>313.77999999999997</v>
      </c>
      <c r="P177" s="23">
        <v>313.77999999999997</v>
      </c>
    </row>
    <row r="178" spans="1:16" ht="14.4" x14ac:dyDescent="0.3">
      <c r="A178" s="14" t="s">
        <v>37</v>
      </c>
      <c r="B178" s="14"/>
      <c r="C178" s="16"/>
      <c r="D178" s="24"/>
      <c r="E178" s="24"/>
      <c r="F178" s="24"/>
      <c r="G178" s="24"/>
      <c r="H178" s="24"/>
      <c r="I178" s="24"/>
      <c r="J178" s="24"/>
      <c r="K178" s="24"/>
      <c r="L178" s="24"/>
      <c r="M178" s="24"/>
      <c r="N178" s="24"/>
      <c r="O178" s="24"/>
      <c r="P178" s="24"/>
    </row>
    <row r="179" spans="1:16" ht="14.4" x14ac:dyDescent="0.3">
      <c r="A179" s="25" t="s">
        <v>38</v>
      </c>
      <c r="B179" s="18"/>
      <c r="C179" s="16" t="s">
        <v>19</v>
      </c>
      <c r="D179" s="20">
        <f>D128</f>
        <v>0.1173</v>
      </c>
      <c r="E179" s="20">
        <f t="shared" ref="E179:P179" si="20">E128</f>
        <v>0.1527</v>
      </c>
      <c r="F179" s="20">
        <f t="shared" si="20"/>
        <v>0.15920000000000001</v>
      </c>
      <c r="G179" s="20">
        <f t="shared" si="20"/>
        <v>0.16189999999999999</v>
      </c>
      <c r="H179" s="20">
        <f t="shared" si="20"/>
        <v>0.11899999999999999</v>
      </c>
      <c r="I179" s="20">
        <f t="shared" si="20"/>
        <v>0.1066</v>
      </c>
      <c r="J179" s="20">
        <f t="shared" si="20"/>
        <v>8.9300000000000004E-2</v>
      </c>
      <c r="K179" s="20">
        <f t="shared" si="20"/>
        <v>0.1177</v>
      </c>
      <c r="L179" s="20">
        <f t="shared" si="20"/>
        <v>0.1222</v>
      </c>
      <c r="M179" s="20">
        <f t="shared" si="20"/>
        <v>0.1089</v>
      </c>
      <c r="N179" s="20">
        <f t="shared" si="20"/>
        <v>0.1176</v>
      </c>
      <c r="O179" s="20">
        <f t="shared" si="20"/>
        <v>0.1109</v>
      </c>
      <c r="P179" s="20">
        <f t="shared" si="20"/>
        <v>0</v>
      </c>
    </row>
    <row r="180" spans="1:16" ht="14.4" x14ac:dyDescent="0.3">
      <c r="A180" s="25" t="s">
        <v>39</v>
      </c>
      <c r="B180" s="18"/>
      <c r="C180" s="16" t="s">
        <v>19</v>
      </c>
      <c r="D180" s="20">
        <v>0</v>
      </c>
      <c r="E180" s="20">
        <v>0</v>
      </c>
      <c r="F180" s="20">
        <v>0</v>
      </c>
      <c r="G180" s="20">
        <v>0</v>
      </c>
      <c r="H180" s="20">
        <v>0</v>
      </c>
      <c r="I180" s="20">
        <v>0</v>
      </c>
      <c r="J180" s="20">
        <v>0</v>
      </c>
      <c r="K180" s="20">
        <v>0</v>
      </c>
      <c r="L180" s="20">
        <v>0</v>
      </c>
      <c r="M180" s="20">
        <v>0</v>
      </c>
      <c r="N180" s="20">
        <v>0</v>
      </c>
      <c r="O180" s="20">
        <v>0</v>
      </c>
      <c r="P180" s="20">
        <v>0</v>
      </c>
    </row>
    <row r="181" spans="1:16" ht="14.4" x14ac:dyDescent="0.3">
      <c r="A181" s="25" t="s">
        <v>180</v>
      </c>
      <c r="B181" s="18"/>
      <c r="C181" s="16" t="s">
        <v>19</v>
      </c>
      <c r="D181" s="20">
        <f>D130</f>
        <v>3.1399999999999997E-2</v>
      </c>
      <c r="E181" s="20">
        <f t="shared" ref="E181:P184" si="21">E130</f>
        <v>3.1399999999999997E-2</v>
      </c>
      <c r="F181" s="20">
        <f t="shared" si="21"/>
        <v>0</v>
      </c>
      <c r="G181" s="20">
        <f t="shared" si="21"/>
        <v>0</v>
      </c>
      <c r="H181" s="20">
        <f t="shared" si="21"/>
        <v>0</v>
      </c>
      <c r="I181" s="20">
        <f t="shared" si="21"/>
        <v>0</v>
      </c>
      <c r="J181" s="20">
        <f t="shared" si="21"/>
        <v>0</v>
      </c>
      <c r="K181" s="20">
        <f t="shared" si="21"/>
        <v>0</v>
      </c>
      <c r="L181" s="20">
        <f t="shared" si="21"/>
        <v>0</v>
      </c>
      <c r="M181" s="20">
        <f t="shared" si="21"/>
        <v>0</v>
      </c>
      <c r="N181" s="20">
        <f t="shared" si="21"/>
        <v>0</v>
      </c>
      <c r="O181" s="20">
        <f t="shared" si="21"/>
        <v>0</v>
      </c>
      <c r="P181" s="20">
        <f t="shared" si="21"/>
        <v>0</v>
      </c>
    </row>
    <row r="182" spans="1:16" ht="14.4" x14ac:dyDescent="0.3">
      <c r="A182" s="26" t="s">
        <v>40</v>
      </c>
      <c r="B182" s="18"/>
      <c r="C182" s="16" t="s">
        <v>19</v>
      </c>
      <c r="D182" s="20">
        <f>D131</f>
        <v>1E-4</v>
      </c>
      <c r="E182" s="20">
        <f t="shared" si="21"/>
        <v>1E-4</v>
      </c>
      <c r="F182" s="20">
        <f t="shared" si="21"/>
        <v>1E-4</v>
      </c>
      <c r="G182" s="20">
        <f t="shared" si="21"/>
        <v>1E-4</v>
      </c>
      <c r="H182" s="20">
        <f t="shared" si="21"/>
        <v>1E-4</v>
      </c>
      <c r="I182" s="20">
        <f t="shared" si="21"/>
        <v>0</v>
      </c>
      <c r="J182" s="20">
        <f t="shared" si="21"/>
        <v>1E-4</v>
      </c>
      <c r="K182" s="20">
        <f t="shared" si="21"/>
        <v>1E-4</v>
      </c>
      <c r="L182" s="20">
        <f t="shared" si="21"/>
        <v>1E-4</v>
      </c>
      <c r="M182" s="20">
        <f t="shared" si="21"/>
        <v>2.0000000000000001E-4</v>
      </c>
      <c r="N182" s="20">
        <f t="shared" si="21"/>
        <v>1E-4</v>
      </c>
      <c r="O182" s="20">
        <f t="shared" si="21"/>
        <v>1E-4</v>
      </c>
      <c r="P182" s="20">
        <f t="shared" si="21"/>
        <v>0</v>
      </c>
    </row>
    <row r="183" spans="1:16" ht="14.4" x14ac:dyDescent="0.3">
      <c r="A183" s="26" t="s">
        <v>41</v>
      </c>
      <c r="B183" s="18"/>
      <c r="C183" s="16" t="s">
        <v>19</v>
      </c>
      <c r="D183" s="20">
        <f>D132</f>
        <v>0</v>
      </c>
      <c r="E183" s="20">
        <f t="shared" si="21"/>
        <v>0</v>
      </c>
      <c r="F183" s="20">
        <f t="shared" si="21"/>
        <v>0</v>
      </c>
      <c r="G183" s="20">
        <f t="shared" si="21"/>
        <v>0</v>
      </c>
      <c r="H183" s="20">
        <f t="shared" si="21"/>
        <v>0</v>
      </c>
      <c r="I183" s="20">
        <f t="shared" si="21"/>
        <v>0</v>
      </c>
      <c r="J183" s="20">
        <f t="shared" si="21"/>
        <v>0</v>
      </c>
      <c r="K183" s="20">
        <f t="shared" si="21"/>
        <v>0</v>
      </c>
      <c r="L183" s="20">
        <f t="shared" si="21"/>
        <v>0</v>
      </c>
      <c r="M183" s="20">
        <f t="shared" si="21"/>
        <v>0</v>
      </c>
      <c r="N183" s="20">
        <f t="shared" si="21"/>
        <v>0</v>
      </c>
      <c r="O183" s="20">
        <f t="shared" si="21"/>
        <v>0</v>
      </c>
      <c r="P183" s="20">
        <f t="shared" si="21"/>
        <v>0</v>
      </c>
    </row>
    <row r="184" spans="1:16" ht="14.4" hidden="1" x14ac:dyDescent="0.3">
      <c r="A184" s="154" t="s">
        <v>181</v>
      </c>
      <c r="B184" s="155"/>
      <c r="C184" s="16" t="s">
        <v>19</v>
      </c>
      <c r="D184" s="20">
        <f>D133</f>
        <v>0</v>
      </c>
      <c r="E184" s="20">
        <f t="shared" si="21"/>
        <v>0</v>
      </c>
      <c r="F184" s="20">
        <f t="shared" si="21"/>
        <v>0</v>
      </c>
      <c r="G184" s="20">
        <f t="shared" si="21"/>
        <v>0</v>
      </c>
      <c r="H184" s="20">
        <f t="shared" si="21"/>
        <v>0</v>
      </c>
      <c r="I184" s="20">
        <f t="shared" si="21"/>
        <v>0</v>
      </c>
      <c r="J184" s="20">
        <f t="shared" si="21"/>
        <v>0</v>
      </c>
      <c r="K184" s="20">
        <f t="shared" si="21"/>
        <v>0</v>
      </c>
      <c r="L184" s="20">
        <f t="shared" si="21"/>
        <v>0</v>
      </c>
      <c r="M184" s="20">
        <f t="shared" si="21"/>
        <v>0</v>
      </c>
      <c r="N184" s="20">
        <f t="shared" si="21"/>
        <v>0</v>
      </c>
      <c r="O184" s="20">
        <f t="shared" si="21"/>
        <v>0</v>
      </c>
      <c r="P184" s="20">
        <f t="shared" si="21"/>
        <v>0</v>
      </c>
    </row>
    <row r="185" spans="1:16" ht="16.2" hidden="1" x14ac:dyDescent="0.3">
      <c r="A185" s="154" t="s">
        <v>182</v>
      </c>
      <c r="B185" s="155"/>
      <c r="C185" s="16" t="s">
        <v>19</v>
      </c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</row>
    <row r="186" spans="1:16" ht="16.2" hidden="1" x14ac:dyDescent="0.3">
      <c r="A186" s="154" t="s">
        <v>182</v>
      </c>
      <c r="B186" s="156"/>
      <c r="C186" s="16" t="s">
        <v>19</v>
      </c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</row>
    <row r="187" spans="1:16" ht="14.4" x14ac:dyDescent="0.3">
      <c r="A187" s="14" t="s">
        <v>42</v>
      </c>
      <c r="B187" s="14"/>
      <c r="C187" s="16"/>
      <c r="D187" s="24"/>
      <c r="E187" s="24"/>
      <c r="F187" s="24"/>
      <c r="G187" s="24"/>
      <c r="H187" s="24"/>
      <c r="I187" s="24"/>
      <c r="J187" s="24"/>
      <c r="K187" s="24"/>
      <c r="L187" s="24"/>
      <c r="M187" s="24"/>
      <c r="N187" s="24"/>
      <c r="O187" s="24"/>
      <c r="P187" s="24"/>
    </row>
    <row r="188" spans="1:16" ht="14.4" x14ac:dyDescent="0.3">
      <c r="A188" s="14" t="s">
        <v>43</v>
      </c>
      <c r="B188" s="14"/>
      <c r="C188" s="16" t="s">
        <v>44</v>
      </c>
      <c r="D188" s="27"/>
      <c r="E188" s="27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</row>
    <row r="189" spans="1:16" ht="14.4" hidden="1" x14ac:dyDescent="0.3">
      <c r="A189" s="14" t="s">
        <v>183</v>
      </c>
      <c r="B189" s="14"/>
      <c r="C189" s="16"/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</row>
    <row r="190" spans="1:16" ht="14.4" hidden="1" x14ac:dyDescent="0.3">
      <c r="A190" s="14" t="s">
        <v>184</v>
      </c>
      <c r="B190" s="14"/>
      <c r="C190" s="16" t="s">
        <v>19</v>
      </c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</row>
    <row r="191" spans="1:16" ht="14.4" x14ac:dyDescent="0.3">
      <c r="A191" s="14" t="s">
        <v>45</v>
      </c>
      <c r="B191" s="14"/>
      <c r="C191" s="16"/>
      <c r="D191" s="28"/>
      <c r="E191" s="28"/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P191" s="28"/>
    </row>
    <row r="192" spans="1:16" ht="14.4" x14ac:dyDescent="0.3">
      <c r="A192" s="14" t="s">
        <v>46</v>
      </c>
      <c r="B192" s="14"/>
      <c r="C192" s="16" t="s">
        <v>19</v>
      </c>
      <c r="D192" s="20">
        <v>0</v>
      </c>
      <c r="E192" s="20">
        <v>0</v>
      </c>
      <c r="F192" s="20">
        <v>0</v>
      </c>
      <c r="G192" s="20">
        <v>0</v>
      </c>
      <c r="H192" s="20">
        <v>0</v>
      </c>
      <c r="I192" s="20">
        <v>0</v>
      </c>
      <c r="J192" s="20">
        <v>0</v>
      </c>
      <c r="K192" s="20">
        <v>0</v>
      </c>
      <c r="L192" s="20">
        <v>0</v>
      </c>
      <c r="M192" s="20">
        <v>0</v>
      </c>
      <c r="N192" s="20">
        <v>0</v>
      </c>
      <c r="O192" s="20">
        <v>0</v>
      </c>
      <c r="P192" s="20">
        <v>0</v>
      </c>
    </row>
    <row r="193" spans="1:16" ht="14.4" hidden="1" x14ac:dyDescent="0.3">
      <c r="A193" s="14" t="s">
        <v>185</v>
      </c>
      <c r="B193" s="14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</row>
    <row r="194" spans="1:16" ht="14.4" hidden="1" x14ac:dyDescent="0.3">
      <c r="A194" s="14" t="s">
        <v>186</v>
      </c>
      <c r="B194" s="14"/>
      <c r="C194" s="16" t="s">
        <v>19</v>
      </c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</row>
    <row r="195" spans="1:16" ht="14.4" x14ac:dyDescent="0.3">
      <c r="A195" s="14" t="s">
        <v>47</v>
      </c>
      <c r="B195" s="14"/>
      <c r="C195" s="16"/>
      <c r="D195" s="24"/>
      <c r="E195" s="24"/>
      <c r="F195" s="24"/>
      <c r="G195" s="24"/>
      <c r="H195" s="24"/>
      <c r="I195" s="24"/>
      <c r="J195" s="24"/>
      <c r="K195" s="24"/>
      <c r="L195" s="24"/>
      <c r="M195" s="24"/>
      <c r="N195" s="24"/>
      <c r="O195" s="24"/>
      <c r="P195" s="24"/>
    </row>
    <row r="196" spans="1:16" ht="14.4" x14ac:dyDescent="0.3">
      <c r="A196" s="18" t="s">
        <v>48</v>
      </c>
      <c r="B196" s="18"/>
      <c r="C196" s="16" t="s">
        <v>19</v>
      </c>
      <c r="D196" s="20">
        <f t="shared" ref="D196:O197" si="22">D145</f>
        <v>0.15609999999999999</v>
      </c>
      <c r="E196" s="20">
        <f t="shared" si="22"/>
        <v>0.15609999999999999</v>
      </c>
      <c r="F196" s="20">
        <f t="shared" si="22"/>
        <v>0.11799999999999999</v>
      </c>
      <c r="G196" s="20">
        <f t="shared" si="22"/>
        <v>0.11799999999999999</v>
      </c>
      <c r="H196" s="20">
        <f t="shared" si="22"/>
        <v>0.11799999999999999</v>
      </c>
      <c r="I196" s="20">
        <f t="shared" si="22"/>
        <v>0.11799999999999999</v>
      </c>
      <c r="J196" s="20">
        <f t="shared" si="22"/>
        <v>0.11799999999999999</v>
      </c>
      <c r="K196" s="20">
        <f t="shared" si="22"/>
        <v>0.15609999999999999</v>
      </c>
      <c r="L196" s="20">
        <f t="shared" si="22"/>
        <v>0.15609999999999999</v>
      </c>
      <c r="M196" s="20">
        <f t="shared" si="22"/>
        <v>0.15609999999999999</v>
      </c>
      <c r="N196" s="20">
        <f t="shared" si="22"/>
        <v>0.15609999999999999</v>
      </c>
      <c r="O196" s="20">
        <f t="shared" si="22"/>
        <v>0.15609999999999999</v>
      </c>
      <c r="P196" s="20">
        <f>P145</f>
        <v>0.15609999999999999</v>
      </c>
    </row>
    <row r="197" spans="1:16" ht="14.4" x14ac:dyDescent="0.3">
      <c r="A197" s="18" t="s">
        <v>49</v>
      </c>
      <c r="B197" s="18"/>
      <c r="C197" s="16" t="s">
        <v>19</v>
      </c>
      <c r="D197" s="20">
        <f t="shared" si="22"/>
        <v>2.5000000000000001E-3</v>
      </c>
      <c r="E197" s="20">
        <f t="shared" si="22"/>
        <v>2.5000000000000001E-3</v>
      </c>
      <c r="F197" s="20">
        <f t="shared" si="22"/>
        <v>2.5000000000000001E-3</v>
      </c>
      <c r="G197" s="20">
        <f t="shared" si="22"/>
        <v>2.5000000000000001E-3</v>
      </c>
      <c r="H197" s="20">
        <f t="shared" si="22"/>
        <v>2.5000000000000001E-3</v>
      </c>
      <c r="I197" s="20">
        <f t="shared" si="22"/>
        <v>2.5000000000000001E-3</v>
      </c>
      <c r="J197" s="20">
        <f t="shared" si="22"/>
        <v>2.5000000000000001E-3</v>
      </c>
      <c r="K197" s="20">
        <f t="shared" si="22"/>
        <v>2.5000000000000001E-3</v>
      </c>
      <c r="L197" s="20">
        <f t="shared" si="22"/>
        <v>2.5000000000000001E-3</v>
      </c>
      <c r="M197" s="20">
        <f t="shared" si="22"/>
        <v>2.5000000000000001E-3</v>
      </c>
      <c r="N197" s="20">
        <f t="shared" si="22"/>
        <v>2.5000000000000001E-3</v>
      </c>
      <c r="O197" s="20">
        <f t="shared" si="22"/>
        <v>2.5000000000000001E-3</v>
      </c>
      <c r="P197" s="20">
        <f>P146</f>
        <v>2.5000000000000001E-3</v>
      </c>
    </row>
    <row r="198" spans="1:16" ht="14.4" x14ac:dyDescent="0.3">
      <c r="A198" s="18" t="s">
        <v>50</v>
      </c>
      <c r="B198" s="18"/>
      <c r="C198" s="16"/>
      <c r="D198" s="20">
        <v>0.1938</v>
      </c>
      <c r="E198" s="20">
        <v>0.1938</v>
      </c>
      <c r="F198" s="20">
        <v>0.1938</v>
      </c>
      <c r="G198" s="20">
        <v>0.1938</v>
      </c>
      <c r="H198" s="20">
        <v>0.1938</v>
      </c>
      <c r="I198" s="20">
        <v>0.1938</v>
      </c>
      <c r="J198" s="20">
        <v>0.1938</v>
      </c>
      <c r="K198" s="20">
        <v>0.1938</v>
      </c>
      <c r="L198" s="20">
        <v>0.1938</v>
      </c>
      <c r="M198" s="20">
        <v>0.1938</v>
      </c>
      <c r="N198" s="20">
        <v>0.1938</v>
      </c>
      <c r="O198" s="20">
        <v>0.1938</v>
      </c>
      <c r="P198" s="20">
        <v>0.1938</v>
      </c>
    </row>
    <row r="199" spans="1:16" ht="14.4" x14ac:dyDescent="0.3">
      <c r="A199" s="14" t="s">
        <v>52</v>
      </c>
      <c r="B199" s="14"/>
      <c r="C199" s="29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</row>
    <row r="200" spans="1:16" ht="14.4" x14ac:dyDescent="0.3">
      <c r="A200" s="18" t="s">
        <v>53</v>
      </c>
      <c r="B200" s="18"/>
      <c r="C200" s="16" t="s">
        <v>44</v>
      </c>
      <c r="D200" s="30">
        <f t="shared" ref="D200:P206" si="23">D149</f>
        <v>0.10970000000000001</v>
      </c>
      <c r="E200" s="30">
        <f t="shared" si="23"/>
        <v>0.1176</v>
      </c>
      <c r="F200" s="30">
        <f t="shared" si="23"/>
        <v>0.1169</v>
      </c>
      <c r="G200" s="30">
        <f t="shared" si="23"/>
        <v>0.1177</v>
      </c>
      <c r="H200" s="30">
        <f t="shared" si="23"/>
        <v>0.11890000000000001</v>
      </c>
      <c r="I200" s="30">
        <f t="shared" si="23"/>
        <v>0.1192</v>
      </c>
      <c r="J200" s="30">
        <f t="shared" si="23"/>
        <v>0.1179</v>
      </c>
      <c r="K200" s="30">
        <f t="shared" si="23"/>
        <v>0.11700000000000001</v>
      </c>
      <c r="L200" s="30">
        <f t="shared" si="23"/>
        <v>0.11650000000000001</v>
      </c>
      <c r="M200" s="30">
        <f t="shared" si="23"/>
        <v>0.1154</v>
      </c>
      <c r="N200" s="30">
        <f t="shared" si="23"/>
        <v>0.1129</v>
      </c>
      <c r="O200" s="30">
        <f t="shared" si="23"/>
        <v>0.115</v>
      </c>
      <c r="P200" s="30" t="e">
        <f t="shared" si="23"/>
        <v>#DIV/0!</v>
      </c>
    </row>
    <row r="201" spans="1:16" ht="14.4" x14ac:dyDescent="0.3">
      <c r="A201" s="18" t="s">
        <v>54</v>
      </c>
      <c r="B201" s="18"/>
      <c r="C201" s="16" t="s">
        <v>44</v>
      </c>
      <c r="D201" s="30">
        <f t="shared" si="23"/>
        <v>6.0000000000000006E-4</v>
      </c>
      <c r="E201" s="30">
        <f t="shared" si="23"/>
        <v>3.2000000000000002E-3</v>
      </c>
      <c r="F201" s="30">
        <f t="shared" si="23"/>
        <v>3.5000000000000001E-3</v>
      </c>
      <c r="G201" s="30">
        <f t="shared" si="23"/>
        <v>1.3899999999999999E-2</v>
      </c>
      <c r="H201" s="30">
        <f t="shared" si="23"/>
        <v>2.5600000000000001E-2</v>
      </c>
      <c r="I201" s="30">
        <f t="shared" si="23"/>
        <v>2.8000000000000001E-2</v>
      </c>
      <c r="J201" s="30">
        <f t="shared" si="23"/>
        <v>3.73E-2</v>
      </c>
      <c r="K201" s="30">
        <f t="shared" si="23"/>
        <v>3.4099999999999998E-2</v>
      </c>
      <c r="L201" s="30">
        <f t="shared" si="23"/>
        <v>1.9699999999999999E-2</v>
      </c>
      <c r="M201" s="30">
        <f t="shared" si="23"/>
        <v>1.5299999999999999E-2</v>
      </c>
      <c r="N201" s="30">
        <f t="shared" si="23"/>
        <v>6.0000000000000001E-3</v>
      </c>
      <c r="O201" s="30">
        <f t="shared" si="23"/>
        <v>2.8999999999999998E-3</v>
      </c>
      <c r="P201" s="30" t="e">
        <f t="shared" si="23"/>
        <v>#DIV/0!</v>
      </c>
    </row>
    <row r="202" spans="1:16" ht="14.4" x14ac:dyDescent="0.3">
      <c r="A202" s="18" t="s">
        <v>55</v>
      </c>
      <c r="B202" s="18"/>
      <c r="C202" s="16" t="s">
        <v>44</v>
      </c>
      <c r="D202" s="30">
        <f t="shared" si="23"/>
        <v>9.4299999999999995E-2</v>
      </c>
      <c r="E202" s="30">
        <f t="shared" si="23"/>
        <v>0.1008</v>
      </c>
      <c r="F202" s="30">
        <f t="shared" si="23"/>
        <v>9.9400000000000002E-2</v>
      </c>
      <c r="G202" s="30">
        <f t="shared" si="23"/>
        <v>0.10249999999999999</v>
      </c>
      <c r="H202" s="30">
        <f t="shared" si="23"/>
        <v>0.1066</v>
      </c>
      <c r="I202" s="30">
        <f t="shared" si="23"/>
        <v>0.10630000000000001</v>
      </c>
      <c r="J202" s="30">
        <f t="shared" si="23"/>
        <v>0.10589999999999999</v>
      </c>
      <c r="K202" s="30">
        <f t="shared" si="23"/>
        <v>0.10489999999999999</v>
      </c>
      <c r="L202" s="30">
        <f t="shared" si="23"/>
        <v>0.1022</v>
      </c>
      <c r="M202" s="30">
        <f t="shared" si="23"/>
        <v>0.1019</v>
      </c>
      <c r="N202" s="30">
        <f t="shared" si="23"/>
        <v>9.8799999999999999E-2</v>
      </c>
      <c r="O202" s="30">
        <f t="shared" si="23"/>
        <v>9.98E-2</v>
      </c>
      <c r="P202" s="30" t="e">
        <f t="shared" si="23"/>
        <v>#DIV/0!</v>
      </c>
    </row>
    <row r="203" spans="1:16" ht="14.4" hidden="1" x14ac:dyDescent="0.3">
      <c r="A203" s="18" t="s">
        <v>187</v>
      </c>
      <c r="B203" s="18"/>
      <c r="C203" s="16" t="s">
        <v>44</v>
      </c>
      <c r="D203" s="27">
        <v>0</v>
      </c>
      <c r="E203" s="27">
        <v>0</v>
      </c>
      <c r="F203" s="27">
        <v>0</v>
      </c>
      <c r="G203" s="27">
        <v>0</v>
      </c>
      <c r="H203" s="27">
        <v>0</v>
      </c>
      <c r="I203" s="27">
        <v>0</v>
      </c>
      <c r="J203" s="27">
        <v>0</v>
      </c>
      <c r="K203" s="27">
        <v>0</v>
      </c>
      <c r="L203" s="27">
        <v>0</v>
      </c>
      <c r="M203" s="27">
        <v>0</v>
      </c>
      <c r="N203" s="27">
        <v>0</v>
      </c>
      <c r="O203" s="27">
        <v>0</v>
      </c>
      <c r="P203" s="27">
        <v>0</v>
      </c>
    </row>
    <row r="204" spans="1:16" ht="14.4" x14ac:dyDescent="0.3">
      <c r="A204" s="18" t="s">
        <v>188</v>
      </c>
      <c r="B204" s="18"/>
      <c r="C204" s="16" t="s">
        <v>44</v>
      </c>
      <c r="D204" s="30">
        <f t="shared" si="23"/>
        <v>9.8799999999999999E-2</v>
      </c>
      <c r="E204" s="30">
        <f t="shared" si="23"/>
        <v>9.8799999999999999E-2</v>
      </c>
      <c r="F204" s="30">
        <f t="shared" si="23"/>
        <v>0</v>
      </c>
      <c r="G204" s="30">
        <f t="shared" si="23"/>
        <v>0</v>
      </c>
      <c r="H204" s="30">
        <f t="shared" si="23"/>
        <v>0</v>
      </c>
      <c r="I204" s="30">
        <f t="shared" si="23"/>
        <v>0</v>
      </c>
      <c r="J204" s="30">
        <f t="shared" si="23"/>
        <v>0</v>
      </c>
      <c r="K204" s="30">
        <f t="shared" si="23"/>
        <v>0</v>
      </c>
      <c r="L204" s="30">
        <f t="shared" si="23"/>
        <v>0</v>
      </c>
      <c r="M204" s="30">
        <f t="shared" si="23"/>
        <v>0</v>
      </c>
      <c r="N204" s="30">
        <f t="shared" si="23"/>
        <v>0</v>
      </c>
      <c r="O204" s="30">
        <f t="shared" si="23"/>
        <v>0</v>
      </c>
      <c r="P204" s="30">
        <f t="shared" si="23"/>
        <v>0</v>
      </c>
    </row>
    <row r="205" spans="1:16" ht="14.4" x14ac:dyDescent="0.3">
      <c r="A205" s="18" t="s">
        <v>56</v>
      </c>
      <c r="B205" s="18"/>
      <c r="C205" s="16" t="s">
        <v>44</v>
      </c>
      <c r="D205" s="30">
        <f t="shared" si="23"/>
        <v>0.12</v>
      </c>
      <c r="E205" s="30">
        <f t="shared" si="23"/>
        <v>0.12</v>
      </c>
      <c r="F205" s="30">
        <f t="shared" si="23"/>
        <v>0.12</v>
      </c>
      <c r="G205" s="30">
        <f t="shared" si="23"/>
        <v>0.12</v>
      </c>
      <c r="H205" s="30">
        <f t="shared" si="23"/>
        <v>0.12</v>
      </c>
      <c r="I205" s="30">
        <f t="shared" si="23"/>
        <v>0.12</v>
      </c>
      <c r="J205" s="30">
        <f t="shared" si="23"/>
        <v>0.12</v>
      </c>
      <c r="K205" s="30">
        <f t="shared" si="23"/>
        <v>0.12</v>
      </c>
      <c r="L205" s="30">
        <f t="shared" si="23"/>
        <v>0.12</v>
      </c>
      <c r="M205" s="30">
        <f t="shared" si="23"/>
        <v>0.12</v>
      </c>
      <c r="N205" s="30">
        <f t="shared" si="23"/>
        <v>0.12</v>
      </c>
      <c r="O205" s="30">
        <f t="shared" si="23"/>
        <v>0.12</v>
      </c>
      <c r="P205" s="30">
        <f t="shared" si="23"/>
        <v>0.12</v>
      </c>
    </row>
    <row r="206" spans="1:16" ht="14.4" x14ac:dyDescent="0.3">
      <c r="A206" s="18" t="s">
        <v>57</v>
      </c>
      <c r="B206" s="18"/>
      <c r="C206" s="16" t="s">
        <v>44</v>
      </c>
      <c r="D206" s="30">
        <f t="shared" si="23"/>
        <v>0.12</v>
      </c>
      <c r="E206" s="30">
        <f t="shared" si="23"/>
        <v>0.12</v>
      </c>
      <c r="F206" s="30">
        <f t="shared" si="23"/>
        <v>0.12</v>
      </c>
      <c r="G206" s="30">
        <f t="shared" si="23"/>
        <v>0.12</v>
      </c>
      <c r="H206" s="30">
        <f t="shared" si="23"/>
        <v>0.12</v>
      </c>
      <c r="I206" s="30">
        <f t="shared" si="23"/>
        <v>0.12</v>
      </c>
      <c r="J206" s="30">
        <f t="shared" si="23"/>
        <v>0.12</v>
      </c>
      <c r="K206" s="30">
        <f t="shared" si="23"/>
        <v>0.12</v>
      </c>
      <c r="L206" s="30">
        <f t="shared" si="23"/>
        <v>0.12</v>
      </c>
      <c r="M206" s="30">
        <f t="shared" si="23"/>
        <v>0.12</v>
      </c>
      <c r="N206" s="30">
        <f t="shared" si="23"/>
        <v>0.12</v>
      </c>
      <c r="O206" s="30">
        <f t="shared" si="23"/>
        <v>0.12</v>
      </c>
      <c r="P206" s="30">
        <f t="shared" si="23"/>
        <v>0.12</v>
      </c>
    </row>
    <row r="207" spans="1:16" s="5" customFormat="1" ht="14.4" x14ac:dyDescent="0.3">
      <c r="A207" s="55"/>
      <c r="B207" s="55"/>
      <c r="C207" s="56"/>
      <c r="D207" s="57"/>
      <c r="E207" s="57"/>
      <c r="F207" s="57"/>
      <c r="G207" s="57"/>
      <c r="H207" s="57"/>
      <c r="I207" s="57"/>
      <c r="J207" s="57"/>
      <c r="K207" s="57"/>
      <c r="L207" s="57"/>
      <c r="M207" s="57"/>
      <c r="N207" s="57"/>
      <c r="O207" s="57"/>
      <c r="P207" s="57"/>
    </row>
    <row r="208" spans="1:16" x14ac:dyDescent="0.3">
      <c r="A208" s="3" t="s">
        <v>58</v>
      </c>
    </row>
    <row r="209" spans="1:16" x14ac:dyDescent="0.3">
      <c r="A209" s="33"/>
    </row>
    <row r="210" spans="1:16" ht="18" hidden="1" x14ac:dyDescent="0.35">
      <c r="A210" s="9" t="str">
        <f>'[42]Statistical data'!A226</f>
        <v>Customer Class3</v>
      </c>
      <c r="B210" s="9"/>
      <c r="C210" s="5" t="s">
        <v>190</v>
      </c>
      <c r="D210" s="160"/>
      <c r="E210" s="160"/>
      <c r="F210" s="160"/>
      <c r="G210" s="160"/>
      <c r="H210" s="160"/>
      <c r="I210" s="160"/>
      <c r="J210" s="160"/>
      <c r="K210" s="160"/>
      <c r="L210" s="160"/>
      <c r="M210" s="160"/>
      <c r="N210" s="160"/>
      <c r="O210" s="160"/>
      <c r="P210" s="160"/>
    </row>
    <row r="211" spans="1:16" ht="31.5" hidden="1" customHeight="1" x14ac:dyDescent="0.3">
      <c r="A211" s="161" t="s">
        <v>3</v>
      </c>
      <c r="B211" s="161"/>
      <c r="C211" s="161" t="s">
        <v>4</v>
      </c>
      <c r="D211" s="161" t="s">
        <v>15</v>
      </c>
      <c r="E211" s="161" t="s">
        <v>15</v>
      </c>
      <c r="F211" s="161" t="s">
        <v>15</v>
      </c>
      <c r="G211" s="161" t="s">
        <v>15</v>
      </c>
      <c r="H211" s="161" t="s">
        <v>15</v>
      </c>
      <c r="I211" s="161" t="s">
        <v>15</v>
      </c>
      <c r="J211" s="161" t="s">
        <v>15</v>
      </c>
      <c r="K211" s="161" t="s">
        <v>15</v>
      </c>
      <c r="L211" s="161" t="s">
        <v>15</v>
      </c>
      <c r="M211" s="161" t="s">
        <v>15</v>
      </c>
      <c r="N211" s="161" t="s">
        <v>15</v>
      </c>
      <c r="O211" s="161" t="s">
        <v>15</v>
      </c>
      <c r="P211" s="161" t="s">
        <v>15</v>
      </c>
    </row>
    <row r="212" spans="1:16" ht="14.4" hidden="1" x14ac:dyDescent="0.3">
      <c r="A212" s="162" t="s">
        <v>17</v>
      </c>
      <c r="B212" s="163"/>
      <c r="C212" s="56"/>
      <c r="D212" s="164"/>
      <c r="E212" s="164"/>
      <c r="F212" s="164"/>
      <c r="G212" s="164"/>
      <c r="H212" s="164"/>
      <c r="I212" s="164"/>
      <c r="J212" s="164"/>
      <c r="K212" s="164"/>
      <c r="L212" s="164"/>
      <c r="M212" s="164"/>
      <c r="N212" s="164"/>
      <c r="O212" s="164"/>
      <c r="P212" s="164"/>
    </row>
    <row r="213" spans="1:16" ht="14.4" hidden="1" x14ac:dyDescent="0.3">
      <c r="A213" s="55" t="s">
        <v>18</v>
      </c>
      <c r="B213" s="165"/>
      <c r="C213" s="56" t="s">
        <v>19</v>
      </c>
      <c r="D213" s="166"/>
      <c r="E213" s="166"/>
      <c r="F213" s="166"/>
      <c r="G213" s="166"/>
      <c r="H213" s="166"/>
      <c r="I213" s="166"/>
      <c r="J213" s="166"/>
      <c r="K213" s="166"/>
      <c r="L213" s="166"/>
      <c r="M213" s="166"/>
      <c r="N213" s="166"/>
      <c r="O213" s="166"/>
      <c r="P213" s="166"/>
    </row>
    <row r="214" spans="1:16" ht="14.4" hidden="1" x14ac:dyDescent="0.3">
      <c r="A214" s="55" t="s">
        <v>66</v>
      </c>
      <c r="B214" s="165"/>
      <c r="C214" s="56" t="s">
        <v>19</v>
      </c>
      <c r="D214" s="166"/>
      <c r="E214" s="166"/>
      <c r="F214" s="166"/>
      <c r="G214" s="166"/>
      <c r="H214" s="166"/>
      <c r="I214" s="166"/>
      <c r="J214" s="166"/>
      <c r="K214" s="166"/>
      <c r="L214" s="166"/>
      <c r="M214" s="166"/>
      <c r="N214" s="166"/>
      <c r="O214" s="166"/>
      <c r="P214" s="166"/>
    </row>
    <row r="215" spans="1:16" ht="14.4" hidden="1" x14ac:dyDescent="0.3">
      <c r="A215" s="162" t="s">
        <v>20</v>
      </c>
      <c r="B215" s="163"/>
      <c r="C215" s="56"/>
      <c r="D215" s="168"/>
      <c r="E215" s="168"/>
      <c r="F215" s="168"/>
      <c r="G215" s="168"/>
      <c r="H215" s="168"/>
      <c r="I215" s="168"/>
      <c r="J215" s="168"/>
      <c r="K215" s="168"/>
      <c r="L215" s="168"/>
      <c r="M215" s="168"/>
      <c r="N215" s="168"/>
      <c r="O215" s="168"/>
      <c r="P215" s="168"/>
    </row>
    <row r="216" spans="1:16" ht="14.4" hidden="1" x14ac:dyDescent="0.3">
      <c r="A216" s="55" t="s">
        <v>21</v>
      </c>
      <c r="B216" s="165"/>
      <c r="C216" s="56" t="s">
        <v>19</v>
      </c>
      <c r="D216" s="166"/>
      <c r="E216" s="166"/>
      <c r="F216" s="166"/>
      <c r="G216" s="166"/>
      <c r="H216" s="166"/>
      <c r="I216" s="166"/>
      <c r="J216" s="166"/>
      <c r="K216" s="166"/>
      <c r="L216" s="166"/>
      <c r="M216" s="166"/>
      <c r="N216" s="166"/>
      <c r="O216" s="166"/>
      <c r="P216" s="166"/>
    </row>
    <row r="217" spans="1:16" ht="14.4" hidden="1" x14ac:dyDescent="0.3">
      <c r="A217" s="55" t="s">
        <v>22</v>
      </c>
      <c r="B217" s="165"/>
      <c r="C217" s="56" t="s">
        <v>23</v>
      </c>
      <c r="D217" s="166"/>
      <c r="E217" s="166"/>
      <c r="F217" s="166"/>
      <c r="G217" s="166"/>
      <c r="H217" s="166"/>
      <c r="I217" s="166"/>
      <c r="J217" s="166"/>
      <c r="K217" s="166"/>
      <c r="L217" s="166"/>
      <c r="M217" s="166"/>
      <c r="N217" s="166"/>
      <c r="O217" s="166"/>
      <c r="P217" s="166"/>
    </row>
    <row r="218" spans="1:16" ht="14.4" hidden="1" x14ac:dyDescent="0.3">
      <c r="A218" s="162" t="s">
        <v>24</v>
      </c>
      <c r="B218" s="163"/>
      <c r="C218" s="56"/>
      <c r="D218" s="168"/>
      <c r="E218" s="168"/>
      <c r="F218" s="168"/>
      <c r="G218" s="168"/>
      <c r="H218" s="168"/>
      <c r="I218" s="168"/>
      <c r="J218" s="168"/>
      <c r="K218" s="168"/>
      <c r="L218" s="168"/>
      <c r="M218" s="168"/>
      <c r="N218" s="168"/>
      <c r="O218" s="168"/>
      <c r="P218" s="168"/>
    </row>
    <row r="219" spans="1:16" ht="14.4" hidden="1" x14ac:dyDescent="0.3">
      <c r="A219" s="55" t="s">
        <v>25</v>
      </c>
      <c r="B219" s="165"/>
      <c r="C219" s="56" t="s">
        <v>19</v>
      </c>
      <c r="D219" s="166"/>
      <c r="E219" s="166"/>
      <c r="F219" s="166"/>
      <c r="G219" s="166"/>
      <c r="H219" s="166"/>
      <c r="I219" s="166"/>
      <c r="J219" s="166"/>
      <c r="K219" s="166"/>
      <c r="L219" s="166"/>
      <c r="M219" s="166"/>
      <c r="N219" s="166"/>
      <c r="O219" s="166"/>
      <c r="P219" s="166"/>
    </row>
    <row r="220" spans="1:16" ht="14.4" hidden="1" x14ac:dyDescent="0.3">
      <c r="A220" s="162" t="s">
        <v>26</v>
      </c>
      <c r="B220" s="162"/>
      <c r="C220" s="56"/>
      <c r="D220" s="170"/>
      <c r="E220" s="170"/>
      <c r="F220" s="170"/>
      <c r="G220" s="170"/>
      <c r="H220" s="170"/>
      <c r="I220" s="170"/>
      <c r="J220" s="170"/>
      <c r="K220" s="170"/>
      <c r="L220" s="170"/>
      <c r="M220" s="170"/>
      <c r="N220" s="170"/>
      <c r="O220" s="170"/>
      <c r="P220" s="170"/>
    </row>
    <row r="221" spans="1:16" ht="14.4" hidden="1" x14ac:dyDescent="0.3">
      <c r="A221" s="55" t="s">
        <v>27</v>
      </c>
      <c r="B221" s="55"/>
      <c r="C221" s="56" t="s">
        <v>19</v>
      </c>
      <c r="D221" s="167"/>
      <c r="E221" s="167"/>
      <c r="F221" s="167"/>
      <c r="G221" s="167"/>
      <c r="H221" s="167"/>
      <c r="I221" s="167"/>
      <c r="J221" s="167"/>
      <c r="K221" s="167"/>
      <c r="L221" s="167"/>
      <c r="M221" s="167"/>
      <c r="N221" s="167"/>
      <c r="O221" s="167"/>
      <c r="P221" s="167"/>
    </row>
    <row r="222" spans="1:16" ht="14.4" hidden="1" x14ac:dyDescent="0.3">
      <c r="A222" s="55" t="s">
        <v>28</v>
      </c>
      <c r="B222" s="55"/>
      <c r="C222" s="56" t="s">
        <v>23</v>
      </c>
      <c r="D222" s="167"/>
      <c r="E222" s="167"/>
      <c r="F222" s="167"/>
      <c r="G222" s="167"/>
      <c r="H222" s="167"/>
      <c r="I222" s="167"/>
      <c r="J222" s="167"/>
      <c r="K222" s="167"/>
      <c r="L222" s="167"/>
      <c r="M222" s="167"/>
      <c r="N222" s="167"/>
      <c r="O222" s="167"/>
      <c r="P222" s="167"/>
    </row>
    <row r="223" spans="1:16" ht="14.4" hidden="1" x14ac:dyDescent="0.3">
      <c r="A223" s="162" t="s">
        <v>29</v>
      </c>
      <c r="B223" s="162"/>
      <c r="C223" s="56"/>
      <c r="D223" s="171"/>
      <c r="E223" s="171"/>
      <c r="F223" s="171"/>
      <c r="G223" s="171"/>
      <c r="H223" s="171"/>
      <c r="I223" s="171"/>
      <c r="J223" s="171"/>
      <c r="K223" s="171"/>
      <c r="L223" s="171"/>
      <c r="M223" s="171"/>
      <c r="N223" s="171"/>
      <c r="O223" s="171"/>
      <c r="P223" s="171"/>
    </row>
    <row r="224" spans="1:16" ht="14.4" hidden="1" x14ac:dyDescent="0.3">
      <c r="A224" s="55" t="s">
        <v>30</v>
      </c>
      <c r="B224" s="55"/>
      <c r="C224" s="56" t="s">
        <v>19</v>
      </c>
      <c r="D224" s="167"/>
      <c r="E224" s="167"/>
      <c r="F224" s="167"/>
      <c r="G224" s="167"/>
      <c r="H224" s="167"/>
      <c r="I224" s="167"/>
      <c r="J224" s="167"/>
      <c r="K224" s="167"/>
      <c r="L224" s="167"/>
      <c r="M224" s="167"/>
      <c r="N224" s="167"/>
      <c r="O224" s="167"/>
      <c r="P224" s="167"/>
    </row>
    <row r="225" spans="1:16" ht="14.4" hidden="1" x14ac:dyDescent="0.3">
      <c r="A225" s="55" t="s">
        <v>31</v>
      </c>
      <c r="B225" s="55"/>
      <c r="C225" s="56" t="s">
        <v>32</v>
      </c>
      <c r="D225" s="167"/>
      <c r="E225" s="167"/>
      <c r="F225" s="167"/>
      <c r="G225" s="167"/>
      <c r="H225" s="167"/>
      <c r="I225" s="167"/>
      <c r="J225" s="167"/>
      <c r="K225" s="167"/>
      <c r="L225" s="167"/>
      <c r="M225" s="167"/>
      <c r="N225" s="167"/>
      <c r="O225" s="167"/>
      <c r="P225" s="167"/>
    </row>
    <row r="226" spans="1:16" ht="14.4" hidden="1" x14ac:dyDescent="0.3">
      <c r="A226" s="162" t="s">
        <v>33</v>
      </c>
      <c r="B226" s="162"/>
      <c r="C226" s="56"/>
      <c r="D226" s="171"/>
      <c r="E226" s="171"/>
      <c r="F226" s="171"/>
      <c r="G226" s="171"/>
      <c r="H226" s="171"/>
      <c r="I226" s="171"/>
      <c r="J226" s="171"/>
      <c r="K226" s="171"/>
      <c r="L226" s="171"/>
      <c r="M226" s="171"/>
      <c r="N226" s="171"/>
      <c r="O226" s="171"/>
      <c r="P226" s="171"/>
    </row>
    <row r="227" spans="1:16" ht="14.4" hidden="1" x14ac:dyDescent="0.3">
      <c r="A227" s="55" t="s">
        <v>34</v>
      </c>
      <c r="B227" s="55"/>
      <c r="C227" s="56" t="s">
        <v>19</v>
      </c>
      <c r="D227" s="167"/>
      <c r="E227" s="167"/>
      <c r="F227" s="167"/>
      <c r="G227" s="167"/>
      <c r="H227" s="167"/>
      <c r="I227" s="167"/>
      <c r="J227" s="167"/>
      <c r="K227" s="167"/>
      <c r="L227" s="167"/>
      <c r="M227" s="167"/>
      <c r="N227" s="167"/>
      <c r="O227" s="167"/>
      <c r="P227" s="167"/>
    </row>
    <row r="228" spans="1:16" ht="14.4" hidden="1" x14ac:dyDescent="0.3">
      <c r="A228" s="55" t="s">
        <v>35</v>
      </c>
      <c r="B228" s="55"/>
      <c r="C228" s="56" t="s">
        <v>36</v>
      </c>
      <c r="D228" s="167"/>
      <c r="E228" s="167"/>
      <c r="F228" s="167"/>
      <c r="G228" s="167"/>
      <c r="H228" s="167"/>
      <c r="I228" s="167"/>
      <c r="J228" s="167"/>
      <c r="K228" s="167"/>
      <c r="L228" s="167"/>
      <c r="M228" s="167"/>
      <c r="N228" s="167"/>
      <c r="O228" s="167"/>
      <c r="P228" s="167"/>
    </row>
    <row r="229" spans="1:16" ht="14.4" hidden="1" x14ac:dyDescent="0.3">
      <c r="A229" s="162" t="s">
        <v>37</v>
      </c>
      <c r="B229" s="162"/>
      <c r="C229" s="56"/>
      <c r="D229" s="171"/>
      <c r="E229" s="171"/>
      <c r="F229" s="171"/>
      <c r="G229" s="171"/>
      <c r="H229" s="171"/>
      <c r="I229" s="171"/>
      <c r="J229" s="171"/>
      <c r="K229" s="171"/>
      <c r="L229" s="171"/>
      <c r="M229" s="171"/>
      <c r="N229" s="171"/>
      <c r="O229" s="171"/>
      <c r="P229" s="171"/>
    </row>
    <row r="230" spans="1:16" ht="14.4" hidden="1" x14ac:dyDescent="0.3">
      <c r="A230" s="172" t="s">
        <v>38</v>
      </c>
      <c r="B230" s="55"/>
      <c r="C230" s="56" t="s">
        <v>19</v>
      </c>
      <c r="D230" s="167"/>
      <c r="E230" s="167"/>
      <c r="F230" s="167"/>
      <c r="G230" s="167"/>
      <c r="H230" s="167"/>
      <c r="I230" s="167"/>
      <c r="J230" s="167"/>
      <c r="K230" s="167"/>
      <c r="L230" s="167"/>
      <c r="M230" s="167"/>
      <c r="N230" s="167"/>
      <c r="O230" s="167"/>
      <c r="P230" s="167"/>
    </row>
    <row r="231" spans="1:16" ht="14.4" hidden="1" x14ac:dyDescent="0.3">
      <c r="A231" s="172" t="s">
        <v>39</v>
      </c>
      <c r="B231" s="55"/>
      <c r="C231" s="56" t="s">
        <v>19</v>
      </c>
      <c r="D231" s="167"/>
      <c r="E231" s="167"/>
      <c r="F231" s="167"/>
      <c r="G231" s="167"/>
      <c r="H231" s="167"/>
      <c r="I231" s="167"/>
      <c r="J231" s="167"/>
      <c r="K231" s="167"/>
      <c r="L231" s="167"/>
      <c r="M231" s="167"/>
      <c r="N231" s="167"/>
      <c r="O231" s="167"/>
      <c r="P231" s="167"/>
    </row>
    <row r="232" spans="1:16" ht="14.4" hidden="1" x14ac:dyDescent="0.3">
      <c r="A232" s="172" t="s">
        <v>180</v>
      </c>
      <c r="B232" s="55"/>
      <c r="C232" s="56" t="s">
        <v>19</v>
      </c>
      <c r="D232" s="167"/>
      <c r="E232" s="167"/>
      <c r="F232" s="167"/>
      <c r="G232" s="167"/>
      <c r="H232" s="167"/>
      <c r="I232" s="167"/>
      <c r="J232" s="167"/>
      <c r="K232" s="167"/>
      <c r="L232" s="167"/>
      <c r="M232" s="167"/>
      <c r="N232" s="167"/>
      <c r="O232" s="167"/>
      <c r="P232" s="167"/>
    </row>
    <row r="233" spans="1:16" ht="14.4" hidden="1" x14ac:dyDescent="0.3">
      <c r="A233" s="173" t="s">
        <v>40</v>
      </c>
      <c r="B233" s="55"/>
      <c r="C233" s="56" t="s">
        <v>19</v>
      </c>
      <c r="D233" s="167"/>
      <c r="E233" s="167"/>
      <c r="F233" s="167"/>
      <c r="G233" s="167"/>
      <c r="H233" s="167"/>
      <c r="I233" s="167"/>
      <c r="J233" s="167"/>
      <c r="K233" s="167"/>
      <c r="L233" s="167"/>
      <c r="M233" s="167"/>
      <c r="N233" s="167"/>
      <c r="O233" s="167"/>
      <c r="P233" s="167"/>
    </row>
    <row r="234" spans="1:16" ht="14.4" hidden="1" x14ac:dyDescent="0.3">
      <c r="A234" s="173" t="s">
        <v>41</v>
      </c>
      <c r="B234" s="55"/>
      <c r="C234" s="56" t="s">
        <v>19</v>
      </c>
      <c r="D234" s="167"/>
      <c r="E234" s="167"/>
      <c r="F234" s="167"/>
      <c r="G234" s="167"/>
      <c r="H234" s="167"/>
      <c r="I234" s="167"/>
      <c r="J234" s="167"/>
      <c r="K234" s="167"/>
      <c r="L234" s="167"/>
      <c r="M234" s="167"/>
      <c r="N234" s="167"/>
      <c r="O234" s="167"/>
      <c r="P234" s="167"/>
    </row>
    <row r="235" spans="1:16" ht="16.2" hidden="1" x14ac:dyDescent="0.3">
      <c r="A235" s="174" t="s">
        <v>182</v>
      </c>
      <c r="B235" s="175"/>
      <c r="C235" s="56" t="s">
        <v>19</v>
      </c>
      <c r="D235" s="167"/>
      <c r="E235" s="167"/>
      <c r="F235" s="167"/>
      <c r="G235" s="167"/>
      <c r="H235" s="167"/>
      <c r="I235" s="167"/>
      <c r="J235" s="167"/>
      <c r="K235" s="167"/>
      <c r="L235" s="167"/>
      <c r="M235" s="167"/>
      <c r="N235" s="167"/>
      <c r="O235" s="167"/>
      <c r="P235" s="167"/>
    </row>
    <row r="236" spans="1:16" ht="16.2" hidden="1" x14ac:dyDescent="0.3">
      <c r="A236" s="174" t="s">
        <v>182</v>
      </c>
      <c r="B236" s="175"/>
      <c r="C236" s="56" t="s">
        <v>19</v>
      </c>
      <c r="D236" s="167"/>
      <c r="E236" s="167"/>
      <c r="F236" s="167"/>
      <c r="G236" s="167"/>
      <c r="H236" s="167"/>
      <c r="I236" s="167"/>
      <c r="J236" s="167"/>
      <c r="K236" s="167"/>
      <c r="L236" s="167"/>
      <c r="M236" s="167"/>
      <c r="N236" s="167"/>
      <c r="O236" s="167"/>
      <c r="P236" s="167"/>
    </row>
    <row r="237" spans="1:16" ht="16.2" hidden="1" x14ac:dyDescent="0.3">
      <c r="A237" s="174" t="s">
        <v>182</v>
      </c>
      <c r="B237" s="176"/>
      <c r="C237" s="56" t="s">
        <v>19</v>
      </c>
      <c r="D237" s="167"/>
      <c r="E237" s="167"/>
      <c r="F237" s="167"/>
      <c r="G237" s="167"/>
      <c r="H237" s="167"/>
      <c r="I237" s="167"/>
      <c r="J237" s="167"/>
      <c r="K237" s="167"/>
      <c r="L237" s="167"/>
      <c r="M237" s="167"/>
      <c r="N237" s="167"/>
      <c r="O237" s="167"/>
      <c r="P237" s="167"/>
    </row>
    <row r="238" spans="1:16" ht="14.4" hidden="1" x14ac:dyDescent="0.3">
      <c r="A238" s="162" t="s">
        <v>42</v>
      </c>
      <c r="B238" s="162"/>
      <c r="C238" s="56"/>
      <c r="D238" s="171"/>
      <c r="E238" s="171"/>
      <c r="F238" s="171"/>
      <c r="G238" s="171"/>
      <c r="H238" s="171"/>
      <c r="I238" s="171"/>
      <c r="J238" s="171"/>
      <c r="K238" s="171"/>
      <c r="L238" s="171"/>
      <c r="M238" s="171"/>
      <c r="N238" s="171"/>
      <c r="O238" s="171"/>
      <c r="P238" s="171"/>
    </row>
    <row r="239" spans="1:16" ht="14.4" hidden="1" x14ac:dyDescent="0.3">
      <c r="A239" s="162" t="s">
        <v>191</v>
      </c>
      <c r="B239" s="162"/>
      <c r="C239" s="56" t="s">
        <v>44</v>
      </c>
      <c r="D239" s="177"/>
      <c r="E239" s="177"/>
      <c r="F239" s="177"/>
      <c r="G239" s="177"/>
      <c r="H239" s="177"/>
      <c r="I239" s="177"/>
      <c r="J239" s="177"/>
      <c r="K239" s="177"/>
      <c r="L239" s="177"/>
      <c r="M239" s="177"/>
      <c r="N239" s="177"/>
      <c r="O239" s="177"/>
      <c r="P239" s="177"/>
    </row>
    <row r="240" spans="1:16" ht="14.4" hidden="1" x14ac:dyDescent="0.3">
      <c r="A240" s="162" t="s">
        <v>183</v>
      </c>
      <c r="B240" s="162"/>
      <c r="C240" s="56"/>
      <c r="D240" s="178"/>
      <c r="E240" s="178"/>
      <c r="F240" s="178"/>
      <c r="G240" s="178"/>
      <c r="H240" s="178"/>
      <c r="I240" s="178"/>
      <c r="J240" s="178"/>
      <c r="K240" s="178"/>
      <c r="L240" s="178"/>
      <c r="M240" s="178"/>
      <c r="N240" s="178"/>
      <c r="O240" s="178"/>
      <c r="P240" s="178"/>
    </row>
    <row r="241" spans="1:16" ht="14.4" hidden="1" x14ac:dyDescent="0.3">
      <c r="A241" s="162" t="s">
        <v>184</v>
      </c>
      <c r="B241" s="162"/>
      <c r="C241" s="56" t="s">
        <v>19</v>
      </c>
      <c r="D241" s="167"/>
      <c r="E241" s="167"/>
      <c r="F241" s="167"/>
      <c r="G241" s="167"/>
      <c r="H241" s="167"/>
      <c r="I241" s="167"/>
      <c r="J241" s="167"/>
      <c r="K241" s="167"/>
      <c r="L241" s="167"/>
      <c r="M241" s="167"/>
      <c r="N241" s="167"/>
      <c r="O241" s="167"/>
      <c r="P241" s="167"/>
    </row>
    <row r="242" spans="1:16" ht="14.4" hidden="1" x14ac:dyDescent="0.3">
      <c r="A242" s="162" t="s">
        <v>45</v>
      </c>
      <c r="B242" s="162"/>
      <c r="C242" s="56"/>
      <c r="D242" s="178"/>
      <c r="E242" s="178"/>
      <c r="F242" s="178"/>
      <c r="G242" s="178"/>
      <c r="H242" s="178"/>
      <c r="I242" s="178"/>
      <c r="J242" s="178"/>
      <c r="K242" s="178"/>
      <c r="L242" s="178"/>
      <c r="M242" s="178"/>
      <c r="N242" s="178"/>
      <c r="O242" s="178"/>
      <c r="P242" s="178"/>
    </row>
    <row r="243" spans="1:16" ht="14.4" hidden="1" x14ac:dyDescent="0.3">
      <c r="A243" s="162" t="s">
        <v>46</v>
      </c>
      <c r="B243" s="162"/>
      <c r="C243" s="56" t="s">
        <v>19</v>
      </c>
      <c r="D243" s="167"/>
      <c r="E243" s="167"/>
      <c r="F243" s="167"/>
      <c r="G243" s="167"/>
      <c r="H243" s="167"/>
      <c r="I243" s="167"/>
      <c r="J243" s="167"/>
      <c r="K243" s="167"/>
      <c r="L243" s="167"/>
      <c r="M243" s="167"/>
      <c r="N243" s="167"/>
      <c r="O243" s="167"/>
      <c r="P243" s="167"/>
    </row>
    <row r="244" spans="1:16" ht="14.4" hidden="1" x14ac:dyDescent="0.3">
      <c r="A244" s="162" t="s">
        <v>185</v>
      </c>
      <c r="B244" s="162"/>
      <c r="C244" s="56"/>
      <c r="D244" s="56"/>
      <c r="E244" s="56"/>
      <c r="F244" s="56"/>
      <c r="G244" s="56"/>
      <c r="H244" s="56"/>
      <c r="I244" s="56"/>
      <c r="J244" s="56"/>
      <c r="K244" s="56"/>
      <c r="L244" s="56"/>
      <c r="M244" s="56"/>
      <c r="N244" s="56"/>
      <c r="O244" s="56"/>
      <c r="P244" s="56"/>
    </row>
    <row r="245" spans="1:16" ht="14.4" hidden="1" x14ac:dyDescent="0.3">
      <c r="A245" s="162" t="s">
        <v>186</v>
      </c>
      <c r="B245" s="162"/>
      <c r="C245" s="56" t="s">
        <v>19</v>
      </c>
      <c r="D245" s="167"/>
      <c r="E245" s="167"/>
      <c r="F245" s="167"/>
      <c r="G245" s="167"/>
      <c r="H245" s="167"/>
      <c r="I245" s="167"/>
      <c r="J245" s="167"/>
      <c r="K245" s="167"/>
      <c r="L245" s="167"/>
      <c r="M245" s="167"/>
      <c r="N245" s="167"/>
      <c r="O245" s="167"/>
      <c r="P245" s="167"/>
    </row>
    <row r="246" spans="1:16" ht="14.4" hidden="1" x14ac:dyDescent="0.3">
      <c r="A246" s="162" t="s">
        <v>47</v>
      </c>
      <c r="B246" s="162"/>
      <c r="C246" s="56"/>
      <c r="D246" s="171"/>
      <c r="E246" s="171"/>
      <c r="F246" s="171"/>
      <c r="G246" s="171"/>
      <c r="H246" s="171"/>
      <c r="I246" s="171"/>
      <c r="J246" s="171"/>
      <c r="K246" s="171"/>
      <c r="L246" s="171"/>
      <c r="M246" s="171"/>
      <c r="N246" s="171"/>
      <c r="O246" s="171"/>
      <c r="P246" s="171"/>
    </row>
    <row r="247" spans="1:16" ht="14.4" hidden="1" x14ac:dyDescent="0.3">
      <c r="A247" s="55" t="s">
        <v>48</v>
      </c>
      <c r="B247" s="55"/>
      <c r="C247" s="56" t="s">
        <v>19</v>
      </c>
      <c r="D247" s="167"/>
      <c r="E247" s="167"/>
      <c r="F247" s="167"/>
      <c r="G247" s="167"/>
      <c r="H247" s="167"/>
      <c r="I247" s="167"/>
      <c r="J247" s="167"/>
      <c r="K247" s="167"/>
      <c r="L247" s="167"/>
      <c r="M247" s="167"/>
      <c r="N247" s="167"/>
      <c r="O247" s="167"/>
      <c r="P247" s="167"/>
    </row>
    <row r="248" spans="1:16" ht="14.4" hidden="1" x14ac:dyDescent="0.3">
      <c r="A248" s="55" t="s">
        <v>49</v>
      </c>
      <c r="B248" s="55"/>
      <c r="C248" s="56" t="s">
        <v>19</v>
      </c>
      <c r="D248" s="167"/>
      <c r="E248" s="167"/>
      <c r="F248" s="167"/>
      <c r="G248" s="167"/>
      <c r="H248" s="167"/>
      <c r="I248" s="167"/>
      <c r="J248" s="167"/>
      <c r="K248" s="167"/>
      <c r="L248" s="167"/>
      <c r="M248" s="167"/>
      <c r="N248" s="167"/>
      <c r="O248" s="167"/>
      <c r="P248" s="167"/>
    </row>
    <row r="249" spans="1:16" ht="14.4" hidden="1" x14ac:dyDescent="0.3">
      <c r="A249" s="162" t="s">
        <v>52</v>
      </c>
      <c r="B249" s="162"/>
      <c r="C249" s="179"/>
      <c r="D249" s="170"/>
      <c r="E249" s="170"/>
      <c r="F249" s="170"/>
      <c r="G249" s="170"/>
      <c r="H249" s="170"/>
      <c r="I249" s="170"/>
      <c r="J249" s="170"/>
      <c r="K249" s="170"/>
      <c r="L249" s="170"/>
      <c r="M249" s="170"/>
      <c r="N249" s="170"/>
      <c r="O249" s="170"/>
      <c r="P249" s="170"/>
    </row>
    <row r="250" spans="1:16" ht="14.4" hidden="1" x14ac:dyDescent="0.3">
      <c r="A250" s="55" t="s">
        <v>53</v>
      </c>
      <c r="B250" s="55"/>
      <c r="C250" s="56" t="s">
        <v>44</v>
      </c>
      <c r="D250" s="167"/>
      <c r="E250" s="167"/>
      <c r="F250" s="167"/>
      <c r="G250" s="167"/>
      <c r="H250" s="167"/>
      <c r="I250" s="167"/>
      <c r="J250" s="167"/>
      <c r="K250" s="167"/>
      <c r="L250" s="167"/>
      <c r="M250" s="167"/>
      <c r="N250" s="167"/>
      <c r="O250" s="167"/>
      <c r="P250" s="167"/>
    </row>
    <row r="251" spans="1:16" ht="14.4" hidden="1" x14ac:dyDescent="0.3">
      <c r="A251" s="55" t="s">
        <v>54</v>
      </c>
      <c r="B251" s="55"/>
      <c r="C251" s="56" t="s">
        <v>44</v>
      </c>
      <c r="D251" s="167"/>
      <c r="E251" s="167"/>
      <c r="F251" s="167"/>
      <c r="G251" s="167"/>
      <c r="H251" s="167"/>
      <c r="I251" s="167"/>
      <c r="J251" s="167"/>
      <c r="K251" s="167"/>
      <c r="L251" s="167"/>
      <c r="M251" s="167"/>
      <c r="N251" s="167"/>
      <c r="O251" s="167"/>
      <c r="P251" s="167"/>
    </row>
    <row r="252" spans="1:16" ht="14.4" hidden="1" x14ac:dyDescent="0.3">
      <c r="A252" s="55" t="s">
        <v>55</v>
      </c>
      <c r="B252" s="55"/>
      <c r="C252" s="56" t="s">
        <v>44</v>
      </c>
      <c r="D252" s="167"/>
      <c r="E252" s="167"/>
      <c r="F252" s="167"/>
      <c r="G252" s="167"/>
      <c r="H252" s="167"/>
      <c r="I252" s="167"/>
      <c r="J252" s="167"/>
      <c r="K252" s="167"/>
      <c r="L252" s="167"/>
      <c r="M252" s="167"/>
      <c r="N252" s="167"/>
      <c r="O252" s="167"/>
      <c r="P252" s="167"/>
    </row>
    <row r="253" spans="1:16" ht="14.4" hidden="1" x14ac:dyDescent="0.3">
      <c r="A253" s="55" t="s">
        <v>187</v>
      </c>
      <c r="B253" s="55"/>
      <c r="C253" s="56" t="s">
        <v>44</v>
      </c>
      <c r="D253" s="167"/>
      <c r="E253" s="167"/>
      <c r="F253" s="167"/>
      <c r="G253" s="167"/>
      <c r="H253" s="167"/>
      <c r="I253" s="167"/>
      <c r="J253" s="167"/>
      <c r="K253" s="167"/>
      <c r="L253" s="167"/>
      <c r="M253" s="167"/>
      <c r="N253" s="167"/>
      <c r="O253" s="167"/>
      <c r="P253" s="167"/>
    </row>
    <row r="254" spans="1:16" ht="14.4" hidden="1" x14ac:dyDescent="0.3">
      <c r="A254" s="55" t="s">
        <v>188</v>
      </c>
      <c r="B254" s="55"/>
      <c r="C254" s="56" t="s">
        <v>44</v>
      </c>
      <c r="D254" s="167"/>
      <c r="E254" s="167"/>
      <c r="F254" s="167"/>
      <c r="G254" s="167"/>
      <c r="H254" s="167"/>
      <c r="I254" s="167"/>
      <c r="J254" s="167"/>
      <c r="K254" s="167"/>
      <c r="L254" s="167"/>
      <c r="M254" s="167"/>
      <c r="N254" s="167"/>
      <c r="O254" s="167"/>
      <c r="P254" s="167"/>
    </row>
    <row r="255" spans="1:16" ht="14.4" hidden="1" x14ac:dyDescent="0.3">
      <c r="A255" s="55" t="s">
        <v>56</v>
      </c>
      <c r="B255" s="55"/>
      <c r="C255" s="56" t="s">
        <v>44</v>
      </c>
      <c r="D255" s="180"/>
      <c r="E255" s="180"/>
      <c r="F255" s="180"/>
      <c r="G255" s="180"/>
      <c r="H255" s="180"/>
      <c r="I255" s="180"/>
      <c r="J255" s="180"/>
      <c r="K255" s="180"/>
      <c r="L255" s="180"/>
      <c r="M255" s="180"/>
      <c r="N255" s="180"/>
      <c r="O255" s="180"/>
      <c r="P255" s="180"/>
    </row>
    <row r="256" spans="1:16" ht="14.4" hidden="1" x14ac:dyDescent="0.3">
      <c r="A256" s="55" t="s">
        <v>57</v>
      </c>
      <c r="B256" s="55"/>
      <c r="C256" s="56" t="s">
        <v>44</v>
      </c>
      <c r="D256" s="180"/>
      <c r="E256" s="180"/>
      <c r="F256" s="180"/>
      <c r="G256" s="180"/>
      <c r="H256" s="180"/>
      <c r="I256" s="180"/>
      <c r="J256" s="180"/>
      <c r="K256" s="180"/>
      <c r="L256" s="180"/>
      <c r="M256" s="180"/>
      <c r="N256" s="180"/>
      <c r="O256" s="180"/>
      <c r="P256" s="180"/>
    </row>
    <row r="257" spans="1:16" hidden="1" x14ac:dyDescent="0.3"/>
    <row r="258" spans="1:16" ht="18" hidden="1" x14ac:dyDescent="0.35">
      <c r="A258" s="9" t="str">
        <f>'[42]Statistical data'!A227</f>
        <v>Customer Class4</v>
      </c>
      <c r="B258" s="9"/>
      <c r="C258" s="5" t="s">
        <v>190</v>
      </c>
      <c r="D258" s="160"/>
      <c r="E258" s="160"/>
      <c r="F258" s="160"/>
      <c r="G258" s="160"/>
      <c r="H258" s="160"/>
      <c r="I258" s="160"/>
      <c r="J258" s="160"/>
      <c r="K258" s="160"/>
      <c r="L258" s="160"/>
      <c r="M258" s="160"/>
      <c r="N258" s="160"/>
      <c r="O258" s="160"/>
      <c r="P258" s="160"/>
    </row>
    <row r="259" spans="1:16" ht="14.4" hidden="1" x14ac:dyDescent="0.3">
      <c r="A259" s="161" t="s">
        <v>3</v>
      </c>
      <c r="B259" s="161"/>
      <c r="C259" s="161" t="s">
        <v>4</v>
      </c>
      <c r="D259" s="161" t="s">
        <v>15</v>
      </c>
      <c r="E259" s="161" t="s">
        <v>15</v>
      </c>
      <c r="F259" s="161" t="s">
        <v>15</v>
      </c>
      <c r="G259" s="161" t="s">
        <v>15</v>
      </c>
      <c r="H259" s="161" t="s">
        <v>15</v>
      </c>
      <c r="I259" s="161" t="s">
        <v>15</v>
      </c>
      <c r="J259" s="161" t="s">
        <v>15</v>
      </c>
      <c r="K259" s="161" t="s">
        <v>15</v>
      </c>
      <c r="L259" s="161" t="s">
        <v>15</v>
      </c>
      <c r="M259" s="161" t="s">
        <v>15</v>
      </c>
      <c r="N259" s="161" t="s">
        <v>15</v>
      </c>
      <c r="O259" s="161" t="s">
        <v>15</v>
      </c>
      <c r="P259" s="161" t="s">
        <v>15</v>
      </c>
    </row>
    <row r="260" spans="1:16" ht="14.4" hidden="1" x14ac:dyDescent="0.3">
      <c r="A260" s="162" t="s">
        <v>17</v>
      </c>
      <c r="B260" s="163"/>
      <c r="C260" s="56"/>
      <c r="D260" s="164"/>
      <c r="E260" s="164"/>
      <c r="F260" s="164"/>
      <c r="G260" s="164"/>
      <c r="H260" s="164"/>
      <c r="I260" s="164"/>
      <c r="J260" s="164"/>
      <c r="K260" s="164"/>
      <c r="L260" s="164"/>
      <c r="M260" s="164"/>
      <c r="N260" s="164"/>
      <c r="O260" s="164"/>
      <c r="P260" s="164"/>
    </row>
    <row r="261" spans="1:16" ht="14.4" hidden="1" x14ac:dyDescent="0.3">
      <c r="A261" s="55" t="s">
        <v>18</v>
      </c>
      <c r="B261" s="165"/>
      <c r="C261" s="56" t="s">
        <v>19</v>
      </c>
      <c r="D261" s="166"/>
      <c r="E261" s="166"/>
      <c r="F261" s="166"/>
      <c r="G261" s="166"/>
      <c r="H261" s="166"/>
      <c r="I261" s="166"/>
      <c r="J261" s="166"/>
      <c r="K261" s="166"/>
      <c r="L261" s="166"/>
      <c r="M261" s="166"/>
      <c r="N261" s="166"/>
      <c r="O261" s="166"/>
      <c r="P261" s="166"/>
    </row>
    <row r="262" spans="1:16" ht="14.4" hidden="1" x14ac:dyDescent="0.3">
      <c r="A262" s="55" t="s">
        <v>66</v>
      </c>
      <c r="B262" s="165"/>
      <c r="C262" s="56" t="s">
        <v>19</v>
      </c>
      <c r="D262" s="166"/>
      <c r="E262" s="166"/>
      <c r="F262" s="166"/>
      <c r="G262" s="166"/>
      <c r="H262" s="166"/>
      <c r="I262" s="166"/>
      <c r="J262" s="166"/>
      <c r="K262" s="166"/>
      <c r="L262" s="166"/>
      <c r="M262" s="166"/>
      <c r="N262" s="166"/>
      <c r="O262" s="166"/>
      <c r="P262" s="166"/>
    </row>
    <row r="263" spans="1:16" ht="14.4" hidden="1" x14ac:dyDescent="0.3">
      <c r="A263" s="162" t="s">
        <v>20</v>
      </c>
      <c r="B263" s="163"/>
      <c r="C263" s="56"/>
      <c r="D263" s="168"/>
      <c r="E263" s="168"/>
      <c r="F263" s="168"/>
      <c r="G263" s="168"/>
      <c r="H263" s="168"/>
      <c r="I263" s="168"/>
      <c r="J263" s="168"/>
      <c r="K263" s="168"/>
      <c r="L263" s="168"/>
      <c r="M263" s="168"/>
      <c r="N263" s="168"/>
      <c r="O263" s="168"/>
      <c r="P263" s="168"/>
    </row>
    <row r="264" spans="1:16" ht="14.4" hidden="1" x14ac:dyDescent="0.3">
      <c r="A264" s="55" t="s">
        <v>21</v>
      </c>
      <c r="B264" s="165"/>
      <c r="C264" s="56" t="s">
        <v>19</v>
      </c>
      <c r="D264" s="166"/>
      <c r="E264" s="166"/>
      <c r="F264" s="166"/>
      <c r="G264" s="166"/>
      <c r="H264" s="166"/>
      <c r="I264" s="166"/>
      <c r="J264" s="166"/>
      <c r="K264" s="166"/>
      <c r="L264" s="166"/>
      <c r="M264" s="166"/>
      <c r="N264" s="166"/>
      <c r="O264" s="166"/>
      <c r="P264" s="166"/>
    </row>
    <row r="265" spans="1:16" ht="14.4" hidden="1" x14ac:dyDescent="0.3">
      <c r="A265" s="55" t="s">
        <v>22</v>
      </c>
      <c r="B265" s="165"/>
      <c r="C265" s="56" t="s">
        <v>23</v>
      </c>
      <c r="D265" s="166"/>
      <c r="E265" s="166"/>
      <c r="F265" s="166"/>
      <c r="G265" s="166"/>
      <c r="H265" s="166"/>
      <c r="I265" s="166"/>
      <c r="J265" s="166"/>
      <c r="K265" s="166"/>
      <c r="L265" s="166"/>
      <c r="M265" s="166"/>
      <c r="N265" s="166"/>
      <c r="O265" s="166"/>
      <c r="P265" s="166"/>
    </row>
    <row r="266" spans="1:16" ht="14.4" hidden="1" x14ac:dyDescent="0.3">
      <c r="A266" s="162" t="s">
        <v>24</v>
      </c>
      <c r="B266" s="163"/>
      <c r="C266" s="56"/>
      <c r="D266" s="168"/>
      <c r="E266" s="168"/>
      <c r="F266" s="168"/>
      <c r="G266" s="168"/>
      <c r="H266" s="168"/>
      <c r="I266" s="168"/>
      <c r="J266" s="168"/>
      <c r="K266" s="168"/>
      <c r="L266" s="168"/>
      <c r="M266" s="168"/>
      <c r="N266" s="168"/>
      <c r="O266" s="168"/>
      <c r="P266" s="168"/>
    </row>
    <row r="267" spans="1:16" ht="14.4" hidden="1" x14ac:dyDescent="0.3">
      <c r="A267" s="55" t="s">
        <v>25</v>
      </c>
      <c r="B267" s="165"/>
      <c r="C267" s="56" t="s">
        <v>19</v>
      </c>
      <c r="D267" s="166"/>
      <c r="E267" s="166"/>
      <c r="F267" s="166"/>
      <c r="G267" s="166"/>
      <c r="H267" s="166"/>
      <c r="I267" s="166"/>
      <c r="J267" s="166"/>
      <c r="K267" s="166"/>
      <c r="L267" s="166"/>
      <c r="M267" s="166"/>
      <c r="N267" s="166"/>
      <c r="O267" s="166"/>
      <c r="P267" s="166"/>
    </row>
    <row r="268" spans="1:16" ht="14.4" hidden="1" x14ac:dyDescent="0.3">
      <c r="A268" s="162" t="s">
        <v>26</v>
      </c>
      <c r="B268" s="162"/>
      <c r="C268" s="56"/>
      <c r="D268" s="170"/>
      <c r="E268" s="170"/>
      <c r="F268" s="170"/>
      <c r="G268" s="170"/>
      <c r="H268" s="170"/>
      <c r="I268" s="170"/>
      <c r="J268" s="170"/>
      <c r="K268" s="170"/>
      <c r="L268" s="170"/>
      <c r="M268" s="170"/>
      <c r="N268" s="170"/>
      <c r="O268" s="170"/>
      <c r="P268" s="170"/>
    </row>
    <row r="269" spans="1:16" ht="14.4" hidden="1" x14ac:dyDescent="0.3">
      <c r="A269" s="55" t="s">
        <v>27</v>
      </c>
      <c r="B269" s="55"/>
      <c r="C269" s="56" t="s">
        <v>19</v>
      </c>
      <c r="D269" s="167"/>
      <c r="E269" s="167"/>
      <c r="F269" s="167"/>
      <c r="G269" s="167"/>
      <c r="H269" s="167"/>
      <c r="I269" s="167"/>
      <c r="J269" s="167"/>
      <c r="K269" s="167"/>
      <c r="L269" s="167"/>
      <c r="M269" s="167"/>
      <c r="N269" s="167"/>
      <c r="O269" s="167"/>
      <c r="P269" s="167"/>
    </row>
    <row r="270" spans="1:16" ht="14.4" hidden="1" x14ac:dyDescent="0.3">
      <c r="A270" s="55" t="s">
        <v>28</v>
      </c>
      <c r="B270" s="55"/>
      <c r="C270" s="56" t="s">
        <v>23</v>
      </c>
      <c r="D270" s="167"/>
      <c r="E270" s="167"/>
      <c r="F270" s="167"/>
      <c r="G270" s="167"/>
      <c r="H270" s="167"/>
      <c r="I270" s="167"/>
      <c r="J270" s="167"/>
      <c r="K270" s="167"/>
      <c r="L270" s="167"/>
      <c r="M270" s="167"/>
      <c r="N270" s="167"/>
      <c r="O270" s="167"/>
      <c r="P270" s="167"/>
    </row>
    <row r="271" spans="1:16" ht="14.4" hidden="1" x14ac:dyDescent="0.3">
      <c r="A271" s="162" t="s">
        <v>29</v>
      </c>
      <c r="B271" s="162"/>
      <c r="C271" s="56"/>
      <c r="D271" s="171"/>
      <c r="E271" s="171"/>
      <c r="F271" s="171"/>
      <c r="G271" s="171"/>
      <c r="H271" s="171"/>
      <c r="I271" s="171"/>
      <c r="J271" s="171"/>
      <c r="K271" s="171"/>
      <c r="L271" s="171"/>
      <c r="M271" s="171"/>
      <c r="N271" s="171"/>
      <c r="O271" s="171"/>
      <c r="P271" s="171"/>
    </row>
    <row r="272" spans="1:16" ht="14.4" hidden="1" x14ac:dyDescent="0.3">
      <c r="A272" s="55" t="s">
        <v>30</v>
      </c>
      <c r="B272" s="55"/>
      <c r="C272" s="56" t="s">
        <v>19</v>
      </c>
      <c r="D272" s="167"/>
      <c r="E272" s="167"/>
      <c r="F272" s="167"/>
      <c r="G272" s="167"/>
      <c r="H272" s="167"/>
      <c r="I272" s="167"/>
      <c r="J272" s="167"/>
      <c r="K272" s="167"/>
      <c r="L272" s="167"/>
      <c r="M272" s="167"/>
      <c r="N272" s="167"/>
      <c r="O272" s="167"/>
      <c r="P272" s="167"/>
    </row>
    <row r="273" spans="1:16" ht="14.4" hidden="1" x14ac:dyDescent="0.3">
      <c r="A273" s="55" t="s">
        <v>31</v>
      </c>
      <c r="B273" s="55"/>
      <c r="C273" s="56" t="s">
        <v>32</v>
      </c>
      <c r="D273" s="167"/>
      <c r="E273" s="167"/>
      <c r="F273" s="167"/>
      <c r="G273" s="167"/>
      <c r="H273" s="167"/>
      <c r="I273" s="167"/>
      <c r="J273" s="167"/>
      <c r="K273" s="167"/>
      <c r="L273" s="167"/>
      <c r="M273" s="167"/>
      <c r="N273" s="167"/>
      <c r="O273" s="167"/>
      <c r="P273" s="167"/>
    </row>
    <row r="274" spans="1:16" ht="14.4" hidden="1" x14ac:dyDescent="0.3">
      <c r="A274" s="162" t="s">
        <v>33</v>
      </c>
      <c r="B274" s="162"/>
      <c r="C274" s="56"/>
      <c r="D274" s="171"/>
      <c r="E274" s="171"/>
      <c r="F274" s="171"/>
      <c r="G274" s="171"/>
      <c r="H274" s="171"/>
      <c r="I274" s="171"/>
      <c r="J274" s="171"/>
      <c r="K274" s="171"/>
      <c r="L274" s="171"/>
      <c r="M274" s="171"/>
      <c r="N274" s="171"/>
      <c r="O274" s="171"/>
      <c r="P274" s="171"/>
    </row>
    <row r="275" spans="1:16" ht="14.4" hidden="1" x14ac:dyDescent="0.3">
      <c r="A275" s="55" t="s">
        <v>34</v>
      </c>
      <c r="B275" s="55"/>
      <c r="C275" s="56" t="s">
        <v>19</v>
      </c>
      <c r="D275" s="167"/>
      <c r="E275" s="167"/>
      <c r="F275" s="167"/>
      <c r="G275" s="167"/>
      <c r="H275" s="167"/>
      <c r="I275" s="167"/>
      <c r="J275" s="167"/>
      <c r="K275" s="167"/>
      <c r="L275" s="167"/>
      <c r="M275" s="167"/>
      <c r="N275" s="167"/>
      <c r="O275" s="167"/>
      <c r="P275" s="167"/>
    </row>
    <row r="276" spans="1:16" ht="14.4" hidden="1" x14ac:dyDescent="0.3">
      <c r="A276" s="55" t="s">
        <v>35</v>
      </c>
      <c r="B276" s="55"/>
      <c r="C276" s="56" t="s">
        <v>36</v>
      </c>
      <c r="D276" s="167"/>
      <c r="E276" s="167"/>
      <c r="F276" s="167"/>
      <c r="G276" s="167"/>
      <c r="H276" s="167"/>
      <c r="I276" s="167"/>
      <c r="J276" s="167"/>
      <c r="K276" s="167"/>
      <c r="L276" s="167"/>
      <c r="M276" s="167"/>
      <c r="N276" s="167"/>
      <c r="O276" s="167"/>
      <c r="P276" s="167"/>
    </row>
    <row r="277" spans="1:16" ht="14.4" hidden="1" x14ac:dyDescent="0.3">
      <c r="A277" s="162" t="s">
        <v>37</v>
      </c>
      <c r="B277" s="162"/>
      <c r="C277" s="56"/>
      <c r="D277" s="171"/>
      <c r="E277" s="171"/>
      <c r="F277" s="171"/>
      <c r="G277" s="171"/>
      <c r="H277" s="171"/>
      <c r="I277" s="171"/>
      <c r="J277" s="171"/>
      <c r="K277" s="171"/>
      <c r="L277" s="171"/>
      <c r="M277" s="171"/>
      <c r="N277" s="171"/>
      <c r="O277" s="171"/>
      <c r="P277" s="171"/>
    </row>
    <row r="278" spans="1:16" ht="14.4" hidden="1" x14ac:dyDescent="0.3">
      <c r="A278" s="172" t="s">
        <v>38</v>
      </c>
      <c r="B278" s="55"/>
      <c r="C278" s="56" t="s">
        <v>19</v>
      </c>
      <c r="D278" s="167"/>
      <c r="E278" s="167"/>
      <c r="F278" s="167"/>
      <c r="G278" s="167"/>
      <c r="H278" s="167"/>
      <c r="I278" s="167"/>
      <c r="J278" s="167"/>
      <c r="K278" s="167"/>
      <c r="L278" s="167"/>
      <c r="M278" s="167"/>
      <c r="N278" s="167"/>
      <c r="O278" s="167"/>
      <c r="P278" s="167"/>
    </row>
    <row r="279" spans="1:16" ht="14.4" hidden="1" x14ac:dyDescent="0.3">
      <c r="A279" s="172" t="s">
        <v>39</v>
      </c>
      <c r="B279" s="55"/>
      <c r="C279" s="56" t="s">
        <v>19</v>
      </c>
      <c r="D279" s="167"/>
      <c r="E279" s="167"/>
      <c r="F279" s="167"/>
      <c r="G279" s="167"/>
      <c r="H279" s="167"/>
      <c r="I279" s="167"/>
      <c r="J279" s="167"/>
      <c r="K279" s="167"/>
      <c r="L279" s="167"/>
      <c r="M279" s="167"/>
      <c r="N279" s="167"/>
      <c r="O279" s="167"/>
      <c r="P279" s="167"/>
    </row>
    <row r="280" spans="1:16" ht="14.4" hidden="1" x14ac:dyDescent="0.3">
      <c r="A280" s="172" t="s">
        <v>180</v>
      </c>
      <c r="B280" s="55"/>
      <c r="C280" s="56" t="s">
        <v>19</v>
      </c>
      <c r="D280" s="167"/>
      <c r="E280" s="167"/>
      <c r="F280" s="167"/>
      <c r="G280" s="167"/>
      <c r="H280" s="167"/>
      <c r="I280" s="167"/>
      <c r="J280" s="167"/>
      <c r="K280" s="167"/>
      <c r="L280" s="167"/>
      <c r="M280" s="167"/>
      <c r="N280" s="167"/>
      <c r="O280" s="167"/>
      <c r="P280" s="167"/>
    </row>
    <row r="281" spans="1:16" ht="14.4" hidden="1" x14ac:dyDescent="0.3">
      <c r="A281" s="173" t="s">
        <v>40</v>
      </c>
      <c r="B281" s="55"/>
      <c r="C281" s="56" t="s">
        <v>19</v>
      </c>
      <c r="D281" s="167"/>
      <c r="E281" s="167"/>
      <c r="F281" s="167"/>
      <c r="G281" s="167"/>
      <c r="H281" s="167"/>
      <c r="I281" s="167"/>
      <c r="J281" s="167"/>
      <c r="K281" s="167"/>
      <c r="L281" s="167"/>
      <c r="M281" s="167"/>
      <c r="N281" s="167"/>
      <c r="O281" s="167"/>
      <c r="P281" s="167"/>
    </row>
    <row r="282" spans="1:16" ht="14.4" hidden="1" x14ac:dyDescent="0.3">
      <c r="A282" s="173" t="s">
        <v>41</v>
      </c>
      <c r="B282" s="55"/>
      <c r="C282" s="56" t="s">
        <v>19</v>
      </c>
      <c r="D282" s="167"/>
      <c r="E282" s="167"/>
      <c r="F282" s="167"/>
      <c r="G282" s="167"/>
      <c r="H282" s="167"/>
      <c r="I282" s="167"/>
      <c r="J282" s="167"/>
      <c r="K282" s="167"/>
      <c r="L282" s="167"/>
      <c r="M282" s="167"/>
      <c r="N282" s="167"/>
      <c r="O282" s="167"/>
      <c r="P282" s="167"/>
    </row>
    <row r="283" spans="1:16" ht="16.2" hidden="1" x14ac:dyDescent="0.3">
      <c r="A283" s="174" t="s">
        <v>182</v>
      </c>
      <c r="B283" s="175"/>
      <c r="C283" s="56" t="s">
        <v>19</v>
      </c>
      <c r="D283" s="167"/>
      <c r="E283" s="167"/>
      <c r="F283" s="167"/>
      <c r="G283" s="167"/>
      <c r="H283" s="167"/>
      <c r="I283" s="167"/>
      <c r="J283" s="167"/>
      <c r="K283" s="167"/>
      <c r="L283" s="167"/>
      <c r="M283" s="167"/>
      <c r="N283" s="167"/>
      <c r="O283" s="167"/>
      <c r="P283" s="167"/>
    </row>
    <row r="284" spans="1:16" ht="16.2" hidden="1" x14ac:dyDescent="0.3">
      <c r="A284" s="174" t="s">
        <v>182</v>
      </c>
      <c r="B284" s="175"/>
      <c r="C284" s="56" t="s">
        <v>19</v>
      </c>
      <c r="D284" s="167"/>
      <c r="E284" s="167"/>
      <c r="F284" s="167"/>
      <c r="G284" s="167"/>
      <c r="H284" s="167"/>
      <c r="I284" s="167"/>
      <c r="J284" s="167"/>
      <c r="K284" s="167"/>
      <c r="L284" s="167"/>
      <c r="M284" s="167"/>
      <c r="N284" s="167"/>
      <c r="O284" s="167"/>
      <c r="P284" s="167"/>
    </row>
    <row r="285" spans="1:16" ht="16.2" hidden="1" x14ac:dyDescent="0.3">
      <c r="A285" s="174" t="s">
        <v>182</v>
      </c>
      <c r="B285" s="176"/>
      <c r="C285" s="56" t="s">
        <v>19</v>
      </c>
      <c r="D285" s="167"/>
      <c r="E285" s="167"/>
      <c r="F285" s="167"/>
      <c r="G285" s="167"/>
      <c r="H285" s="167"/>
      <c r="I285" s="167"/>
      <c r="J285" s="167"/>
      <c r="K285" s="167"/>
      <c r="L285" s="167"/>
      <c r="M285" s="167"/>
      <c r="N285" s="167"/>
      <c r="O285" s="167"/>
      <c r="P285" s="167"/>
    </row>
    <row r="286" spans="1:16" ht="14.4" hidden="1" x14ac:dyDescent="0.3">
      <c r="A286" s="162" t="s">
        <v>42</v>
      </c>
      <c r="B286" s="162"/>
      <c r="C286" s="56"/>
      <c r="D286" s="171"/>
      <c r="E286" s="171"/>
      <c r="F286" s="171"/>
      <c r="G286" s="171"/>
      <c r="H286" s="171"/>
      <c r="I286" s="171"/>
      <c r="J286" s="171"/>
      <c r="K286" s="171"/>
      <c r="L286" s="171"/>
      <c r="M286" s="171"/>
      <c r="N286" s="171"/>
      <c r="O286" s="171"/>
      <c r="P286" s="171"/>
    </row>
    <row r="287" spans="1:16" ht="14.4" hidden="1" x14ac:dyDescent="0.3">
      <c r="A287" s="162" t="s">
        <v>191</v>
      </c>
      <c r="B287" s="162"/>
      <c r="C287" s="56" t="s">
        <v>44</v>
      </c>
      <c r="D287" s="177"/>
      <c r="E287" s="177"/>
      <c r="F287" s="177"/>
      <c r="G287" s="177"/>
      <c r="H287" s="177"/>
      <c r="I287" s="177"/>
      <c r="J287" s="177"/>
      <c r="K287" s="177"/>
      <c r="L287" s="177"/>
      <c r="M287" s="177"/>
      <c r="N287" s="177"/>
      <c r="O287" s="177"/>
      <c r="P287" s="177"/>
    </row>
    <row r="288" spans="1:16" ht="14.4" hidden="1" x14ac:dyDescent="0.3">
      <c r="A288" s="162" t="s">
        <v>183</v>
      </c>
      <c r="B288" s="162"/>
      <c r="C288" s="56"/>
      <c r="D288" s="178"/>
      <c r="E288" s="178"/>
      <c r="F288" s="178"/>
      <c r="G288" s="178"/>
      <c r="H288" s="178"/>
      <c r="I288" s="178"/>
      <c r="J288" s="178"/>
      <c r="K288" s="178"/>
      <c r="L288" s="178"/>
      <c r="M288" s="178"/>
      <c r="N288" s="178"/>
      <c r="O288" s="178"/>
      <c r="P288" s="178"/>
    </row>
    <row r="289" spans="1:16" ht="14.4" hidden="1" x14ac:dyDescent="0.3">
      <c r="A289" s="162" t="s">
        <v>184</v>
      </c>
      <c r="B289" s="162"/>
      <c r="C289" s="56" t="s">
        <v>19</v>
      </c>
      <c r="D289" s="167"/>
      <c r="E289" s="167"/>
      <c r="F289" s="167"/>
      <c r="G289" s="167"/>
      <c r="H289" s="167"/>
      <c r="I289" s="167"/>
      <c r="J289" s="167"/>
      <c r="K289" s="167"/>
      <c r="L289" s="167"/>
      <c r="M289" s="167"/>
      <c r="N289" s="167"/>
      <c r="O289" s="167"/>
      <c r="P289" s="167"/>
    </row>
    <row r="290" spans="1:16" ht="14.4" hidden="1" x14ac:dyDescent="0.3">
      <c r="A290" s="162" t="s">
        <v>45</v>
      </c>
      <c r="B290" s="162"/>
      <c r="C290" s="56"/>
      <c r="D290" s="178"/>
      <c r="E290" s="178"/>
      <c r="F290" s="178"/>
      <c r="G290" s="178"/>
      <c r="H290" s="178"/>
      <c r="I290" s="178"/>
      <c r="J290" s="178"/>
      <c r="K290" s="178"/>
      <c r="L290" s="178"/>
      <c r="M290" s="178"/>
      <c r="N290" s="178"/>
      <c r="O290" s="178"/>
      <c r="P290" s="178"/>
    </row>
    <row r="291" spans="1:16" ht="14.4" hidden="1" x14ac:dyDescent="0.3">
      <c r="A291" s="162" t="s">
        <v>46</v>
      </c>
      <c r="B291" s="162"/>
      <c r="C291" s="56" t="s">
        <v>19</v>
      </c>
      <c r="D291" s="167"/>
      <c r="E291" s="167"/>
      <c r="F291" s="167"/>
      <c r="G291" s="167"/>
      <c r="H291" s="167"/>
      <c r="I291" s="167"/>
      <c r="J291" s="167"/>
      <c r="K291" s="167"/>
      <c r="L291" s="167"/>
      <c r="M291" s="167"/>
      <c r="N291" s="167"/>
      <c r="O291" s="167"/>
      <c r="P291" s="167"/>
    </row>
    <row r="292" spans="1:16" ht="14.4" hidden="1" x14ac:dyDescent="0.3">
      <c r="A292" s="162" t="s">
        <v>185</v>
      </c>
      <c r="B292" s="162"/>
      <c r="C292" s="56"/>
      <c r="D292" s="178"/>
      <c r="E292" s="178"/>
      <c r="F292" s="178"/>
      <c r="G292" s="178"/>
      <c r="H292" s="178"/>
      <c r="I292" s="178"/>
      <c r="J292" s="178"/>
      <c r="K292" s="178"/>
      <c r="L292" s="178"/>
      <c r="M292" s="178"/>
      <c r="N292" s="178"/>
      <c r="O292" s="178"/>
      <c r="P292" s="178"/>
    </row>
    <row r="293" spans="1:16" ht="14.4" hidden="1" x14ac:dyDescent="0.3">
      <c r="A293" s="162" t="s">
        <v>186</v>
      </c>
      <c r="B293" s="162"/>
      <c r="C293" s="56" t="s">
        <v>19</v>
      </c>
      <c r="D293" s="167"/>
      <c r="E293" s="167"/>
      <c r="F293" s="167"/>
      <c r="G293" s="167"/>
      <c r="H293" s="167"/>
      <c r="I293" s="167"/>
      <c r="J293" s="167"/>
      <c r="K293" s="167"/>
      <c r="L293" s="167"/>
      <c r="M293" s="167"/>
      <c r="N293" s="167"/>
      <c r="O293" s="167"/>
      <c r="P293" s="167"/>
    </row>
    <row r="294" spans="1:16" ht="14.4" hidden="1" x14ac:dyDescent="0.3">
      <c r="A294" s="162" t="s">
        <v>47</v>
      </c>
      <c r="B294" s="162"/>
      <c r="C294" s="56"/>
      <c r="D294" s="171"/>
      <c r="E294" s="171"/>
      <c r="F294" s="171"/>
      <c r="G294" s="171"/>
      <c r="H294" s="171"/>
      <c r="I294" s="171"/>
      <c r="J294" s="171"/>
      <c r="K294" s="171"/>
      <c r="L294" s="171"/>
      <c r="M294" s="171"/>
      <c r="N294" s="171"/>
      <c r="O294" s="171"/>
      <c r="P294" s="171"/>
    </row>
    <row r="295" spans="1:16" ht="14.4" hidden="1" x14ac:dyDescent="0.3">
      <c r="A295" s="55" t="s">
        <v>48</v>
      </c>
      <c r="B295" s="55"/>
      <c r="C295" s="56" t="s">
        <v>19</v>
      </c>
      <c r="D295" s="167"/>
      <c r="E295" s="167"/>
      <c r="F295" s="167"/>
      <c r="G295" s="167"/>
      <c r="H295" s="167"/>
      <c r="I295" s="167"/>
      <c r="J295" s="167"/>
      <c r="K295" s="167"/>
      <c r="L295" s="167"/>
      <c r="M295" s="167"/>
      <c r="N295" s="167"/>
      <c r="O295" s="167"/>
      <c r="P295" s="167"/>
    </row>
    <row r="296" spans="1:16" ht="14.4" hidden="1" x14ac:dyDescent="0.3">
      <c r="A296" s="55" t="s">
        <v>49</v>
      </c>
      <c r="B296" s="55"/>
      <c r="C296" s="56" t="s">
        <v>19</v>
      </c>
      <c r="D296" s="167"/>
      <c r="E296" s="167"/>
      <c r="F296" s="167"/>
      <c r="G296" s="167"/>
      <c r="H296" s="167"/>
      <c r="I296" s="167"/>
      <c r="J296" s="167"/>
      <c r="K296" s="167"/>
      <c r="L296" s="167"/>
      <c r="M296" s="167"/>
      <c r="N296" s="167"/>
      <c r="O296" s="167"/>
      <c r="P296" s="167"/>
    </row>
    <row r="297" spans="1:16" ht="14.4" hidden="1" x14ac:dyDescent="0.3">
      <c r="A297" s="162" t="s">
        <v>52</v>
      </c>
      <c r="B297" s="162"/>
      <c r="C297" s="179"/>
      <c r="D297" s="170"/>
      <c r="E297" s="170"/>
      <c r="F297" s="170"/>
      <c r="G297" s="170"/>
      <c r="H297" s="170"/>
      <c r="I297" s="170"/>
      <c r="J297" s="170"/>
      <c r="K297" s="170"/>
      <c r="L297" s="170"/>
      <c r="M297" s="170"/>
      <c r="N297" s="170"/>
      <c r="O297" s="170"/>
      <c r="P297" s="170"/>
    </row>
    <row r="298" spans="1:16" ht="14.4" hidden="1" x14ac:dyDescent="0.3">
      <c r="A298" s="55" t="s">
        <v>53</v>
      </c>
      <c r="B298" s="55"/>
      <c r="C298" s="56" t="s">
        <v>44</v>
      </c>
      <c r="D298" s="167"/>
      <c r="E298" s="167"/>
      <c r="F298" s="167"/>
      <c r="G298" s="167"/>
      <c r="H298" s="167"/>
      <c r="I298" s="167"/>
      <c r="J298" s="167"/>
      <c r="K298" s="167"/>
      <c r="L298" s="167"/>
      <c r="M298" s="167"/>
      <c r="N298" s="167"/>
      <c r="O298" s="167"/>
      <c r="P298" s="167"/>
    </row>
    <row r="299" spans="1:16" ht="14.4" hidden="1" x14ac:dyDescent="0.3">
      <c r="A299" s="55" t="s">
        <v>54</v>
      </c>
      <c r="B299" s="55"/>
      <c r="C299" s="56" t="s">
        <v>44</v>
      </c>
      <c r="D299" s="167"/>
      <c r="E299" s="167"/>
      <c r="F299" s="167"/>
      <c r="G299" s="167"/>
      <c r="H299" s="167"/>
      <c r="I299" s="167"/>
      <c r="J299" s="167"/>
      <c r="K299" s="167"/>
      <c r="L299" s="167"/>
      <c r="M299" s="167"/>
      <c r="N299" s="167"/>
      <c r="O299" s="167"/>
      <c r="P299" s="167"/>
    </row>
    <row r="300" spans="1:16" ht="14.4" hidden="1" x14ac:dyDescent="0.3">
      <c r="A300" s="55" t="s">
        <v>55</v>
      </c>
      <c r="B300" s="55"/>
      <c r="C300" s="56" t="s">
        <v>44</v>
      </c>
      <c r="D300" s="167"/>
      <c r="E300" s="167"/>
      <c r="F300" s="167"/>
      <c r="G300" s="167"/>
      <c r="H300" s="167"/>
      <c r="I300" s="167"/>
      <c r="J300" s="167"/>
      <c r="K300" s="167"/>
      <c r="L300" s="167"/>
      <c r="M300" s="167"/>
      <c r="N300" s="167"/>
      <c r="O300" s="167"/>
      <c r="P300" s="167"/>
    </row>
    <row r="301" spans="1:16" ht="14.4" hidden="1" x14ac:dyDescent="0.3">
      <c r="A301" s="55" t="s">
        <v>187</v>
      </c>
      <c r="B301" s="55"/>
      <c r="C301" s="56" t="s">
        <v>44</v>
      </c>
      <c r="D301" s="167"/>
      <c r="E301" s="167"/>
      <c r="F301" s="167"/>
      <c r="G301" s="167"/>
      <c r="H301" s="167"/>
      <c r="I301" s="167"/>
      <c r="J301" s="167"/>
      <c r="K301" s="167"/>
      <c r="L301" s="167"/>
      <c r="M301" s="167"/>
      <c r="N301" s="167"/>
      <c r="O301" s="167"/>
      <c r="P301" s="167"/>
    </row>
    <row r="302" spans="1:16" ht="14.4" hidden="1" x14ac:dyDescent="0.3">
      <c r="A302" s="55" t="s">
        <v>188</v>
      </c>
      <c r="B302" s="55"/>
      <c r="C302" s="56" t="s">
        <v>44</v>
      </c>
      <c r="D302" s="167"/>
      <c r="E302" s="167"/>
      <c r="F302" s="167"/>
      <c r="G302" s="167"/>
      <c r="H302" s="167"/>
      <c r="I302" s="167"/>
      <c r="J302" s="167"/>
      <c r="K302" s="167"/>
      <c r="L302" s="167"/>
      <c r="M302" s="167"/>
      <c r="N302" s="167"/>
      <c r="O302" s="167"/>
      <c r="P302" s="167"/>
    </row>
    <row r="303" spans="1:16" ht="14.4" hidden="1" x14ac:dyDescent="0.3">
      <c r="A303" s="55" t="s">
        <v>56</v>
      </c>
      <c r="B303" s="55"/>
      <c r="C303" s="56" t="s">
        <v>44</v>
      </c>
      <c r="D303" s="180"/>
      <c r="E303" s="180"/>
      <c r="F303" s="180"/>
      <c r="G303" s="180"/>
      <c r="H303" s="180"/>
      <c r="I303" s="180"/>
      <c r="J303" s="180"/>
      <c r="K303" s="180"/>
      <c r="L303" s="180"/>
      <c r="M303" s="180"/>
      <c r="N303" s="180"/>
      <c r="O303" s="180"/>
      <c r="P303" s="180"/>
    </row>
    <row r="304" spans="1:16" ht="14.4" hidden="1" x14ac:dyDescent="0.3">
      <c r="A304" s="55" t="s">
        <v>57</v>
      </c>
      <c r="B304" s="55"/>
      <c r="C304" s="56" t="s">
        <v>44</v>
      </c>
      <c r="D304" s="180"/>
      <c r="E304" s="180"/>
      <c r="F304" s="180"/>
      <c r="G304" s="180"/>
      <c r="H304" s="180"/>
      <c r="I304" s="180"/>
      <c r="J304" s="180"/>
      <c r="K304" s="180"/>
      <c r="L304" s="180"/>
      <c r="M304" s="180"/>
      <c r="N304" s="180"/>
      <c r="O304" s="180"/>
      <c r="P304" s="180"/>
    </row>
    <row r="305" spans="1:16" hidden="1" x14ac:dyDescent="0.3"/>
    <row r="306" spans="1:16" ht="18" hidden="1" x14ac:dyDescent="0.35">
      <c r="A306" s="9" t="str">
        <f>'[42]Statistical data'!A228</f>
        <v>Customer Class5</v>
      </c>
      <c r="B306" s="9"/>
      <c r="C306" s="5" t="s">
        <v>190</v>
      </c>
      <c r="D306" s="160"/>
      <c r="E306" s="160"/>
      <c r="F306" s="160"/>
      <c r="G306" s="160"/>
      <c r="H306" s="160"/>
      <c r="I306" s="160"/>
      <c r="J306" s="160"/>
      <c r="K306" s="160"/>
      <c r="L306" s="160"/>
      <c r="M306" s="160"/>
      <c r="N306" s="160"/>
      <c r="O306" s="160"/>
      <c r="P306" s="160"/>
    </row>
    <row r="307" spans="1:16" ht="14.4" hidden="1" x14ac:dyDescent="0.3">
      <c r="A307" s="161" t="s">
        <v>3</v>
      </c>
      <c r="B307" s="161"/>
      <c r="C307" s="161" t="s">
        <v>4</v>
      </c>
      <c r="D307" s="161" t="s">
        <v>15</v>
      </c>
      <c r="E307" s="161" t="s">
        <v>15</v>
      </c>
      <c r="F307" s="161" t="s">
        <v>15</v>
      </c>
      <c r="G307" s="161" t="s">
        <v>15</v>
      </c>
      <c r="H307" s="161" t="s">
        <v>15</v>
      </c>
      <c r="I307" s="161" t="s">
        <v>15</v>
      </c>
      <c r="J307" s="161" t="s">
        <v>15</v>
      </c>
      <c r="K307" s="161" t="s">
        <v>15</v>
      </c>
      <c r="L307" s="161" t="s">
        <v>15</v>
      </c>
      <c r="M307" s="161" t="s">
        <v>15</v>
      </c>
      <c r="N307" s="161" t="s">
        <v>15</v>
      </c>
      <c r="O307" s="161" t="s">
        <v>15</v>
      </c>
      <c r="P307" s="161" t="s">
        <v>15</v>
      </c>
    </row>
    <row r="308" spans="1:16" ht="14.4" hidden="1" x14ac:dyDescent="0.3">
      <c r="A308" s="162" t="s">
        <v>17</v>
      </c>
      <c r="B308" s="163"/>
      <c r="C308" s="56"/>
      <c r="D308" s="164"/>
      <c r="E308" s="164"/>
      <c r="F308" s="164"/>
      <c r="G308" s="164"/>
      <c r="H308" s="164"/>
      <c r="I308" s="164"/>
      <c r="J308" s="164"/>
      <c r="K308" s="164"/>
      <c r="L308" s="164"/>
      <c r="M308" s="164"/>
      <c r="N308" s="164"/>
      <c r="O308" s="164"/>
      <c r="P308" s="164"/>
    </row>
    <row r="309" spans="1:16" ht="14.4" hidden="1" x14ac:dyDescent="0.3">
      <c r="A309" s="55" t="s">
        <v>18</v>
      </c>
      <c r="B309" s="165"/>
      <c r="C309" s="56" t="s">
        <v>19</v>
      </c>
      <c r="D309" s="166"/>
      <c r="E309" s="166"/>
      <c r="F309" s="166"/>
      <c r="G309" s="166"/>
      <c r="H309" s="166"/>
      <c r="I309" s="166"/>
      <c r="J309" s="166"/>
      <c r="K309" s="166"/>
      <c r="L309" s="166"/>
      <c r="M309" s="166"/>
      <c r="N309" s="166"/>
      <c r="O309" s="166"/>
      <c r="P309" s="166"/>
    </row>
    <row r="310" spans="1:16" ht="14.4" hidden="1" x14ac:dyDescent="0.3">
      <c r="A310" s="55" t="s">
        <v>66</v>
      </c>
      <c r="B310" s="165"/>
      <c r="C310" s="56" t="s">
        <v>19</v>
      </c>
      <c r="D310" s="166"/>
      <c r="E310" s="166"/>
      <c r="F310" s="166"/>
      <c r="G310" s="166"/>
      <c r="H310" s="166"/>
      <c r="I310" s="166"/>
      <c r="J310" s="166"/>
      <c r="K310" s="166"/>
      <c r="L310" s="166"/>
      <c r="M310" s="166"/>
      <c r="N310" s="166"/>
      <c r="O310" s="166"/>
      <c r="P310" s="166"/>
    </row>
    <row r="311" spans="1:16" ht="14.4" hidden="1" x14ac:dyDescent="0.3">
      <c r="A311" s="162" t="s">
        <v>20</v>
      </c>
      <c r="B311" s="163"/>
      <c r="C311" s="56"/>
      <c r="D311" s="168"/>
      <c r="E311" s="168"/>
      <c r="F311" s="168"/>
      <c r="G311" s="168"/>
      <c r="H311" s="168"/>
      <c r="I311" s="168"/>
      <c r="J311" s="168"/>
      <c r="K311" s="168"/>
      <c r="L311" s="168"/>
      <c r="M311" s="168"/>
      <c r="N311" s="168"/>
      <c r="O311" s="168"/>
      <c r="P311" s="168"/>
    </row>
    <row r="312" spans="1:16" ht="14.4" hidden="1" x14ac:dyDescent="0.3">
      <c r="A312" s="55" t="s">
        <v>21</v>
      </c>
      <c r="B312" s="165"/>
      <c r="C312" s="56" t="s">
        <v>19</v>
      </c>
      <c r="D312" s="166"/>
      <c r="E312" s="166"/>
      <c r="F312" s="166"/>
      <c r="G312" s="166"/>
      <c r="H312" s="166"/>
      <c r="I312" s="166"/>
      <c r="J312" s="166"/>
      <c r="K312" s="166"/>
      <c r="L312" s="166"/>
      <c r="M312" s="166"/>
      <c r="N312" s="166"/>
      <c r="O312" s="166"/>
      <c r="P312" s="166"/>
    </row>
    <row r="313" spans="1:16" ht="14.4" hidden="1" x14ac:dyDescent="0.3">
      <c r="A313" s="55" t="s">
        <v>22</v>
      </c>
      <c r="B313" s="165"/>
      <c r="C313" s="56" t="s">
        <v>23</v>
      </c>
      <c r="D313" s="166"/>
      <c r="E313" s="166"/>
      <c r="F313" s="166"/>
      <c r="G313" s="166"/>
      <c r="H313" s="166"/>
      <c r="I313" s="166"/>
      <c r="J313" s="166"/>
      <c r="K313" s="166"/>
      <c r="L313" s="166"/>
      <c r="M313" s="166"/>
      <c r="N313" s="166"/>
      <c r="O313" s="166"/>
      <c r="P313" s="166"/>
    </row>
    <row r="314" spans="1:16" ht="14.4" hidden="1" x14ac:dyDescent="0.3">
      <c r="A314" s="162" t="s">
        <v>24</v>
      </c>
      <c r="B314" s="163"/>
      <c r="C314" s="56"/>
      <c r="D314" s="168"/>
      <c r="E314" s="168"/>
      <c r="F314" s="168"/>
      <c r="G314" s="168"/>
      <c r="H314" s="168"/>
      <c r="I314" s="168"/>
      <c r="J314" s="168"/>
      <c r="K314" s="168"/>
      <c r="L314" s="168"/>
      <c r="M314" s="168"/>
      <c r="N314" s="168"/>
      <c r="O314" s="168"/>
      <c r="P314" s="168"/>
    </row>
    <row r="315" spans="1:16" ht="14.4" hidden="1" x14ac:dyDescent="0.3">
      <c r="A315" s="55" t="s">
        <v>25</v>
      </c>
      <c r="B315" s="165"/>
      <c r="C315" s="56" t="s">
        <v>19</v>
      </c>
      <c r="D315" s="166"/>
      <c r="E315" s="166"/>
      <c r="F315" s="166"/>
      <c r="G315" s="166"/>
      <c r="H315" s="166"/>
      <c r="I315" s="166"/>
      <c r="J315" s="166"/>
      <c r="K315" s="166"/>
      <c r="L315" s="166"/>
      <c r="M315" s="166"/>
      <c r="N315" s="166"/>
      <c r="O315" s="166"/>
      <c r="P315" s="166"/>
    </row>
    <row r="316" spans="1:16" ht="14.4" hidden="1" x14ac:dyDescent="0.3">
      <c r="A316" s="162" t="s">
        <v>26</v>
      </c>
      <c r="B316" s="162"/>
      <c r="C316" s="56"/>
      <c r="D316" s="170"/>
      <c r="E316" s="170"/>
      <c r="F316" s="170"/>
      <c r="G316" s="170"/>
      <c r="H316" s="170"/>
      <c r="I316" s="170"/>
      <c r="J316" s="170"/>
      <c r="K316" s="170"/>
      <c r="L316" s="170"/>
      <c r="M316" s="170"/>
      <c r="N316" s="170"/>
      <c r="O316" s="170"/>
      <c r="P316" s="170"/>
    </row>
    <row r="317" spans="1:16" ht="14.4" hidden="1" x14ac:dyDescent="0.3">
      <c r="A317" s="55" t="s">
        <v>27</v>
      </c>
      <c r="B317" s="55"/>
      <c r="C317" s="56" t="s">
        <v>19</v>
      </c>
      <c r="D317" s="167"/>
      <c r="E317" s="167"/>
      <c r="F317" s="167"/>
      <c r="G317" s="167"/>
      <c r="H317" s="167"/>
      <c r="I317" s="167"/>
      <c r="J317" s="167"/>
      <c r="K317" s="167"/>
      <c r="L317" s="167"/>
      <c r="M317" s="167"/>
      <c r="N317" s="167"/>
      <c r="O317" s="167"/>
      <c r="P317" s="167"/>
    </row>
    <row r="318" spans="1:16" ht="14.4" hidden="1" x14ac:dyDescent="0.3">
      <c r="A318" s="55" t="s">
        <v>28</v>
      </c>
      <c r="B318" s="55"/>
      <c r="C318" s="56" t="s">
        <v>23</v>
      </c>
      <c r="D318" s="167"/>
      <c r="E318" s="167"/>
      <c r="F318" s="167"/>
      <c r="G318" s="167"/>
      <c r="H318" s="167"/>
      <c r="I318" s="167"/>
      <c r="J318" s="167"/>
      <c r="K318" s="167"/>
      <c r="L318" s="167"/>
      <c r="M318" s="167"/>
      <c r="N318" s="167"/>
      <c r="O318" s="167"/>
      <c r="P318" s="167"/>
    </row>
    <row r="319" spans="1:16" ht="14.4" hidden="1" x14ac:dyDescent="0.3">
      <c r="A319" s="162" t="s">
        <v>29</v>
      </c>
      <c r="B319" s="162"/>
      <c r="C319" s="56"/>
      <c r="D319" s="171"/>
      <c r="E319" s="171"/>
      <c r="F319" s="171"/>
      <c r="G319" s="171"/>
      <c r="H319" s="171"/>
      <c r="I319" s="171"/>
      <c r="J319" s="171"/>
      <c r="K319" s="171"/>
      <c r="L319" s="171"/>
      <c r="M319" s="171"/>
      <c r="N319" s="171"/>
      <c r="O319" s="171"/>
      <c r="P319" s="171"/>
    </row>
    <row r="320" spans="1:16" ht="14.4" hidden="1" x14ac:dyDescent="0.3">
      <c r="A320" s="55" t="s">
        <v>30</v>
      </c>
      <c r="B320" s="55"/>
      <c r="C320" s="56" t="s">
        <v>19</v>
      </c>
      <c r="D320" s="167"/>
      <c r="E320" s="167"/>
      <c r="F320" s="167"/>
      <c r="G320" s="167"/>
      <c r="H320" s="167"/>
      <c r="I320" s="167"/>
      <c r="J320" s="167"/>
      <c r="K320" s="167"/>
      <c r="L320" s="167"/>
      <c r="M320" s="167"/>
      <c r="N320" s="167"/>
      <c r="O320" s="167"/>
      <c r="P320" s="167"/>
    </row>
    <row r="321" spans="1:16" ht="14.4" hidden="1" x14ac:dyDescent="0.3">
      <c r="A321" s="55" t="s">
        <v>31</v>
      </c>
      <c r="B321" s="55"/>
      <c r="C321" s="56" t="s">
        <v>32</v>
      </c>
      <c r="D321" s="167"/>
      <c r="E321" s="167"/>
      <c r="F321" s="167"/>
      <c r="G321" s="167"/>
      <c r="H321" s="167"/>
      <c r="I321" s="167"/>
      <c r="J321" s="167"/>
      <c r="K321" s="167"/>
      <c r="L321" s="167"/>
      <c r="M321" s="167"/>
      <c r="N321" s="167"/>
      <c r="O321" s="167"/>
      <c r="P321" s="167"/>
    </row>
    <row r="322" spans="1:16" ht="14.4" hidden="1" x14ac:dyDescent="0.3">
      <c r="A322" s="162" t="s">
        <v>33</v>
      </c>
      <c r="B322" s="162"/>
      <c r="C322" s="56"/>
      <c r="D322" s="171"/>
      <c r="E322" s="171"/>
      <c r="F322" s="171"/>
      <c r="G322" s="171"/>
      <c r="H322" s="171"/>
      <c r="I322" s="171"/>
      <c r="J322" s="171"/>
      <c r="K322" s="171"/>
      <c r="L322" s="171"/>
      <c r="M322" s="171"/>
      <c r="N322" s="171"/>
      <c r="O322" s="171"/>
      <c r="P322" s="171"/>
    </row>
    <row r="323" spans="1:16" ht="14.4" hidden="1" x14ac:dyDescent="0.3">
      <c r="A323" s="55" t="s">
        <v>34</v>
      </c>
      <c r="B323" s="55"/>
      <c r="C323" s="56" t="s">
        <v>19</v>
      </c>
      <c r="D323" s="167"/>
      <c r="E323" s="167"/>
      <c r="F323" s="167"/>
      <c r="G323" s="167"/>
      <c r="H323" s="167"/>
      <c r="I323" s="167"/>
      <c r="J323" s="167"/>
      <c r="K323" s="167"/>
      <c r="L323" s="167"/>
      <c r="M323" s="167"/>
      <c r="N323" s="167"/>
      <c r="O323" s="167"/>
      <c r="P323" s="167"/>
    </row>
    <row r="324" spans="1:16" ht="14.4" hidden="1" x14ac:dyDescent="0.3">
      <c r="A324" s="55" t="s">
        <v>35</v>
      </c>
      <c r="B324" s="55"/>
      <c r="C324" s="56" t="s">
        <v>36</v>
      </c>
      <c r="D324" s="167"/>
      <c r="E324" s="167"/>
      <c r="F324" s="167"/>
      <c r="G324" s="167"/>
      <c r="H324" s="167"/>
      <c r="I324" s="167"/>
      <c r="J324" s="167"/>
      <c r="K324" s="167"/>
      <c r="L324" s="167"/>
      <c r="M324" s="167"/>
      <c r="N324" s="167"/>
      <c r="O324" s="167"/>
      <c r="P324" s="167"/>
    </row>
    <row r="325" spans="1:16" ht="14.4" hidden="1" x14ac:dyDescent="0.3">
      <c r="A325" s="162" t="s">
        <v>37</v>
      </c>
      <c r="B325" s="162"/>
      <c r="C325" s="56"/>
      <c r="D325" s="171"/>
      <c r="E325" s="171"/>
      <c r="F325" s="171"/>
      <c r="G325" s="171"/>
      <c r="H325" s="171"/>
      <c r="I325" s="171"/>
      <c r="J325" s="171"/>
      <c r="K325" s="171"/>
      <c r="L325" s="171"/>
      <c r="M325" s="171"/>
      <c r="N325" s="171"/>
      <c r="O325" s="171"/>
      <c r="P325" s="171"/>
    </row>
    <row r="326" spans="1:16" ht="14.4" hidden="1" x14ac:dyDescent="0.3">
      <c r="A326" s="172" t="s">
        <v>38</v>
      </c>
      <c r="B326" s="55"/>
      <c r="C326" s="56" t="s">
        <v>19</v>
      </c>
      <c r="D326" s="167"/>
      <c r="E326" s="167"/>
      <c r="F326" s="167"/>
      <c r="G326" s="167"/>
      <c r="H326" s="167"/>
      <c r="I326" s="167"/>
      <c r="J326" s="167"/>
      <c r="K326" s="167"/>
      <c r="L326" s="167"/>
      <c r="M326" s="167"/>
      <c r="N326" s="167"/>
      <c r="O326" s="167"/>
      <c r="P326" s="167"/>
    </row>
    <row r="327" spans="1:16" ht="14.4" hidden="1" x14ac:dyDescent="0.3">
      <c r="A327" s="172" t="s">
        <v>39</v>
      </c>
      <c r="B327" s="55"/>
      <c r="C327" s="56" t="s">
        <v>19</v>
      </c>
      <c r="D327" s="167"/>
      <c r="E327" s="167"/>
      <c r="F327" s="167"/>
      <c r="G327" s="167"/>
      <c r="H327" s="167"/>
      <c r="I327" s="167"/>
      <c r="J327" s="167"/>
      <c r="K327" s="167"/>
      <c r="L327" s="167"/>
      <c r="M327" s="167"/>
      <c r="N327" s="167"/>
      <c r="O327" s="167"/>
      <c r="P327" s="167"/>
    </row>
    <row r="328" spans="1:16" ht="14.4" hidden="1" x14ac:dyDescent="0.3">
      <c r="A328" s="172" t="s">
        <v>180</v>
      </c>
      <c r="B328" s="55"/>
      <c r="C328" s="56" t="s">
        <v>19</v>
      </c>
      <c r="D328" s="167"/>
      <c r="E328" s="167"/>
      <c r="F328" s="167"/>
      <c r="G328" s="167"/>
      <c r="H328" s="167"/>
      <c r="I328" s="167"/>
      <c r="J328" s="167"/>
      <c r="K328" s="167"/>
      <c r="L328" s="167"/>
      <c r="M328" s="167"/>
      <c r="N328" s="167"/>
      <c r="O328" s="167"/>
      <c r="P328" s="167"/>
    </row>
    <row r="329" spans="1:16" ht="14.4" hidden="1" x14ac:dyDescent="0.3">
      <c r="A329" s="173" t="s">
        <v>40</v>
      </c>
      <c r="B329" s="55"/>
      <c r="C329" s="56" t="s">
        <v>19</v>
      </c>
      <c r="D329" s="167"/>
      <c r="E329" s="167"/>
      <c r="F329" s="167"/>
      <c r="G329" s="167"/>
      <c r="H329" s="167"/>
      <c r="I329" s="167"/>
      <c r="J329" s="167"/>
      <c r="K329" s="167"/>
      <c r="L329" s="167"/>
      <c r="M329" s="167"/>
      <c r="N329" s="167"/>
      <c r="O329" s="167"/>
      <c r="P329" s="167"/>
    </row>
    <row r="330" spans="1:16" ht="14.4" hidden="1" x14ac:dyDescent="0.3">
      <c r="A330" s="173" t="s">
        <v>41</v>
      </c>
      <c r="B330" s="55"/>
      <c r="C330" s="56" t="s">
        <v>19</v>
      </c>
      <c r="D330" s="167"/>
      <c r="E330" s="167"/>
      <c r="F330" s="167"/>
      <c r="G330" s="167"/>
      <c r="H330" s="167"/>
      <c r="I330" s="167"/>
      <c r="J330" s="167"/>
      <c r="K330" s="167"/>
      <c r="L330" s="167"/>
      <c r="M330" s="167"/>
      <c r="N330" s="167"/>
      <c r="O330" s="167"/>
      <c r="P330" s="167"/>
    </row>
    <row r="331" spans="1:16" ht="16.2" hidden="1" x14ac:dyDescent="0.3">
      <c r="A331" s="174" t="s">
        <v>182</v>
      </c>
      <c r="B331" s="175"/>
      <c r="C331" s="56" t="s">
        <v>19</v>
      </c>
      <c r="D331" s="167"/>
      <c r="E331" s="167"/>
      <c r="F331" s="167"/>
      <c r="G331" s="167"/>
      <c r="H331" s="167"/>
      <c r="I331" s="167"/>
      <c r="J331" s="167"/>
      <c r="K331" s="167"/>
      <c r="L331" s="167"/>
      <c r="M331" s="167"/>
      <c r="N331" s="167"/>
      <c r="O331" s="167"/>
      <c r="P331" s="167"/>
    </row>
    <row r="332" spans="1:16" ht="16.2" hidden="1" x14ac:dyDescent="0.3">
      <c r="A332" s="174" t="s">
        <v>182</v>
      </c>
      <c r="B332" s="175"/>
      <c r="C332" s="56" t="s">
        <v>19</v>
      </c>
      <c r="D332" s="167"/>
      <c r="E332" s="167"/>
      <c r="F332" s="167"/>
      <c r="G332" s="167"/>
      <c r="H332" s="167"/>
      <c r="I332" s="167"/>
      <c r="J332" s="167"/>
      <c r="K332" s="167"/>
      <c r="L332" s="167"/>
      <c r="M332" s="167"/>
      <c r="N332" s="167"/>
      <c r="O332" s="167"/>
      <c r="P332" s="167"/>
    </row>
    <row r="333" spans="1:16" ht="16.2" hidden="1" x14ac:dyDescent="0.3">
      <c r="A333" s="174" t="s">
        <v>182</v>
      </c>
      <c r="B333" s="176"/>
      <c r="C333" s="56" t="s">
        <v>19</v>
      </c>
      <c r="D333" s="167"/>
      <c r="E333" s="167"/>
      <c r="F333" s="167"/>
      <c r="G333" s="167"/>
      <c r="H333" s="167"/>
      <c r="I333" s="167"/>
      <c r="J333" s="167"/>
      <c r="K333" s="167"/>
      <c r="L333" s="167"/>
      <c r="M333" s="167"/>
      <c r="N333" s="167"/>
      <c r="O333" s="167"/>
      <c r="P333" s="167"/>
    </row>
    <row r="334" spans="1:16" ht="14.4" hidden="1" x14ac:dyDescent="0.3">
      <c r="A334" s="162" t="s">
        <v>42</v>
      </c>
      <c r="B334" s="162"/>
      <c r="C334" s="56"/>
      <c r="D334" s="171"/>
      <c r="E334" s="171"/>
      <c r="F334" s="171"/>
      <c r="G334" s="171"/>
      <c r="H334" s="171"/>
      <c r="I334" s="171"/>
      <c r="J334" s="171"/>
      <c r="K334" s="171"/>
      <c r="L334" s="171"/>
      <c r="M334" s="171"/>
      <c r="N334" s="171"/>
      <c r="O334" s="171"/>
      <c r="P334" s="171"/>
    </row>
    <row r="335" spans="1:16" ht="14.4" hidden="1" x14ac:dyDescent="0.3">
      <c r="A335" s="162" t="s">
        <v>191</v>
      </c>
      <c r="B335" s="162"/>
      <c r="C335" s="56" t="s">
        <v>44</v>
      </c>
      <c r="D335" s="177"/>
      <c r="E335" s="177"/>
      <c r="F335" s="177"/>
      <c r="G335" s="177"/>
      <c r="H335" s="177"/>
      <c r="I335" s="177"/>
      <c r="J335" s="177"/>
      <c r="K335" s="177"/>
      <c r="L335" s="177"/>
      <c r="M335" s="177"/>
      <c r="N335" s="177"/>
      <c r="O335" s="177"/>
      <c r="P335" s="177"/>
    </row>
    <row r="336" spans="1:16" ht="14.4" hidden="1" x14ac:dyDescent="0.3">
      <c r="A336" s="162" t="s">
        <v>183</v>
      </c>
      <c r="B336" s="162"/>
      <c r="C336" s="56"/>
      <c r="D336" s="178"/>
      <c r="E336" s="178"/>
      <c r="F336" s="178"/>
      <c r="G336" s="178"/>
      <c r="H336" s="178"/>
      <c r="I336" s="178"/>
      <c r="J336" s="178"/>
      <c r="K336" s="178"/>
      <c r="L336" s="178"/>
      <c r="M336" s="178"/>
      <c r="N336" s="178"/>
      <c r="O336" s="178"/>
      <c r="P336" s="178"/>
    </row>
    <row r="337" spans="1:16" ht="14.4" hidden="1" x14ac:dyDescent="0.3">
      <c r="A337" s="162" t="s">
        <v>184</v>
      </c>
      <c r="B337" s="162"/>
      <c r="C337" s="56" t="s">
        <v>19</v>
      </c>
      <c r="D337" s="167"/>
      <c r="E337" s="167"/>
      <c r="F337" s="167"/>
      <c r="G337" s="167"/>
      <c r="H337" s="167"/>
      <c r="I337" s="167"/>
      <c r="J337" s="167"/>
      <c r="K337" s="167"/>
      <c r="L337" s="167"/>
      <c r="M337" s="167"/>
      <c r="N337" s="167"/>
      <c r="O337" s="167"/>
      <c r="P337" s="167"/>
    </row>
    <row r="338" spans="1:16" ht="14.4" hidden="1" x14ac:dyDescent="0.3">
      <c r="A338" s="162" t="s">
        <v>45</v>
      </c>
      <c r="B338" s="162"/>
      <c r="C338" s="56"/>
      <c r="D338" s="178"/>
      <c r="E338" s="178"/>
      <c r="F338" s="178"/>
      <c r="G338" s="178"/>
      <c r="H338" s="178"/>
      <c r="I338" s="178"/>
      <c r="J338" s="178"/>
      <c r="K338" s="178"/>
      <c r="L338" s="178"/>
      <c r="M338" s="178"/>
      <c r="N338" s="178"/>
      <c r="O338" s="178"/>
      <c r="P338" s="178"/>
    </row>
    <row r="339" spans="1:16" ht="14.4" hidden="1" x14ac:dyDescent="0.3">
      <c r="A339" s="162" t="s">
        <v>46</v>
      </c>
      <c r="B339" s="162"/>
      <c r="C339" s="56" t="s">
        <v>19</v>
      </c>
      <c r="D339" s="167"/>
      <c r="E339" s="167"/>
      <c r="F339" s="167"/>
      <c r="G339" s="167"/>
      <c r="H339" s="167"/>
      <c r="I339" s="167"/>
      <c r="J339" s="167"/>
      <c r="K339" s="167"/>
      <c r="L339" s="167"/>
      <c r="M339" s="167"/>
      <c r="N339" s="167"/>
      <c r="O339" s="167"/>
      <c r="P339" s="167"/>
    </row>
    <row r="340" spans="1:16" ht="14.4" hidden="1" x14ac:dyDescent="0.3">
      <c r="A340" s="162" t="s">
        <v>185</v>
      </c>
      <c r="B340" s="162"/>
      <c r="C340" s="56"/>
      <c r="D340" s="167"/>
      <c r="E340" s="167"/>
      <c r="F340" s="167"/>
      <c r="G340" s="167"/>
      <c r="H340" s="167"/>
      <c r="I340" s="167"/>
      <c r="J340" s="167"/>
      <c r="K340" s="167"/>
      <c r="L340" s="167"/>
      <c r="M340" s="167"/>
      <c r="N340" s="167"/>
      <c r="O340" s="167"/>
      <c r="P340" s="167"/>
    </row>
    <row r="341" spans="1:16" ht="14.4" hidden="1" x14ac:dyDescent="0.3">
      <c r="A341" s="162" t="s">
        <v>186</v>
      </c>
      <c r="B341" s="162"/>
      <c r="C341" s="56" t="s">
        <v>19</v>
      </c>
      <c r="D341" s="167"/>
      <c r="E341" s="167"/>
      <c r="F341" s="167"/>
      <c r="G341" s="167"/>
      <c r="H341" s="167"/>
      <c r="I341" s="167"/>
      <c r="J341" s="167"/>
      <c r="K341" s="167"/>
      <c r="L341" s="167"/>
      <c r="M341" s="167"/>
      <c r="N341" s="167"/>
      <c r="O341" s="167"/>
      <c r="P341" s="167"/>
    </row>
    <row r="342" spans="1:16" ht="14.4" hidden="1" x14ac:dyDescent="0.3">
      <c r="A342" s="162" t="s">
        <v>47</v>
      </c>
      <c r="B342" s="162"/>
      <c r="C342" s="56"/>
      <c r="D342" s="171"/>
      <c r="E342" s="171"/>
      <c r="F342" s="171"/>
      <c r="G342" s="171"/>
      <c r="H342" s="171"/>
      <c r="I342" s="171"/>
      <c r="J342" s="171"/>
      <c r="K342" s="171"/>
      <c r="L342" s="171"/>
      <c r="M342" s="171"/>
      <c r="N342" s="171"/>
      <c r="O342" s="171"/>
      <c r="P342" s="171"/>
    </row>
    <row r="343" spans="1:16" ht="14.4" hidden="1" x14ac:dyDescent="0.3">
      <c r="A343" s="55" t="s">
        <v>48</v>
      </c>
      <c r="B343" s="55"/>
      <c r="C343" s="56" t="s">
        <v>19</v>
      </c>
      <c r="D343" s="167"/>
      <c r="E343" s="167"/>
      <c r="F343" s="167"/>
      <c r="G343" s="167"/>
      <c r="H343" s="167"/>
      <c r="I343" s="167"/>
      <c r="J343" s="167"/>
      <c r="K343" s="167"/>
      <c r="L343" s="167"/>
      <c r="M343" s="167"/>
      <c r="N343" s="167"/>
      <c r="O343" s="167"/>
      <c r="P343" s="167"/>
    </row>
    <row r="344" spans="1:16" ht="14.4" hidden="1" x14ac:dyDescent="0.3">
      <c r="A344" s="55" t="s">
        <v>49</v>
      </c>
      <c r="B344" s="55"/>
      <c r="C344" s="56" t="s">
        <v>19</v>
      </c>
      <c r="D344" s="167"/>
      <c r="E344" s="167"/>
      <c r="F344" s="167"/>
      <c r="G344" s="167"/>
      <c r="H344" s="167"/>
      <c r="I344" s="167"/>
      <c r="J344" s="167"/>
      <c r="K344" s="167"/>
      <c r="L344" s="167"/>
      <c r="M344" s="167"/>
      <c r="N344" s="167"/>
      <c r="O344" s="167"/>
      <c r="P344" s="167"/>
    </row>
    <row r="345" spans="1:16" ht="14.4" hidden="1" x14ac:dyDescent="0.3">
      <c r="A345" s="162" t="s">
        <v>52</v>
      </c>
      <c r="B345" s="162"/>
      <c r="C345" s="179"/>
      <c r="D345" s="170"/>
      <c r="E345" s="170"/>
      <c r="F345" s="170"/>
      <c r="G345" s="170"/>
      <c r="H345" s="170"/>
      <c r="I345" s="170"/>
      <c r="J345" s="170"/>
      <c r="K345" s="170"/>
      <c r="L345" s="170"/>
      <c r="M345" s="170"/>
      <c r="N345" s="170"/>
      <c r="O345" s="170"/>
      <c r="P345" s="170"/>
    </row>
    <row r="346" spans="1:16" ht="14.4" hidden="1" x14ac:dyDescent="0.3">
      <c r="A346" s="55" t="s">
        <v>53</v>
      </c>
      <c r="B346" s="55"/>
      <c r="C346" s="56" t="s">
        <v>44</v>
      </c>
      <c r="D346" s="167"/>
      <c r="E346" s="167"/>
      <c r="F346" s="167"/>
      <c r="G346" s="167"/>
      <c r="H346" s="167"/>
      <c r="I346" s="167"/>
      <c r="J346" s="167"/>
      <c r="K346" s="167"/>
      <c r="L346" s="167"/>
      <c r="M346" s="167"/>
      <c r="N346" s="167"/>
      <c r="O346" s="167"/>
      <c r="P346" s="167"/>
    </row>
    <row r="347" spans="1:16" ht="14.4" hidden="1" x14ac:dyDescent="0.3">
      <c r="A347" s="55" t="s">
        <v>54</v>
      </c>
      <c r="B347" s="55"/>
      <c r="C347" s="56" t="s">
        <v>44</v>
      </c>
      <c r="D347" s="167"/>
      <c r="E347" s="167"/>
      <c r="F347" s="167"/>
      <c r="G347" s="167"/>
      <c r="H347" s="167"/>
      <c r="I347" s="167"/>
      <c r="J347" s="167"/>
      <c r="K347" s="167"/>
      <c r="L347" s="167"/>
      <c r="M347" s="167"/>
      <c r="N347" s="167"/>
      <c r="O347" s="167"/>
      <c r="P347" s="167"/>
    </row>
    <row r="348" spans="1:16" ht="14.4" hidden="1" x14ac:dyDescent="0.3">
      <c r="A348" s="55" t="s">
        <v>55</v>
      </c>
      <c r="B348" s="55"/>
      <c r="C348" s="56" t="s">
        <v>44</v>
      </c>
      <c r="D348" s="167"/>
      <c r="E348" s="167"/>
      <c r="F348" s="167"/>
      <c r="G348" s="167"/>
      <c r="H348" s="167"/>
      <c r="I348" s="167"/>
      <c r="J348" s="167"/>
      <c r="K348" s="167"/>
      <c r="L348" s="167"/>
      <c r="M348" s="167"/>
      <c r="N348" s="167"/>
      <c r="O348" s="167"/>
      <c r="P348" s="167"/>
    </row>
    <row r="349" spans="1:16" ht="14.4" hidden="1" x14ac:dyDescent="0.3">
      <c r="A349" s="55" t="s">
        <v>187</v>
      </c>
      <c r="B349" s="55"/>
      <c r="C349" s="56" t="s">
        <v>44</v>
      </c>
      <c r="D349" s="167"/>
      <c r="E349" s="167"/>
      <c r="F349" s="167"/>
      <c r="G349" s="167"/>
      <c r="H349" s="167"/>
      <c r="I349" s="167"/>
      <c r="J349" s="167"/>
      <c r="K349" s="167"/>
      <c r="L349" s="167"/>
      <c r="M349" s="167"/>
      <c r="N349" s="167"/>
      <c r="O349" s="167"/>
      <c r="P349" s="167"/>
    </row>
    <row r="350" spans="1:16" ht="14.4" hidden="1" x14ac:dyDescent="0.3">
      <c r="A350" s="55" t="s">
        <v>188</v>
      </c>
      <c r="B350" s="55"/>
      <c r="C350" s="56" t="s">
        <v>44</v>
      </c>
      <c r="D350" s="167"/>
      <c r="E350" s="167"/>
      <c r="F350" s="167"/>
      <c r="G350" s="167"/>
      <c r="H350" s="167"/>
      <c r="I350" s="167"/>
      <c r="J350" s="167"/>
      <c r="K350" s="167"/>
      <c r="L350" s="167"/>
      <c r="M350" s="167"/>
      <c r="N350" s="167"/>
      <c r="O350" s="167"/>
      <c r="P350" s="167"/>
    </row>
    <row r="351" spans="1:16" ht="14.4" hidden="1" x14ac:dyDescent="0.3">
      <c r="A351" s="55" t="s">
        <v>56</v>
      </c>
      <c r="B351" s="55"/>
      <c r="C351" s="56" t="s">
        <v>44</v>
      </c>
      <c r="D351" s="180"/>
      <c r="E351" s="180"/>
      <c r="F351" s="180"/>
      <c r="G351" s="180"/>
      <c r="H351" s="180"/>
      <c r="I351" s="180"/>
      <c r="J351" s="180"/>
      <c r="K351" s="180"/>
      <c r="L351" s="180"/>
      <c r="M351" s="180"/>
      <c r="N351" s="180"/>
      <c r="O351" s="180"/>
      <c r="P351" s="180"/>
    </row>
    <row r="352" spans="1:16" ht="14.4" hidden="1" x14ac:dyDescent="0.3">
      <c r="A352" s="55" t="s">
        <v>57</v>
      </c>
      <c r="B352" s="55"/>
      <c r="C352" s="56" t="s">
        <v>44</v>
      </c>
      <c r="D352" s="180"/>
      <c r="E352" s="180"/>
      <c r="F352" s="180"/>
      <c r="G352" s="180"/>
      <c r="H352" s="180"/>
      <c r="I352" s="180"/>
      <c r="J352" s="180"/>
      <c r="K352" s="180"/>
      <c r="L352" s="180"/>
      <c r="M352" s="180"/>
      <c r="N352" s="180"/>
      <c r="O352" s="180"/>
      <c r="P352" s="180"/>
    </row>
    <row r="353" spans="1:16" hidden="1" x14ac:dyDescent="0.3"/>
    <row r="354" spans="1:16" ht="18" hidden="1" x14ac:dyDescent="0.35">
      <c r="A354" s="59" t="str">
        <f>'[42]Statistical data'!A229</f>
        <v>Customer Class with mix rate1</v>
      </c>
      <c r="B354" s="59"/>
      <c r="C354" s="5" t="s">
        <v>190</v>
      </c>
      <c r="D354" s="160"/>
      <c r="E354" s="160"/>
      <c r="F354" s="160"/>
      <c r="G354" s="160"/>
      <c r="H354" s="160"/>
      <c r="I354" s="160"/>
      <c r="J354" s="160"/>
      <c r="K354" s="160"/>
      <c r="L354" s="160"/>
      <c r="M354" s="160"/>
      <c r="N354" s="160"/>
      <c r="O354" s="160"/>
      <c r="P354" s="160"/>
    </row>
    <row r="355" spans="1:16" ht="27" hidden="1" customHeight="1" x14ac:dyDescent="0.3">
      <c r="A355" s="161" t="s">
        <v>3</v>
      </c>
      <c r="B355" s="161"/>
      <c r="C355" s="161" t="s">
        <v>4</v>
      </c>
      <c r="D355" s="161" t="s">
        <v>15</v>
      </c>
      <c r="E355" s="161" t="s">
        <v>15</v>
      </c>
      <c r="F355" s="161" t="s">
        <v>15</v>
      </c>
      <c r="G355" s="161" t="s">
        <v>15</v>
      </c>
      <c r="H355" s="161" t="s">
        <v>15</v>
      </c>
      <c r="I355" s="161" t="s">
        <v>15</v>
      </c>
      <c r="J355" s="161" t="s">
        <v>15</v>
      </c>
      <c r="K355" s="161" t="s">
        <v>15</v>
      </c>
      <c r="L355" s="161" t="s">
        <v>15</v>
      </c>
      <c r="M355" s="161" t="s">
        <v>15</v>
      </c>
      <c r="N355" s="161" t="s">
        <v>15</v>
      </c>
      <c r="O355" s="161" t="s">
        <v>15</v>
      </c>
      <c r="P355" s="161" t="s">
        <v>15</v>
      </c>
    </row>
    <row r="356" spans="1:16" ht="14.4" hidden="1" x14ac:dyDescent="0.3">
      <c r="A356" s="162" t="s">
        <v>17</v>
      </c>
      <c r="B356" s="163"/>
      <c r="C356" s="56"/>
      <c r="D356" s="164"/>
      <c r="E356" s="164"/>
      <c r="F356" s="164"/>
      <c r="G356" s="164"/>
      <c r="H356" s="164"/>
      <c r="I356" s="164"/>
      <c r="J356" s="164"/>
      <c r="K356" s="164"/>
      <c r="L356" s="164"/>
      <c r="M356" s="164"/>
      <c r="N356" s="164"/>
      <c r="O356" s="164"/>
      <c r="P356" s="164"/>
    </row>
    <row r="357" spans="1:16" ht="14.4" hidden="1" x14ac:dyDescent="0.3">
      <c r="A357" s="55" t="s">
        <v>18</v>
      </c>
      <c r="B357" s="165"/>
      <c r="C357" s="56" t="s">
        <v>19</v>
      </c>
      <c r="D357" s="166"/>
      <c r="E357" s="166"/>
      <c r="F357" s="166"/>
      <c r="G357" s="166"/>
      <c r="H357" s="166"/>
      <c r="I357" s="166"/>
      <c r="J357" s="166"/>
      <c r="K357" s="166"/>
      <c r="L357" s="166"/>
      <c r="M357" s="166"/>
      <c r="N357" s="166"/>
      <c r="O357" s="166"/>
      <c r="P357" s="166"/>
    </row>
    <row r="358" spans="1:16" ht="14.4" hidden="1" x14ac:dyDescent="0.3">
      <c r="A358" s="55" t="s">
        <v>66</v>
      </c>
      <c r="B358" s="165"/>
      <c r="C358" s="56" t="s">
        <v>19</v>
      </c>
      <c r="D358" s="166"/>
      <c r="E358" s="166"/>
      <c r="F358" s="166"/>
      <c r="G358" s="166"/>
      <c r="H358" s="166"/>
      <c r="I358" s="166"/>
      <c r="J358" s="166"/>
      <c r="K358" s="166"/>
      <c r="L358" s="166"/>
      <c r="M358" s="166"/>
      <c r="N358" s="166"/>
      <c r="O358" s="166"/>
      <c r="P358" s="166"/>
    </row>
    <row r="359" spans="1:16" ht="14.4" hidden="1" x14ac:dyDescent="0.3">
      <c r="A359" s="162" t="s">
        <v>20</v>
      </c>
      <c r="B359" s="163"/>
      <c r="C359" s="56"/>
      <c r="D359" s="168"/>
      <c r="E359" s="168"/>
      <c r="F359" s="168"/>
      <c r="G359" s="168"/>
      <c r="H359" s="168"/>
      <c r="I359" s="168"/>
      <c r="J359" s="168"/>
      <c r="K359" s="168"/>
      <c r="L359" s="168"/>
      <c r="M359" s="168"/>
      <c r="N359" s="168"/>
      <c r="O359" s="168"/>
      <c r="P359" s="168"/>
    </row>
    <row r="360" spans="1:16" ht="14.4" hidden="1" x14ac:dyDescent="0.3">
      <c r="A360" s="55" t="s">
        <v>21</v>
      </c>
      <c r="B360" s="165"/>
      <c r="C360" s="56" t="s">
        <v>19</v>
      </c>
      <c r="D360" s="166"/>
      <c r="E360" s="166"/>
      <c r="F360" s="166"/>
      <c r="G360" s="166"/>
      <c r="H360" s="166"/>
      <c r="I360" s="166"/>
      <c r="J360" s="166"/>
      <c r="K360" s="166"/>
      <c r="L360" s="166"/>
      <c r="M360" s="166"/>
      <c r="N360" s="166"/>
      <c r="O360" s="166"/>
      <c r="P360" s="166"/>
    </row>
    <row r="361" spans="1:16" ht="14.4" hidden="1" x14ac:dyDescent="0.3">
      <c r="A361" s="55" t="s">
        <v>22</v>
      </c>
      <c r="B361" s="165"/>
      <c r="C361" s="56" t="s">
        <v>23</v>
      </c>
      <c r="D361" s="166"/>
      <c r="E361" s="166"/>
      <c r="F361" s="166"/>
      <c r="G361" s="166"/>
      <c r="H361" s="166"/>
      <c r="I361" s="166"/>
      <c r="J361" s="166"/>
      <c r="K361" s="166"/>
      <c r="L361" s="166"/>
      <c r="M361" s="166"/>
      <c r="N361" s="166"/>
      <c r="O361" s="166"/>
      <c r="P361" s="166"/>
    </row>
    <row r="362" spans="1:16" ht="14.4" hidden="1" x14ac:dyDescent="0.3">
      <c r="A362" s="162" t="s">
        <v>24</v>
      </c>
      <c r="B362" s="163"/>
      <c r="C362" s="56"/>
      <c r="D362" s="168"/>
      <c r="E362" s="168"/>
      <c r="F362" s="168"/>
      <c r="G362" s="168"/>
      <c r="H362" s="168"/>
      <c r="I362" s="168"/>
      <c r="J362" s="168"/>
      <c r="K362" s="168"/>
      <c r="L362" s="168"/>
      <c r="M362" s="168"/>
      <c r="N362" s="168"/>
      <c r="O362" s="168"/>
      <c r="P362" s="168"/>
    </row>
    <row r="363" spans="1:16" ht="14.4" hidden="1" x14ac:dyDescent="0.3">
      <c r="A363" s="55" t="s">
        <v>25</v>
      </c>
      <c r="B363" s="165"/>
      <c r="C363" s="56" t="s">
        <v>19</v>
      </c>
      <c r="D363" s="166"/>
      <c r="E363" s="166"/>
      <c r="F363" s="166"/>
      <c r="G363" s="166"/>
      <c r="H363" s="166"/>
      <c r="I363" s="166"/>
      <c r="J363" s="166"/>
      <c r="K363" s="166"/>
      <c r="L363" s="166"/>
      <c r="M363" s="166"/>
      <c r="N363" s="166"/>
      <c r="O363" s="166"/>
      <c r="P363" s="166"/>
    </row>
    <row r="364" spans="1:16" ht="14.4" hidden="1" x14ac:dyDescent="0.3">
      <c r="A364" s="162" t="s">
        <v>26</v>
      </c>
      <c r="B364" s="162"/>
      <c r="C364" s="56"/>
      <c r="D364" s="170"/>
      <c r="E364" s="170"/>
      <c r="F364" s="170"/>
      <c r="G364" s="170"/>
      <c r="H364" s="170"/>
      <c r="I364" s="170"/>
      <c r="J364" s="170"/>
      <c r="K364" s="170"/>
      <c r="L364" s="170"/>
      <c r="M364" s="170"/>
      <c r="N364" s="170"/>
      <c r="O364" s="170"/>
      <c r="P364" s="170"/>
    </row>
    <row r="365" spans="1:16" ht="14.4" hidden="1" x14ac:dyDescent="0.3">
      <c r="A365" s="55" t="s">
        <v>27</v>
      </c>
      <c r="B365" s="55"/>
      <c r="C365" s="56" t="s">
        <v>19</v>
      </c>
      <c r="D365" s="167"/>
      <c r="E365" s="167"/>
      <c r="F365" s="167"/>
      <c r="G365" s="167"/>
      <c r="H365" s="167"/>
      <c r="I365" s="167"/>
      <c r="J365" s="167"/>
      <c r="K365" s="167"/>
      <c r="L365" s="167"/>
      <c r="M365" s="167"/>
      <c r="N365" s="167"/>
      <c r="O365" s="167"/>
      <c r="P365" s="167"/>
    </row>
    <row r="366" spans="1:16" ht="14.4" hidden="1" x14ac:dyDescent="0.3">
      <c r="A366" s="55" t="s">
        <v>28</v>
      </c>
      <c r="B366" s="55"/>
      <c r="C366" s="56" t="s">
        <v>23</v>
      </c>
      <c r="D366" s="167"/>
      <c r="E366" s="167"/>
      <c r="F366" s="167"/>
      <c r="G366" s="167"/>
      <c r="H366" s="167"/>
      <c r="I366" s="167"/>
      <c r="J366" s="167"/>
      <c r="K366" s="167"/>
      <c r="L366" s="167"/>
      <c r="M366" s="167"/>
      <c r="N366" s="167"/>
      <c r="O366" s="167"/>
      <c r="P366" s="167"/>
    </row>
    <row r="367" spans="1:16" ht="14.4" hidden="1" x14ac:dyDescent="0.3">
      <c r="A367" s="162" t="s">
        <v>29</v>
      </c>
      <c r="B367" s="162"/>
      <c r="C367" s="56"/>
      <c r="D367" s="171"/>
      <c r="E367" s="171"/>
      <c r="F367" s="171"/>
      <c r="G367" s="171"/>
      <c r="H367" s="171"/>
      <c r="I367" s="171"/>
      <c r="J367" s="171"/>
      <c r="K367" s="171"/>
      <c r="L367" s="171"/>
      <c r="M367" s="171"/>
      <c r="N367" s="171"/>
      <c r="O367" s="171"/>
      <c r="P367" s="171"/>
    </row>
    <row r="368" spans="1:16" ht="14.4" hidden="1" x14ac:dyDescent="0.3">
      <c r="A368" s="55" t="s">
        <v>30</v>
      </c>
      <c r="B368" s="55"/>
      <c r="C368" s="56" t="s">
        <v>19</v>
      </c>
      <c r="D368" s="167"/>
      <c r="E368" s="167"/>
      <c r="F368" s="167"/>
      <c r="G368" s="167"/>
      <c r="H368" s="167"/>
      <c r="I368" s="167"/>
      <c r="J368" s="167"/>
      <c r="K368" s="167"/>
      <c r="L368" s="167"/>
      <c r="M368" s="167"/>
      <c r="N368" s="167"/>
      <c r="O368" s="167"/>
      <c r="P368" s="167"/>
    </row>
    <row r="369" spans="1:16" ht="14.4" hidden="1" x14ac:dyDescent="0.3">
      <c r="A369" s="55" t="s">
        <v>31</v>
      </c>
      <c r="B369" s="55"/>
      <c r="C369" s="56" t="s">
        <v>32</v>
      </c>
      <c r="D369" s="167"/>
      <c r="E369" s="167"/>
      <c r="F369" s="167"/>
      <c r="G369" s="167"/>
      <c r="H369" s="167"/>
      <c r="I369" s="167"/>
      <c r="J369" s="167"/>
      <c r="K369" s="167"/>
      <c r="L369" s="167"/>
      <c r="M369" s="167"/>
      <c r="N369" s="167"/>
      <c r="O369" s="167"/>
      <c r="P369" s="167"/>
    </row>
    <row r="370" spans="1:16" ht="14.4" hidden="1" x14ac:dyDescent="0.3">
      <c r="A370" s="162" t="s">
        <v>33</v>
      </c>
      <c r="B370" s="162"/>
      <c r="C370" s="56"/>
      <c r="D370" s="171"/>
      <c r="E370" s="171"/>
      <c r="F370" s="171"/>
      <c r="G370" s="171"/>
      <c r="H370" s="171"/>
      <c r="I370" s="171"/>
      <c r="J370" s="171"/>
      <c r="K370" s="171"/>
      <c r="L370" s="171"/>
      <c r="M370" s="171"/>
      <c r="N370" s="171"/>
      <c r="O370" s="171"/>
      <c r="P370" s="171"/>
    </row>
    <row r="371" spans="1:16" ht="14.4" hidden="1" x14ac:dyDescent="0.3">
      <c r="A371" s="55" t="s">
        <v>34</v>
      </c>
      <c r="B371" s="55"/>
      <c r="C371" s="56" t="s">
        <v>19</v>
      </c>
      <c r="D371" s="167"/>
      <c r="E371" s="167"/>
      <c r="F371" s="167"/>
      <c r="G371" s="167"/>
      <c r="H371" s="167"/>
      <c r="I371" s="167"/>
      <c r="J371" s="167"/>
      <c r="K371" s="167"/>
      <c r="L371" s="167"/>
      <c r="M371" s="167"/>
      <c r="N371" s="167"/>
      <c r="O371" s="167"/>
      <c r="P371" s="167"/>
    </row>
    <row r="372" spans="1:16" ht="14.4" hidden="1" x14ac:dyDescent="0.3">
      <c r="A372" s="55" t="s">
        <v>35</v>
      </c>
      <c r="B372" s="55"/>
      <c r="C372" s="56" t="s">
        <v>36</v>
      </c>
      <c r="D372" s="167"/>
      <c r="E372" s="167"/>
      <c r="F372" s="167"/>
      <c r="G372" s="167"/>
      <c r="H372" s="167"/>
      <c r="I372" s="167"/>
      <c r="J372" s="167"/>
      <c r="K372" s="167"/>
      <c r="L372" s="167"/>
      <c r="M372" s="167"/>
      <c r="N372" s="167"/>
      <c r="O372" s="167"/>
      <c r="P372" s="167"/>
    </row>
    <row r="373" spans="1:16" ht="14.4" hidden="1" x14ac:dyDescent="0.3">
      <c r="A373" s="162" t="s">
        <v>37</v>
      </c>
      <c r="B373" s="162"/>
      <c r="C373" s="56"/>
      <c r="D373" s="171"/>
      <c r="E373" s="171"/>
      <c r="F373" s="171"/>
      <c r="G373" s="171"/>
      <c r="H373" s="171"/>
      <c r="I373" s="171"/>
      <c r="J373" s="171"/>
      <c r="K373" s="171"/>
      <c r="L373" s="171"/>
      <c r="M373" s="171"/>
      <c r="N373" s="171"/>
      <c r="O373" s="171"/>
      <c r="P373" s="171"/>
    </row>
    <row r="374" spans="1:16" ht="14.4" hidden="1" x14ac:dyDescent="0.3">
      <c r="A374" s="172" t="s">
        <v>38</v>
      </c>
      <c r="B374" s="55"/>
      <c r="C374" s="56" t="s">
        <v>19</v>
      </c>
      <c r="D374" s="167"/>
      <c r="E374" s="167"/>
      <c r="F374" s="167"/>
      <c r="G374" s="167"/>
      <c r="H374" s="167"/>
      <c r="I374" s="167"/>
      <c r="J374" s="167"/>
      <c r="K374" s="167"/>
      <c r="L374" s="167"/>
      <c r="M374" s="167"/>
      <c r="N374" s="167"/>
      <c r="O374" s="167"/>
      <c r="P374" s="167"/>
    </row>
    <row r="375" spans="1:16" ht="14.4" hidden="1" x14ac:dyDescent="0.3">
      <c r="A375" s="172" t="s">
        <v>39</v>
      </c>
      <c r="B375" s="55"/>
      <c r="C375" s="56" t="s">
        <v>19</v>
      </c>
      <c r="D375" s="167"/>
      <c r="E375" s="167"/>
      <c r="F375" s="167"/>
      <c r="G375" s="167"/>
      <c r="H375" s="167"/>
      <c r="I375" s="167"/>
      <c r="J375" s="167"/>
      <c r="K375" s="167"/>
      <c r="L375" s="167"/>
      <c r="M375" s="167"/>
      <c r="N375" s="167"/>
      <c r="O375" s="167"/>
      <c r="P375" s="167"/>
    </row>
    <row r="376" spans="1:16" ht="14.4" hidden="1" x14ac:dyDescent="0.3">
      <c r="A376" s="172" t="s">
        <v>180</v>
      </c>
      <c r="B376" s="55"/>
      <c r="C376" s="56" t="s">
        <v>19</v>
      </c>
      <c r="D376" s="167"/>
      <c r="E376" s="167"/>
      <c r="F376" s="167"/>
      <c r="G376" s="167"/>
      <c r="H376" s="167"/>
      <c r="I376" s="167"/>
      <c r="J376" s="167"/>
      <c r="K376" s="167"/>
      <c r="L376" s="167"/>
      <c r="M376" s="167"/>
      <c r="N376" s="167"/>
      <c r="O376" s="167"/>
      <c r="P376" s="167"/>
    </row>
    <row r="377" spans="1:16" ht="14.4" hidden="1" x14ac:dyDescent="0.3">
      <c r="A377" s="173" t="s">
        <v>40</v>
      </c>
      <c r="B377" s="55"/>
      <c r="C377" s="56" t="s">
        <v>19</v>
      </c>
      <c r="D377" s="167"/>
      <c r="E377" s="167"/>
      <c r="F377" s="167"/>
      <c r="G377" s="167"/>
      <c r="H377" s="167"/>
      <c r="I377" s="167"/>
      <c r="J377" s="167"/>
      <c r="K377" s="167"/>
      <c r="L377" s="167"/>
      <c r="M377" s="167"/>
      <c r="N377" s="167"/>
      <c r="O377" s="167"/>
      <c r="P377" s="167"/>
    </row>
    <row r="378" spans="1:16" ht="14.4" hidden="1" x14ac:dyDescent="0.3">
      <c r="A378" s="173" t="s">
        <v>41</v>
      </c>
      <c r="B378" s="55"/>
      <c r="C378" s="56" t="s">
        <v>19</v>
      </c>
      <c r="D378" s="167"/>
      <c r="E378" s="167"/>
      <c r="F378" s="167"/>
      <c r="G378" s="167"/>
      <c r="H378" s="167"/>
      <c r="I378" s="167"/>
      <c r="J378" s="167"/>
      <c r="K378" s="167"/>
      <c r="L378" s="167"/>
      <c r="M378" s="167"/>
      <c r="N378" s="167"/>
      <c r="O378" s="167"/>
      <c r="P378" s="167"/>
    </row>
    <row r="379" spans="1:16" ht="16.2" hidden="1" x14ac:dyDescent="0.3">
      <c r="A379" s="174" t="s">
        <v>182</v>
      </c>
      <c r="B379" s="175"/>
      <c r="C379" s="56" t="s">
        <v>19</v>
      </c>
      <c r="D379" s="167"/>
      <c r="E379" s="167"/>
      <c r="F379" s="167"/>
      <c r="G379" s="167"/>
      <c r="H379" s="167"/>
      <c r="I379" s="167"/>
      <c r="J379" s="167"/>
      <c r="K379" s="167"/>
      <c r="L379" s="167"/>
      <c r="M379" s="167"/>
      <c r="N379" s="167"/>
      <c r="O379" s="167"/>
      <c r="P379" s="167"/>
    </row>
    <row r="380" spans="1:16" ht="16.2" hidden="1" x14ac:dyDescent="0.3">
      <c r="A380" s="174" t="s">
        <v>182</v>
      </c>
      <c r="B380" s="175"/>
      <c r="C380" s="56" t="s">
        <v>19</v>
      </c>
      <c r="D380" s="167"/>
      <c r="E380" s="167"/>
      <c r="F380" s="167"/>
      <c r="G380" s="167"/>
      <c r="H380" s="167"/>
      <c r="I380" s="167"/>
      <c r="J380" s="167"/>
      <c r="K380" s="167"/>
      <c r="L380" s="167"/>
      <c r="M380" s="167"/>
      <c r="N380" s="167"/>
      <c r="O380" s="167"/>
      <c r="P380" s="167"/>
    </row>
    <row r="381" spans="1:16" ht="16.2" hidden="1" x14ac:dyDescent="0.3">
      <c r="A381" s="174" t="s">
        <v>182</v>
      </c>
      <c r="B381" s="176"/>
      <c r="C381" s="56" t="s">
        <v>19</v>
      </c>
      <c r="D381" s="167"/>
      <c r="E381" s="167"/>
      <c r="F381" s="167"/>
      <c r="G381" s="167"/>
      <c r="H381" s="167"/>
      <c r="I381" s="167"/>
      <c r="J381" s="167"/>
      <c r="K381" s="167"/>
      <c r="L381" s="167"/>
      <c r="M381" s="167"/>
      <c r="N381" s="167"/>
      <c r="O381" s="167"/>
      <c r="P381" s="167"/>
    </row>
    <row r="382" spans="1:16" ht="14.4" hidden="1" x14ac:dyDescent="0.3">
      <c r="A382" s="162" t="s">
        <v>42</v>
      </c>
      <c r="B382" s="162"/>
      <c r="C382" s="56"/>
      <c r="D382" s="171"/>
      <c r="E382" s="171"/>
      <c r="F382" s="171"/>
      <c r="G382" s="171"/>
      <c r="H382" s="171"/>
      <c r="I382" s="171"/>
      <c r="J382" s="171"/>
      <c r="K382" s="171"/>
      <c r="L382" s="171"/>
      <c r="M382" s="171"/>
      <c r="N382" s="171"/>
      <c r="O382" s="171"/>
      <c r="P382" s="171"/>
    </row>
    <row r="383" spans="1:16" ht="14.4" hidden="1" x14ac:dyDescent="0.3">
      <c r="A383" s="162" t="s">
        <v>191</v>
      </c>
      <c r="B383" s="162"/>
      <c r="C383" s="56" t="s">
        <v>44</v>
      </c>
      <c r="D383" s="177"/>
      <c r="E383" s="177"/>
      <c r="F383" s="177"/>
      <c r="G383" s="177"/>
      <c r="H383" s="177"/>
      <c r="I383" s="177"/>
      <c r="J383" s="177"/>
      <c r="K383" s="177"/>
      <c r="L383" s="177"/>
      <c r="M383" s="177"/>
      <c r="N383" s="177"/>
      <c r="O383" s="177"/>
      <c r="P383" s="177"/>
    </row>
    <row r="384" spans="1:16" ht="14.4" hidden="1" x14ac:dyDescent="0.3">
      <c r="A384" s="162" t="s">
        <v>183</v>
      </c>
      <c r="B384" s="162"/>
      <c r="C384" s="56"/>
      <c r="D384" s="178"/>
      <c r="E384" s="178"/>
      <c r="F384" s="178"/>
      <c r="G384" s="178"/>
      <c r="H384" s="178"/>
      <c r="I384" s="178"/>
      <c r="J384" s="178"/>
      <c r="K384" s="178"/>
      <c r="L384" s="178"/>
      <c r="M384" s="178"/>
      <c r="N384" s="178"/>
      <c r="O384" s="178"/>
      <c r="P384" s="178"/>
    </row>
    <row r="385" spans="1:16" ht="14.4" hidden="1" x14ac:dyDescent="0.3">
      <c r="A385" s="162" t="s">
        <v>184</v>
      </c>
      <c r="B385" s="162"/>
      <c r="C385" s="56" t="s">
        <v>19</v>
      </c>
      <c r="D385" s="167"/>
      <c r="E385" s="167"/>
      <c r="F385" s="167"/>
      <c r="G385" s="167"/>
      <c r="H385" s="167"/>
      <c r="I385" s="167"/>
      <c r="J385" s="167"/>
      <c r="K385" s="167"/>
      <c r="L385" s="167"/>
      <c r="M385" s="167"/>
      <c r="N385" s="167"/>
      <c r="O385" s="167"/>
      <c r="P385" s="167"/>
    </row>
    <row r="386" spans="1:16" ht="14.4" hidden="1" x14ac:dyDescent="0.3">
      <c r="A386" s="162" t="s">
        <v>45</v>
      </c>
      <c r="B386" s="162"/>
      <c r="C386" s="56"/>
      <c r="D386" s="178"/>
      <c r="E386" s="178"/>
      <c r="F386" s="178"/>
      <c r="G386" s="178"/>
      <c r="H386" s="178"/>
      <c r="I386" s="178"/>
      <c r="J386" s="178"/>
      <c r="K386" s="178"/>
      <c r="L386" s="178"/>
      <c r="M386" s="178"/>
      <c r="N386" s="178"/>
      <c r="O386" s="178"/>
      <c r="P386" s="178"/>
    </row>
    <row r="387" spans="1:16" ht="14.4" hidden="1" x14ac:dyDescent="0.3">
      <c r="A387" s="162" t="s">
        <v>46</v>
      </c>
      <c r="B387" s="162"/>
      <c r="C387" s="56" t="s">
        <v>19</v>
      </c>
      <c r="D387" s="167"/>
      <c r="E387" s="167"/>
      <c r="F387" s="167"/>
      <c r="G387" s="167"/>
      <c r="H387" s="167"/>
      <c r="I387" s="167"/>
      <c r="J387" s="167"/>
      <c r="K387" s="167"/>
      <c r="L387" s="167"/>
      <c r="M387" s="167"/>
      <c r="N387" s="167"/>
      <c r="O387" s="167"/>
      <c r="P387" s="167"/>
    </row>
    <row r="388" spans="1:16" ht="14.4" hidden="1" x14ac:dyDescent="0.3">
      <c r="A388" s="162" t="s">
        <v>185</v>
      </c>
      <c r="B388" s="162"/>
      <c r="C388" s="56"/>
      <c r="D388" s="178"/>
      <c r="E388" s="178"/>
      <c r="F388" s="178"/>
      <c r="G388" s="178"/>
      <c r="H388" s="178"/>
      <c r="I388" s="178"/>
      <c r="J388" s="178"/>
      <c r="K388" s="178"/>
      <c r="L388" s="178"/>
      <c r="M388" s="178"/>
      <c r="N388" s="178"/>
      <c r="O388" s="178"/>
      <c r="P388" s="178"/>
    </row>
    <row r="389" spans="1:16" ht="14.4" hidden="1" x14ac:dyDescent="0.3">
      <c r="A389" s="162" t="s">
        <v>186</v>
      </c>
      <c r="B389" s="162"/>
      <c r="C389" s="56" t="s">
        <v>19</v>
      </c>
      <c r="D389" s="167"/>
      <c r="E389" s="167"/>
      <c r="F389" s="167"/>
      <c r="G389" s="167"/>
      <c r="H389" s="167"/>
      <c r="I389" s="167"/>
      <c r="J389" s="167"/>
      <c r="K389" s="167"/>
      <c r="L389" s="167"/>
      <c r="M389" s="167"/>
      <c r="N389" s="167"/>
      <c r="O389" s="167"/>
      <c r="P389" s="167"/>
    </row>
    <row r="390" spans="1:16" ht="14.4" hidden="1" x14ac:dyDescent="0.3">
      <c r="A390" s="162" t="s">
        <v>47</v>
      </c>
      <c r="B390" s="162"/>
      <c r="C390" s="56"/>
      <c r="D390" s="171"/>
      <c r="E390" s="171"/>
      <c r="F390" s="171"/>
      <c r="G390" s="171"/>
      <c r="H390" s="171"/>
      <c r="I390" s="171"/>
      <c r="J390" s="171"/>
      <c r="K390" s="171"/>
      <c r="L390" s="171"/>
      <c r="M390" s="171"/>
      <c r="N390" s="171"/>
      <c r="O390" s="171"/>
      <c r="P390" s="171"/>
    </row>
    <row r="391" spans="1:16" ht="14.4" hidden="1" x14ac:dyDescent="0.3">
      <c r="A391" s="55" t="s">
        <v>48</v>
      </c>
      <c r="B391" s="55"/>
      <c r="C391" s="56" t="s">
        <v>19</v>
      </c>
      <c r="D391" s="167"/>
      <c r="E391" s="167"/>
      <c r="F391" s="167"/>
      <c r="G391" s="167"/>
      <c r="H391" s="167"/>
      <c r="I391" s="167"/>
      <c r="J391" s="167"/>
      <c r="K391" s="167"/>
      <c r="L391" s="167"/>
      <c r="M391" s="167"/>
      <c r="N391" s="167"/>
      <c r="O391" s="167"/>
      <c r="P391" s="167"/>
    </row>
    <row r="392" spans="1:16" ht="14.4" hidden="1" x14ac:dyDescent="0.3">
      <c r="A392" s="55" t="s">
        <v>49</v>
      </c>
      <c r="B392" s="55"/>
      <c r="C392" s="56" t="s">
        <v>19</v>
      </c>
      <c r="D392" s="167"/>
      <c r="E392" s="167"/>
      <c r="F392" s="167"/>
      <c r="G392" s="167"/>
      <c r="H392" s="167"/>
      <c r="I392" s="167"/>
      <c r="J392" s="167"/>
      <c r="K392" s="167"/>
      <c r="L392" s="167"/>
      <c r="M392" s="167"/>
      <c r="N392" s="167"/>
      <c r="O392" s="167"/>
      <c r="P392" s="167"/>
    </row>
    <row r="393" spans="1:16" ht="14.4" hidden="1" x14ac:dyDescent="0.3">
      <c r="A393" s="162" t="s">
        <v>52</v>
      </c>
      <c r="B393" s="162"/>
      <c r="C393" s="179"/>
      <c r="D393" s="170"/>
      <c r="E393" s="170"/>
      <c r="F393" s="170"/>
      <c r="G393" s="170"/>
      <c r="H393" s="170"/>
      <c r="I393" s="170"/>
      <c r="J393" s="170"/>
      <c r="K393" s="170"/>
      <c r="L393" s="170"/>
      <c r="M393" s="170"/>
      <c r="N393" s="170"/>
      <c r="O393" s="170"/>
      <c r="P393" s="170"/>
    </row>
    <row r="394" spans="1:16" ht="14.4" hidden="1" x14ac:dyDescent="0.3">
      <c r="A394" s="55" t="s">
        <v>53</v>
      </c>
      <c r="B394" s="55"/>
      <c r="C394" s="56" t="s">
        <v>44</v>
      </c>
      <c r="D394" s="167"/>
      <c r="E394" s="167"/>
      <c r="F394" s="167"/>
      <c r="G394" s="167"/>
      <c r="H394" s="167"/>
      <c r="I394" s="167"/>
      <c r="J394" s="167"/>
      <c r="K394" s="167"/>
      <c r="L394" s="167"/>
      <c r="M394" s="167"/>
      <c r="N394" s="167"/>
      <c r="O394" s="167"/>
      <c r="P394" s="167"/>
    </row>
    <row r="395" spans="1:16" ht="14.4" hidden="1" x14ac:dyDescent="0.3">
      <c r="A395" s="55" t="s">
        <v>54</v>
      </c>
      <c r="B395" s="55"/>
      <c r="C395" s="56" t="s">
        <v>44</v>
      </c>
      <c r="D395" s="167"/>
      <c r="E395" s="167"/>
      <c r="F395" s="167"/>
      <c r="G395" s="167"/>
      <c r="H395" s="167"/>
      <c r="I395" s="167"/>
      <c r="J395" s="167"/>
      <c r="K395" s="167"/>
      <c r="L395" s="167"/>
      <c r="M395" s="167"/>
      <c r="N395" s="167"/>
      <c r="O395" s="167"/>
      <c r="P395" s="167"/>
    </row>
    <row r="396" spans="1:16" ht="14.4" hidden="1" x14ac:dyDescent="0.3">
      <c r="A396" s="55" t="s">
        <v>55</v>
      </c>
      <c r="B396" s="55"/>
      <c r="C396" s="56" t="s">
        <v>44</v>
      </c>
      <c r="D396" s="167"/>
      <c r="E396" s="167"/>
      <c r="F396" s="167"/>
      <c r="G396" s="167"/>
      <c r="H396" s="167"/>
      <c r="I396" s="167"/>
      <c r="J396" s="167"/>
      <c r="K396" s="167"/>
      <c r="L396" s="167"/>
      <c r="M396" s="167"/>
      <c r="N396" s="167"/>
      <c r="O396" s="167"/>
      <c r="P396" s="167"/>
    </row>
    <row r="397" spans="1:16" ht="14.4" hidden="1" x14ac:dyDescent="0.3">
      <c r="A397" s="55" t="s">
        <v>187</v>
      </c>
      <c r="B397" s="55"/>
      <c r="C397" s="56" t="s">
        <v>44</v>
      </c>
      <c r="D397" s="167"/>
      <c r="E397" s="167"/>
      <c r="F397" s="167"/>
      <c r="G397" s="167"/>
      <c r="H397" s="167"/>
      <c r="I397" s="167"/>
      <c r="J397" s="167"/>
      <c r="K397" s="167"/>
      <c r="L397" s="167"/>
      <c r="M397" s="167"/>
      <c r="N397" s="167"/>
      <c r="O397" s="167"/>
      <c r="P397" s="167"/>
    </row>
    <row r="398" spans="1:16" ht="14.4" hidden="1" x14ac:dyDescent="0.3">
      <c r="A398" s="55" t="s">
        <v>188</v>
      </c>
      <c r="B398" s="55"/>
      <c r="C398" s="56" t="s">
        <v>44</v>
      </c>
      <c r="D398" s="167"/>
      <c r="E398" s="167"/>
      <c r="F398" s="167"/>
      <c r="G398" s="167"/>
      <c r="H398" s="167"/>
      <c r="I398" s="167"/>
      <c r="J398" s="167"/>
      <c r="K398" s="167"/>
      <c r="L398" s="167"/>
      <c r="M398" s="167"/>
      <c r="N398" s="167"/>
      <c r="O398" s="167"/>
      <c r="P398" s="167"/>
    </row>
    <row r="399" spans="1:16" ht="14.4" hidden="1" x14ac:dyDescent="0.3">
      <c r="A399" s="55" t="s">
        <v>56</v>
      </c>
      <c r="B399" s="55"/>
      <c r="C399" s="56" t="s">
        <v>44</v>
      </c>
      <c r="D399" s="177"/>
      <c r="E399" s="177"/>
      <c r="F399" s="177"/>
      <c r="G399" s="177"/>
      <c r="H399" s="177"/>
      <c r="I399" s="177"/>
      <c r="J399" s="177"/>
      <c r="K399" s="177"/>
      <c r="L399" s="177"/>
      <c r="M399" s="177"/>
      <c r="N399" s="177"/>
      <c r="O399" s="177"/>
      <c r="P399" s="177"/>
    </row>
    <row r="400" spans="1:16" ht="14.4" hidden="1" x14ac:dyDescent="0.3">
      <c r="A400" s="55" t="s">
        <v>57</v>
      </c>
      <c r="B400" s="55"/>
      <c r="C400" s="56" t="s">
        <v>44</v>
      </c>
      <c r="D400" s="177"/>
      <c r="E400" s="177"/>
      <c r="F400" s="177"/>
      <c r="G400" s="177"/>
      <c r="H400" s="177"/>
      <c r="I400" s="177"/>
      <c r="J400" s="177"/>
      <c r="K400" s="177"/>
      <c r="L400" s="177"/>
      <c r="M400" s="177"/>
      <c r="N400" s="177"/>
      <c r="O400" s="177"/>
      <c r="P400" s="177"/>
    </row>
    <row r="401" spans="1:16" hidden="1" x14ac:dyDescent="0.3"/>
    <row r="402" spans="1:16" ht="18" hidden="1" x14ac:dyDescent="0.35">
      <c r="A402" s="59" t="str">
        <f>'[42]Statistical data'!A230</f>
        <v>Customer Class with mix rate2</v>
      </c>
      <c r="B402" s="59"/>
      <c r="C402" s="5" t="s">
        <v>190</v>
      </c>
      <c r="D402" s="160"/>
      <c r="E402" s="160"/>
      <c r="F402" s="160"/>
      <c r="G402" s="160"/>
      <c r="H402" s="160"/>
      <c r="I402" s="160"/>
      <c r="J402" s="160"/>
      <c r="K402" s="160"/>
      <c r="L402" s="160"/>
      <c r="M402" s="160"/>
      <c r="N402" s="160"/>
      <c r="O402" s="160"/>
      <c r="P402" s="160"/>
    </row>
    <row r="403" spans="1:16" ht="22.5" hidden="1" customHeight="1" x14ac:dyDescent="0.3">
      <c r="A403" s="161" t="s">
        <v>3</v>
      </c>
      <c r="B403" s="161"/>
      <c r="C403" s="161" t="s">
        <v>4</v>
      </c>
      <c r="D403" s="161" t="s">
        <v>15</v>
      </c>
      <c r="E403" s="161" t="s">
        <v>15</v>
      </c>
      <c r="F403" s="161" t="s">
        <v>15</v>
      </c>
      <c r="G403" s="161" t="s">
        <v>15</v>
      </c>
      <c r="H403" s="161" t="s">
        <v>15</v>
      </c>
      <c r="I403" s="161" t="s">
        <v>15</v>
      </c>
      <c r="J403" s="161" t="s">
        <v>15</v>
      </c>
      <c r="K403" s="161" t="s">
        <v>15</v>
      </c>
      <c r="L403" s="161" t="s">
        <v>15</v>
      </c>
      <c r="M403" s="161" t="s">
        <v>15</v>
      </c>
      <c r="N403" s="161" t="s">
        <v>15</v>
      </c>
      <c r="O403" s="161" t="s">
        <v>15</v>
      </c>
      <c r="P403" s="161" t="s">
        <v>15</v>
      </c>
    </row>
    <row r="404" spans="1:16" ht="14.4" hidden="1" x14ac:dyDescent="0.3">
      <c r="A404" s="162" t="s">
        <v>17</v>
      </c>
      <c r="B404" s="163"/>
      <c r="C404" s="56"/>
      <c r="D404" s="164"/>
      <c r="E404" s="164"/>
      <c r="F404" s="164"/>
      <c r="G404" s="164"/>
      <c r="H404" s="164"/>
      <c r="I404" s="164"/>
      <c r="J404" s="164"/>
      <c r="K404" s="164"/>
      <c r="L404" s="164"/>
      <c r="M404" s="164"/>
      <c r="N404" s="164"/>
      <c r="O404" s="164"/>
      <c r="P404" s="164"/>
    </row>
    <row r="405" spans="1:16" ht="14.4" hidden="1" x14ac:dyDescent="0.3">
      <c r="A405" s="55" t="s">
        <v>18</v>
      </c>
      <c r="B405" s="165"/>
      <c r="C405" s="56" t="s">
        <v>19</v>
      </c>
      <c r="D405" s="166"/>
      <c r="E405" s="166"/>
      <c r="F405" s="166"/>
      <c r="G405" s="166"/>
      <c r="H405" s="166"/>
      <c r="I405" s="166"/>
      <c r="J405" s="166"/>
      <c r="K405" s="166"/>
      <c r="L405" s="166"/>
      <c r="M405" s="166"/>
      <c r="N405" s="166"/>
      <c r="O405" s="166"/>
      <c r="P405" s="166"/>
    </row>
    <row r="406" spans="1:16" ht="14.4" hidden="1" x14ac:dyDescent="0.3">
      <c r="A406" s="55" t="s">
        <v>66</v>
      </c>
      <c r="B406" s="165"/>
      <c r="C406" s="56" t="s">
        <v>19</v>
      </c>
      <c r="D406" s="166"/>
      <c r="E406" s="166"/>
      <c r="F406" s="166"/>
      <c r="G406" s="166"/>
      <c r="H406" s="166"/>
      <c r="I406" s="166"/>
      <c r="J406" s="166"/>
      <c r="K406" s="166"/>
      <c r="L406" s="166"/>
      <c r="M406" s="166"/>
      <c r="N406" s="166"/>
      <c r="O406" s="166"/>
      <c r="P406" s="166"/>
    </row>
    <row r="407" spans="1:16" ht="14.4" hidden="1" x14ac:dyDescent="0.3">
      <c r="A407" s="162" t="s">
        <v>20</v>
      </c>
      <c r="B407" s="163"/>
      <c r="C407" s="56"/>
      <c r="D407" s="168"/>
      <c r="E407" s="168"/>
      <c r="F407" s="168"/>
      <c r="G407" s="168"/>
      <c r="H407" s="168"/>
      <c r="I407" s="168"/>
      <c r="J407" s="168"/>
      <c r="K407" s="168"/>
      <c r="L407" s="168"/>
      <c r="M407" s="168"/>
      <c r="N407" s="168"/>
      <c r="O407" s="168"/>
      <c r="P407" s="168"/>
    </row>
    <row r="408" spans="1:16" ht="14.4" hidden="1" x14ac:dyDescent="0.3">
      <c r="A408" s="55" t="s">
        <v>21</v>
      </c>
      <c r="B408" s="165"/>
      <c r="C408" s="56" t="s">
        <v>19</v>
      </c>
      <c r="D408" s="166"/>
      <c r="E408" s="166"/>
      <c r="F408" s="166"/>
      <c r="G408" s="166"/>
      <c r="H408" s="166"/>
      <c r="I408" s="166"/>
      <c r="J408" s="166"/>
      <c r="K408" s="166"/>
      <c r="L408" s="166"/>
      <c r="M408" s="166"/>
      <c r="N408" s="166"/>
      <c r="O408" s="166"/>
      <c r="P408" s="166"/>
    </row>
    <row r="409" spans="1:16" ht="14.4" hidden="1" x14ac:dyDescent="0.3">
      <c r="A409" s="55" t="s">
        <v>22</v>
      </c>
      <c r="B409" s="165"/>
      <c r="C409" s="56" t="s">
        <v>23</v>
      </c>
      <c r="D409" s="166"/>
      <c r="E409" s="166"/>
      <c r="F409" s="166"/>
      <c r="G409" s="166"/>
      <c r="H409" s="166"/>
      <c r="I409" s="166"/>
      <c r="J409" s="166"/>
      <c r="K409" s="166"/>
      <c r="L409" s="166"/>
      <c r="M409" s="166"/>
      <c r="N409" s="166"/>
      <c r="O409" s="166"/>
      <c r="P409" s="166"/>
    </row>
    <row r="410" spans="1:16" ht="14.4" hidden="1" x14ac:dyDescent="0.3">
      <c r="A410" s="162" t="s">
        <v>24</v>
      </c>
      <c r="B410" s="163"/>
      <c r="C410" s="56"/>
      <c r="D410" s="168"/>
      <c r="E410" s="168"/>
      <c r="F410" s="168"/>
      <c r="G410" s="168"/>
      <c r="H410" s="168"/>
      <c r="I410" s="168"/>
      <c r="J410" s="168"/>
      <c r="K410" s="168"/>
      <c r="L410" s="168"/>
      <c r="M410" s="168"/>
      <c r="N410" s="168"/>
      <c r="O410" s="168"/>
      <c r="P410" s="168"/>
    </row>
    <row r="411" spans="1:16" ht="14.4" hidden="1" x14ac:dyDescent="0.3">
      <c r="A411" s="55" t="s">
        <v>25</v>
      </c>
      <c r="B411" s="165"/>
      <c r="C411" s="56" t="s">
        <v>19</v>
      </c>
      <c r="D411" s="166"/>
      <c r="E411" s="166"/>
      <c r="F411" s="166"/>
      <c r="G411" s="166"/>
      <c r="H411" s="166"/>
      <c r="I411" s="166"/>
      <c r="J411" s="166"/>
      <c r="K411" s="166"/>
      <c r="L411" s="166"/>
      <c r="M411" s="166"/>
      <c r="N411" s="166"/>
      <c r="O411" s="166"/>
      <c r="P411" s="166"/>
    </row>
    <row r="412" spans="1:16" ht="14.4" hidden="1" x14ac:dyDescent="0.3">
      <c r="A412" s="162" t="s">
        <v>26</v>
      </c>
      <c r="B412" s="162"/>
      <c r="C412" s="56"/>
      <c r="D412" s="170"/>
      <c r="E412" s="170"/>
      <c r="F412" s="170"/>
      <c r="G412" s="170"/>
      <c r="H412" s="170"/>
      <c r="I412" s="170"/>
      <c r="J412" s="170"/>
      <c r="K412" s="170"/>
      <c r="L412" s="170"/>
      <c r="M412" s="170"/>
      <c r="N412" s="170"/>
      <c r="O412" s="170"/>
      <c r="P412" s="170"/>
    </row>
    <row r="413" spans="1:16" ht="14.4" hidden="1" x14ac:dyDescent="0.3">
      <c r="A413" s="55" t="s">
        <v>27</v>
      </c>
      <c r="B413" s="55"/>
      <c r="C413" s="56" t="s">
        <v>19</v>
      </c>
      <c r="D413" s="167"/>
      <c r="E413" s="167"/>
      <c r="F413" s="167"/>
      <c r="G413" s="167"/>
      <c r="H413" s="167"/>
      <c r="I413" s="167"/>
      <c r="J413" s="167"/>
      <c r="K413" s="167"/>
      <c r="L413" s="167"/>
      <c r="M413" s="167"/>
      <c r="N413" s="167"/>
      <c r="O413" s="167"/>
      <c r="P413" s="167"/>
    </row>
    <row r="414" spans="1:16" ht="14.4" hidden="1" x14ac:dyDescent="0.3">
      <c r="A414" s="55" t="s">
        <v>28</v>
      </c>
      <c r="B414" s="55"/>
      <c r="C414" s="56" t="s">
        <v>23</v>
      </c>
      <c r="D414" s="167"/>
      <c r="E414" s="167"/>
      <c r="F414" s="167"/>
      <c r="G414" s="167"/>
      <c r="H414" s="167"/>
      <c r="I414" s="167"/>
      <c r="J414" s="167"/>
      <c r="K414" s="167"/>
      <c r="L414" s="167"/>
      <c r="M414" s="167"/>
      <c r="N414" s="167"/>
      <c r="O414" s="167"/>
      <c r="P414" s="167"/>
    </row>
    <row r="415" spans="1:16" ht="14.4" hidden="1" x14ac:dyDescent="0.3">
      <c r="A415" s="162" t="s">
        <v>29</v>
      </c>
      <c r="B415" s="162"/>
      <c r="C415" s="56"/>
      <c r="D415" s="171"/>
      <c r="E415" s="171"/>
      <c r="F415" s="171"/>
      <c r="G415" s="171"/>
      <c r="H415" s="171"/>
      <c r="I415" s="171"/>
      <c r="J415" s="171"/>
      <c r="K415" s="171"/>
      <c r="L415" s="171"/>
      <c r="M415" s="171"/>
      <c r="N415" s="171"/>
      <c r="O415" s="171"/>
      <c r="P415" s="171"/>
    </row>
    <row r="416" spans="1:16" ht="14.4" hidden="1" x14ac:dyDescent="0.3">
      <c r="A416" s="55" t="s">
        <v>30</v>
      </c>
      <c r="B416" s="55"/>
      <c r="C416" s="56" t="s">
        <v>19</v>
      </c>
      <c r="D416" s="167"/>
      <c r="E416" s="167"/>
      <c r="F416" s="167"/>
      <c r="G416" s="167"/>
      <c r="H416" s="167"/>
      <c r="I416" s="167"/>
      <c r="J416" s="167"/>
      <c r="K416" s="167"/>
      <c r="L416" s="167"/>
      <c r="M416" s="167"/>
      <c r="N416" s="167"/>
      <c r="O416" s="167"/>
      <c r="P416" s="167"/>
    </row>
    <row r="417" spans="1:16" ht="14.4" hidden="1" x14ac:dyDescent="0.3">
      <c r="A417" s="55" t="s">
        <v>31</v>
      </c>
      <c r="B417" s="55"/>
      <c r="C417" s="56" t="s">
        <v>32</v>
      </c>
      <c r="D417" s="167"/>
      <c r="E417" s="167"/>
      <c r="F417" s="167"/>
      <c r="G417" s="167"/>
      <c r="H417" s="167"/>
      <c r="I417" s="167"/>
      <c r="J417" s="167"/>
      <c r="K417" s="167"/>
      <c r="L417" s="167"/>
      <c r="M417" s="167"/>
      <c r="N417" s="167"/>
      <c r="O417" s="167"/>
      <c r="P417" s="167"/>
    </row>
    <row r="418" spans="1:16" ht="14.4" hidden="1" x14ac:dyDescent="0.3">
      <c r="A418" s="162" t="s">
        <v>33</v>
      </c>
      <c r="B418" s="162"/>
      <c r="C418" s="56"/>
      <c r="D418" s="171"/>
      <c r="E418" s="171"/>
      <c r="F418" s="171"/>
      <c r="G418" s="171"/>
      <c r="H418" s="171"/>
      <c r="I418" s="171"/>
      <c r="J418" s="171"/>
      <c r="K418" s="171"/>
      <c r="L418" s="171"/>
      <c r="M418" s="171"/>
      <c r="N418" s="171"/>
      <c r="O418" s="171"/>
      <c r="P418" s="171"/>
    </row>
    <row r="419" spans="1:16" ht="14.4" hidden="1" x14ac:dyDescent="0.3">
      <c r="A419" s="55" t="s">
        <v>34</v>
      </c>
      <c r="B419" s="55"/>
      <c r="C419" s="56" t="s">
        <v>19</v>
      </c>
      <c r="D419" s="167"/>
      <c r="E419" s="167"/>
      <c r="F419" s="167"/>
      <c r="G419" s="167"/>
      <c r="H419" s="167"/>
      <c r="I419" s="167"/>
      <c r="J419" s="167"/>
      <c r="K419" s="167"/>
      <c r="L419" s="167"/>
      <c r="M419" s="167"/>
      <c r="N419" s="167"/>
      <c r="O419" s="167"/>
      <c r="P419" s="167"/>
    </row>
    <row r="420" spans="1:16" ht="14.4" hidden="1" x14ac:dyDescent="0.3">
      <c r="A420" s="55" t="s">
        <v>35</v>
      </c>
      <c r="B420" s="55"/>
      <c r="C420" s="56" t="s">
        <v>36</v>
      </c>
      <c r="D420" s="167"/>
      <c r="E420" s="167"/>
      <c r="F420" s="167"/>
      <c r="G420" s="167"/>
      <c r="H420" s="167"/>
      <c r="I420" s="167"/>
      <c r="J420" s="167"/>
      <c r="K420" s="167"/>
      <c r="L420" s="167"/>
      <c r="M420" s="167"/>
      <c r="N420" s="167"/>
      <c r="O420" s="167"/>
      <c r="P420" s="167"/>
    </row>
    <row r="421" spans="1:16" ht="14.4" hidden="1" x14ac:dyDescent="0.3">
      <c r="A421" s="162" t="s">
        <v>37</v>
      </c>
      <c r="B421" s="162"/>
      <c r="C421" s="56"/>
      <c r="D421" s="171"/>
      <c r="E421" s="171"/>
      <c r="F421" s="171"/>
      <c r="G421" s="171"/>
      <c r="H421" s="171"/>
      <c r="I421" s="171"/>
      <c r="J421" s="171"/>
      <c r="K421" s="171"/>
      <c r="L421" s="171"/>
      <c r="M421" s="171"/>
      <c r="N421" s="171"/>
      <c r="O421" s="171"/>
      <c r="P421" s="171"/>
    </row>
    <row r="422" spans="1:16" ht="14.4" hidden="1" x14ac:dyDescent="0.3">
      <c r="A422" s="172" t="s">
        <v>38</v>
      </c>
      <c r="B422" s="55"/>
      <c r="C422" s="56" t="s">
        <v>19</v>
      </c>
      <c r="D422" s="167"/>
      <c r="E422" s="167"/>
      <c r="F422" s="167"/>
      <c r="G422" s="167"/>
      <c r="H422" s="167"/>
      <c r="I422" s="167"/>
      <c r="J422" s="167"/>
      <c r="K422" s="167"/>
      <c r="L422" s="167"/>
      <c r="M422" s="167"/>
      <c r="N422" s="167"/>
      <c r="O422" s="167"/>
      <c r="P422" s="167"/>
    </row>
    <row r="423" spans="1:16" ht="14.4" hidden="1" x14ac:dyDescent="0.3">
      <c r="A423" s="172" t="s">
        <v>39</v>
      </c>
      <c r="B423" s="55"/>
      <c r="C423" s="56" t="s">
        <v>19</v>
      </c>
      <c r="D423" s="167"/>
      <c r="E423" s="167"/>
      <c r="F423" s="167"/>
      <c r="G423" s="167"/>
      <c r="H423" s="167"/>
      <c r="I423" s="167"/>
      <c r="J423" s="167"/>
      <c r="K423" s="167"/>
      <c r="L423" s="167"/>
      <c r="M423" s="167"/>
      <c r="N423" s="167"/>
      <c r="O423" s="167"/>
      <c r="P423" s="167"/>
    </row>
    <row r="424" spans="1:16" ht="14.4" hidden="1" x14ac:dyDescent="0.3">
      <c r="A424" s="172" t="s">
        <v>180</v>
      </c>
      <c r="B424" s="55"/>
      <c r="C424" s="56" t="s">
        <v>19</v>
      </c>
      <c r="D424" s="167"/>
      <c r="E424" s="167"/>
      <c r="F424" s="167"/>
      <c r="G424" s="167"/>
      <c r="H424" s="167"/>
      <c r="I424" s="167"/>
      <c r="J424" s="167"/>
      <c r="K424" s="167"/>
      <c r="L424" s="167"/>
      <c r="M424" s="167"/>
      <c r="N424" s="167"/>
      <c r="O424" s="167"/>
      <c r="P424" s="167"/>
    </row>
    <row r="425" spans="1:16" ht="14.4" hidden="1" x14ac:dyDescent="0.3">
      <c r="A425" s="173" t="s">
        <v>40</v>
      </c>
      <c r="B425" s="55"/>
      <c r="C425" s="56" t="s">
        <v>19</v>
      </c>
      <c r="D425" s="167"/>
      <c r="E425" s="167"/>
      <c r="F425" s="167"/>
      <c r="G425" s="167"/>
      <c r="H425" s="167"/>
      <c r="I425" s="167"/>
      <c r="J425" s="167"/>
      <c r="K425" s="167"/>
      <c r="L425" s="167"/>
      <c r="M425" s="167"/>
      <c r="N425" s="167"/>
      <c r="O425" s="167"/>
      <c r="P425" s="167"/>
    </row>
    <row r="426" spans="1:16" ht="14.4" hidden="1" x14ac:dyDescent="0.3">
      <c r="A426" s="173" t="s">
        <v>41</v>
      </c>
      <c r="B426" s="55"/>
      <c r="C426" s="56" t="s">
        <v>19</v>
      </c>
      <c r="D426" s="167"/>
      <c r="E426" s="167"/>
      <c r="F426" s="167"/>
      <c r="G426" s="167"/>
      <c r="H426" s="167"/>
      <c r="I426" s="167"/>
      <c r="J426" s="167"/>
      <c r="K426" s="167"/>
      <c r="L426" s="167"/>
      <c r="M426" s="167"/>
      <c r="N426" s="167"/>
      <c r="O426" s="167"/>
      <c r="P426" s="167"/>
    </row>
    <row r="427" spans="1:16" ht="16.2" hidden="1" x14ac:dyDescent="0.3">
      <c r="A427" s="174" t="s">
        <v>182</v>
      </c>
      <c r="B427" s="175"/>
      <c r="C427" s="56" t="s">
        <v>19</v>
      </c>
      <c r="D427" s="167"/>
      <c r="E427" s="167"/>
      <c r="F427" s="167"/>
      <c r="G427" s="167"/>
      <c r="H427" s="167"/>
      <c r="I427" s="167"/>
      <c r="J427" s="167"/>
      <c r="K427" s="167"/>
      <c r="L427" s="167"/>
      <c r="M427" s="167"/>
      <c r="N427" s="167"/>
      <c r="O427" s="167"/>
      <c r="P427" s="167"/>
    </row>
    <row r="428" spans="1:16" ht="16.2" hidden="1" x14ac:dyDescent="0.3">
      <c r="A428" s="174" t="s">
        <v>182</v>
      </c>
      <c r="B428" s="175"/>
      <c r="C428" s="56" t="s">
        <v>19</v>
      </c>
      <c r="D428" s="167"/>
      <c r="E428" s="167"/>
      <c r="F428" s="167"/>
      <c r="G428" s="167"/>
      <c r="H428" s="167"/>
      <c r="I428" s="167"/>
      <c r="J428" s="167"/>
      <c r="K428" s="167"/>
      <c r="L428" s="167"/>
      <c r="M428" s="167"/>
      <c r="N428" s="167"/>
      <c r="O428" s="167"/>
      <c r="P428" s="167"/>
    </row>
    <row r="429" spans="1:16" ht="16.2" hidden="1" x14ac:dyDescent="0.3">
      <c r="A429" s="174" t="s">
        <v>182</v>
      </c>
      <c r="B429" s="176"/>
      <c r="C429" s="56" t="s">
        <v>19</v>
      </c>
      <c r="D429" s="167"/>
      <c r="E429" s="167"/>
      <c r="F429" s="167"/>
      <c r="G429" s="167"/>
      <c r="H429" s="167"/>
      <c r="I429" s="167"/>
      <c r="J429" s="167"/>
      <c r="K429" s="167"/>
      <c r="L429" s="167"/>
      <c r="M429" s="167"/>
      <c r="N429" s="167"/>
      <c r="O429" s="167"/>
      <c r="P429" s="167"/>
    </row>
    <row r="430" spans="1:16" ht="14.4" hidden="1" x14ac:dyDescent="0.3">
      <c r="A430" s="162" t="s">
        <v>42</v>
      </c>
      <c r="B430" s="162"/>
      <c r="C430" s="56"/>
      <c r="D430" s="171"/>
      <c r="E430" s="171"/>
      <c r="F430" s="171"/>
      <c r="G430" s="171"/>
      <c r="H430" s="171"/>
      <c r="I430" s="171"/>
      <c r="J430" s="171"/>
      <c r="K430" s="171"/>
      <c r="L430" s="171"/>
      <c r="M430" s="171"/>
      <c r="N430" s="171"/>
      <c r="O430" s="171"/>
      <c r="P430" s="171"/>
    </row>
    <row r="431" spans="1:16" ht="14.4" hidden="1" x14ac:dyDescent="0.3">
      <c r="A431" s="162" t="s">
        <v>191</v>
      </c>
      <c r="B431" s="162"/>
      <c r="C431" s="56" t="s">
        <v>44</v>
      </c>
      <c r="D431" s="177"/>
      <c r="E431" s="177"/>
      <c r="F431" s="177"/>
      <c r="G431" s="177"/>
      <c r="H431" s="177"/>
      <c r="I431" s="177"/>
      <c r="J431" s="177"/>
      <c r="K431" s="177"/>
      <c r="L431" s="177"/>
      <c r="M431" s="177"/>
      <c r="N431" s="177"/>
      <c r="O431" s="177"/>
      <c r="P431" s="177"/>
    </row>
    <row r="432" spans="1:16" ht="14.4" hidden="1" x14ac:dyDescent="0.3">
      <c r="A432" s="162" t="s">
        <v>183</v>
      </c>
      <c r="B432" s="162"/>
      <c r="C432" s="56"/>
      <c r="D432" s="178"/>
      <c r="E432" s="178"/>
      <c r="F432" s="178"/>
      <c r="G432" s="178"/>
      <c r="H432" s="178"/>
      <c r="I432" s="178"/>
      <c r="J432" s="178"/>
      <c r="K432" s="178"/>
      <c r="L432" s="178"/>
      <c r="M432" s="178"/>
      <c r="N432" s="178"/>
      <c r="O432" s="178"/>
      <c r="P432" s="178"/>
    </row>
    <row r="433" spans="1:16" ht="14.4" hidden="1" x14ac:dyDescent="0.3">
      <c r="A433" s="162" t="s">
        <v>184</v>
      </c>
      <c r="B433" s="162"/>
      <c r="C433" s="56" t="s">
        <v>19</v>
      </c>
      <c r="D433" s="167"/>
      <c r="E433" s="167"/>
      <c r="F433" s="167"/>
      <c r="G433" s="167"/>
      <c r="H433" s="167"/>
      <c r="I433" s="167"/>
      <c r="J433" s="167"/>
      <c r="K433" s="167"/>
      <c r="L433" s="167"/>
      <c r="M433" s="167"/>
      <c r="N433" s="167"/>
      <c r="O433" s="167"/>
      <c r="P433" s="167"/>
    </row>
    <row r="434" spans="1:16" ht="14.4" hidden="1" x14ac:dyDescent="0.3">
      <c r="A434" s="162" t="s">
        <v>45</v>
      </c>
      <c r="B434" s="162"/>
      <c r="C434" s="56"/>
      <c r="D434" s="178"/>
      <c r="E434" s="178"/>
      <c r="F434" s="178"/>
      <c r="G434" s="178"/>
      <c r="H434" s="178"/>
      <c r="I434" s="178"/>
      <c r="J434" s="178"/>
      <c r="K434" s="178"/>
      <c r="L434" s="178"/>
      <c r="M434" s="178"/>
      <c r="N434" s="178"/>
      <c r="O434" s="178"/>
      <c r="P434" s="178"/>
    </row>
    <row r="435" spans="1:16" ht="14.4" hidden="1" x14ac:dyDescent="0.3">
      <c r="A435" s="162" t="s">
        <v>46</v>
      </c>
      <c r="B435" s="162"/>
      <c r="C435" s="56" t="s">
        <v>19</v>
      </c>
      <c r="D435" s="167"/>
      <c r="E435" s="167"/>
      <c r="F435" s="167"/>
      <c r="G435" s="167"/>
      <c r="H435" s="167"/>
      <c r="I435" s="167"/>
      <c r="J435" s="167"/>
      <c r="K435" s="167"/>
      <c r="L435" s="167"/>
      <c r="M435" s="167"/>
      <c r="N435" s="167"/>
      <c r="O435" s="167"/>
      <c r="P435" s="167"/>
    </row>
    <row r="436" spans="1:16" ht="14.4" hidden="1" x14ac:dyDescent="0.3">
      <c r="A436" s="162" t="s">
        <v>185</v>
      </c>
      <c r="B436" s="162"/>
      <c r="C436" s="56"/>
      <c r="D436" s="178"/>
      <c r="E436" s="178"/>
      <c r="F436" s="178"/>
      <c r="G436" s="178"/>
      <c r="H436" s="178"/>
      <c r="I436" s="178"/>
      <c r="J436" s="178"/>
      <c r="K436" s="178"/>
      <c r="L436" s="178"/>
      <c r="M436" s="178"/>
      <c r="N436" s="178"/>
      <c r="O436" s="178"/>
      <c r="P436" s="178"/>
    </row>
    <row r="437" spans="1:16" ht="14.4" hidden="1" x14ac:dyDescent="0.3">
      <c r="A437" s="162" t="s">
        <v>186</v>
      </c>
      <c r="B437" s="162"/>
      <c r="C437" s="56" t="s">
        <v>19</v>
      </c>
      <c r="D437" s="167"/>
      <c r="E437" s="167"/>
      <c r="F437" s="167"/>
      <c r="G437" s="167"/>
      <c r="H437" s="167"/>
      <c r="I437" s="167"/>
      <c r="J437" s="167"/>
      <c r="K437" s="167"/>
      <c r="L437" s="167"/>
      <c r="M437" s="167"/>
      <c r="N437" s="167"/>
      <c r="O437" s="167"/>
      <c r="P437" s="167"/>
    </row>
    <row r="438" spans="1:16" ht="14.4" hidden="1" x14ac:dyDescent="0.3">
      <c r="A438" s="162" t="s">
        <v>47</v>
      </c>
      <c r="B438" s="162"/>
      <c r="C438" s="56"/>
      <c r="D438" s="171"/>
      <c r="E438" s="171"/>
      <c r="F438" s="171"/>
      <c r="G438" s="171"/>
      <c r="H438" s="171"/>
      <c r="I438" s="171"/>
      <c r="J438" s="171"/>
      <c r="K438" s="171"/>
      <c r="L438" s="171"/>
      <c r="M438" s="171"/>
      <c r="N438" s="171"/>
      <c r="O438" s="171"/>
      <c r="P438" s="171"/>
    </row>
    <row r="439" spans="1:16" ht="14.4" hidden="1" x14ac:dyDescent="0.3">
      <c r="A439" s="55" t="s">
        <v>48</v>
      </c>
      <c r="B439" s="55"/>
      <c r="C439" s="56" t="s">
        <v>19</v>
      </c>
      <c r="D439" s="167"/>
      <c r="E439" s="167"/>
      <c r="F439" s="167"/>
      <c r="G439" s="167"/>
      <c r="H439" s="167"/>
      <c r="I439" s="167"/>
      <c r="J439" s="167"/>
      <c r="K439" s="167"/>
      <c r="L439" s="167"/>
      <c r="M439" s="167"/>
      <c r="N439" s="167"/>
      <c r="O439" s="167"/>
      <c r="P439" s="167"/>
    </row>
    <row r="440" spans="1:16" ht="14.4" hidden="1" x14ac:dyDescent="0.3">
      <c r="A440" s="55" t="s">
        <v>49</v>
      </c>
      <c r="B440" s="55"/>
      <c r="C440" s="56" t="s">
        <v>19</v>
      </c>
      <c r="D440" s="167"/>
      <c r="E440" s="167"/>
      <c r="F440" s="167"/>
      <c r="G440" s="167"/>
      <c r="H440" s="167"/>
      <c r="I440" s="167"/>
      <c r="J440" s="167"/>
      <c r="K440" s="167"/>
      <c r="L440" s="167"/>
      <c r="M440" s="167"/>
      <c r="N440" s="167"/>
      <c r="O440" s="167"/>
      <c r="P440" s="167"/>
    </row>
    <row r="441" spans="1:16" ht="14.4" hidden="1" x14ac:dyDescent="0.3">
      <c r="A441" s="162" t="s">
        <v>52</v>
      </c>
      <c r="B441" s="162"/>
      <c r="C441" s="179"/>
      <c r="D441" s="170"/>
      <c r="E441" s="170"/>
      <c r="F441" s="170"/>
      <c r="G441" s="170"/>
      <c r="H441" s="170"/>
      <c r="I441" s="170"/>
      <c r="J441" s="170"/>
      <c r="K441" s="170"/>
      <c r="L441" s="170"/>
      <c r="M441" s="170"/>
      <c r="N441" s="170"/>
      <c r="O441" s="170"/>
      <c r="P441" s="170"/>
    </row>
    <row r="442" spans="1:16" ht="14.4" hidden="1" x14ac:dyDescent="0.3">
      <c r="A442" s="55" t="s">
        <v>53</v>
      </c>
      <c r="B442" s="55"/>
      <c r="C442" s="56" t="s">
        <v>44</v>
      </c>
      <c r="D442" s="167"/>
      <c r="E442" s="167"/>
      <c r="F442" s="167"/>
      <c r="G442" s="167"/>
      <c r="H442" s="167"/>
      <c r="I442" s="167"/>
      <c r="J442" s="167"/>
      <c r="K442" s="167"/>
      <c r="L442" s="167"/>
      <c r="M442" s="167"/>
      <c r="N442" s="167"/>
      <c r="O442" s="167"/>
      <c r="P442" s="167"/>
    </row>
    <row r="443" spans="1:16" ht="14.4" hidden="1" x14ac:dyDescent="0.3">
      <c r="A443" s="55" t="s">
        <v>54</v>
      </c>
      <c r="B443" s="55"/>
      <c r="C443" s="56" t="s">
        <v>44</v>
      </c>
      <c r="D443" s="167"/>
      <c r="E443" s="167"/>
      <c r="F443" s="167"/>
      <c r="G443" s="167"/>
      <c r="H443" s="167"/>
      <c r="I443" s="167"/>
      <c r="J443" s="167"/>
      <c r="K443" s="167"/>
      <c r="L443" s="167"/>
      <c r="M443" s="167"/>
      <c r="N443" s="167"/>
      <c r="O443" s="167"/>
      <c r="P443" s="167"/>
    </row>
    <row r="444" spans="1:16" ht="14.4" hidden="1" x14ac:dyDescent="0.3">
      <c r="A444" s="55" t="s">
        <v>55</v>
      </c>
      <c r="B444" s="55"/>
      <c r="C444" s="56" t="s">
        <v>44</v>
      </c>
      <c r="D444" s="167"/>
      <c r="E444" s="167"/>
      <c r="F444" s="167"/>
      <c r="G444" s="167"/>
      <c r="H444" s="167"/>
      <c r="I444" s="167"/>
      <c r="J444" s="167"/>
      <c r="K444" s="167"/>
      <c r="L444" s="167"/>
      <c r="M444" s="167"/>
      <c r="N444" s="167"/>
      <c r="O444" s="167"/>
      <c r="P444" s="167"/>
    </row>
    <row r="445" spans="1:16" ht="14.4" hidden="1" x14ac:dyDescent="0.3">
      <c r="A445" s="55" t="s">
        <v>187</v>
      </c>
      <c r="B445" s="55"/>
      <c r="C445" s="56" t="s">
        <v>44</v>
      </c>
      <c r="D445" s="167"/>
      <c r="E445" s="167"/>
      <c r="F445" s="167"/>
      <c r="G445" s="167"/>
      <c r="H445" s="167"/>
      <c r="I445" s="167"/>
      <c r="J445" s="167"/>
      <c r="K445" s="167"/>
      <c r="L445" s="167"/>
      <c r="M445" s="167"/>
      <c r="N445" s="167"/>
      <c r="O445" s="167"/>
      <c r="P445" s="167"/>
    </row>
    <row r="446" spans="1:16" ht="14.4" hidden="1" x14ac:dyDescent="0.3">
      <c r="A446" s="55" t="s">
        <v>188</v>
      </c>
      <c r="B446" s="55"/>
      <c r="C446" s="56" t="s">
        <v>44</v>
      </c>
      <c r="D446" s="167"/>
      <c r="E446" s="167"/>
      <c r="F446" s="167"/>
      <c r="G446" s="167"/>
      <c r="H446" s="167"/>
      <c r="I446" s="167"/>
      <c r="J446" s="167"/>
      <c r="K446" s="167"/>
      <c r="L446" s="167"/>
      <c r="M446" s="167"/>
      <c r="N446" s="167"/>
      <c r="O446" s="167"/>
      <c r="P446" s="167"/>
    </row>
    <row r="447" spans="1:16" ht="14.4" hidden="1" x14ac:dyDescent="0.3">
      <c r="A447" s="55" t="s">
        <v>56</v>
      </c>
      <c r="B447" s="55"/>
      <c r="C447" s="56" t="s">
        <v>44</v>
      </c>
      <c r="D447" s="180"/>
      <c r="E447" s="180"/>
      <c r="F447" s="180"/>
      <c r="G447" s="180"/>
      <c r="H447" s="180"/>
      <c r="I447" s="180"/>
      <c r="J447" s="180"/>
      <c r="K447" s="180"/>
      <c r="L447" s="180"/>
      <c r="M447" s="180"/>
      <c r="N447" s="180"/>
      <c r="O447" s="180"/>
      <c r="P447" s="180"/>
    </row>
    <row r="448" spans="1:16" ht="14.4" hidden="1" x14ac:dyDescent="0.3">
      <c r="A448" s="55" t="s">
        <v>57</v>
      </c>
      <c r="B448" s="55"/>
      <c r="C448" s="56" t="s">
        <v>44</v>
      </c>
      <c r="D448" s="180"/>
      <c r="E448" s="180"/>
      <c r="F448" s="180"/>
      <c r="G448" s="180"/>
      <c r="H448" s="180"/>
      <c r="I448" s="180"/>
      <c r="J448" s="180"/>
      <c r="K448" s="180"/>
      <c r="L448" s="180"/>
      <c r="M448" s="180"/>
      <c r="N448" s="180"/>
      <c r="O448" s="180"/>
      <c r="P448" s="180"/>
    </row>
    <row r="449" spans="1:16" hidden="1" x14ac:dyDescent="0.3"/>
    <row r="450" spans="1:16" ht="18" hidden="1" x14ac:dyDescent="0.35">
      <c r="A450" s="59" t="str">
        <f>'[42]Statistical data'!A231</f>
        <v>Customer Class with mix rate3</v>
      </c>
      <c r="B450" s="59"/>
      <c r="C450" s="5" t="s">
        <v>190</v>
      </c>
      <c r="D450" s="160"/>
      <c r="E450" s="160"/>
      <c r="F450" s="160"/>
      <c r="G450" s="160"/>
      <c r="H450" s="160"/>
      <c r="I450" s="160"/>
      <c r="J450" s="160"/>
      <c r="K450" s="160"/>
      <c r="L450" s="160"/>
      <c r="M450" s="160"/>
      <c r="N450" s="160"/>
      <c r="O450" s="160"/>
      <c r="P450" s="160"/>
    </row>
    <row r="451" spans="1:16" ht="24" hidden="1" customHeight="1" x14ac:dyDescent="0.3">
      <c r="A451" s="161" t="s">
        <v>3</v>
      </c>
      <c r="B451" s="161"/>
      <c r="C451" s="161" t="s">
        <v>4</v>
      </c>
      <c r="D451" s="161" t="s">
        <v>15</v>
      </c>
      <c r="E451" s="161" t="s">
        <v>15</v>
      </c>
      <c r="F451" s="161" t="s">
        <v>15</v>
      </c>
      <c r="G451" s="161" t="s">
        <v>15</v>
      </c>
      <c r="H451" s="161" t="s">
        <v>15</v>
      </c>
      <c r="I451" s="161" t="s">
        <v>15</v>
      </c>
      <c r="J451" s="161" t="s">
        <v>15</v>
      </c>
      <c r="K451" s="161" t="s">
        <v>15</v>
      </c>
      <c r="L451" s="161" t="s">
        <v>15</v>
      </c>
      <c r="M451" s="161" t="s">
        <v>15</v>
      </c>
      <c r="N451" s="161" t="s">
        <v>15</v>
      </c>
      <c r="O451" s="161" t="s">
        <v>15</v>
      </c>
      <c r="P451" s="161" t="s">
        <v>15</v>
      </c>
    </row>
    <row r="452" spans="1:16" ht="14.4" hidden="1" x14ac:dyDescent="0.3">
      <c r="A452" s="162" t="s">
        <v>17</v>
      </c>
      <c r="B452" s="163"/>
      <c r="C452" s="56"/>
      <c r="D452" s="164"/>
      <c r="E452" s="164"/>
      <c r="F452" s="164"/>
      <c r="G452" s="164"/>
      <c r="H452" s="164"/>
      <c r="I452" s="164"/>
      <c r="J452" s="164"/>
      <c r="K452" s="164"/>
      <c r="L452" s="164"/>
      <c r="M452" s="164"/>
      <c r="N452" s="164"/>
      <c r="O452" s="164"/>
      <c r="P452" s="164"/>
    </row>
    <row r="453" spans="1:16" ht="14.4" hidden="1" x14ac:dyDescent="0.3">
      <c r="A453" s="55" t="s">
        <v>18</v>
      </c>
      <c r="B453" s="165"/>
      <c r="C453" s="56" t="s">
        <v>19</v>
      </c>
      <c r="D453" s="166"/>
      <c r="E453" s="166"/>
      <c r="F453" s="166"/>
      <c r="G453" s="166"/>
      <c r="H453" s="166"/>
      <c r="I453" s="166"/>
      <c r="J453" s="166"/>
      <c r="K453" s="166"/>
      <c r="L453" s="166"/>
      <c r="M453" s="166"/>
      <c r="N453" s="166"/>
      <c r="O453" s="166"/>
      <c r="P453" s="166"/>
    </row>
    <row r="454" spans="1:16" ht="14.4" hidden="1" x14ac:dyDescent="0.3">
      <c r="A454" s="55" t="s">
        <v>66</v>
      </c>
      <c r="B454" s="165"/>
      <c r="C454" s="56" t="s">
        <v>19</v>
      </c>
      <c r="D454" s="166"/>
      <c r="E454" s="166"/>
      <c r="F454" s="166"/>
      <c r="G454" s="166"/>
      <c r="H454" s="166"/>
      <c r="I454" s="166"/>
      <c r="J454" s="166"/>
      <c r="K454" s="166"/>
      <c r="L454" s="166"/>
      <c r="M454" s="166"/>
      <c r="N454" s="166"/>
      <c r="O454" s="166"/>
      <c r="P454" s="166"/>
    </row>
    <row r="455" spans="1:16" ht="14.4" hidden="1" x14ac:dyDescent="0.3">
      <c r="A455" s="162" t="s">
        <v>20</v>
      </c>
      <c r="B455" s="163"/>
      <c r="C455" s="56"/>
      <c r="D455" s="168"/>
      <c r="E455" s="168"/>
      <c r="F455" s="168"/>
      <c r="G455" s="168"/>
      <c r="H455" s="168"/>
      <c r="I455" s="168"/>
      <c r="J455" s="168"/>
      <c r="K455" s="168"/>
      <c r="L455" s="168"/>
      <c r="M455" s="168"/>
      <c r="N455" s="168"/>
      <c r="O455" s="168"/>
      <c r="P455" s="168"/>
    </row>
    <row r="456" spans="1:16" ht="14.4" hidden="1" x14ac:dyDescent="0.3">
      <c r="A456" s="55" t="s">
        <v>21</v>
      </c>
      <c r="B456" s="165"/>
      <c r="C456" s="56" t="s">
        <v>19</v>
      </c>
      <c r="D456" s="166"/>
      <c r="E456" s="166"/>
      <c r="F456" s="166"/>
      <c r="G456" s="166"/>
      <c r="H456" s="166"/>
      <c r="I456" s="166"/>
      <c r="J456" s="166"/>
      <c r="K456" s="166"/>
      <c r="L456" s="166"/>
      <c r="M456" s="166"/>
      <c r="N456" s="166"/>
      <c r="O456" s="166"/>
      <c r="P456" s="166"/>
    </row>
    <row r="457" spans="1:16" ht="14.4" hidden="1" x14ac:dyDescent="0.3">
      <c r="A457" s="55" t="s">
        <v>22</v>
      </c>
      <c r="B457" s="165"/>
      <c r="C457" s="56" t="s">
        <v>23</v>
      </c>
      <c r="D457" s="166"/>
      <c r="E457" s="166"/>
      <c r="F457" s="166"/>
      <c r="G457" s="166"/>
      <c r="H457" s="166"/>
      <c r="I457" s="166"/>
      <c r="J457" s="166"/>
      <c r="K457" s="166"/>
      <c r="L457" s="166"/>
      <c r="M457" s="166"/>
      <c r="N457" s="166"/>
      <c r="O457" s="166"/>
      <c r="P457" s="166"/>
    </row>
    <row r="458" spans="1:16" ht="14.4" hidden="1" x14ac:dyDescent="0.3">
      <c r="A458" s="162" t="s">
        <v>24</v>
      </c>
      <c r="B458" s="163"/>
      <c r="C458" s="56"/>
      <c r="D458" s="168"/>
      <c r="E458" s="168"/>
      <c r="F458" s="168"/>
      <c r="G458" s="168"/>
      <c r="H458" s="168"/>
      <c r="I458" s="168"/>
      <c r="J458" s="168"/>
      <c r="K458" s="168"/>
      <c r="L458" s="168"/>
      <c r="M458" s="168"/>
      <c r="N458" s="168"/>
      <c r="O458" s="168"/>
      <c r="P458" s="168"/>
    </row>
    <row r="459" spans="1:16" ht="14.4" hidden="1" x14ac:dyDescent="0.3">
      <c r="A459" s="55" t="s">
        <v>25</v>
      </c>
      <c r="B459" s="165"/>
      <c r="C459" s="56" t="s">
        <v>19</v>
      </c>
      <c r="D459" s="166"/>
      <c r="E459" s="166"/>
      <c r="F459" s="166"/>
      <c r="G459" s="166"/>
      <c r="H459" s="166"/>
      <c r="I459" s="166"/>
      <c r="J459" s="166"/>
      <c r="K459" s="166"/>
      <c r="L459" s="166"/>
      <c r="M459" s="166"/>
      <c r="N459" s="166"/>
      <c r="O459" s="166"/>
      <c r="P459" s="166"/>
    </row>
    <row r="460" spans="1:16" ht="14.4" hidden="1" x14ac:dyDescent="0.3">
      <c r="A460" s="162" t="s">
        <v>26</v>
      </c>
      <c r="B460" s="162"/>
      <c r="C460" s="56"/>
      <c r="D460" s="170"/>
      <c r="E460" s="170"/>
      <c r="F460" s="170"/>
      <c r="G460" s="170"/>
      <c r="H460" s="170"/>
      <c r="I460" s="170"/>
      <c r="J460" s="170"/>
      <c r="K460" s="170"/>
      <c r="L460" s="170"/>
      <c r="M460" s="170"/>
      <c r="N460" s="170"/>
      <c r="O460" s="170"/>
      <c r="P460" s="170"/>
    </row>
    <row r="461" spans="1:16" ht="14.4" hidden="1" x14ac:dyDescent="0.3">
      <c r="A461" s="55" t="s">
        <v>27</v>
      </c>
      <c r="B461" s="55"/>
      <c r="C461" s="56" t="s">
        <v>19</v>
      </c>
      <c r="D461" s="167"/>
      <c r="E461" s="167"/>
      <c r="F461" s="167"/>
      <c r="G461" s="167"/>
      <c r="H461" s="167"/>
      <c r="I461" s="167"/>
      <c r="J461" s="167"/>
      <c r="K461" s="167"/>
      <c r="L461" s="167"/>
      <c r="M461" s="167"/>
      <c r="N461" s="167"/>
      <c r="O461" s="167"/>
      <c r="P461" s="167"/>
    </row>
    <row r="462" spans="1:16" ht="14.4" hidden="1" x14ac:dyDescent="0.3">
      <c r="A462" s="55" t="s">
        <v>28</v>
      </c>
      <c r="B462" s="55"/>
      <c r="C462" s="56" t="s">
        <v>23</v>
      </c>
      <c r="D462" s="167"/>
      <c r="E462" s="167"/>
      <c r="F462" s="167"/>
      <c r="G462" s="167"/>
      <c r="H462" s="167"/>
      <c r="I462" s="167"/>
      <c r="J462" s="167"/>
      <c r="K462" s="167"/>
      <c r="L462" s="167"/>
      <c r="M462" s="167"/>
      <c r="N462" s="167"/>
      <c r="O462" s="167"/>
      <c r="P462" s="167"/>
    </row>
    <row r="463" spans="1:16" ht="14.4" hidden="1" x14ac:dyDescent="0.3">
      <c r="A463" s="162" t="s">
        <v>29</v>
      </c>
      <c r="B463" s="162"/>
      <c r="C463" s="56"/>
      <c r="D463" s="171"/>
      <c r="E463" s="171"/>
      <c r="F463" s="171"/>
      <c r="G463" s="171"/>
      <c r="H463" s="171"/>
      <c r="I463" s="171"/>
      <c r="J463" s="171"/>
      <c r="K463" s="171"/>
      <c r="L463" s="171"/>
      <c r="M463" s="171"/>
      <c r="N463" s="171"/>
      <c r="O463" s="171"/>
      <c r="P463" s="171"/>
    </row>
    <row r="464" spans="1:16" ht="14.4" hidden="1" x14ac:dyDescent="0.3">
      <c r="A464" s="55" t="s">
        <v>30</v>
      </c>
      <c r="B464" s="55"/>
      <c r="C464" s="56" t="s">
        <v>19</v>
      </c>
      <c r="D464" s="167"/>
      <c r="E464" s="167"/>
      <c r="F464" s="167"/>
      <c r="G464" s="167"/>
      <c r="H464" s="167"/>
      <c r="I464" s="167"/>
      <c r="J464" s="167"/>
      <c r="K464" s="167"/>
      <c r="L464" s="167"/>
      <c r="M464" s="167"/>
      <c r="N464" s="167"/>
      <c r="O464" s="167"/>
      <c r="P464" s="167"/>
    </row>
    <row r="465" spans="1:16" ht="14.4" hidden="1" x14ac:dyDescent="0.3">
      <c r="A465" s="55" t="s">
        <v>31</v>
      </c>
      <c r="B465" s="55"/>
      <c r="C465" s="56" t="s">
        <v>32</v>
      </c>
      <c r="D465" s="167"/>
      <c r="E465" s="167"/>
      <c r="F465" s="167"/>
      <c r="G465" s="167"/>
      <c r="H465" s="167"/>
      <c r="I465" s="167"/>
      <c r="J465" s="167"/>
      <c r="K465" s="167"/>
      <c r="L465" s="167"/>
      <c r="M465" s="167"/>
      <c r="N465" s="167"/>
      <c r="O465" s="167"/>
      <c r="P465" s="167"/>
    </row>
    <row r="466" spans="1:16" ht="14.4" hidden="1" x14ac:dyDescent="0.3">
      <c r="A466" s="162" t="s">
        <v>33</v>
      </c>
      <c r="B466" s="162"/>
      <c r="C466" s="56"/>
      <c r="D466" s="171"/>
      <c r="E466" s="171"/>
      <c r="F466" s="171"/>
      <c r="G466" s="171"/>
      <c r="H466" s="171"/>
      <c r="I466" s="171"/>
      <c r="J466" s="171"/>
      <c r="K466" s="171"/>
      <c r="L466" s="171"/>
      <c r="M466" s="171"/>
      <c r="N466" s="171"/>
      <c r="O466" s="171"/>
      <c r="P466" s="171"/>
    </row>
    <row r="467" spans="1:16" ht="14.4" hidden="1" x14ac:dyDescent="0.3">
      <c r="A467" s="55" t="s">
        <v>34</v>
      </c>
      <c r="B467" s="55"/>
      <c r="C467" s="56" t="s">
        <v>19</v>
      </c>
      <c r="D467" s="167"/>
      <c r="E467" s="167"/>
      <c r="F467" s="167"/>
      <c r="G467" s="167"/>
      <c r="H467" s="167"/>
      <c r="I467" s="167"/>
      <c r="J467" s="167"/>
      <c r="K467" s="167"/>
      <c r="L467" s="167"/>
      <c r="M467" s="167"/>
      <c r="N467" s="167"/>
      <c r="O467" s="167"/>
      <c r="P467" s="167"/>
    </row>
    <row r="468" spans="1:16" ht="14.4" hidden="1" x14ac:dyDescent="0.3">
      <c r="A468" s="55" t="s">
        <v>35</v>
      </c>
      <c r="B468" s="55"/>
      <c r="C468" s="56" t="s">
        <v>36</v>
      </c>
      <c r="D468" s="167"/>
      <c r="E468" s="167"/>
      <c r="F468" s="167"/>
      <c r="G468" s="167"/>
      <c r="H468" s="167"/>
      <c r="I468" s="167"/>
      <c r="J468" s="167"/>
      <c r="K468" s="167"/>
      <c r="L468" s="167"/>
      <c r="M468" s="167"/>
      <c r="N468" s="167"/>
      <c r="O468" s="167"/>
      <c r="P468" s="167"/>
    </row>
    <row r="469" spans="1:16" ht="14.4" hidden="1" x14ac:dyDescent="0.3">
      <c r="A469" s="162" t="s">
        <v>37</v>
      </c>
      <c r="B469" s="162"/>
      <c r="C469" s="56"/>
      <c r="D469" s="171"/>
      <c r="E469" s="171"/>
      <c r="F469" s="171"/>
      <c r="G469" s="171"/>
      <c r="H469" s="171"/>
      <c r="I469" s="171"/>
      <c r="J469" s="171"/>
      <c r="K469" s="171"/>
      <c r="L469" s="171"/>
      <c r="M469" s="171"/>
      <c r="N469" s="171"/>
      <c r="O469" s="171"/>
      <c r="P469" s="171"/>
    </row>
    <row r="470" spans="1:16" ht="14.4" hidden="1" x14ac:dyDescent="0.3">
      <c r="A470" s="172" t="s">
        <v>38</v>
      </c>
      <c r="B470" s="55"/>
      <c r="C470" s="56" t="s">
        <v>19</v>
      </c>
      <c r="D470" s="167"/>
      <c r="E470" s="167"/>
      <c r="F470" s="167"/>
      <c r="G470" s="167"/>
      <c r="H470" s="167"/>
      <c r="I470" s="167"/>
      <c r="J470" s="167"/>
      <c r="K470" s="167"/>
      <c r="L470" s="167"/>
      <c r="M470" s="167"/>
      <c r="N470" s="167"/>
      <c r="O470" s="167"/>
      <c r="P470" s="167"/>
    </row>
    <row r="471" spans="1:16" ht="14.4" hidden="1" x14ac:dyDescent="0.3">
      <c r="A471" s="172" t="s">
        <v>39</v>
      </c>
      <c r="B471" s="55"/>
      <c r="C471" s="56" t="s">
        <v>19</v>
      </c>
      <c r="D471" s="167"/>
      <c r="E471" s="167"/>
      <c r="F471" s="167"/>
      <c r="G471" s="167"/>
      <c r="H471" s="167"/>
      <c r="I471" s="167"/>
      <c r="J471" s="167"/>
      <c r="K471" s="167"/>
      <c r="L471" s="167"/>
      <c r="M471" s="167"/>
      <c r="N471" s="167"/>
      <c r="O471" s="167"/>
      <c r="P471" s="167"/>
    </row>
    <row r="472" spans="1:16" ht="14.4" hidden="1" x14ac:dyDescent="0.3">
      <c r="A472" s="172" t="s">
        <v>180</v>
      </c>
      <c r="B472" s="55"/>
      <c r="C472" s="56" t="s">
        <v>19</v>
      </c>
      <c r="D472" s="167"/>
      <c r="E472" s="167"/>
      <c r="F472" s="167"/>
      <c r="G472" s="167"/>
      <c r="H472" s="167"/>
      <c r="I472" s="167"/>
      <c r="J472" s="167"/>
      <c r="K472" s="167"/>
      <c r="L472" s="167"/>
      <c r="M472" s="167"/>
      <c r="N472" s="167"/>
      <c r="O472" s="167"/>
      <c r="P472" s="167"/>
    </row>
    <row r="473" spans="1:16" ht="14.4" hidden="1" x14ac:dyDescent="0.3">
      <c r="A473" s="173" t="s">
        <v>40</v>
      </c>
      <c r="B473" s="55"/>
      <c r="C473" s="56" t="s">
        <v>19</v>
      </c>
      <c r="D473" s="167"/>
      <c r="E473" s="167"/>
      <c r="F473" s="167"/>
      <c r="G473" s="167"/>
      <c r="H473" s="167"/>
      <c r="I473" s="167"/>
      <c r="J473" s="167"/>
      <c r="K473" s="167"/>
      <c r="L473" s="167"/>
      <c r="M473" s="167"/>
      <c r="N473" s="167"/>
      <c r="O473" s="167"/>
      <c r="P473" s="167"/>
    </row>
    <row r="474" spans="1:16" ht="14.4" hidden="1" x14ac:dyDescent="0.3">
      <c r="A474" s="173" t="s">
        <v>41</v>
      </c>
      <c r="B474" s="55"/>
      <c r="C474" s="56" t="s">
        <v>19</v>
      </c>
      <c r="D474" s="167"/>
      <c r="E474" s="167"/>
      <c r="F474" s="167"/>
      <c r="G474" s="167"/>
      <c r="H474" s="167"/>
      <c r="I474" s="167"/>
      <c r="J474" s="167"/>
      <c r="K474" s="167"/>
      <c r="L474" s="167"/>
      <c r="M474" s="167"/>
      <c r="N474" s="167"/>
      <c r="O474" s="167"/>
      <c r="P474" s="167"/>
    </row>
    <row r="475" spans="1:16" ht="16.2" hidden="1" x14ac:dyDescent="0.3">
      <c r="A475" s="174" t="s">
        <v>182</v>
      </c>
      <c r="B475" s="175"/>
      <c r="C475" s="56" t="s">
        <v>19</v>
      </c>
      <c r="D475" s="167"/>
      <c r="E475" s="167"/>
      <c r="F475" s="167"/>
      <c r="G475" s="167"/>
      <c r="H475" s="167"/>
      <c r="I475" s="167"/>
      <c r="J475" s="167"/>
      <c r="K475" s="167"/>
      <c r="L475" s="167"/>
      <c r="M475" s="167"/>
      <c r="N475" s="167"/>
      <c r="O475" s="167"/>
      <c r="P475" s="167"/>
    </row>
    <row r="476" spans="1:16" ht="16.2" hidden="1" x14ac:dyDescent="0.3">
      <c r="A476" s="174" t="s">
        <v>182</v>
      </c>
      <c r="B476" s="175"/>
      <c r="C476" s="56" t="s">
        <v>19</v>
      </c>
      <c r="D476" s="167"/>
      <c r="E476" s="167"/>
      <c r="F476" s="167"/>
      <c r="G476" s="167"/>
      <c r="H476" s="167"/>
      <c r="I476" s="167"/>
      <c r="J476" s="167"/>
      <c r="K476" s="167"/>
      <c r="L476" s="167"/>
      <c r="M476" s="167"/>
      <c r="N476" s="167"/>
      <c r="O476" s="167"/>
      <c r="P476" s="167"/>
    </row>
    <row r="477" spans="1:16" ht="16.2" hidden="1" x14ac:dyDescent="0.3">
      <c r="A477" s="174" t="s">
        <v>182</v>
      </c>
      <c r="B477" s="176"/>
      <c r="C477" s="56" t="s">
        <v>19</v>
      </c>
      <c r="D477" s="167"/>
      <c r="E477" s="167"/>
      <c r="F477" s="167"/>
      <c r="G477" s="167"/>
      <c r="H477" s="167"/>
      <c r="I477" s="167"/>
      <c r="J477" s="167"/>
      <c r="K477" s="167"/>
      <c r="L477" s="167"/>
      <c r="M477" s="167"/>
      <c r="N477" s="167"/>
      <c r="O477" s="167"/>
      <c r="P477" s="167"/>
    </row>
    <row r="478" spans="1:16" ht="14.4" hidden="1" x14ac:dyDescent="0.3">
      <c r="A478" s="162" t="s">
        <v>42</v>
      </c>
      <c r="B478" s="162"/>
      <c r="C478" s="56"/>
      <c r="D478" s="171"/>
      <c r="E478" s="171"/>
      <c r="F478" s="171"/>
      <c r="G478" s="171"/>
      <c r="H478" s="171"/>
      <c r="I478" s="171"/>
      <c r="J478" s="171"/>
      <c r="K478" s="171"/>
      <c r="L478" s="171"/>
      <c r="M478" s="171"/>
      <c r="N478" s="171"/>
      <c r="O478" s="171"/>
      <c r="P478" s="171"/>
    </row>
    <row r="479" spans="1:16" ht="14.4" hidden="1" x14ac:dyDescent="0.3">
      <c r="A479" s="162" t="s">
        <v>191</v>
      </c>
      <c r="B479" s="162"/>
      <c r="C479" s="56" t="s">
        <v>44</v>
      </c>
      <c r="D479" s="177"/>
      <c r="E479" s="177"/>
      <c r="F479" s="177"/>
      <c r="G479" s="177"/>
      <c r="H479" s="177"/>
      <c r="I479" s="177"/>
      <c r="J479" s="177"/>
      <c r="K479" s="177"/>
      <c r="L479" s="177"/>
      <c r="M479" s="177"/>
      <c r="N479" s="177"/>
      <c r="O479" s="177"/>
      <c r="P479" s="177"/>
    </row>
    <row r="480" spans="1:16" ht="14.4" hidden="1" x14ac:dyDescent="0.3">
      <c r="A480" s="162" t="s">
        <v>183</v>
      </c>
      <c r="B480" s="162"/>
      <c r="C480" s="56"/>
      <c r="D480" s="178"/>
      <c r="E480" s="178"/>
      <c r="F480" s="178"/>
      <c r="G480" s="178"/>
      <c r="H480" s="178"/>
      <c r="I480" s="178"/>
      <c r="J480" s="178"/>
      <c r="K480" s="178"/>
      <c r="L480" s="178"/>
      <c r="M480" s="178"/>
      <c r="N480" s="178"/>
      <c r="O480" s="178"/>
      <c r="P480" s="178"/>
    </row>
    <row r="481" spans="1:16" ht="14.4" hidden="1" x14ac:dyDescent="0.3">
      <c r="A481" s="162" t="s">
        <v>184</v>
      </c>
      <c r="B481" s="162"/>
      <c r="C481" s="56" t="s">
        <v>19</v>
      </c>
      <c r="D481" s="167"/>
      <c r="E481" s="167"/>
      <c r="F481" s="167"/>
      <c r="G481" s="167"/>
      <c r="H481" s="167"/>
      <c r="I481" s="167"/>
      <c r="J481" s="167"/>
      <c r="K481" s="167"/>
      <c r="L481" s="167"/>
      <c r="M481" s="167"/>
      <c r="N481" s="167"/>
      <c r="O481" s="167"/>
      <c r="P481" s="167"/>
    </row>
    <row r="482" spans="1:16" ht="14.4" hidden="1" x14ac:dyDescent="0.3">
      <c r="A482" s="162" t="s">
        <v>45</v>
      </c>
      <c r="B482" s="162"/>
      <c r="C482" s="56"/>
      <c r="D482" s="178"/>
      <c r="E482" s="178"/>
      <c r="F482" s="178"/>
      <c r="G482" s="178"/>
      <c r="H482" s="178"/>
      <c r="I482" s="178"/>
      <c r="J482" s="178"/>
      <c r="K482" s="178"/>
      <c r="L482" s="178"/>
      <c r="M482" s="178"/>
      <c r="N482" s="178"/>
      <c r="O482" s="178"/>
      <c r="P482" s="178"/>
    </row>
    <row r="483" spans="1:16" ht="14.4" hidden="1" x14ac:dyDescent="0.3">
      <c r="A483" s="162" t="s">
        <v>46</v>
      </c>
      <c r="B483" s="162"/>
      <c r="C483" s="56" t="s">
        <v>19</v>
      </c>
      <c r="D483" s="167"/>
      <c r="E483" s="167"/>
      <c r="F483" s="167"/>
      <c r="G483" s="167"/>
      <c r="H483" s="167"/>
      <c r="I483" s="167"/>
      <c r="J483" s="167"/>
      <c r="K483" s="167"/>
      <c r="L483" s="167"/>
      <c r="M483" s="167"/>
      <c r="N483" s="167"/>
      <c r="O483" s="167"/>
      <c r="P483" s="167"/>
    </row>
    <row r="484" spans="1:16" ht="14.4" hidden="1" x14ac:dyDescent="0.3">
      <c r="A484" s="162" t="s">
        <v>185</v>
      </c>
      <c r="B484" s="162"/>
      <c r="C484" s="56"/>
      <c r="D484" s="178"/>
      <c r="E484" s="178"/>
      <c r="F484" s="178"/>
      <c r="G484" s="178"/>
      <c r="H484" s="178"/>
      <c r="I484" s="178"/>
      <c r="J484" s="178"/>
      <c r="K484" s="178"/>
      <c r="L484" s="178"/>
      <c r="M484" s="178"/>
      <c r="N484" s="178"/>
      <c r="O484" s="178"/>
      <c r="P484" s="178"/>
    </row>
    <row r="485" spans="1:16" ht="14.4" hidden="1" x14ac:dyDescent="0.3">
      <c r="A485" s="162" t="s">
        <v>186</v>
      </c>
      <c r="B485" s="162"/>
      <c r="C485" s="56" t="s">
        <v>19</v>
      </c>
      <c r="D485" s="167"/>
      <c r="E485" s="167"/>
      <c r="F485" s="167"/>
      <c r="G485" s="167"/>
      <c r="H485" s="167"/>
      <c r="I485" s="167"/>
      <c r="J485" s="167"/>
      <c r="K485" s="167"/>
      <c r="L485" s="167"/>
      <c r="M485" s="167"/>
      <c r="N485" s="167"/>
      <c r="O485" s="167"/>
      <c r="P485" s="167"/>
    </row>
    <row r="486" spans="1:16" ht="14.4" hidden="1" x14ac:dyDescent="0.3">
      <c r="A486" s="162" t="s">
        <v>47</v>
      </c>
      <c r="B486" s="162"/>
      <c r="C486" s="56"/>
      <c r="D486" s="171"/>
      <c r="E486" s="171"/>
      <c r="F486" s="171"/>
      <c r="G486" s="171"/>
      <c r="H486" s="171"/>
      <c r="I486" s="171"/>
      <c r="J486" s="171"/>
      <c r="K486" s="171"/>
      <c r="L486" s="171"/>
      <c r="M486" s="171"/>
      <c r="N486" s="171"/>
      <c r="O486" s="171"/>
      <c r="P486" s="171"/>
    </row>
    <row r="487" spans="1:16" ht="14.4" hidden="1" x14ac:dyDescent="0.3">
      <c r="A487" s="55" t="s">
        <v>48</v>
      </c>
      <c r="B487" s="55"/>
      <c r="C487" s="56" t="s">
        <v>19</v>
      </c>
      <c r="D487" s="167"/>
      <c r="E487" s="167"/>
      <c r="F487" s="167"/>
      <c r="G487" s="167"/>
      <c r="H487" s="167"/>
      <c r="I487" s="167"/>
      <c r="J487" s="167"/>
      <c r="K487" s="167"/>
      <c r="L487" s="167"/>
      <c r="M487" s="167"/>
      <c r="N487" s="167"/>
      <c r="O487" s="167"/>
      <c r="P487" s="167"/>
    </row>
    <row r="488" spans="1:16" ht="14.4" hidden="1" x14ac:dyDescent="0.3">
      <c r="A488" s="55" t="s">
        <v>49</v>
      </c>
      <c r="B488" s="55"/>
      <c r="C488" s="56" t="s">
        <v>19</v>
      </c>
      <c r="D488" s="167"/>
      <c r="E488" s="167"/>
      <c r="F488" s="167"/>
      <c r="G488" s="167"/>
      <c r="H488" s="167"/>
      <c r="I488" s="167"/>
      <c r="J488" s="167"/>
      <c r="K488" s="167"/>
      <c r="L488" s="167"/>
      <c r="M488" s="167"/>
      <c r="N488" s="167"/>
      <c r="O488" s="167"/>
      <c r="P488" s="167"/>
    </row>
    <row r="489" spans="1:16" ht="14.4" hidden="1" x14ac:dyDescent="0.3">
      <c r="A489" s="162" t="s">
        <v>52</v>
      </c>
      <c r="B489" s="162"/>
      <c r="C489" s="179"/>
      <c r="D489" s="170"/>
      <c r="E489" s="170"/>
      <c r="F489" s="170"/>
      <c r="G489" s="170"/>
      <c r="H489" s="170"/>
      <c r="I489" s="170"/>
      <c r="J489" s="170"/>
      <c r="K489" s="170"/>
      <c r="L489" s="170"/>
      <c r="M489" s="170"/>
      <c r="N489" s="170"/>
      <c r="O489" s="170"/>
      <c r="P489" s="170"/>
    </row>
    <row r="490" spans="1:16" ht="14.4" hidden="1" x14ac:dyDescent="0.3">
      <c r="A490" s="55" t="s">
        <v>53</v>
      </c>
      <c r="B490" s="55"/>
      <c r="C490" s="56" t="s">
        <v>44</v>
      </c>
      <c r="D490" s="167"/>
      <c r="E490" s="167"/>
      <c r="F490" s="167"/>
      <c r="G490" s="167"/>
      <c r="H490" s="167"/>
      <c r="I490" s="167"/>
      <c r="J490" s="167"/>
      <c r="K490" s="167"/>
      <c r="L490" s="167"/>
      <c r="M490" s="167"/>
      <c r="N490" s="167"/>
      <c r="O490" s="167"/>
      <c r="P490" s="167"/>
    </row>
    <row r="491" spans="1:16" ht="14.4" hidden="1" x14ac:dyDescent="0.3">
      <c r="A491" s="55" t="s">
        <v>54</v>
      </c>
      <c r="B491" s="55"/>
      <c r="C491" s="56" t="s">
        <v>44</v>
      </c>
      <c r="D491" s="167"/>
      <c r="E491" s="167"/>
      <c r="F491" s="167"/>
      <c r="G491" s="167"/>
      <c r="H491" s="167"/>
      <c r="I491" s="167"/>
      <c r="J491" s="167"/>
      <c r="K491" s="167"/>
      <c r="L491" s="167"/>
      <c r="M491" s="167"/>
      <c r="N491" s="167"/>
      <c r="O491" s="167"/>
      <c r="P491" s="167"/>
    </row>
    <row r="492" spans="1:16" ht="14.4" hidden="1" x14ac:dyDescent="0.3">
      <c r="A492" s="55" t="s">
        <v>55</v>
      </c>
      <c r="B492" s="55"/>
      <c r="C492" s="56" t="s">
        <v>44</v>
      </c>
      <c r="D492" s="167"/>
      <c r="E492" s="167"/>
      <c r="F492" s="167"/>
      <c r="G492" s="167"/>
      <c r="H492" s="167"/>
      <c r="I492" s="167"/>
      <c r="J492" s="167"/>
      <c r="K492" s="167"/>
      <c r="L492" s="167"/>
      <c r="M492" s="167"/>
      <c r="N492" s="167"/>
      <c r="O492" s="167"/>
      <c r="P492" s="167"/>
    </row>
    <row r="493" spans="1:16" ht="14.4" hidden="1" x14ac:dyDescent="0.3">
      <c r="A493" s="55" t="s">
        <v>187</v>
      </c>
      <c r="B493" s="55"/>
      <c r="C493" s="56" t="s">
        <v>44</v>
      </c>
      <c r="D493" s="167"/>
      <c r="E493" s="167"/>
      <c r="F493" s="167"/>
      <c r="G493" s="167"/>
      <c r="H493" s="167"/>
      <c r="I493" s="167"/>
      <c r="J493" s="167"/>
      <c r="K493" s="167"/>
      <c r="L493" s="167"/>
      <c r="M493" s="167"/>
      <c r="N493" s="167"/>
      <c r="O493" s="167"/>
      <c r="P493" s="167"/>
    </row>
    <row r="494" spans="1:16" ht="14.4" hidden="1" x14ac:dyDescent="0.3">
      <c r="A494" s="55" t="s">
        <v>188</v>
      </c>
      <c r="B494" s="55"/>
      <c r="C494" s="56" t="s">
        <v>44</v>
      </c>
      <c r="D494" s="167"/>
      <c r="E494" s="167"/>
      <c r="F494" s="167"/>
      <c r="G494" s="167"/>
      <c r="H494" s="167"/>
      <c r="I494" s="167"/>
      <c r="J494" s="167"/>
      <c r="K494" s="167"/>
      <c r="L494" s="167"/>
      <c r="M494" s="167"/>
      <c r="N494" s="167"/>
      <c r="O494" s="167"/>
      <c r="P494" s="167"/>
    </row>
    <row r="495" spans="1:16" ht="14.4" hidden="1" x14ac:dyDescent="0.3">
      <c r="A495" s="55" t="s">
        <v>56</v>
      </c>
      <c r="B495" s="55"/>
      <c r="C495" s="56" t="s">
        <v>44</v>
      </c>
      <c r="D495" s="180"/>
      <c r="E495" s="180"/>
      <c r="F495" s="180"/>
      <c r="G495" s="180"/>
      <c r="H495" s="180"/>
      <c r="I495" s="180"/>
      <c r="J495" s="180"/>
      <c r="K495" s="180"/>
      <c r="L495" s="180"/>
      <c r="M495" s="180"/>
      <c r="N495" s="180"/>
      <c r="O495" s="180"/>
      <c r="P495" s="180"/>
    </row>
    <row r="496" spans="1:16" ht="14.4" hidden="1" x14ac:dyDescent="0.3">
      <c r="A496" s="55" t="s">
        <v>57</v>
      </c>
      <c r="B496" s="55"/>
      <c r="C496" s="56" t="s">
        <v>44</v>
      </c>
      <c r="D496" s="180"/>
      <c r="E496" s="180"/>
      <c r="F496" s="180"/>
      <c r="G496" s="180"/>
      <c r="H496" s="180"/>
      <c r="I496" s="180"/>
      <c r="J496" s="180"/>
      <c r="K496" s="180"/>
      <c r="L496" s="180"/>
      <c r="M496" s="180"/>
      <c r="N496" s="180"/>
      <c r="O496" s="180"/>
      <c r="P496" s="180"/>
    </row>
    <row r="497" spans="1:16" hidden="1" x14ac:dyDescent="0.3"/>
    <row r="498" spans="1:16" ht="18" hidden="1" x14ac:dyDescent="0.35">
      <c r="A498" s="59" t="str">
        <f>'[42]Statistical data'!A232</f>
        <v>Customer Class with mix rate4</v>
      </c>
      <c r="B498" s="59"/>
      <c r="C498" s="5" t="s">
        <v>190</v>
      </c>
      <c r="D498" s="160"/>
      <c r="E498" s="160"/>
      <c r="F498" s="160"/>
      <c r="G498" s="160"/>
      <c r="H498" s="160"/>
      <c r="I498" s="160"/>
      <c r="J498" s="160"/>
      <c r="K498" s="160"/>
      <c r="L498" s="160"/>
      <c r="M498" s="160"/>
      <c r="N498" s="160"/>
      <c r="O498" s="160"/>
      <c r="P498" s="160"/>
    </row>
    <row r="499" spans="1:16" ht="24" hidden="1" customHeight="1" x14ac:dyDescent="0.3">
      <c r="A499" s="161" t="s">
        <v>3</v>
      </c>
      <c r="B499" s="161"/>
      <c r="C499" s="161" t="s">
        <v>4</v>
      </c>
      <c r="D499" s="161" t="s">
        <v>15</v>
      </c>
      <c r="E499" s="161" t="s">
        <v>15</v>
      </c>
      <c r="F499" s="161" t="s">
        <v>15</v>
      </c>
      <c r="G499" s="161" t="s">
        <v>15</v>
      </c>
      <c r="H499" s="161" t="s">
        <v>15</v>
      </c>
      <c r="I499" s="161" t="s">
        <v>15</v>
      </c>
      <c r="J499" s="161" t="s">
        <v>15</v>
      </c>
      <c r="K499" s="161" t="s">
        <v>15</v>
      </c>
      <c r="L499" s="161" t="s">
        <v>15</v>
      </c>
      <c r="M499" s="161" t="s">
        <v>15</v>
      </c>
      <c r="N499" s="161" t="s">
        <v>15</v>
      </c>
      <c r="O499" s="161" t="s">
        <v>15</v>
      </c>
      <c r="P499" s="161" t="s">
        <v>15</v>
      </c>
    </row>
    <row r="500" spans="1:16" ht="14.4" hidden="1" x14ac:dyDescent="0.3">
      <c r="A500" s="162" t="s">
        <v>17</v>
      </c>
      <c r="B500" s="163"/>
      <c r="C500" s="56"/>
      <c r="D500" s="164"/>
      <c r="E500" s="164"/>
      <c r="F500" s="164"/>
      <c r="G500" s="164"/>
      <c r="H500" s="164"/>
      <c r="I500" s="164"/>
      <c r="J500" s="164"/>
      <c r="K500" s="164"/>
      <c r="L500" s="164"/>
      <c r="M500" s="164"/>
      <c r="N500" s="164"/>
      <c r="O500" s="164"/>
      <c r="P500" s="164"/>
    </row>
    <row r="501" spans="1:16" ht="14.4" hidden="1" x14ac:dyDescent="0.3">
      <c r="A501" s="55" t="s">
        <v>18</v>
      </c>
      <c r="B501" s="165"/>
      <c r="C501" s="56" t="s">
        <v>19</v>
      </c>
      <c r="D501" s="166"/>
      <c r="E501" s="166"/>
      <c r="F501" s="166"/>
      <c r="G501" s="166"/>
      <c r="H501" s="166"/>
      <c r="I501" s="166"/>
      <c r="J501" s="166"/>
      <c r="K501" s="166"/>
      <c r="L501" s="166"/>
      <c r="M501" s="166"/>
      <c r="N501" s="166"/>
      <c r="O501" s="166"/>
      <c r="P501" s="166"/>
    </row>
    <row r="502" spans="1:16" ht="14.4" hidden="1" x14ac:dyDescent="0.3">
      <c r="A502" s="55" t="s">
        <v>66</v>
      </c>
      <c r="B502" s="165"/>
      <c r="C502" s="56" t="s">
        <v>19</v>
      </c>
      <c r="D502" s="166"/>
      <c r="E502" s="166"/>
      <c r="F502" s="166"/>
      <c r="G502" s="166"/>
      <c r="H502" s="166"/>
      <c r="I502" s="166"/>
      <c r="J502" s="166"/>
      <c r="K502" s="166"/>
      <c r="L502" s="166"/>
      <c r="M502" s="166"/>
      <c r="N502" s="166"/>
      <c r="O502" s="166"/>
      <c r="P502" s="166"/>
    </row>
    <row r="503" spans="1:16" ht="14.4" hidden="1" x14ac:dyDescent="0.3">
      <c r="A503" s="162" t="s">
        <v>20</v>
      </c>
      <c r="B503" s="163"/>
      <c r="C503" s="56"/>
      <c r="D503" s="168"/>
      <c r="E503" s="168"/>
      <c r="F503" s="168"/>
      <c r="G503" s="168"/>
      <c r="H503" s="168"/>
      <c r="I503" s="168"/>
      <c r="J503" s="168"/>
      <c r="K503" s="168"/>
      <c r="L503" s="168"/>
      <c r="M503" s="168"/>
      <c r="N503" s="168"/>
      <c r="O503" s="168"/>
      <c r="P503" s="168"/>
    </row>
    <row r="504" spans="1:16" ht="14.4" hidden="1" x14ac:dyDescent="0.3">
      <c r="A504" s="55" t="s">
        <v>21</v>
      </c>
      <c r="B504" s="165"/>
      <c r="C504" s="56" t="s">
        <v>19</v>
      </c>
      <c r="D504" s="166"/>
      <c r="E504" s="166"/>
      <c r="F504" s="166"/>
      <c r="G504" s="166"/>
      <c r="H504" s="166"/>
      <c r="I504" s="166"/>
      <c r="J504" s="166"/>
      <c r="K504" s="166"/>
      <c r="L504" s="166"/>
      <c r="M504" s="166"/>
      <c r="N504" s="166"/>
      <c r="O504" s="166"/>
      <c r="P504" s="166"/>
    </row>
    <row r="505" spans="1:16" ht="14.4" hidden="1" x14ac:dyDescent="0.3">
      <c r="A505" s="55" t="s">
        <v>22</v>
      </c>
      <c r="B505" s="165"/>
      <c r="C505" s="56" t="s">
        <v>23</v>
      </c>
      <c r="D505" s="166"/>
      <c r="E505" s="166"/>
      <c r="F505" s="166"/>
      <c r="G505" s="166"/>
      <c r="H505" s="166"/>
      <c r="I505" s="166"/>
      <c r="J505" s="166"/>
      <c r="K505" s="166"/>
      <c r="L505" s="166"/>
      <c r="M505" s="166"/>
      <c r="N505" s="166"/>
      <c r="O505" s="166"/>
      <c r="P505" s="166"/>
    </row>
    <row r="506" spans="1:16" ht="14.4" hidden="1" x14ac:dyDescent="0.3">
      <c r="A506" s="162" t="s">
        <v>24</v>
      </c>
      <c r="B506" s="163"/>
      <c r="C506" s="56"/>
      <c r="D506" s="168"/>
      <c r="E506" s="168"/>
      <c r="F506" s="168"/>
      <c r="G506" s="168"/>
      <c r="H506" s="168"/>
      <c r="I506" s="168"/>
      <c r="J506" s="168"/>
      <c r="K506" s="168"/>
      <c r="L506" s="168"/>
      <c r="M506" s="168"/>
      <c r="N506" s="168"/>
      <c r="O506" s="168"/>
      <c r="P506" s="168"/>
    </row>
    <row r="507" spans="1:16" ht="14.4" hidden="1" x14ac:dyDescent="0.3">
      <c r="A507" s="55" t="s">
        <v>25</v>
      </c>
      <c r="B507" s="165"/>
      <c r="C507" s="56" t="s">
        <v>19</v>
      </c>
      <c r="D507" s="166"/>
      <c r="E507" s="166"/>
      <c r="F507" s="166"/>
      <c r="G507" s="166"/>
      <c r="H507" s="166"/>
      <c r="I507" s="166"/>
      <c r="J507" s="166"/>
      <c r="K507" s="166"/>
      <c r="L507" s="166"/>
      <c r="M507" s="166"/>
      <c r="N507" s="166"/>
      <c r="O507" s="166"/>
      <c r="P507" s="166"/>
    </row>
    <row r="508" spans="1:16" ht="14.4" hidden="1" x14ac:dyDescent="0.3">
      <c r="A508" s="162" t="s">
        <v>26</v>
      </c>
      <c r="B508" s="162"/>
      <c r="C508" s="56"/>
      <c r="D508" s="170"/>
      <c r="E508" s="170"/>
      <c r="F508" s="170"/>
      <c r="G508" s="170"/>
      <c r="H508" s="170"/>
      <c r="I508" s="170"/>
      <c r="J508" s="170"/>
      <c r="K508" s="170"/>
      <c r="L508" s="170"/>
      <c r="M508" s="170"/>
      <c r="N508" s="170"/>
      <c r="O508" s="170"/>
      <c r="P508" s="170"/>
    </row>
    <row r="509" spans="1:16" ht="14.4" hidden="1" x14ac:dyDescent="0.3">
      <c r="A509" s="55" t="s">
        <v>27</v>
      </c>
      <c r="B509" s="55"/>
      <c r="C509" s="56" t="s">
        <v>19</v>
      </c>
      <c r="D509" s="167"/>
      <c r="E509" s="167"/>
      <c r="F509" s="167"/>
      <c r="G509" s="167"/>
      <c r="H509" s="167"/>
      <c r="I509" s="167"/>
      <c r="J509" s="167"/>
      <c r="K509" s="167"/>
      <c r="L509" s="167"/>
      <c r="M509" s="167"/>
      <c r="N509" s="167"/>
      <c r="O509" s="167"/>
      <c r="P509" s="167"/>
    </row>
    <row r="510" spans="1:16" ht="14.4" hidden="1" x14ac:dyDescent="0.3">
      <c r="A510" s="55" t="s">
        <v>28</v>
      </c>
      <c r="B510" s="55"/>
      <c r="C510" s="56" t="s">
        <v>23</v>
      </c>
      <c r="D510" s="167"/>
      <c r="E510" s="167"/>
      <c r="F510" s="167"/>
      <c r="G510" s="167"/>
      <c r="H510" s="167"/>
      <c r="I510" s="167"/>
      <c r="J510" s="167"/>
      <c r="K510" s="167"/>
      <c r="L510" s="167"/>
      <c r="M510" s="167"/>
      <c r="N510" s="167"/>
      <c r="O510" s="167"/>
      <c r="P510" s="167"/>
    </row>
    <row r="511" spans="1:16" ht="14.4" hidden="1" x14ac:dyDescent="0.3">
      <c r="A511" s="162" t="s">
        <v>29</v>
      </c>
      <c r="B511" s="162"/>
      <c r="C511" s="56"/>
      <c r="D511" s="171"/>
      <c r="E511" s="171"/>
      <c r="F511" s="171"/>
      <c r="G511" s="171"/>
      <c r="H511" s="171"/>
      <c r="I511" s="171"/>
      <c r="J511" s="171"/>
      <c r="K511" s="171"/>
      <c r="L511" s="171"/>
      <c r="M511" s="171"/>
      <c r="N511" s="171"/>
      <c r="O511" s="171"/>
      <c r="P511" s="171"/>
    </row>
    <row r="512" spans="1:16" ht="14.4" hidden="1" x14ac:dyDescent="0.3">
      <c r="A512" s="55" t="s">
        <v>30</v>
      </c>
      <c r="B512" s="55"/>
      <c r="C512" s="56" t="s">
        <v>19</v>
      </c>
      <c r="D512" s="167"/>
      <c r="E512" s="167"/>
      <c r="F512" s="167"/>
      <c r="G512" s="167"/>
      <c r="H512" s="167"/>
      <c r="I512" s="167"/>
      <c r="J512" s="167"/>
      <c r="K512" s="167"/>
      <c r="L512" s="167"/>
      <c r="M512" s="167"/>
      <c r="N512" s="167"/>
      <c r="O512" s="167"/>
      <c r="P512" s="167"/>
    </row>
    <row r="513" spans="1:16" ht="14.4" hidden="1" x14ac:dyDescent="0.3">
      <c r="A513" s="55" t="s">
        <v>31</v>
      </c>
      <c r="B513" s="55"/>
      <c r="C513" s="56" t="s">
        <v>32</v>
      </c>
      <c r="D513" s="167"/>
      <c r="E513" s="167"/>
      <c r="F513" s="167"/>
      <c r="G513" s="167"/>
      <c r="H513" s="167"/>
      <c r="I513" s="167"/>
      <c r="J513" s="167"/>
      <c r="K513" s="167"/>
      <c r="L513" s="167"/>
      <c r="M513" s="167"/>
      <c r="N513" s="167"/>
      <c r="O513" s="167"/>
      <c r="P513" s="167"/>
    </row>
    <row r="514" spans="1:16" ht="14.4" hidden="1" x14ac:dyDescent="0.3">
      <c r="A514" s="162" t="s">
        <v>33</v>
      </c>
      <c r="B514" s="162"/>
      <c r="C514" s="56"/>
      <c r="D514" s="171"/>
      <c r="E514" s="171"/>
      <c r="F514" s="171"/>
      <c r="G514" s="171"/>
      <c r="H514" s="171"/>
      <c r="I514" s="171"/>
      <c r="J514" s="171"/>
      <c r="K514" s="171"/>
      <c r="L514" s="171"/>
      <c r="M514" s="171"/>
      <c r="N514" s="171"/>
      <c r="O514" s="171"/>
      <c r="P514" s="171"/>
    </row>
    <row r="515" spans="1:16" ht="14.4" hidden="1" x14ac:dyDescent="0.3">
      <c r="A515" s="55" t="s">
        <v>34</v>
      </c>
      <c r="B515" s="55"/>
      <c r="C515" s="56" t="s">
        <v>19</v>
      </c>
      <c r="D515" s="167"/>
      <c r="E515" s="167"/>
      <c r="F515" s="167"/>
      <c r="G515" s="167"/>
      <c r="H515" s="167"/>
      <c r="I515" s="167"/>
      <c r="J515" s="167"/>
      <c r="K515" s="167"/>
      <c r="L515" s="167"/>
      <c r="M515" s="167"/>
      <c r="N515" s="167"/>
      <c r="O515" s="167"/>
      <c r="P515" s="167"/>
    </row>
    <row r="516" spans="1:16" ht="14.4" hidden="1" x14ac:dyDescent="0.3">
      <c r="A516" s="55" t="s">
        <v>35</v>
      </c>
      <c r="B516" s="55"/>
      <c r="C516" s="56" t="s">
        <v>36</v>
      </c>
      <c r="D516" s="167"/>
      <c r="E516" s="167"/>
      <c r="F516" s="167"/>
      <c r="G516" s="167"/>
      <c r="H516" s="167"/>
      <c r="I516" s="167"/>
      <c r="J516" s="167"/>
      <c r="K516" s="167"/>
      <c r="L516" s="167"/>
      <c r="M516" s="167"/>
      <c r="N516" s="167"/>
      <c r="O516" s="167"/>
      <c r="P516" s="167"/>
    </row>
    <row r="517" spans="1:16" ht="14.4" hidden="1" x14ac:dyDescent="0.3">
      <c r="A517" s="162" t="s">
        <v>37</v>
      </c>
      <c r="B517" s="162"/>
      <c r="C517" s="56"/>
      <c r="D517" s="171"/>
      <c r="E517" s="171"/>
      <c r="F517" s="171"/>
      <c r="G517" s="171"/>
      <c r="H517" s="171"/>
      <c r="I517" s="171"/>
      <c r="J517" s="171"/>
      <c r="K517" s="171"/>
      <c r="L517" s="171"/>
      <c r="M517" s="171"/>
      <c r="N517" s="171"/>
      <c r="O517" s="171"/>
      <c r="P517" s="171"/>
    </row>
    <row r="518" spans="1:16" ht="14.4" hidden="1" x14ac:dyDescent="0.3">
      <c r="A518" s="172" t="s">
        <v>38</v>
      </c>
      <c r="B518" s="55"/>
      <c r="C518" s="56" t="s">
        <v>19</v>
      </c>
      <c r="D518" s="167"/>
      <c r="E518" s="167"/>
      <c r="F518" s="167"/>
      <c r="G518" s="167"/>
      <c r="H518" s="167"/>
      <c r="I518" s="167"/>
      <c r="J518" s="167"/>
      <c r="K518" s="167"/>
      <c r="L518" s="167"/>
      <c r="M518" s="167"/>
      <c r="N518" s="167"/>
      <c r="O518" s="167"/>
      <c r="P518" s="167"/>
    </row>
    <row r="519" spans="1:16" ht="14.4" hidden="1" x14ac:dyDescent="0.3">
      <c r="A519" s="172" t="s">
        <v>39</v>
      </c>
      <c r="B519" s="55"/>
      <c r="C519" s="56" t="s">
        <v>19</v>
      </c>
      <c r="D519" s="167"/>
      <c r="E519" s="167"/>
      <c r="F519" s="167"/>
      <c r="G519" s="167"/>
      <c r="H519" s="167"/>
      <c r="I519" s="167"/>
      <c r="J519" s="167"/>
      <c r="K519" s="167"/>
      <c r="L519" s="167"/>
      <c r="M519" s="167"/>
      <c r="N519" s="167"/>
      <c r="O519" s="167"/>
      <c r="P519" s="167"/>
    </row>
    <row r="520" spans="1:16" ht="14.4" hidden="1" x14ac:dyDescent="0.3">
      <c r="A520" s="172" t="s">
        <v>180</v>
      </c>
      <c r="B520" s="55"/>
      <c r="C520" s="56" t="s">
        <v>19</v>
      </c>
      <c r="D520" s="167"/>
      <c r="E520" s="167"/>
      <c r="F520" s="167"/>
      <c r="G520" s="167"/>
      <c r="H520" s="167"/>
      <c r="I520" s="167"/>
      <c r="J520" s="167"/>
      <c r="K520" s="167"/>
      <c r="L520" s="167"/>
      <c r="M520" s="167"/>
      <c r="N520" s="167"/>
      <c r="O520" s="167"/>
      <c r="P520" s="167"/>
    </row>
    <row r="521" spans="1:16" ht="14.4" hidden="1" x14ac:dyDescent="0.3">
      <c r="A521" s="173" t="s">
        <v>40</v>
      </c>
      <c r="B521" s="55"/>
      <c r="C521" s="56" t="s">
        <v>19</v>
      </c>
      <c r="D521" s="167"/>
      <c r="E521" s="167"/>
      <c r="F521" s="167"/>
      <c r="G521" s="167"/>
      <c r="H521" s="167"/>
      <c r="I521" s="167"/>
      <c r="J521" s="167"/>
      <c r="K521" s="167"/>
      <c r="L521" s="167"/>
      <c r="M521" s="167"/>
      <c r="N521" s="167"/>
      <c r="O521" s="167"/>
      <c r="P521" s="167"/>
    </row>
    <row r="522" spans="1:16" ht="14.4" hidden="1" x14ac:dyDescent="0.3">
      <c r="A522" s="173" t="s">
        <v>41</v>
      </c>
      <c r="B522" s="55"/>
      <c r="C522" s="56" t="s">
        <v>19</v>
      </c>
      <c r="D522" s="167"/>
      <c r="E522" s="167"/>
      <c r="F522" s="167"/>
      <c r="G522" s="167"/>
      <c r="H522" s="167"/>
      <c r="I522" s="167"/>
      <c r="J522" s="167"/>
      <c r="K522" s="167"/>
      <c r="L522" s="167"/>
      <c r="M522" s="167"/>
      <c r="N522" s="167"/>
      <c r="O522" s="167"/>
      <c r="P522" s="167"/>
    </row>
    <row r="523" spans="1:16" ht="16.2" hidden="1" x14ac:dyDescent="0.3">
      <c r="A523" s="174" t="s">
        <v>182</v>
      </c>
      <c r="B523" s="175"/>
      <c r="C523" s="56" t="s">
        <v>19</v>
      </c>
      <c r="D523" s="167"/>
      <c r="E523" s="167"/>
      <c r="F523" s="167"/>
      <c r="G523" s="167"/>
      <c r="H523" s="167"/>
      <c r="I523" s="167"/>
      <c r="J523" s="167"/>
      <c r="K523" s="167"/>
      <c r="L523" s="167"/>
      <c r="M523" s="167"/>
      <c r="N523" s="167"/>
      <c r="O523" s="167"/>
      <c r="P523" s="167"/>
    </row>
    <row r="524" spans="1:16" ht="16.2" hidden="1" x14ac:dyDescent="0.3">
      <c r="A524" s="174" t="s">
        <v>182</v>
      </c>
      <c r="B524" s="175"/>
      <c r="C524" s="56" t="s">
        <v>19</v>
      </c>
      <c r="D524" s="167"/>
      <c r="E524" s="167"/>
      <c r="F524" s="167"/>
      <c r="G524" s="167"/>
      <c r="H524" s="167"/>
      <c r="I524" s="167"/>
      <c r="J524" s="167"/>
      <c r="K524" s="167"/>
      <c r="L524" s="167"/>
      <c r="M524" s="167"/>
      <c r="N524" s="167"/>
      <c r="O524" s="167"/>
      <c r="P524" s="167"/>
    </row>
    <row r="525" spans="1:16" ht="16.2" hidden="1" x14ac:dyDescent="0.3">
      <c r="A525" s="174" t="s">
        <v>182</v>
      </c>
      <c r="B525" s="176"/>
      <c r="C525" s="56" t="s">
        <v>19</v>
      </c>
      <c r="D525" s="167"/>
      <c r="E525" s="167"/>
      <c r="F525" s="167"/>
      <c r="G525" s="167"/>
      <c r="H525" s="167"/>
      <c r="I525" s="167"/>
      <c r="J525" s="167"/>
      <c r="K525" s="167"/>
      <c r="L525" s="167"/>
      <c r="M525" s="167"/>
      <c r="N525" s="167"/>
      <c r="O525" s="167"/>
      <c r="P525" s="167"/>
    </row>
    <row r="526" spans="1:16" ht="14.4" hidden="1" x14ac:dyDescent="0.3">
      <c r="A526" s="162" t="s">
        <v>42</v>
      </c>
      <c r="B526" s="162"/>
      <c r="C526" s="56"/>
      <c r="D526" s="171"/>
      <c r="E526" s="171"/>
      <c r="F526" s="171"/>
      <c r="G526" s="171"/>
      <c r="H526" s="171"/>
      <c r="I526" s="171"/>
      <c r="J526" s="171"/>
      <c r="K526" s="171"/>
      <c r="L526" s="171"/>
      <c r="M526" s="171"/>
      <c r="N526" s="171"/>
      <c r="O526" s="171"/>
      <c r="P526" s="171"/>
    </row>
    <row r="527" spans="1:16" ht="14.4" hidden="1" x14ac:dyDescent="0.3">
      <c r="A527" s="162" t="s">
        <v>191</v>
      </c>
      <c r="B527" s="162"/>
      <c r="C527" s="56" t="s">
        <v>44</v>
      </c>
      <c r="D527" s="177"/>
      <c r="E527" s="177"/>
      <c r="F527" s="177"/>
      <c r="G527" s="177"/>
      <c r="H527" s="177"/>
      <c r="I527" s="177"/>
      <c r="J527" s="177"/>
      <c r="K527" s="177"/>
      <c r="L527" s="177"/>
      <c r="M527" s="177"/>
      <c r="N527" s="177"/>
      <c r="O527" s="177"/>
      <c r="P527" s="177"/>
    </row>
    <row r="528" spans="1:16" ht="14.4" hidden="1" x14ac:dyDescent="0.3">
      <c r="A528" s="162" t="s">
        <v>183</v>
      </c>
      <c r="B528" s="162"/>
      <c r="C528" s="56"/>
      <c r="D528" s="178"/>
      <c r="E528" s="178"/>
      <c r="F528" s="178"/>
      <c r="G528" s="178"/>
      <c r="H528" s="178"/>
      <c r="I528" s="178"/>
      <c r="J528" s="178"/>
      <c r="K528" s="178"/>
      <c r="L528" s="178"/>
      <c r="M528" s="178"/>
      <c r="N528" s="178"/>
      <c r="O528" s="178"/>
      <c r="P528" s="178"/>
    </row>
    <row r="529" spans="1:16" ht="14.4" hidden="1" x14ac:dyDescent="0.3">
      <c r="A529" s="162" t="s">
        <v>184</v>
      </c>
      <c r="B529" s="162"/>
      <c r="C529" s="56" t="s">
        <v>19</v>
      </c>
      <c r="D529" s="167"/>
      <c r="E529" s="167"/>
      <c r="F529" s="167"/>
      <c r="G529" s="167"/>
      <c r="H529" s="167"/>
      <c r="I529" s="167"/>
      <c r="J529" s="167"/>
      <c r="K529" s="167"/>
      <c r="L529" s="167"/>
      <c r="M529" s="167"/>
      <c r="N529" s="167"/>
      <c r="O529" s="167"/>
      <c r="P529" s="167"/>
    </row>
    <row r="530" spans="1:16" ht="14.4" hidden="1" x14ac:dyDescent="0.3">
      <c r="A530" s="162" t="s">
        <v>45</v>
      </c>
      <c r="B530" s="162"/>
      <c r="C530" s="56"/>
      <c r="D530" s="178"/>
      <c r="E530" s="178"/>
      <c r="F530" s="178"/>
      <c r="G530" s="178"/>
      <c r="H530" s="178"/>
      <c r="I530" s="178"/>
      <c r="J530" s="178"/>
      <c r="K530" s="178"/>
      <c r="L530" s="178"/>
      <c r="M530" s="178"/>
      <c r="N530" s="178"/>
      <c r="O530" s="178"/>
      <c r="P530" s="178"/>
    </row>
    <row r="531" spans="1:16" ht="14.4" hidden="1" x14ac:dyDescent="0.3">
      <c r="A531" s="162" t="s">
        <v>46</v>
      </c>
      <c r="B531" s="162"/>
      <c r="C531" s="56" t="s">
        <v>19</v>
      </c>
      <c r="D531" s="167"/>
      <c r="E531" s="167"/>
      <c r="F531" s="167"/>
      <c r="G531" s="167"/>
      <c r="H531" s="167"/>
      <c r="I531" s="167"/>
      <c r="J531" s="167"/>
      <c r="K531" s="167"/>
      <c r="L531" s="167"/>
      <c r="M531" s="167"/>
      <c r="N531" s="167"/>
      <c r="O531" s="167"/>
      <c r="P531" s="167"/>
    </row>
    <row r="532" spans="1:16" ht="14.4" hidden="1" x14ac:dyDescent="0.3">
      <c r="A532" s="162" t="s">
        <v>185</v>
      </c>
      <c r="B532" s="162"/>
      <c r="C532" s="56"/>
      <c r="D532" s="178"/>
      <c r="E532" s="178"/>
      <c r="F532" s="178"/>
      <c r="G532" s="178"/>
      <c r="H532" s="178"/>
      <c r="I532" s="178"/>
      <c r="J532" s="178"/>
      <c r="K532" s="178"/>
      <c r="L532" s="178"/>
      <c r="M532" s="178"/>
      <c r="N532" s="178"/>
      <c r="O532" s="178"/>
      <c r="P532" s="178"/>
    </row>
    <row r="533" spans="1:16" ht="14.4" hidden="1" x14ac:dyDescent="0.3">
      <c r="A533" s="162" t="s">
        <v>186</v>
      </c>
      <c r="B533" s="162"/>
      <c r="C533" s="56" t="s">
        <v>19</v>
      </c>
      <c r="D533" s="167"/>
      <c r="E533" s="167"/>
      <c r="F533" s="167"/>
      <c r="G533" s="167"/>
      <c r="H533" s="167"/>
      <c r="I533" s="167"/>
      <c r="J533" s="167"/>
      <c r="K533" s="167"/>
      <c r="L533" s="167"/>
      <c r="M533" s="167"/>
      <c r="N533" s="167"/>
      <c r="O533" s="167"/>
      <c r="P533" s="167"/>
    </row>
    <row r="534" spans="1:16" ht="14.4" hidden="1" x14ac:dyDescent="0.3">
      <c r="A534" s="162" t="s">
        <v>47</v>
      </c>
      <c r="B534" s="162"/>
      <c r="C534" s="56"/>
      <c r="D534" s="171"/>
      <c r="E534" s="171"/>
      <c r="F534" s="171"/>
      <c r="G534" s="171"/>
      <c r="H534" s="171"/>
      <c r="I534" s="171"/>
      <c r="J534" s="171"/>
      <c r="K534" s="171"/>
      <c r="L534" s="171"/>
      <c r="M534" s="171"/>
      <c r="N534" s="171"/>
      <c r="O534" s="171"/>
      <c r="P534" s="171"/>
    </row>
    <row r="535" spans="1:16" ht="14.4" hidden="1" x14ac:dyDescent="0.3">
      <c r="A535" s="55" t="s">
        <v>48</v>
      </c>
      <c r="B535" s="55"/>
      <c r="C535" s="56" t="s">
        <v>19</v>
      </c>
      <c r="D535" s="167"/>
      <c r="E535" s="167"/>
      <c r="F535" s="167"/>
      <c r="G535" s="167"/>
      <c r="H535" s="167"/>
      <c r="I535" s="167"/>
      <c r="J535" s="167"/>
      <c r="K535" s="167"/>
      <c r="L535" s="167"/>
      <c r="M535" s="167"/>
      <c r="N535" s="167"/>
      <c r="O535" s="167"/>
      <c r="P535" s="167"/>
    </row>
    <row r="536" spans="1:16" ht="14.4" hidden="1" x14ac:dyDescent="0.3">
      <c r="A536" s="55" t="s">
        <v>49</v>
      </c>
      <c r="B536" s="55"/>
      <c r="C536" s="56" t="s">
        <v>19</v>
      </c>
      <c r="D536" s="167"/>
      <c r="E536" s="167"/>
      <c r="F536" s="167"/>
      <c r="G536" s="167"/>
      <c r="H536" s="167"/>
      <c r="I536" s="167"/>
      <c r="J536" s="167"/>
      <c r="K536" s="167"/>
      <c r="L536" s="167"/>
      <c r="M536" s="167"/>
      <c r="N536" s="167"/>
      <c r="O536" s="167"/>
      <c r="P536" s="167"/>
    </row>
    <row r="537" spans="1:16" ht="14.4" hidden="1" x14ac:dyDescent="0.3">
      <c r="A537" s="162" t="s">
        <v>52</v>
      </c>
      <c r="B537" s="162"/>
      <c r="C537" s="179"/>
      <c r="D537" s="170"/>
      <c r="E537" s="170"/>
      <c r="F537" s="170"/>
      <c r="G537" s="170"/>
      <c r="H537" s="170"/>
      <c r="I537" s="170"/>
      <c r="J537" s="170"/>
      <c r="K537" s="170"/>
      <c r="L537" s="170"/>
      <c r="M537" s="170"/>
      <c r="N537" s="170"/>
      <c r="O537" s="170"/>
      <c r="P537" s="170"/>
    </row>
    <row r="538" spans="1:16" ht="14.4" hidden="1" x14ac:dyDescent="0.3">
      <c r="A538" s="55" t="s">
        <v>53</v>
      </c>
      <c r="B538" s="55"/>
      <c r="C538" s="56" t="s">
        <v>44</v>
      </c>
      <c r="D538" s="167"/>
      <c r="E538" s="167"/>
      <c r="F538" s="167"/>
      <c r="G538" s="167"/>
      <c r="H538" s="167"/>
      <c r="I538" s="167"/>
      <c r="J538" s="167"/>
      <c r="K538" s="167"/>
      <c r="L538" s="167"/>
      <c r="M538" s="167"/>
      <c r="N538" s="167"/>
      <c r="O538" s="167"/>
      <c r="P538" s="167"/>
    </row>
    <row r="539" spans="1:16" ht="14.4" hidden="1" x14ac:dyDescent="0.3">
      <c r="A539" s="55" t="s">
        <v>54</v>
      </c>
      <c r="B539" s="55"/>
      <c r="C539" s="56" t="s">
        <v>44</v>
      </c>
      <c r="D539" s="167"/>
      <c r="E539" s="167"/>
      <c r="F539" s="167"/>
      <c r="G539" s="167"/>
      <c r="H539" s="167"/>
      <c r="I539" s="167"/>
      <c r="J539" s="167"/>
      <c r="K539" s="167"/>
      <c r="L539" s="167"/>
      <c r="M539" s="167"/>
      <c r="N539" s="167"/>
      <c r="O539" s="167"/>
      <c r="P539" s="167"/>
    </row>
    <row r="540" spans="1:16" ht="14.4" hidden="1" x14ac:dyDescent="0.3">
      <c r="A540" s="55" t="s">
        <v>55</v>
      </c>
      <c r="B540" s="55"/>
      <c r="C540" s="56" t="s">
        <v>44</v>
      </c>
      <c r="D540" s="167"/>
      <c r="E540" s="167"/>
      <c r="F540" s="167"/>
      <c r="G540" s="167"/>
      <c r="H540" s="167"/>
      <c r="I540" s="167"/>
      <c r="J540" s="167"/>
      <c r="K540" s="167"/>
      <c r="L540" s="167"/>
      <c r="M540" s="167"/>
      <c r="N540" s="167"/>
      <c r="O540" s="167"/>
      <c r="P540" s="167"/>
    </row>
    <row r="541" spans="1:16" ht="14.4" hidden="1" x14ac:dyDescent="0.3">
      <c r="A541" s="55" t="s">
        <v>187</v>
      </c>
      <c r="B541" s="55"/>
      <c r="C541" s="56" t="s">
        <v>44</v>
      </c>
      <c r="D541" s="167"/>
      <c r="E541" s="167"/>
      <c r="F541" s="167"/>
      <c r="G541" s="167"/>
      <c r="H541" s="167"/>
      <c r="I541" s="167"/>
      <c r="J541" s="167"/>
      <c r="K541" s="167"/>
      <c r="L541" s="167"/>
      <c r="M541" s="167"/>
      <c r="N541" s="167"/>
      <c r="O541" s="167"/>
      <c r="P541" s="167"/>
    </row>
    <row r="542" spans="1:16" ht="14.4" hidden="1" x14ac:dyDescent="0.3">
      <c r="A542" s="55" t="s">
        <v>188</v>
      </c>
      <c r="B542" s="55"/>
      <c r="C542" s="56" t="s">
        <v>44</v>
      </c>
      <c r="D542" s="167"/>
      <c r="E542" s="167"/>
      <c r="F542" s="167"/>
      <c r="G542" s="167"/>
      <c r="H542" s="167"/>
      <c r="I542" s="167"/>
      <c r="J542" s="167"/>
      <c r="K542" s="167"/>
      <c r="L542" s="167"/>
      <c r="M542" s="167"/>
      <c r="N542" s="167"/>
      <c r="O542" s="167"/>
      <c r="P542" s="167"/>
    </row>
    <row r="543" spans="1:16" ht="14.4" hidden="1" x14ac:dyDescent="0.3">
      <c r="A543" s="55" t="s">
        <v>56</v>
      </c>
      <c r="B543" s="55"/>
      <c r="C543" s="56" t="s">
        <v>44</v>
      </c>
      <c r="D543" s="180"/>
      <c r="E543" s="180"/>
      <c r="F543" s="180"/>
      <c r="G543" s="180"/>
      <c r="H543" s="180"/>
      <c r="I543" s="180"/>
      <c r="J543" s="180"/>
      <c r="K543" s="180"/>
      <c r="L543" s="180"/>
      <c r="M543" s="180"/>
      <c r="N543" s="180"/>
      <c r="O543" s="180"/>
      <c r="P543" s="180"/>
    </row>
    <row r="544" spans="1:16" ht="14.4" hidden="1" x14ac:dyDescent="0.3">
      <c r="A544" s="55" t="s">
        <v>57</v>
      </c>
      <c r="B544" s="55"/>
      <c r="C544" s="56" t="s">
        <v>44</v>
      </c>
      <c r="D544" s="180"/>
      <c r="E544" s="180"/>
      <c r="F544" s="180"/>
      <c r="G544" s="180"/>
      <c r="H544" s="180"/>
      <c r="I544" s="180"/>
      <c r="J544" s="180"/>
      <c r="K544" s="180"/>
      <c r="L544" s="180"/>
      <c r="M544" s="180"/>
      <c r="N544" s="180"/>
      <c r="O544" s="180"/>
      <c r="P544" s="180"/>
    </row>
    <row r="545" spans="1:16" hidden="1" x14ac:dyDescent="0.3"/>
    <row r="546" spans="1:16" ht="18" hidden="1" x14ac:dyDescent="0.35">
      <c r="A546" s="60" t="str">
        <f>'[42]Statistical data'!A233</f>
        <v>Customer Class with mix rate5</v>
      </c>
      <c r="B546" s="59"/>
      <c r="C546" s="5" t="s">
        <v>190</v>
      </c>
      <c r="D546" s="160"/>
      <c r="E546" s="160"/>
      <c r="F546" s="160"/>
      <c r="G546" s="160"/>
      <c r="H546" s="160"/>
      <c r="I546" s="160"/>
      <c r="J546" s="160"/>
      <c r="K546" s="160"/>
      <c r="L546" s="160"/>
      <c r="M546" s="160"/>
      <c r="N546" s="160"/>
      <c r="O546" s="160"/>
      <c r="P546" s="160"/>
    </row>
    <row r="547" spans="1:16" ht="25.5" hidden="1" customHeight="1" x14ac:dyDescent="0.3">
      <c r="A547" s="161" t="s">
        <v>3</v>
      </c>
      <c r="B547" s="161"/>
      <c r="C547" s="161" t="s">
        <v>4</v>
      </c>
      <c r="D547" s="161" t="s">
        <v>15</v>
      </c>
      <c r="E547" s="161" t="s">
        <v>15</v>
      </c>
      <c r="F547" s="161" t="s">
        <v>15</v>
      </c>
      <c r="G547" s="161" t="s">
        <v>15</v>
      </c>
      <c r="H547" s="161" t="s">
        <v>15</v>
      </c>
      <c r="I547" s="161" t="s">
        <v>15</v>
      </c>
      <c r="J547" s="161" t="s">
        <v>15</v>
      </c>
      <c r="K547" s="161" t="s">
        <v>15</v>
      </c>
      <c r="L547" s="161" t="s">
        <v>15</v>
      </c>
      <c r="M547" s="161" t="s">
        <v>15</v>
      </c>
      <c r="N547" s="161" t="s">
        <v>15</v>
      </c>
      <c r="O547" s="161" t="s">
        <v>15</v>
      </c>
      <c r="P547" s="161" t="s">
        <v>15</v>
      </c>
    </row>
    <row r="548" spans="1:16" ht="14.4" hidden="1" x14ac:dyDescent="0.3">
      <c r="A548" s="162" t="s">
        <v>17</v>
      </c>
      <c r="B548" s="163"/>
      <c r="C548" s="56"/>
      <c r="D548" s="164"/>
      <c r="E548" s="164"/>
      <c r="F548" s="164"/>
      <c r="G548" s="164"/>
      <c r="H548" s="164"/>
      <c r="I548" s="164"/>
      <c r="J548" s="164"/>
      <c r="K548" s="164"/>
      <c r="L548" s="164"/>
      <c r="M548" s="164"/>
      <c r="N548" s="164"/>
      <c r="O548" s="164"/>
      <c r="P548" s="164"/>
    </row>
    <row r="549" spans="1:16" ht="14.4" hidden="1" x14ac:dyDescent="0.3">
      <c r="A549" s="55" t="s">
        <v>18</v>
      </c>
      <c r="B549" s="165"/>
      <c r="C549" s="56" t="s">
        <v>19</v>
      </c>
      <c r="D549" s="166"/>
      <c r="E549" s="166"/>
      <c r="F549" s="166"/>
      <c r="G549" s="166"/>
      <c r="H549" s="166"/>
      <c r="I549" s="166"/>
      <c r="J549" s="166"/>
      <c r="K549" s="166"/>
      <c r="L549" s="166"/>
      <c r="M549" s="166"/>
      <c r="N549" s="166"/>
      <c r="O549" s="166"/>
      <c r="P549" s="166"/>
    </row>
    <row r="550" spans="1:16" ht="14.4" hidden="1" x14ac:dyDescent="0.3">
      <c r="A550" s="55" t="s">
        <v>66</v>
      </c>
      <c r="B550" s="165"/>
      <c r="C550" s="56" t="s">
        <v>19</v>
      </c>
      <c r="D550" s="166"/>
      <c r="E550" s="166"/>
      <c r="F550" s="166"/>
      <c r="G550" s="166"/>
      <c r="H550" s="166"/>
      <c r="I550" s="166"/>
      <c r="J550" s="166"/>
      <c r="K550" s="166"/>
      <c r="L550" s="166"/>
      <c r="M550" s="166"/>
      <c r="N550" s="166"/>
      <c r="O550" s="166"/>
      <c r="P550" s="166"/>
    </row>
    <row r="551" spans="1:16" ht="14.4" hidden="1" x14ac:dyDescent="0.3">
      <c r="A551" s="162" t="s">
        <v>20</v>
      </c>
      <c r="B551" s="163"/>
      <c r="C551" s="56"/>
      <c r="D551" s="168"/>
      <c r="E551" s="168"/>
      <c r="F551" s="168"/>
      <c r="G551" s="168"/>
      <c r="H551" s="168"/>
      <c r="I551" s="168"/>
      <c r="J551" s="168"/>
      <c r="K551" s="168"/>
      <c r="L551" s="168"/>
      <c r="M551" s="168"/>
      <c r="N551" s="168"/>
      <c r="O551" s="168"/>
      <c r="P551" s="168"/>
    </row>
    <row r="552" spans="1:16" ht="14.4" hidden="1" x14ac:dyDescent="0.3">
      <c r="A552" s="55" t="s">
        <v>21</v>
      </c>
      <c r="B552" s="165"/>
      <c r="C552" s="56" t="s">
        <v>19</v>
      </c>
      <c r="D552" s="166"/>
      <c r="E552" s="166"/>
      <c r="F552" s="166"/>
      <c r="G552" s="166"/>
      <c r="H552" s="166"/>
      <c r="I552" s="166"/>
      <c r="J552" s="166"/>
      <c r="K552" s="166"/>
      <c r="L552" s="166"/>
      <c r="M552" s="166"/>
      <c r="N552" s="166"/>
      <c r="O552" s="166"/>
      <c r="P552" s="166"/>
    </row>
    <row r="553" spans="1:16" ht="14.4" hidden="1" x14ac:dyDescent="0.3">
      <c r="A553" s="55" t="s">
        <v>22</v>
      </c>
      <c r="B553" s="165"/>
      <c r="C553" s="56" t="s">
        <v>23</v>
      </c>
      <c r="D553" s="166"/>
      <c r="E553" s="166"/>
      <c r="F553" s="166"/>
      <c r="G553" s="166"/>
      <c r="H553" s="166"/>
      <c r="I553" s="166"/>
      <c r="J553" s="166"/>
      <c r="K553" s="166"/>
      <c r="L553" s="166"/>
      <c r="M553" s="166"/>
      <c r="N553" s="166"/>
      <c r="O553" s="166"/>
      <c r="P553" s="166"/>
    </row>
    <row r="554" spans="1:16" ht="14.4" hidden="1" x14ac:dyDescent="0.3">
      <c r="A554" s="162" t="s">
        <v>24</v>
      </c>
      <c r="B554" s="163"/>
      <c r="C554" s="56"/>
      <c r="D554" s="168"/>
      <c r="E554" s="168"/>
      <c r="F554" s="168"/>
      <c r="G554" s="168"/>
      <c r="H554" s="168"/>
      <c r="I554" s="168"/>
      <c r="J554" s="168"/>
      <c r="K554" s="168"/>
      <c r="L554" s="168"/>
      <c r="M554" s="168"/>
      <c r="N554" s="168"/>
      <c r="O554" s="168"/>
      <c r="P554" s="168"/>
    </row>
    <row r="555" spans="1:16" ht="14.4" hidden="1" x14ac:dyDescent="0.3">
      <c r="A555" s="55" t="s">
        <v>25</v>
      </c>
      <c r="B555" s="165"/>
      <c r="C555" s="56" t="s">
        <v>19</v>
      </c>
      <c r="D555" s="166"/>
      <c r="E555" s="166"/>
      <c r="F555" s="166"/>
      <c r="G555" s="166"/>
      <c r="H555" s="166"/>
      <c r="I555" s="166"/>
      <c r="J555" s="166"/>
      <c r="K555" s="166"/>
      <c r="L555" s="166"/>
      <c r="M555" s="166"/>
      <c r="N555" s="166"/>
      <c r="O555" s="166"/>
      <c r="P555" s="166"/>
    </row>
    <row r="556" spans="1:16" ht="14.4" hidden="1" x14ac:dyDescent="0.3">
      <c r="A556" s="162" t="s">
        <v>26</v>
      </c>
      <c r="B556" s="162"/>
      <c r="C556" s="56"/>
      <c r="D556" s="170"/>
      <c r="E556" s="170"/>
      <c r="F556" s="170"/>
      <c r="G556" s="170"/>
      <c r="H556" s="170"/>
      <c r="I556" s="170"/>
      <c r="J556" s="170"/>
      <c r="K556" s="170"/>
      <c r="L556" s="170"/>
      <c r="M556" s="170"/>
      <c r="N556" s="170"/>
      <c r="O556" s="170"/>
      <c r="P556" s="170"/>
    </row>
    <row r="557" spans="1:16" ht="14.4" hidden="1" x14ac:dyDescent="0.3">
      <c r="A557" s="55" t="s">
        <v>27</v>
      </c>
      <c r="B557" s="55"/>
      <c r="C557" s="56" t="s">
        <v>19</v>
      </c>
      <c r="D557" s="167"/>
      <c r="E557" s="167"/>
      <c r="F557" s="167"/>
      <c r="G557" s="167"/>
      <c r="H557" s="167"/>
      <c r="I557" s="167"/>
      <c r="J557" s="167"/>
      <c r="K557" s="167"/>
      <c r="L557" s="167"/>
      <c r="M557" s="167"/>
      <c r="N557" s="167"/>
      <c r="O557" s="167"/>
      <c r="P557" s="167"/>
    </row>
    <row r="558" spans="1:16" ht="14.4" hidden="1" x14ac:dyDescent="0.3">
      <c r="A558" s="55" t="s">
        <v>28</v>
      </c>
      <c r="B558" s="55"/>
      <c r="C558" s="56" t="s">
        <v>23</v>
      </c>
      <c r="D558" s="167"/>
      <c r="E558" s="167"/>
      <c r="F558" s="167"/>
      <c r="G558" s="167"/>
      <c r="H558" s="167"/>
      <c r="I558" s="167"/>
      <c r="J558" s="167"/>
      <c r="K558" s="167"/>
      <c r="L558" s="167"/>
      <c r="M558" s="167"/>
      <c r="N558" s="167"/>
      <c r="O558" s="167"/>
      <c r="P558" s="167"/>
    </row>
    <row r="559" spans="1:16" ht="14.4" hidden="1" x14ac:dyDescent="0.3">
      <c r="A559" s="162" t="s">
        <v>29</v>
      </c>
      <c r="B559" s="162"/>
      <c r="C559" s="56"/>
      <c r="D559" s="171"/>
      <c r="E559" s="171"/>
      <c r="F559" s="171"/>
      <c r="G559" s="171"/>
      <c r="H559" s="171"/>
      <c r="I559" s="171"/>
      <c r="J559" s="171"/>
      <c r="K559" s="171"/>
      <c r="L559" s="171"/>
      <c r="M559" s="171"/>
      <c r="N559" s="171"/>
      <c r="O559" s="171"/>
      <c r="P559" s="171"/>
    </row>
    <row r="560" spans="1:16" ht="14.4" hidden="1" x14ac:dyDescent="0.3">
      <c r="A560" s="55" t="s">
        <v>30</v>
      </c>
      <c r="B560" s="55"/>
      <c r="C560" s="56" t="s">
        <v>19</v>
      </c>
      <c r="D560" s="167"/>
      <c r="E560" s="167"/>
      <c r="F560" s="167"/>
      <c r="G560" s="167"/>
      <c r="H560" s="167"/>
      <c r="I560" s="167"/>
      <c r="J560" s="167"/>
      <c r="K560" s="167"/>
      <c r="L560" s="167"/>
      <c r="M560" s="167"/>
      <c r="N560" s="167"/>
      <c r="O560" s="167"/>
      <c r="P560" s="167"/>
    </row>
    <row r="561" spans="1:16" ht="14.4" hidden="1" x14ac:dyDescent="0.3">
      <c r="A561" s="55" t="s">
        <v>31</v>
      </c>
      <c r="B561" s="55"/>
      <c r="C561" s="56" t="s">
        <v>32</v>
      </c>
      <c r="D561" s="167"/>
      <c r="E561" s="167"/>
      <c r="F561" s="167"/>
      <c r="G561" s="167"/>
      <c r="H561" s="167"/>
      <c r="I561" s="167"/>
      <c r="J561" s="167"/>
      <c r="K561" s="167"/>
      <c r="L561" s="167"/>
      <c r="M561" s="167"/>
      <c r="N561" s="167"/>
      <c r="O561" s="167"/>
      <c r="P561" s="167"/>
    </row>
    <row r="562" spans="1:16" ht="14.4" hidden="1" x14ac:dyDescent="0.3">
      <c r="A562" s="162" t="s">
        <v>33</v>
      </c>
      <c r="B562" s="162"/>
      <c r="C562" s="56"/>
      <c r="D562" s="171"/>
      <c r="E562" s="171"/>
      <c r="F562" s="171"/>
      <c r="G562" s="171"/>
      <c r="H562" s="171"/>
      <c r="I562" s="171"/>
      <c r="J562" s="171"/>
      <c r="K562" s="171"/>
      <c r="L562" s="171"/>
      <c r="M562" s="171"/>
      <c r="N562" s="171"/>
      <c r="O562" s="171"/>
      <c r="P562" s="171"/>
    </row>
    <row r="563" spans="1:16" ht="14.4" hidden="1" x14ac:dyDescent="0.3">
      <c r="A563" s="55" t="s">
        <v>34</v>
      </c>
      <c r="B563" s="55"/>
      <c r="C563" s="56" t="s">
        <v>19</v>
      </c>
      <c r="D563" s="167"/>
      <c r="E563" s="167"/>
      <c r="F563" s="167"/>
      <c r="G563" s="167"/>
      <c r="H563" s="167"/>
      <c r="I563" s="167"/>
      <c r="J563" s="167"/>
      <c r="K563" s="167"/>
      <c r="L563" s="167"/>
      <c r="M563" s="167"/>
      <c r="N563" s="167"/>
      <c r="O563" s="167"/>
      <c r="P563" s="167"/>
    </row>
    <row r="564" spans="1:16" ht="14.4" hidden="1" x14ac:dyDescent="0.3">
      <c r="A564" s="55" t="s">
        <v>35</v>
      </c>
      <c r="B564" s="55"/>
      <c r="C564" s="56" t="s">
        <v>36</v>
      </c>
      <c r="D564" s="167"/>
      <c r="E564" s="167"/>
      <c r="F564" s="167"/>
      <c r="G564" s="167"/>
      <c r="H564" s="167"/>
      <c r="I564" s="167"/>
      <c r="J564" s="167"/>
      <c r="K564" s="167"/>
      <c r="L564" s="167"/>
      <c r="M564" s="167"/>
      <c r="N564" s="167"/>
      <c r="O564" s="167"/>
      <c r="P564" s="167"/>
    </row>
    <row r="565" spans="1:16" ht="14.4" hidden="1" x14ac:dyDescent="0.3">
      <c r="A565" s="162" t="s">
        <v>37</v>
      </c>
      <c r="B565" s="162"/>
      <c r="C565" s="56"/>
      <c r="D565" s="171"/>
      <c r="E565" s="171"/>
      <c r="F565" s="171"/>
      <c r="G565" s="171"/>
      <c r="H565" s="171"/>
      <c r="I565" s="171"/>
      <c r="J565" s="171"/>
      <c r="K565" s="171"/>
      <c r="L565" s="171"/>
      <c r="M565" s="171"/>
      <c r="N565" s="171"/>
      <c r="O565" s="171"/>
      <c r="P565" s="171"/>
    </row>
    <row r="566" spans="1:16" ht="14.4" hidden="1" x14ac:dyDescent="0.3">
      <c r="A566" s="172" t="s">
        <v>38</v>
      </c>
      <c r="B566" s="55"/>
      <c r="C566" s="56" t="s">
        <v>19</v>
      </c>
      <c r="D566" s="167"/>
      <c r="E566" s="167"/>
      <c r="F566" s="167"/>
      <c r="G566" s="167"/>
      <c r="H566" s="167"/>
      <c r="I566" s="167"/>
      <c r="J566" s="167"/>
      <c r="K566" s="167"/>
      <c r="L566" s="167"/>
      <c r="M566" s="167"/>
      <c r="N566" s="167"/>
      <c r="O566" s="167"/>
      <c r="P566" s="167"/>
    </row>
    <row r="567" spans="1:16" ht="14.4" hidden="1" x14ac:dyDescent="0.3">
      <c r="A567" s="172" t="s">
        <v>39</v>
      </c>
      <c r="B567" s="55"/>
      <c r="C567" s="56" t="s">
        <v>19</v>
      </c>
      <c r="D567" s="167"/>
      <c r="E567" s="167"/>
      <c r="F567" s="167"/>
      <c r="G567" s="167"/>
      <c r="H567" s="167"/>
      <c r="I567" s="167"/>
      <c r="J567" s="167"/>
      <c r="K567" s="167"/>
      <c r="L567" s="167"/>
      <c r="M567" s="167"/>
      <c r="N567" s="167"/>
      <c r="O567" s="167"/>
      <c r="P567" s="167"/>
    </row>
    <row r="568" spans="1:16" ht="14.4" hidden="1" x14ac:dyDescent="0.3">
      <c r="A568" s="172" t="s">
        <v>180</v>
      </c>
      <c r="B568" s="55"/>
      <c r="C568" s="56" t="s">
        <v>19</v>
      </c>
      <c r="D568" s="167"/>
      <c r="E568" s="167"/>
      <c r="F568" s="167"/>
      <c r="G568" s="167"/>
      <c r="H568" s="167"/>
      <c r="I568" s="167"/>
      <c r="J568" s="167"/>
      <c r="K568" s="167"/>
      <c r="L568" s="167"/>
      <c r="M568" s="167"/>
      <c r="N568" s="167"/>
      <c r="O568" s="167"/>
      <c r="P568" s="167"/>
    </row>
    <row r="569" spans="1:16" ht="14.4" hidden="1" x14ac:dyDescent="0.3">
      <c r="A569" s="173" t="s">
        <v>40</v>
      </c>
      <c r="B569" s="55"/>
      <c r="C569" s="56" t="s">
        <v>19</v>
      </c>
      <c r="D569" s="167"/>
      <c r="E569" s="167"/>
      <c r="F569" s="167"/>
      <c r="G569" s="167"/>
      <c r="H569" s="167"/>
      <c r="I569" s="167"/>
      <c r="J569" s="167"/>
      <c r="K569" s="167"/>
      <c r="L569" s="167"/>
      <c r="M569" s="167"/>
      <c r="N569" s="167"/>
      <c r="O569" s="167"/>
      <c r="P569" s="167"/>
    </row>
    <row r="570" spans="1:16" ht="14.4" hidden="1" x14ac:dyDescent="0.3">
      <c r="A570" s="173" t="s">
        <v>41</v>
      </c>
      <c r="B570" s="55"/>
      <c r="C570" s="56" t="s">
        <v>19</v>
      </c>
      <c r="D570" s="167"/>
      <c r="E570" s="167"/>
      <c r="F570" s="167"/>
      <c r="G570" s="167"/>
      <c r="H570" s="167"/>
      <c r="I570" s="167"/>
      <c r="J570" s="167"/>
      <c r="K570" s="167"/>
      <c r="L570" s="167"/>
      <c r="M570" s="167"/>
      <c r="N570" s="167"/>
      <c r="O570" s="167"/>
      <c r="P570" s="167"/>
    </row>
    <row r="571" spans="1:16" ht="16.2" hidden="1" x14ac:dyDescent="0.3">
      <c r="A571" s="174" t="s">
        <v>182</v>
      </c>
      <c r="B571" s="175"/>
      <c r="C571" s="56" t="s">
        <v>19</v>
      </c>
      <c r="D571" s="167"/>
      <c r="E571" s="167"/>
      <c r="F571" s="167"/>
      <c r="G571" s="167"/>
      <c r="H571" s="167"/>
      <c r="I571" s="167"/>
      <c r="J571" s="167"/>
      <c r="K571" s="167"/>
      <c r="L571" s="167"/>
      <c r="M571" s="167"/>
      <c r="N571" s="167"/>
      <c r="O571" s="167"/>
      <c r="P571" s="167"/>
    </row>
    <row r="572" spans="1:16" ht="16.2" hidden="1" x14ac:dyDescent="0.3">
      <c r="A572" s="174" t="s">
        <v>182</v>
      </c>
      <c r="B572" s="175"/>
      <c r="C572" s="56" t="s">
        <v>19</v>
      </c>
      <c r="D572" s="167"/>
      <c r="E572" s="167"/>
      <c r="F572" s="167"/>
      <c r="G572" s="167"/>
      <c r="H572" s="167"/>
      <c r="I572" s="167"/>
      <c r="J572" s="167"/>
      <c r="K572" s="167"/>
      <c r="L572" s="167"/>
      <c r="M572" s="167"/>
      <c r="N572" s="167"/>
      <c r="O572" s="167"/>
      <c r="P572" s="167"/>
    </row>
    <row r="573" spans="1:16" ht="16.2" hidden="1" x14ac:dyDescent="0.3">
      <c r="A573" s="174" t="s">
        <v>182</v>
      </c>
      <c r="B573" s="176"/>
      <c r="C573" s="56" t="s">
        <v>19</v>
      </c>
      <c r="D573" s="167"/>
      <c r="E573" s="167"/>
      <c r="F573" s="167"/>
      <c r="G573" s="167"/>
      <c r="H573" s="167"/>
      <c r="I573" s="167"/>
      <c r="J573" s="167"/>
      <c r="K573" s="167"/>
      <c r="L573" s="167"/>
      <c r="M573" s="167"/>
      <c r="N573" s="167"/>
      <c r="O573" s="167"/>
      <c r="P573" s="167"/>
    </row>
    <row r="574" spans="1:16" ht="14.4" hidden="1" x14ac:dyDescent="0.3">
      <c r="A574" s="162" t="s">
        <v>42</v>
      </c>
      <c r="B574" s="162"/>
      <c r="C574" s="56"/>
      <c r="D574" s="171"/>
      <c r="E574" s="171"/>
      <c r="F574" s="171"/>
      <c r="G574" s="171"/>
      <c r="H574" s="171"/>
      <c r="I574" s="171"/>
      <c r="J574" s="171"/>
      <c r="K574" s="171"/>
      <c r="L574" s="171"/>
      <c r="M574" s="171"/>
      <c r="N574" s="171"/>
      <c r="O574" s="171"/>
      <c r="P574" s="171"/>
    </row>
    <row r="575" spans="1:16" ht="14.4" hidden="1" x14ac:dyDescent="0.3">
      <c r="A575" s="162" t="s">
        <v>191</v>
      </c>
      <c r="B575" s="162"/>
      <c r="C575" s="56" t="s">
        <v>44</v>
      </c>
      <c r="D575" s="177"/>
      <c r="E575" s="177"/>
      <c r="F575" s="177"/>
      <c r="G575" s="177"/>
      <c r="H575" s="177"/>
      <c r="I575" s="177"/>
      <c r="J575" s="177"/>
      <c r="K575" s="177"/>
      <c r="L575" s="177"/>
      <c r="M575" s="177"/>
      <c r="N575" s="177"/>
      <c r="O575" s="177"/>
      <c r="P575" s="177"/>
    </row>
    <row r="576" spans="1:16" ht="14.4" hidden="1" x14ac:dyDescent="0.3">
      <c r="A576" s="162" t="s">
        <v>183</v>
      </c>
      <c r="B576" s="162"/>
      <c r="C576" s="56"/>
      <c r="D576" s="178"/>
      <c r="E576" s="178"/>
      <c r="F576" s="178"/>
      <c r="G576" s="178"/>
      <c r="H576" s="178"/>
      <c r="I576" s="178"/>
      <c r="J576" s="178"/>
      <c r="K576" s="178"/>
      <c r="L576" s="178"/>
      <c r="M576" s="178"/>
      <c r="N576" s="178"/>
      <c r="O576" s="178"/>
      <c r="P576" s="178"/>
    </row>
    <row r="577" spans="1:16" ht="14.4" hidden="1" x14ac:dyDescent="0.3">
      <c r="A577" s="162" t="s">
        <v>184</v>
      </c>
      <c r="B577" s="162"/>
      <c r="C577" s="56" t="s">
        <v>19</v>
      </c>
      <c r="D577" s="167"/>
      <c r="E577" s="167"/>
      <c r="F577" s="167"/>
      <c r="G577" s="167"/>
      <c r="H577" s="167"/>
      <c r="I577" s="167"/>
      <c r="J577" s="167"/>
      <c r="K577" s="167"/>
      <c r="L577" s="167"/>
      <c r="M577" s="167"/>
      <c r="N577" s="167"/>
      <c r="O577" s="167"/>
      <c r="P577" s="167"/>
    </row>
    <row r="578" spans="1:16" ht="14.4" hidden="1" x14ac:dyDescent="0.3">
      <c r="A578" s="162" t="s">
        <v>45</v>
      </c>
      <c r="B578" s="162"/>
      <c r="C578" s="56"/>
      <c r="D578" s="178"/>
      <c r="E578" s="178"/>
      <c r="F578" s="178"/>
      <c r="G578" s="178"/>
      <c r="H578" s="178"/>
      <c r="I578" s="178"/>
      <c r="J578" s="178"/>
      <c r="K578" s="178"/>
      <c r="L578" s="178"/>
      <c r="M578" s="178"/>
      <c r="N578" s="178"/>
      <c r="O578" s="178"/>
      <c r="P578" s="178"/>
    </row>
    <row r="579" spans="1:16" ht="14.4" hidden="1" x14ac:dyDescent="0.3">
      <c r="A579" s="162" t="s">
        <v>46</v>
      </c>
      <c r="B579" s="162"/>
      <c r="C579" s="56" t="s">
        <v>19</v>
      </c>
      <c r="D579" s="167"/>
      <c r="E579" s="167"/>
      <c r="F579" s="167"/>
      <c r="G579" s="167"/>
      <c r="H579" s="167"/>
      <c r="I579" s="167"/>
      <c r="J579" s="167"/>
      <c r="K579" s="167"/>
      <c r="L579" s="167"/>
      <c r="M579" s="167"/>
      <c r="N579" s="167"/>
      <c r="O579" s="167"/>
      <c r="P579" s="167"/>
    </row>
    <row r="580" spans="1:16" ht="14.4" hidden="1" x14ac:dyDescent="0.3">
      <c r="A580" s="162" t="s">
        <v>185</v>
      </c>
      <c r="B580" s="162"/>
      <c r="C580" s="56"/>
      <c r="D580" s="178"/>
      <c r="E580" s="178"/>
      <c r="F580" s="178"/>
      <c r="G580" s="178"/>
      <c r="H580" s="178"/>
      <c r="I580" s="178"/>
      <c r="J580" s="178"/>
      <c r="K580" s="178"/>
      <c r="L580" s="178"/>
      <c r="M580" s="178"/>
      <c r="N580" s="178"/>
      <c r="O580" s="178"/>
      <c r="P580" s="178"/>
    </row>
    <row r="581" spans="1:16" ht="14.4" hidden="1" x14ac:dyDescent="0.3">
      <c r="A581" s="162" t="s">
        <v>186</v>
      </c>
      <c r="B581" s="162"/>
      <c r="C581" s="56" t="s">
        <v>19</v>
      </c>
      <c r="D581" s="167"/>
      <c r="E581" s="167"/>
      <c r="F581" s="167"/>
      <c r="G581" s="167"/>
      <c r="H581" s="167"/>
      <c r="I581" s="167"/>
      <c r="J581" s="167"/>
      <c r="K581" s="167"/>
      <c r="L581" s="167"/>
      <c r="M581" s="167"/>
      <c r="N581" s="167"/>
      <c r="O581" s="167"/>
      <c r="P581" s="167"/>
    </row>
    <row r="582" spans="1:16" ht="14.4" hidden="1" x14ac:dyDescent="0.3">
      <c r="A582" s="162" t="s">
        <v>47</v>
      </c>
      <c r="B582" s="162"/>
      <c r="C582" s="56"/>
      <c r="D582" s="171"/>
      <c r="E582" s="171"/>
      <c r="F582" s="171"/>
      <c r="G582" s="171"/>
      <c r="H582" s="171"/>
      <c r="I582" s="171"/>
      <c r="J582" s="171"/>
      <c r="K582" s="171"/>
      <c r="L582" s="171"/>
      <c r="M582" s="171"/>
      <c r="N582" s="171"/>
      <c r="O582" s="171"/>
      <c r="P582" s="171"/>
    </row>
    <row r="583" spans="1:16" ht="14.4" hidden="1" x14ac:dyDescent="0.3">
      <c r="A583" s="55" t="s">
        <v>48</v>
      </c>
      <c r="B583" s="55"/>
      <c r="C583" s="56" t="s">
        <v>19</v>
      </c>
      <c r="D583" s="167"/>
      <c r="E583" s="167"/>
      <c r="F583" s="167"/>
      <c r="G583" s="167"/>
      <c r="H583" s="167"/>
      <c r="I583" s="167"/>
      <c r="J583" s="167"/>
      <c r="K583" s="167"/>
      <c r="L583" s="167"/>
      <c r="M583" s="167"/>
      <c r="N583" s="167"/>
      <c r="O583" s="167"/>
      <c r="P583" s="167"/>
    </row>
    <row r="584" spans="1:16" ht="14.4" hidden="1" x14ac:dyDescent="0.3">
      <c r="A584" s="55" t="s">
        <v>49</v>
      </c>
      <c r="B584" s="55"/>
      <c r="C584" s="56" t="s">
        <v>19</v>
      </c>
      <c r="D584" s="167"/>
      <c r="E584" s="167"/>
      <c r="F584" s="167"/>
      <c r="G584" s="167"/>
      <c r="H584" s="167"/>
      <c r="I584" s="167"/>
      <c r="J584" s="167"/>
      <c r="K584" s="167"/>
      <c r="L584" s="167"/>
      <c r="M584" s="167"/>
      <c r="N584" s="167"/>
      <c r="O584" s="167"/>
      <c r="P584" s="167"/>
    </row>
    <row r="585" spans="1:16" ht="14.4" hidden="1" x14ac:dyDescent="0.3">
      <c r="A585" s="162" t="s">
        <v>52</v>
      </c>
      <c r="B585" s="162"/>
      <c r="C585" s="179"/>
      <c r="D585" s="170"/>
      <c r="E585" s="170"/>
      <c r="F585" s="170"/>
      <c r="G585" s="170"/>
      <c r="H585" s="170"/>
      <c r="I585" s="170"/>
      <c r="J585" s="170"/>
      <c r="K585" s="170"/>
      <c r="L585" s="170"/>
      <c r="M585" s="170"/>
      <c r="N585" s="170"/>
      <c r="O585" s="170"/>
      <c r="P585" s="170"/>
    </row>
    <row r="586" spans="1:16" ht="14.4" hidden="1" x14ac:dyDescent="0.3">
      <c r="A586" s="55" t="s">
        <v>53</v>
      </c>
      <c r="B586" s="55"/>
      <c r="C586" s="56" t="s">
        <v>44</v>
      </c>
      <c r="D586" s="167"/>
      <c r="E586" s="167"/>
      <c r="F586" s="167"/>
      <c r="G586" s="167"/>
      <c r="H586" s="167"/>
      <c r="I586" s="167"/>
      <c r="J586" s="167"/>
      <c r="K586" s="167"/>
      <c r="L586" s="167"/>
      <c r="M586" s="167"/>
      <c r="N586" s="167"/>
      <c r="O586" s="167"/>
      <c r="P586" s="167"/>
    </row>
    <row r="587" spans="1:16" ht="14.4" hidden="1" x14ac:dyDescent="0.3">
      <c r="A587" s="55" t="s">
        <v>54</v>
      </c>
      <c r="B587" s="55"/>
      <c r="C587" s="56" t="s">
        <v>44</v>
      </c>
      <c r="D587" s="167"/>
      <c r="E587" s="167"/>
      <c r="F587" s="167"/>
      <c r="G587" s="167"/>
      <c r="H587" s="167"/>
      <c r="I587" s="167"/>
      <c r="J587" s="167"/>
      <c r="K587" s="167"/>
      <c r="L587" s="167"/>
      <c r="M587" s="167"/>
      <c r="N587" s="167"/>
      <c r="O587" s="167"/>
      <c r="P587" s="167"/>
    </row>
    <row r="588" spans="1:16" ht="14.4" hidden="1" x14ac:dyDescent="0.3">
      <c r="A588" s="55" t="s">
        <v>55</v>
      </c>
      <c r="B588" s="55"/>
      <c r="C588" s="56" t="s">
        <v>44</v>
      </c>
      <c r="D588" s="167"/>
      <c r="E588" s="167"/>
      <c r="F588" s="167"/>
      <c r="G588" s="167"/>
      <c r="H588" s="167"/>
      <c r="I588" s="167"/>
      <c r="J588" s="167"/>
      <c r="K588" s="167"/>
      <c r="L588" s="167"/>
      <c r="M588" s="167"/>
      <c r="N588" s="167"/>
      <c r="O588" s="167"/>
      <c r="P588" s="167"/>
    </row>
    <row r="589" spans="1:16" ht="14.4" hidden="1" x14ac:dyDescent="0.3">
      <c r="A589" s="55" t="s">
        <v>187</v>
      </c>
      <c r="B589" s="55"/>
      <c r="C589" s="56" t="s">
        <v>44</v>
      </c>
      <c r="D589" s="167"/>
      <c r="E589" s="167"/>
      <c r="F589" s="167"/>
      <c r="G589" s="167"/>
      <c r="H589" s="167"/>
      <c r="I589" s="167"/>
      <c r="J589" s="167"/>
      <c r="K589" s="167"/>
      <c r="L589" s="167"/>
      <c r="M589" s="167"/>
      <c r="N589" s="167"/>
      <c r="O589" s="167"/>
      <c r="P589" s="167"/>
    </row>
    <row r="590" spans="1:16" ht="14.4" hidden="1" x14ac:dyDescent="0.3">
      <c r="A590" s="55" t="s">
        <v>188</v>
      </c>
      <c r="B590" s="55"/>
      <c r="C590" s="56" t="s">
        <v>44</v>
      </c>
      <c r="D590" s="167"/>
      <c r="E590" s="167"/>
      <c r="F590" s="167"/>
      <c r="G590" s="167"/>
      <c r="H590" s="167"/>
      <c r="I590" s="167"/>
      <c r="J590" s="167"/>
      <c r="K590" s="167"/>
      <c r="L590" s="167"/>
      <c r="M590" s="167"/>
      <c r="N590" s="167"/>
      <c r="O590" s="167"/>
      <c r="P590" s="167"/>
    </row>
    <row r="591" spans="1:16" ht="14.4" hidden="1" x14ac:dyDescent="0.3">
      <c r="A591" s="55" t="s">
        <v>56</v>
      </c>
      <c r="B591" s="55"/>
      <c r="C591" s="56" t="s">
        <v>44</v>
      </c>
      <c r="D591" s="180"/>
      <c r="E591" s="180"/>
      <c r="F591" s="180"/>
      <c r="G591" s="180"/>
      <c r="H591" s="180"/>
      <c r="I591" s="180"/>
      <c r="J591" s="180"/>
      <c r="K591" s="180"/>
      <c r="L591" s="180"/>
      <c r="M591" s="180"/>
      <c r="N591" s="180"/>
      <c r="O591" s="180"/>
      <c r="P591" s="180"/>
    </row>
    <row r="592" spans="1:16" ht="14.4" hidden="1" x14ac:dyDescent="0.3">
      <c r="A592" s="55" t="s">
        <v>57</v>
      </c>
      <c r="B592" s="55"/>
      <c r="C592" s="56" t="s">
        <v>44</v>
      </c>
      <c r="D592" s="180"/>
      <c r="E592" s="180"/>
      <c r="F592" s="180"/>
      <c r="G592" s="180"/>
      <c r="H592" s="180"/>
      <c r="I592" s="180"/>
      <c r="J592" s="180"/>
      <c r="K592" s="180"/>
      <c r="L592" s="180"/>
      <c r="M592" s="180"/>
      <c r="N592" s="180"/>
      <c r="O592" s="180"/>
      <c r="P592" s="180"/>
    </row>
    <row r="593" spans="1:16" ht="14.4" hidden="1" x14ac:dyDescent="0.3">
      <c r="D593" s="58"/>
      <c r="E593" s="58"/>
      <c r="F593" s="58"/>
      <c r="G593" s="58"/>
      <c r="H593" s="58"/>
      <c r="I593" s="58"/>
      <c r="J593" s="58"/>
      <c r="K593" s="58"/>
      <c r="L593" s="58"/>
      <c r="M593" s="58"/>
      <c r="N593" s="58"/>
      <c r="O593" s="58"/>
      <c r="P593" s="58"/>
    </row>
    <row r="594" spans="1:16" ht="18" hidden="1" x14ac:dyDescent="0.35">
      <c r="A594" s="59" t="str">
        <f>'[42]Statistical data'!A234</f>
        <v>Customer Class with mix rate6</v>
      </c>
      <c r="C594" s="5" t="s">
        <v>190</v>
      </c>
      <c r="D594" s="160"/>
      <c r="E594" s="160"/>
      <c r="F594" s="160"/>
      <c r="G594" s="160"/>
      <c r="H594" s="160"/>
      <c r="I594" s="160"/>
      <c r="J594" s="160"/>
      <c r="K594" s="160"/>
      <c r="L594" s="160"/>
      <c r="M594" s="160"/>
      <c r="N594" s="160"/>
      <c r="O594" s="160"/>
      <c r="P594" s="160"/>
    </row>
    <row r="595" spans="1:16" ht="14.4" hidden="1" x14ac:dyDescent="0.3">
      <c r="A595" s="161" t="s">
        <v>3</v>
      </c>
      <c r="B595" s="161"/>
      <c r="C595" s="161" t="s">
        <v>4</v>
      </c>
      <c r="D595" s="161" t="s">
        <v>15</v>
      </c>
      <c r="E595" s="161" t="s">
        <v>15</v>
      </c>
      <c r="F595" s="161" t="s">
        <v>15</v>
      </c>
      <c r="G595" s="161" t="s">
        <v>15</v>
      </c>
      <c r="H595" s="161" t="s">
        <v>15</v>
      </c>
      <c r="I595" s="161" t="s">
        <v>15</v>
      </c>
      <c r="J595" s="161" t="s">
        <v>15</v>
      </c>
      <c r="K595" s="161" t="s">
        <v>15</v>
      </c>
      <c r="L595" s="161" t="s">
        <v>15</v>
      </c>
      <c r="M595" s="161" t="s">
        <v>15</v>
      </c>
      <c r="N595" s="161" t="s">
        <v>15</v>
      </c>
      <c r="O595" s="161" t="s">
        <v>15</v>
      </c>
      <c r="P595" s="161" t="s">
        <v>15</v>
      </c>
    </row>
    <row r="596" spans="1:16" ht="14.4" hidden="1" x14ac:dyDescent="0.3">
      <c r="A596" s="162" t="s">
        <v>17</v>
      </c>
      <c r="B596" s="163"/>
      <c r="C596" s="56"/>
      <c r="D596" s="164"/>
      <c r="E596" s="164"/>
      <c r="F596" s="164"/>
      <c r="G596" s="164"/>
      <c r="H596" s="164"/>
      <c r="I596" s="164"/>
      <c r="J596" s="164"/>
      <c r="K596" s="164"/>
      <c r="L596" s="164"/>
      <c r="M596" s="164"/>
      <c r="N596" s="164"/>
      <c r="O596" s="164"/>
      <c r="P596" s="164"/>
    </row>
    <row r="597" spans="1:16" ht="14.4" hidden="1" x14ac:dyDescent="0.3">
      <c r="A597" s="55" t="s">
        <v>18</v>
      </c>
      <c r="B597" s="165"/>
      <c r="C597" s="56" t="s">
        <v>19</v>
      </c>
      <c r="D597" s="166"/>
      <c r="E597" s="166"/>
      <c r="F597" s="166"/>
      <c r="G597" s="166"/>
      <c r="H597" s="166"/>
      <c r="I597" s="166"/>
      <c r="J597" s="166"/>
      <c r="K597" s="166"/>
      <c r="L597" s="166"/>
      <c r="M597" s="166"/>
      <c r="N597" s="166"/>
      <c r="O597" s="166"/>
      <c r="P597" s="166"/>
    </row>
    <row r="598" spans="1:16" ht="14.4" hidden="1" x14ac:dyDescent="0.3">
      <c r="A598" s="55" t="s">
        <v>66</v>
      </c>
      <c r="B598" s="165"/>
      <c r="C598" s="56" t="s">
        <v>19</v>
      </c>
      <c r="D598" s="166"/>
      <c r="E598" s="166"/>
      <c r="F598" s="166"/>
      <c r="G598" s="166"/>
      <c r="H598" s="166"/>
      <c r="I598" s="166"/>
      <c r="J598" s="166"/>
      <c r="K598" s="166"/>
      <c r="L598" s="166"/>
      <c r="M598" s="166"/>
      <c r="N598" s="166"/>
      <c r="O598" s="166"/>
      <c r="P598" s="166"/>
    </row>
    <row r="599" spans="1:16" ht="14.4" hidden="1" x14ac:dyDescent="0.3">
      <c r="A599" s="162" t="s">
        <v>20</v>
      </c>
      <c r="B599" s="163"/>
      <c r="C599" s="56"/>
      <c r="D599" s="168"/>
      <c r="E599" s="168"/>
      <c r="F599" s="168"/>
      <c r="G599" s="168"/>
      <c r="H599" s="168"/>
      <c r="I599" s="168"/>
      <c r="J599" s="168"/>
      <c r="K599" s="168"/>
      <c r="L599" s="168"/>
      <c r="M599" s="168"/>
      <c r="N599" s="168"/>
      <c r="O599" s="168"/>
      <c r="P599" s="168"/>
    </row>
    <row r="600" spans="1:16" ht="14.4" hidden="1" x14ac:dyDescent="0.3">
      <c r="A600" s="55" t="s">
        <v>21</v>
      </c>
      <c r="B600" s="165"/>
      <c r="C600" s="56" t="s">
        <v>19</v>
      </c>
      <c r="D600" s="166"/>
      <c r="E600" s="166"/>
      <c r="F600" s="166"/>
      <c r="G600" s="166"/>
      <c r="H600" s="166"/>
      <c r="I600" s="166"/>
      <c r="J600" s="166"/>
      <c r="K600" s="166"/>
      <c r="L600" s="166"/>
      <c r="M600" s="166"/>
      <c r="N600" s="166"/>
      <c r="O600" s="166"/>
      <c r="P600" s="166"/>
    </row>
    <row r="601" spans="1:16" ht="14.4" hidden="1" x14ac:dyDescent="0.3">
      <c r="A601" s="55" t="s">
        <v>22</v>
      </c>
      <c r="B601" s="165"/>
      <c r="C601" s="56" t="s">
        <v>23</v>
      </c>
      <c r="D601" s="166"/>
      <c r="E601" s="166"/>
      <c r="F601" s="166"/>
      <c r="G601" s="166"/>
      <c r="H601" s="166"/>
      <c r="I601" s="166"/>
      <c r="J601" s="166"/>
      <c r="K601" s="166"/>
      <c r="L601" s="166"/>
      <c r="M601" s="166"/>
      <c r="N601" s="166"/>
      <c r="O601" s="166"/>
      <c r="P601" s="166"/>
    </row>
    <row r="602" spans="1:16" ht="14.4" hidden="1" x14ac:dyDescent="0.3">
      <c r="A602" s="162" t="s">
        <v>24</v>
      </c>
      <c r="B602" s="163"/>
      <c r="C602" s="56"/>
      <c r="D602" s="168"/>
      <c r="E602" s="168"/>
      <c r="F602" s="168"/>
      <c r="G602" s="168"/>
      <c r="H602" s="168"/>
      <c r="I602" s="168"/>
      <c r="J602" s="168"/>
      <c r="K602" s="168"/>
      <c r="L602" s="168"/>
      <c r="M602" s="168"/>
      <c r="N602" s="168"/>
      <c r="O602" s="168"/>
      <c r="P602" s="168"/>
    </row>
    <row r="603" spans="1:16" ht="14.4" hidden="1" x14ac:dyDescent="0.3">
      <c r="A603" s="55" t="s">
        <v>25</v>
      </c>
      <c r="B603" s="165"/>
      <c r="C603" s="56" t="s">
        <v>19</v>
      </c>
      <c r="D603" s="166"/>
      <c r="E603" s="166"/>
      <c r="F603" s="166"/>
      <c r="G603" s="166"/>
      <c r="H603" s="166"/>
      <c r="I603" s="166"/>
      <c r="J603" s="166"/>
      <c r="K603" s="166"/>
      <c r="L603" s="166"/>
      <c r="M603" s="166"/>
      <c r="N603" s="166"/>
      <c r="O603" s="166"/>
      <c r="P603" s="166"/>
    </row>
    <row r="604" spans="1:16" ht="14.4" hidden="1" x14ac:dyDescent="0.3">
      <c r="A604" s="162" t="s">
        <v>26</v>
      </c>
      <c r="B604" s="162"/>
      <c r="C604" s="56"/>
      <c r="D604" s="170"/>
      <c r="E604" s="170"/>
      <c r="F604" s="170"/>
      <c r="G604" s="170"/>
      <c r="H604" s="170"/>
      <c r="I604" s="170"/>
      <c r="J604" s="170"/>
      <c r="K604" s="170"/>
      <c r="L604" s="170"/>
      <c r="M604" s="170"/>
      <c r="N604" s="170"/>
      <c r="O604" s="170"/>
      <c r="P604" s="170"/>
    </row>
    <row r="605" spans="1:16" ht="14.4" hidden="1" x14ac:dyDescent="0.3">
      <c r="A605" s="55" t="s">
        <v>27</v>
      </c>
      <c r="B605" s="55"/>
      <c r="C605" s="56" t="s">
        <v>19</v>
      </c>
      <c r="D605" s="167"/>
      <c r="E605" s="167"/>
      <c r="F605" s="167"/>
      <c r="G605" s="167"/>
      <c r="H605" s="167"/>
      <c r="I605" s="167"/>
      <c r="J605" s="167"/>
      <c r="K605" s="167"/>
      <c r="L605" s="167"/>
      <c r="M605" s="167"/>
      <c r="N605" s="167"/>
      <c r="O605" s="167"/>
      <c r="P605" s="167"/>
    </row>
    <row r="606" spans="1:16" ht="14.4" hidden="1" x14ac:dyDescent="0.3">
      <c r="A606" s="55" t="s">
        <v>28</v>
      </c>
      <c r="B606" s="55"/>
      <c r="C606" s="56" t="s">
        <v>23</v>
      </c>
      <c r="D606" s="167"/>
      <c r="E606" s="167"/>
      <c r="F606" s="167"/>
      <c r="G606" s="167"/>
      <c r="H606" s="167"/>
      <c r="I606" s="167"/>
      <c r="J606" s="167"/>
      <c r="K606" s="167"/>
      <c r="L606" s="167"/>
      <c r="M606" s="167"/>
      <c r="N606" s="167"/>
      <c r="O606" s="167"/>
      <c r="P606" s="167"/>
    </row>
    <row r="607" spans="1:16" ht="14.4" hidden="1" x14ac:dyDescent="0.3">
      <c r="A607" s="162" t="s">
        <v>29</v>
      </c>
      <c r="B607" s="162"/>
      <c r="C607" s="56"/>
      <c r="D607" s="171"/>
      <c r="E607" s="171"/>
      <c r="F607" s="171"/>
      <c r="G607" s="171"/>
      <c r="H607" s="171"/>
      <c r="I607" s="171"/>
      <c r="J607" s="171"/>
      <c r="K607" s="171"/>
      <c r="L607" s="171"/>
      <c r="M607" s="171"/>
      <c r="N607" s="171"/>
      <c r="O607" s="171"/>
      <c r="P607" s="171"/>
    </row>
    <row r="608" spans="1:16" ht="14.4" hidden="1" x14ac:dyDescent="0.3">
      <c r="A608" s="55" t="s">
        <v>30</v>
      </c>
      <c r="B608" s="55"/>
      <c r="C608" s="56" t="s">
        <v>19</v>
      </c>
      <c r="D608" s="167"/>
      <c r="E608" s="167"/>
      <c r="F608" s="167"/>
      <c r="G608" s="167"/>
      <c r="H608" s="167"/>
      <c r="I608" s="167"/>
      <c r="J608" s="167"/>
      <c r="K608" s="167"/>
      <c r="L608" s="167"/>
      <c r="M608" s="167"/>
      <c r="N608" s="167"/>
      <c r="O608" s="167"/>
      <c r="P608" s="167"/>
    </row>
    <row r="609" spans="1:16" ht="14.4" hidden="1" x14ac:dyDescent="0.3">
      <c r="A609" s="55" t="s">
        <v>31</v>
      </c>
      <c r="B609" s="55"/>
      <c r="C609" s="56" t="s">
        <v>32</v>
      </c>
      <c r="D609" s="167"/>
      <c r="E609" s="167"/>
      <c r="F609" s="167"/>
      <c r="G609" s="167"/>
      <c r="H609" s="167"/>
      <c r="I609" s="167"/>
      <c r="J609" s="167"/>
      <c r="K609" s="167"/>
      <c r="L609" s="167"/>
      <c r="M609" s="167"/>
      <c r="N609" s="167"/>
      <c r="O609" s="167"/>
      <c r="P609" s="167"/>
    </row>
    <row r="610" spans="1:16" ht="14.4" hidden="1" x14ac:dyDescent="0.3">
      <c r="A610" s="162" t="s">
        <v>33</v>
      </c>
      <c r="B610" s="162"/>
      <c r="C610" s="56"/>
      <c r="D610" s="171"/>
      <c r="E610" s="171"/>
      <c r="F610" s="171"/>
      <c r="G610" s="171"/>
      <c r="H610" s="171"/>
      <c r="I610" s="171"/>
      <c r="J610" s="171"/>
      <c r="K610" s="171"/>
      <c r="L610" s="171"/>
      <c r="M610" s="171"/>
      <c r="N610" s="171"/>
      <c r="O610" s="171"/>
      <c r="P610" s="171"/>
    </row>
    <row r="611" spans="1:16" ht="14.4" hidden="1" x14ac:dyDescent="0.3">
      <c r="A611" s="55" t="s">
        <v>34</v>
      </c>
      <c r="B611" s="55"/>
      <c r="C611" s="56" t="s">
        <v>19</v>
      </c>
      <c r="D611" s="167"/>
      <c r="E611" s="167"/>
      <c r="F611" s="167"/>
      <c r="G611" s="167"/>
      <c r="H611" s="167"/>
      <c r="I611" s="167"/>
      <c r="J611" s="167"/>
      <c r="K611" s="167"/>
      <c r="L611" s="167"/>
      <c r="M611" s="167"/>
      <c r="N611" s="167"/>
      <c r="O611" s="167"/>
      <c r="P611" s="167"/>
    </row>
    <row r="612" spans="1:16" ht="14.4" hidden="1" x14ac:dyDescent="0.3">
      <c r="A612" s="55" t="s">
        <v>35</v>
      </c>
      <c r="B612" s="55"/>
      <c r="C612" s="56" t="s">
        <v>36</v>
      </c>
      <c r="D612" s="167"/>
      <c r="E612" s="167"/>
      <c r="F612" s="167"/>
      <c r="G612" s="167"/>
      <c r="H612" s="167"/>
      <c r="I612" s="167"/>
      <c r="J612" s="167"/>
      <c r="K612" s="167"/>
      <c r="L612" s="167"/>
      <c r="M612" s="167"/>
      <c r="N612" s="167"/>
      <c r="O612" s="167"/>
      <c r="P612" s="167"/>
    </row>
    <row r="613" spans="1:16" ht="14.4" hidden="1" x14ac:dyDescent="0.3">
      <c r="A613" s="162" t="s">
        <v>37</v>
      </c>
      <c r="B613" s="162"/>
      <c r="C613" s="56"/>
      <c r="D613" s="171"/>
      <c r="E613" s="171"/>
      <c r="F613" s="171"/>
      <c r="G613" s="171"/>
      <c r="H613" s="171"/>
      <c r="I613" s="171"/>
      <c r="J613" s="171"/>
      <c r="K613" s="171"/>
      <c r="L613" s="171"/>
      <c r="M613" s="171"/>
      <c r="N613" s="171"/>
      <c r="O613" s="171"/>
      <c r="P613" s="171"/>
    </row>
    <row r="614" spans="1:16" ht="14.4" hidden="1" x14ac:dyDescent="0.3">
      <c r="A614" s="172" t="s">
        <v>38</v>
      </c>
      <c r="B614" s="55"/>
      <c r="C614" s="56" t="s">
        <v>19</v>
      </c>
      <c r="D614" s="167"/>
      <c r="E614" s="167"/>
      <c r="F614" s="167"/>
      <c r="G614" s="167"/>
      <c r="H614" s="167"/>
      <c r="I614" s="167"/>
      <c r="J614" s="167"/>
      <c r="K614" s="167"/>
      <c r="L614" s="167"/>
      <c r="M614" s="167"/>
      <c r="N614" s="167"/>
      <c r="O614" s="167"/>
      <c r="P614" s="167"/>
    </row>
    <row r="615" spans="1:16" ht="14.4" hidden="1" x14ac:dyDescent="0.3">
      <c r="A615" s="172" t="s">
        <v>39</v>
      </c>
      <c r="B615" s="55"/>
      <c r="C615" s="56" t="s">
        <v>19</v>
      </c>
      <c r="D615" s="167"/>
      <c r="E615" s="167"/>
      <c r="F615" s="167"/>
      <c r="G615" s="167"/>
      <c r="H615" s="167"/>
      <c r="I615" s="167"/>
      <c r="J615" s="167"/>
      <c r="K615" s="167"/>
      <c r="L615" s="167"/>
      <c r="M615" s="167"/>
      <c r="N615" s="167"/>
      <c r="O615" s="167"/>
      <c r="P615" s="167"/>
    </row>
    <row r="616" spans="1:16" ht="14.4" hidden="1" x14ac:dyDescent="0.3">
      <c r="A616" s="172" t="s">
        <v>180</v>
      </c>
      <c r="B616" s="55"/>
      <c r="C616" s="56" t="s">
        <v>19</v>
      </c>
      <c r="D616" s="167"/>
      <c r="E616" s="167"/>
      <c r="F616" s="167"/>
      <c r="G616" s="167"/>
      <c r="H616" s="167"/>
      <c r="I616" s="167"/>
      <c r="J616" s="167"/>
      <c r="K616" s="167"/>
      <c r="L616" s="167"/>
      <c r="M616" s="167"/>
      <c r="N616" s="167"/>
      <c r="O616" s="167"/>
      <c r="P616" s="167"/>
    </row>
    <row r="617" spans="1:16" ht="14.4" hidden="1" x14ac:dyDescent="0.3">
      <c r="A617" s="173" t="s">
        <v>40</v>
      </c>
      <c r="B617" s="55"/>
      <c r="C617" s="56" t="s">
        <v>19</v>
      </c>
      <c r="D617" s="167"/>
      <c r="E617" s="167"/>
      <c r="F617" s="167"/>
      <c r="G617" s="167"/>
      <c r="H617" s="167"/>
      <c r="I617" s="167"/>
      <c r="J617" s="167"/>
      <c r="K617" s="167"/>
      <c r="L617" s="167"/>
      <c r="M617" s="167"/>
      <c r="N617" s="167"/>
      <c r="O617" s="167"/>
      <c r="P617" s="167"/>
    </row>
    <row r="618" spans="1:16" ht="14.4" hidden="1" x14ac:dyDescent="0.3">
      <c r="A618" s="173" t="s">
        <v>41</v>
      </c>
      <c r="B618" s="55"/>
      <c r="C618" s="56" t="s">
        <v>19</v>
      </c>
      <c r="D618" s="167"/>
      <c r="E618" s="167"/>
      <c r="F618" s="167"/>
      <c r="G618" s="167"/>
      <c r="H618" s="167"/>
      <c r="I618" s="167"/>
      <c r="J618" s="167"/>
      <c r="K618" s="167"/>
      <c r="L618" s="167"/>
      <c r="M618" s="167"/>
      <c r="N618" s="167"/>
      <c r="O618" s="167"/>
      <c r="P618" s="167"/>
    </row>
    <row r="619" spans="1:16" ht="16.2" hidden="1" x14ac:dyDescent="0.3">
      <c r="A619" s="174" t="s">
        <v>182</v>
      </c>
      <c r="B619" s="175"/>
      <c r="C619" s="56" t="s">
        <v>19</v>
      </c>
      <c r="D619" s="167"/>
      <c r="E619" s="167"/>
      <c r="F619" s="167"/>
      <c r="G619" s="167"/>
      <c r="H619" s="167"/>
      <c r="I619" s="167"/>
      <c r="J619" s="167"/>
      <c r="K619" s="167"/>
      <c r="L619" s="167"/>
      <c r="M619" s="167"/>
      <c r="N619" s="167"/>
      <c r="O619" s="167"/>
      <c r="P619" s="167"/>
    </row>
    <row r="620" spans="1:16" ht="16.2" hidden="1" x14ac:dyDescent="0.3">
      <c r="A620" s="174" t="s">
        <v>182</v>
      </c>
      <c r="B620" s="175"/>
      <c r="C620" s="56" t="s">
        <v>19</v>
      </c>
      <c r="D620" s="167"/>
      <c r="E620" s="167"/>
      <c r="F620" s="167"/>
      <c r="G620" s="167"/>
      <c r="H620" s="167"/>
      <c r="I620" s="167"/>
      <c r="J620" s="167"/>
      <c r="K620" s="167"/>
      <c r="L620" s="167"/>
      <c r="M620" s="167"/>
      <c r="N620" s="167"/>
      <c r="O620" s="167"/>
      <c r="P620" s="167"/>
    </row>
    <row r="621" spans="1:16" ht="16.2" hidden="1" x14ac:dyDescent="0.3">
      <c r="A621" s="174" t="s">
        <v>182</v>
      </c>
      <c r="B621" s="176"/>
      <c r="C621" s="56" t="s">
        <v>19</v>
      </c>
      <c r="D621" s="167"/>
      <c r="E621" s="167"/>
      <c r="F621" s="167"/>
      <c r="G621" s="167"/>
      <c r="H621" s="167"/>
      <c r="I621" s="167"/>
      <c r="J621" s="167"/>
      <c r="K621" s="167"/>
      <c r="L621" s="167"/>
      <c r="M621" s="167"/>
      <c r="N621" s="167"/>
      <c r="O621" s="167"/>
      <c r="P621" s="167"/>
    </row>
    <row r="622" spans="1:16" ht="14.4" hidden="1" x14ac:dyDescent="0.3">
      <c r="A622" s="162" t="s">
        <v>42</v>
      </c>
      <c r="B622" s="162"/>
      <c r="C622" s="56"/>
      <c r="D622" s="171"/>
      <c r="E622" s="171"/>
      <c r="F622" s="171"/>
      <c r="G622" s="171"/>
      <c r="H622" s="171"/>
      <c r="I622" s="171"/>
      <c r="J622" s="171"/>
      <c r="K622" s="171"/>
      <c r="L622" s="171"/>
      <c r="M622" s="171"/>
      <c r="N622" s="171"/>
      <c r="O622" s="171"/>
      <c r="P622" s="171"/>
    </row>
    <row r="623" spans="1:16" ht="14.4" hidden="1" x14ac:dyDescent="0.3">
      <c r="A623" s="162" t="s">
        <v>191</v>
      </c>
      <c r="B623" s="162"/>
      <c r="C623" s="56" t="s">
        <v>44</v>
      </c>
      <c r="D623" s="177"/>
      <c r="E623" s="177"/>
      <c r="F623" s="177"/>
      <c r="G623" s="177"/>
      <c r="H623" s="177"/>
      <c r="I623" s="177"/>
      <c r="J623" s="177"/>
      <c r="K623" s="177"/>
      <c r="L623" s="177"/>
      <c r="M623" s="177"/>
      <c r="N623" s="177"/>
      <c r="O623" s="177"/>
      <c r="P623" s="177"/>
    </row>
    <row r="624" spans="1:16" ht="14.4" hidden="1" x14ac:dyDescent="0.3">
      <c r="A624" s="162" t="s">
        <v>183</v>
      </c>
      <c r="B624" s="162"/>
      <c r="C624" s="56"/>
      <c r="D624" s="178"/>
      <c r="E624" s="178"/>
      <c r="F624" s="178"/>
      <c r="G624" s="178"/>
      <c r="H624" s="178"/>
      <c r="I624" s="178"/>
      <c r="J624" s="178"/>
      <c r="K624" s="178"/>
      <c r="L624" s="178"/>
      <c r="M624" s="178"/>
      <c r="N624" s="178"/>
      <c r="O624" s="178"/>
      <c r="P624" s="178"/>
    </row>
    <row r="625" spans="1:16" ht="14.4" hidden="1" x14ac:dyDescent="0.3">
      <c r="A625" s="162" t="s">
        <v>184</v>
      </c>
      <c r="B625" s="162"/>
      <c r="C625" s="56" t="s">
        <v>19</v>
      </c>
      <c r="D625" s="167"/>
      <c r="E625" s="167"/>
      <c r="F625" s="167"/>
      <c r="G625" s="167"/>
      <c r="H625" s="167"/>
      <c r="I625" s="167"/>
      <c r="J625" s="167"/>
      <c r="K625" s="167"/>
      <c r="L625" s="167"/>
      <c r="M625" s="167"/>
      <c r="N625" s="167"/>
      <c r="O625" s="167"/>
      <c r="P625" s="167"/>
    </row>
    <row r="626" spans="1:16" ht="14.4" hidden="1" x14ac:dyDescent="0.3">
      <c r="A626" s="162" t="s">
        <v>45</v>
      </c>
      <c r="B626" s="162"/>
      <c r="C626" s="56"/>
      <c r="D626" s="178"/>
      <c r="E626" s="178"/>
      <c r="F626" s="178"/>
      <c r="G626" s="178"/>
      <c r="H626" s="178"/>
      <c r="I626" s="178"/>
      <c r="J626" s="178"/>
      <c r="K626" s="178"/>
      <c r="L626" s="178"/>
      <c r="M626" s="178"/>
      <c r="N626" s="178"/>
      <c r="O626" s="178"/>
      <c r="P626" s="178"/>
    </row>
    <row r="627" spans="1:16" ht="14.4" hidden="1" x14ac:dyDescent="0.3">
      <c r="A627" s="162" t="s">
        <v>46</v>
      </c>
      <c r="B627" s="162"/>
      <c r="C627" s="56" t="s">
        <v>19</v>
      </c>
      <c r="D627" s="167"/>
      <c r="E627" s="167"/>
      <c r="F627" s="167"/>
      <c r="G627" s="167"/>
      <c r="H627" s="167"/>
      <c r="I627" s="167"/>
      <c r="J627" s="167"/>
      <c r="K627" s="167"/>
      <c r="L627" s="167"/>
      <c r="M627" s="167"/>
      <c r="N627" s="167"/>
      <c r="O627" s="167"/>
      <c r="P627" s="167"/>
    </row>
    <row r="628" spans="1:16" ht="14.4" hidden="1" x14ac:dyDescent="0.3">
      <c r="A628" s="162" t="s">
        <v>185</v>
      </c>
      <c r="B628" s="162"/>
      <c r="C628" s="56"/>
      <c r="D628" s="178"/>
      <c r="E628" s="178"/>
      <c r="F628" s="178"/>
      <c r="G628" s="178"/>
      <c r="H628" s="178"/>
      <c r="I628" s="178"/>
      <c r="J628" s="178"/>
      <c r="K628" s="178"/>
      <c r="L628" s="178"/>
      <c r="M628" s="178"/>
      <c r="N628" s="178"/>
      <c r="O628" s="178"/>
      <c r="P628" s="178"/>
    </row>
    <row r="629" spans="1:16" ht="14.4" hidden="1" x14ac:dyDescent="0.3">
      <c r="A629" s="162" t="s">
        <v>186</v>
      </c>
      <c r="B629" s="162"/>
      <c r="C629" s="56" t="s">
        <v>19</v>
      </c>
      <c r="D629" s="167"/>
      <c r="E629" s="167"/>
      <c r="F629" s="167"/>
      <c r="G629" s="167"/>
      <c r="H629" s="167"/>
      <c r="I629" s="167"/>
      <c r="J629" s="167"/>
      <c r="K629" s="167"/>
      <c r="L629" s="167"/>
      <c r="M629" s="167"/>
      <c r="N629" s="167"/>
      <c r="O629" s="167"/>
      <c r="P629" s="167"/>
    </row>
    <row r="630" spans="1:16" ht="14.4" hidden="1" x14ac:dyDescent="0.3">
      <c r="A630" s="162" t="s">
        <v>47</v>
      </c>
      <c r="B630" s="162"/>
      <c r="C630" s="56"/>
      <c r="D630" s="171"/>
      <c r="E630" s="171"/>
      <c r="F630" s="171"/>
      <c r="G630" s="171"/>
      <c r="H630" s="171"/>
      <c r="I630" s="171"/>
      <c r="J630" s="171"/>
      <c r="K630" s="171"/>
      <c r="L630" s="171"/>
      <c r="M630" s="171"/>
      <c r="N630" s="171"/>
      <c r="O630" s="171"/>
      <c r="P630" s="171"/>
    </row>
    <row r="631" spans="1:16" ht="14.4" hidden="1" x14ac:dyDescent="0.3">
      <c r="A631" s="55" t="s">
        <v>48</v>
      </c>
      <c r="B631" s="55"/>
      <c r="C631" s="56" t="s">
        <v>19</v>
      </c>
      <c r="D631" s="167"/>
      <c r="E631" s="167"/>
      <c r="F631" s="167"/>
      <c r="G631" s="167"/>
      <c r="H631" s="167"/>
      <c r="I631" s="167"/>
      <c r="J631" s="167"/>
      <c r="K631" s="167"/>
      <c r="L631" s="167"/>
      <c r="M631" s="167"/>
      <c r="N631" s="167"/>
      <c r="O631" s="167"/>
      <c r="P631" s="167"/>
    </row>
    <row r="632" spans="1:16" ht="14.4" hidden="1" x14ac:dyDescent="0.3">
      <c r="A632" s="55" t="s">
        <v>49</v>
      </c>
      <c r="B632" s="55"/>
      <c r="C632" s="56" t="s">
        <v>19</v>
      </c>
      <c r="D632" s="167"/>
      <c r="E632" s="167"/>
      <c r="F632" s="167"/>
      <c r="G632" s="167"/>
      <c r="H632" s="167"/>
      <c r="I632" s="167"/>
      <c r="J632" s="167"/>
      <c r="K632" s="167"/>
      <c r="L632" s="167"/>
      <c r="M632" s="167"/>
      <c r="N632" s="167"/>
      <c r="O632" s="167"/>
      <c r="P632" s="167"/>
    </row>
    <row r="633" spans="1:16" ht="14.4" hidden="1" x14ac:dyDescent="0.3">
      <c r="A633" s="162" t="s">
        <v>52</v>
      </c>
      <c r="B633" s="162"/>
      <c r="C633" s="179"/>
      <c r="D633" s="170"/>
      <c r="E633" s="170"/>
      <c r="F633" s="170"/>
      <c r="G633" s="170"/>
      <c r="H633" s="170"/>
      <c r="I633" s="170"/>
      <c r="J633" s="170"/>
      <c r="K633" s="170"/>
      <c r="L633" s="170"/>
      <c r="M633" s="170"/>
      <c r="N633" s="170"/>
      <c r="O633" s="170"/>
      <c r="P633" s="170"/>
    </row>
    <row r="634" spans="1:16" ht="14.4" hidden="1" x14ac:dyDescent="0.3">
      <c r="A634" s="55" t="s">
        <v>53</v>
      </c>
      <c r="B634" s="55"/>
      <c r="C634" s="56" t="s">
        <v>44</v>
      </c>
      <c r="D634" s="167"/>
      <c r="E634" s="167"/>
      <c r="F634" s="167"/>
      <c r="G634" s="167"/>
      <c r="H634" s="167"/>
      <c r="I634" s="167"/>
      <c r="J634" s="167"/>
      <c r="K634" s="167"/>
      <c r="L634" s="167"/>
      <c r="M634" s="167"/>
      <c r="N634" s="167"/>
      <c r="O634" s="167"/>
      <c r="P634" s="167"/>
    </row>
    <row r="635" spans="1:16" ht="14.4" hidden="1" x14ac:dyDescent="0.3">
      <c r="A635" s="55" t="s">
        <v>54</v>
      </c>
      <c r="B635" s="55"/>
      <c r="C635" s="56" t="s">
        <v>44</v>
      </c>
      <c r="D635" s="167"/>
      <c r="E635" s="167"/>
      <c r="F635" s="167"/>
      <c r="G635" s="167"/>
      <c r="H635" s="167"/>
      <c r="I635" s="167"/>
      <c r="J635" s="167"/>
      <c r="K635" s="167"/>
      <c r="L635" s="167"/>
      <c r="M635" s="167"/>
      <c r="N635" s="167"/>
      <c r="O635" s="167"/>
      <c r="P635" s="167"/>
    </row>
    <row r="636" spans="1:16" ht="14.4" hidden="1" x14ac:dyDescent="0.3">
      <c r="A636" s="55" t="s">
        <v>55</v>
      </c>
      <c r="B636" s="55"/>
      <c r="C636" s="56" t="s">
        <v>44</v>
      </c>
      <c r="D636" s="167"/>
      <c r="E636" s="167"/>
      <c r="F636" s="167"/>
      <c r="G636" s="167"/>
      <c r="H636" s="167"/>
      <c r="I636" s="167"/>
      <c r="J636" s="167"/>
      <c r="K636" s="167"/>
      <c r="L636" s="167"/>
      <c r="M636" s="167"/>
      <c r="N636" s="167"/>
      <c r="O636" s="167"/>
      <c r="P636" s="167"/>
    </row>
    <row r="637" spans="1:16" ht="14.4" hidden="1" x14ac:dyDescent="0.3">
      <c r="A637" s="55" t="s">
        <v>187</v>
      </c>
      <c r="B637" s="55"/>
      <c r="C637" s="56" t="s">
        <v>44</v>
      </c>
      <c r="D637" s="167"/>
      <c r="E637" s="167"/>
      <c r="F637" s="167"/>
      <c r="G637" s="167"/>
      <c r="H637" s="167"/>
      <c r="I637" s="167"/>
      <c r="J637" s="167"/>
      <c r="K637" s="167"/>
      <c r="L637" s="167"/>
      <c r="M637" s="167"/>
      <c r="N637" s="167"/>
      <c r="O637" s="167"/>
      <c r="P637" s="167"/>
    </row>
    <row r="638" spans="1:16" ht="14.4" hidden="1" x14ac:dyDescent="0.3">
      <c r="A638" s="55" t="s">
        <v>188</v>
      </c>
      <c r="B638" s="55"/>
      <c r="C638" s="56" t="s">
        <v>44</v>
      </c>
      <c r="D638" s="167"/>
      <c r="E638" s="167"/>
      <c r="F638" s="167"/>
      <c r="G638" s="167"/>
      <c r="H638" s="167"/>
      <c r="I638" s="167"/>
      <c r="J638" s="167"/>
      <c r="K638" s="167"/>
      <c r="L638" s="167"/>
      <c r="M638" s="167"/>
      <c r="N638" s="167"/>
      <c r="O638" s="167"/>
      <c r="P638" s="167"/>
    </row>
    <row r="639" spans="1:16" ht="14.4" hidden="1" x14ac:dyDescent="0.3">
      <c r="A639" s="55" t="s">
        <v>56</v>
      </c>
      <c r="B639" s="55"/>
      <c r="C639" s="56" t="s">
        <v>44</v>
      </c>
      <c r="D639" s="180"/>
      <c r="E639" s="180"/>
      <c r="F639" s="180"/>
      <c r="G639" s="180"/>
      <c r="H639" s="180"/>
      <c r="I639" s="180"/>
      <c r="J639" s="180"/>
      <c r="K639" s="180"/>
      <c r="L639" s="180"/>
      <c r="M639" s="180"/>
      <c r="N639" s="180"/>
      <c r="O639" s="180"/>
      <c r="P639" s="180"/>
    </row>
    <row r="640" spans="1:16" ht="14.4" hidden="1" x14ac:dyDescent="0.3">
      <c r="A640" s="55" t="s">
        <v>57</v>
      </c>
      <c r="B640" s="55"/>
      <c r="C640" s="56" t="s">
        <v>44</v>
      </c>
      <c r="D640" s="180"/>
      <c r="E640" s="180"/>
      <c r="F640" s="180"/>
      <c r="G640" s="180"/>
      <c r="H640" s="180"/>
      <c r="I640" s="180"/>
      <c r="J640" s="180"/>
      <c r="K640" s="180"/>
      <c r="L640" s="180"/>
      <c r="M640" s="180"/>
      <c r="N640" s="180"/>
      <c r="O640" s="180"/>
      <c r="P640" s="180"/>
    </row>
    <row r="641" spans="1:16" ht="14.4" hidden="1" x14ac:dyDescent="0.3">
      <c r="D641" s="58"/>
      <c r="E641" s="58"/>
      <c r="F641" s="58"/>
      <c r="G641" s="58"/>
      <c r="H641" s="58"/>
      <c r="I641" s="58"/>
      <c r="J641" s="58"/>
      <c r="K641" s="58"/>
      <c r="L641" s="58"/>
      <c r="M641" s="58"/>
      <c r="N641" s="58"/>
      <c r="O641" s="58"/>
      <c r="P641" s="58"/>
    </row>
    <row r="642" spans="1:16" ht="18" hidden="1" x14ac:dyDescent="0.35">
      <c r="A642" s="59" t="str">
        <f>'[42]Statistical data'!A235</f>
        <v>Customer Class with mix rate7</v>
      </c>
      <c r="C642" s="5" t="s">
        <v>190</v>
      </c>
      <c r="D642" s="160"/>
      <c r="E642" s="160"/>
      <c r="F642" s="160"/>
      <c r="G642" s="160"/>
      <c r="H642" s="160"/>
      <c r="I642" s="160"/>
      <c r="J642" s="160"/>
      <c r="K642" s="160"/>
      <c r="L642" s="160"/>
      <c r="M642" s="160"/>
      <c r="N642" s="160"/>
      <c r="O642" s="160"/>
      <c r="P642" s="160"/>
    </row>
    <row r="643" spans="1:16" ht="14.4" hidden="1" x14ac:dyDescent="0.3">
      <c r="A643" s="161" t="s">
        <v>3</v>
      </c>
      <c r="B643" s="161"/>
      <c r="C643" s="161" t="s">
        <v>4</v>
      </c>
      <c r="D643" s="161" t="s">
        <v>15</v>
      </c>
      <c r="E643" s="161" t="s">
        <v>15</v>
      </c>
      <c r="F643" s="161" t="s">
        <v>15</v>
      </c>
      <c r="G643" s="161" t="s">
        <v>15</v>
      </c>
      <c r="H643" s="161" t="s">
        <v>15</v>
      </c>
      <c r="I643" s="161" t="s">
        <v>15</v>
      </c>
      <c r="J643" s="161" t="s">
        <v>15</v>
      </c>
      <c r="K643" s="161" t="s">
        <v>15</v>
      </c>
      <c r="L643" s="161" t="s">
        <v>15</v>
      </c>
      <c r="M643" s="161" t="s">
        <v>15</v>
      </c>
      <c r="N643" s="161" t="s">
        <v>15</v>
      </c>
      <c r="O643" s="161" t="s">
        <v>15</v>
      </c>
      <c r="P643" s="161" t="s">
        <v>15</v>
      </c>
    </row>
    <row r="644" spans="1:16" ht="14.4" hidden="1" x14ac:dyDescent="0.3">
      <c r="A644" s="162" t="s">
        <v>17</v>
      </c>
      <c r="B644" s="163"/>
      <c r="C644" s="56"/>
      <c r="D644" s="164"/>
      <c r="E644" s="164"/>
      <c r="F644" s="164"/>
      <c r="G644" s="164"/>
      <c r="H644" s="164"/>
      <c r="I644" s="164"/>
      <c r="J644" s="164"/>
      <c r="K644" s="164"/>
      <c r="L644" s="164"/>
      <c r="M644" s="164"/>
      <c r="N644" s="164"/>
      <c r="O644" s="164"/>
      <c r="P644" s="164"/>
    </row>
    <row r="645" spans="1:16" ht="14.4" hidden="1" x14ac:dyDescent="0.3">
      <c r="A645" s="55" t="s">
        <v>18</v>
      </c>
      <c r="B645" s="165"/>
      <c r="C645" s="56" t="s">
        <v>19</v>
      </c>
      <c r="D645" s="166"/>
      <c r="E645" s="166"/>
      <c r="F645" s="166"/>
      <c r="G645" s="166"/>
      <c r="H645" s="166"/>
      <c r="I645" s="166"/>
      <c r="J645" s="166"/>
      <c r="K645" s="166"/>
      <c r="L645" s="166"/>
      <c r="M645" s="166"/>
      <c r="N645" s="166"/>
      <c r="O645" s="166"/>
      <c r="P645" s="166"/>
    </row>
    <row r="646" spans="1:16" ht="14.4" hidden="1" x14ac:dyDescent="0.3">
      <c r="A646" s="55" t="s">
        <v>66</v>
      </c>
      <c r="B646" s="165"/>
      <c r="C646" s="56" t="s">
        <v>19</v>
      </c>
      <c r="D646" s="166"/>
      <c r="E646" s="166"/>
      <c r="F646" s="166"/>
      <c r="G646" s="166"/>
      <c r="H646" s="166"/>
      <c r="I646" s="166"/>
      <c r="J646" s="166"/>
      <c r="K646" s="166"/>
      <c r="L646" s="166"/>
      <c r="M646" s="166"/>
      <c r="N646" s="166"/>
      <c r="O646" s="166"/>
      <c r="P646" s="166"/>
    </row>
    <row r="647" spans="1:16" ht="14.4" hidden="1" x14ac:dyDescent="0.3">
      <c r="A647" s="162" t="s">
        <v>20</v>
      </c>
      <c r="B647" s="163"/>
      <c r="C647" s="56"/>
      <c r="D647" s="168"/>
      <c r="E647" s="168"/>
      <c r="F647" s="168"/>
      <c r="G647" s="168"/>
      <c r="H647" s="168"/>
      <c r="I647" s="168"/>
      <c r="J647" s="168"/>
      <c r="K647" s="168"/>
      <c r="L647" s="168"/>
      <c r="M647" s="168"/>
      <c r="N647" s="168"/>
      <c r="O647" s="168"/>
      <c r="P647" s="168"/>
    </row>
    <row r="648" spans="1:16" ht="14.4" hidden="1" x14ac:dyDescent="0.3">
      <c r="A648" s="55" t="s">
        <v>21</v>
      </c>
      <c r="B648" s="165"/>
      <c r="C648" s="56" t="s">
        <v>19</v>
      </c>
      <c r="D648" s="166"/>
      <c r="E648" s="166"/>
      <c r="F648" s="166"/>
      <c r="G648" s="166"/>
      <c r="H648" s="166"/>
      <c r="I648" s="166"/>
      <c r="J648" s="166"/>
      <c r="K648" s="166"/>
      <c r="L648" s="166"/>
      <c r="M648" s="166"/>
      <c r="N648" s="166"/>
      <c r="O648" s="166"/>
      <c r="P648" s="166"/>
    </row>
    <row r="649" spans="1:16" ht="14.4" hidden="1" x14ac:dyDescent="0.3">
      <c r="A649" s="55" t="s">
        <v>22</v>
      </c>
      <c r="B649" s="165"/>
      <c r="C649" s="56" t="s">
        <v>23</v>
      </c>
      <c r="D649" s="166"/>
      <c r="E649" s="166"/>
      <c r="F649" s="166"/>
      <c r="G649" s="166"/>
      <c r="H649" s="166"/>
      <c r="I649" s="166"/>
      <c r="J649" s="166"/>
      <c r="K649" s="166"/>
      <c r="L649" s="166"/>
      <c r="M649" s="166"/>
      <c r="N649" s="166"/>
      <c r="O649" s="166"/>
      <c r="P649" s="166"/>
    </row>
    <row r="650" spans="1:16" ht="14.4" hidden="1" x14ac:dyDescent="0.3">
      <c r="A650" s="162" t="s">
        <v>24</v>
      </c>
      <c r="B650" s="163"/>
      <c r="C650" s="56"/>
      <c r="D650" s="168"/>
      <c r="E650" s="168"/>
      <c r="F650" s="168"/>
      <c r="G650" s="168"/>
      <c r="H650" s="168"/>
      <c r="I650" s="168"/>
      <c r="J650" s="168"/>
      <c r="K650" s="168"/>
      <c r="L650" s="168"/>
      <c r="M650" s="168"/>
      <c r="N650" s="168"/>
      <c r="O650" s="168"/>
      <c r="P650" s="168"/>
    </row>
    <row r="651" spans="1:16" ht="14.4" hidden="1" x14ac:dyDescent="0.3">
      <c r="A651" s="55" t="s">
        <v>25</v>
      </c>
      <c r="B651" s="165"/>
      <c r="C651" s="56" t="s">
        <v>19</v>
      </c>
      <c r="D651" s="166"/>
      <c r="E651" s="166"/>
      <c r="F651" s="166"/>
      <c r="G651" s="166"/>
      <c r="H651" s="166"/>
      <c r="I651" s="166"/>
      <c r="J651" s="166"/>
      <c r="K651" s="166"/>
      <c r="L651" s="166"/>
      <c r="M651" s="166"/>
      <c r="N651" s="166"/>
      <c r="O651" s="166"/>
      <c r="P651" s="166"/>
    </row>
    <row r="652" spans="1:16" ht="14.4" hidden="1" x14ac:dyDescent="0.3">
      <c r="A652" s="162" t="s">
        <v>26</v>
      </c>
      <c r="B652" s="162"/>
      <c r="C652" s="56"/>
      <c r="D652" s="170"/>
      <c r="E652" s="170"/>
      <c r="F652" s="170"/>
      <c r="G652" s="170"/>
      <c r="H652" s="170"/>
      <c r="I652" s="170"/>
      <c r="J652" s="170"/>
      <c r="K652" s="170"/>
      <c r="L652" s="170"/>
      <c r="M652" s="170"/>
      <c r="N652" s="170"/>
      <c r="O652" s="170"/>
      <c r="P652" s="170"/>
    </row>
    <row r="653" spans="1:16" ht="14.4" hidden="1" x14ac:dyDescent="0.3">
      <c r="A653" s="55" t="s">
        <v>27</v>
      </c>
      <c r="B653" s="55"/>
      <c r="C653" s="56" t="s">
        <v>19</v>
      </c>
      <c r="D653" s="167"/>
      <c r="E653" s="167"/>
      <c r="F653" s="167"/>
      <c r="G653" s="167"/>
      <c r="H653" s="167"/>
      <c r="I653" s="167"/>
      <c r="J653" s="167"/>
      <c r="K653" s="167"/>
      <c r="L653" s="167"/>
      <c r="M653" s="167"/>
      <c r="N653" s="167"/>
      <c r="O653" s="167"/>
      <c r="P653" s="167"/>
    </row>
    <row r="654" spans="1:16" ht="14.4" hidden="1" x14ac:dyDescent="0.3">
      <c r="A654" s="55" t="s">
        <v>28</v>
      </c>
      <c r="B654" s="55"/>
      <c r="C654" s="56" t="s">
        <v>23</v>
      </c>
      <c r="D654" s="167"/>
      <c r="E654" s="167"/>
      <c r="F654" s="167"/>
      <c r="G654" s="167"/>
      <c r="H654" s="167"/>
      <c r="I654" s="167"/>
      <c r="J654" s="167"/>
      <c r="K654" s="167"/>
      <c r="L654" s="167"/>
      <c r="M654" s="167"/>
      <c r="N654" s="167"/>
      <c r="O654" s="167"/>
      <c r="P654" s="167"/>
    </row>
    <row r="655" spans="1:16" ht="14.4" hidden="1" x14ac:dyDescent="0.3">
      <c r="A655" s="162" t="s">
        <v>29</v>
      </c>
      <c r="B655" s="162"/>
      <c r="C655" s="56"/>
      <c r="D655" s="171"/>
      <c r="E655" s="171"/>
      <c r="F655" s="171"/>
      <c r="G655" s="171"/>
      <c r="H655" s="171"/>
      <c r="I655" s="171"/>
      <c r="J655" s="171"/>
      <c r="K655" s="171"/>
      <c r="L655" s="171"/>
      <c r="M655" s="171"/>
      <c r="N655" s="171"/>
      <c r="O655" s="171"/>
      <c r="P655" s="171"/>
    </row>
    <row r="656" spans="1:16" ht="14.4" hidden="1" x14ac:dyDescent="0.3">
      <c r="A656" s="55" t="s">
        <v>30</v>
      </c>
      <c r="B656" s="55"/>
      <c r="C656" s="56" t="s">
        <v>19</v>
      </c>
      <c r="D656" s="167"/>
      <c r="E656" s="167"/>
      <c r="F656" s="167"/>
      <c r="G656" s="167"/>
      <c r="H656" s="167"/>
      <c r="I656" s="167"/>
      <c r="J656" s="167"/>
      <c r="K656" s="167"/>
      <c r="L656" s="167"/>
      <c r="M656" s="167"/>
      <c r="N656" s="167"/>
      <c r="O656" s="167"/>
      <c r="P656" s="167"/>
    </row>
    <row r="657" spans="1:16" ht="14.4" hidden="1" x14ac:dyDescent="0.3">
      <c r="A657" s="55" t="s">
        <v>31</v>
      </c>
      <c r="B657" s="55"/>
      <c r="C657" s="56" t="s">
        <v>32</v>
      </c>
      <c r="D657" s="167"/>
      <c r="E657" s="167"/>
      <c r="F657" s="167"/>
      <c r="G657" s="167"/>
      <c r="H657" s="167"/>
      <c r="I657" s="167"/>
      <c r="J657" s="167"/>
      <c r="K657" s="167"/>
      <c r="L657" s="167"/>
      <c r="M657" s="167"/>
      <c r="N657" s="167"/>
      <c r="O657" s="167"/>
      <c r="P657" s="167"/>
    </row>
    <row r="658" spans="1:16" ht="14.4" hidden="1" x14ac:dyDescent="0.3">
      <c r="A658" s="162" t="s">
        <v>33</v>
      </c>
      <c r="B658" s="162"/>
      <c r="C658" s="56"/>
      <c r="D658" s="171"/>
      <c r="E658" s="171"/>
      <c r="F658" s="171"/>
      <c r="G658" s="171"/>
      <c r="H658" s="171"/>
      <c r="I658" s="171"/>
      <c r="J658" s="171"/>
      <c r="K658" s="171"/>
      <c r="L658" s="171"/>
      <c r="M658" s="171"/>
      <c r="N658" s="171"/>
      <c r="O658" s="171"/>
      <c r="P658" s="171"/>
    </row>
    <row r="659" spans="1:16" ht="14.4" hidden="1" x14ac:dyDescent="0.3">
      <c r="A659" s="55" t="s">
        <v>34</v>
      </c>
      <c r="B659" s="55"/>
      <c r="C659" s="56" t="s">
        <v>19</v>
      </c>
      <c r="D659" s="167"/>
      <c r="E659" s="167"/>
      <c r="F659" s="167"/>
      <c r="G659" s="167"/>
      <c r="H659" s="167"/>
      <c r="I659" s="167"/>
      <c r="J659" s="167"/>
      <c r="K659" s="167"/>
      <c r="L659" s="167"/>
      <c r="M659" s="167"/>
      <c r="N659" s="167"/>
      <c r="O659" s="167"/>
      <c r="P659" s="167"/>
    </row>
    <row r="660" spans="1:16" ht="14.4" hidden="1" x14ac:dyDescent="0.3">
      <c r="A660" s="55" t="s">
        <v>35</v>
      </c>
      <c r="B660" s="55"/>
      <c r="C660" s="56" t="s">
        <v>36</v>
      </c>
      <c r="D660" s="167"/>
      <c r="E660" s="167"/>
      <c r="F660" s="167"/>
      <c r="G660" s="167"/>
      <c r="H660" s="167"/>
      <c r="I660" s="167"/>
      <c r="J660" s="167"/>
      <c r="K660" s="167"/>
      <c r="L660" s="167"/>
      <c r="M660" s="167"/>
      <c r="N660" s="167"/>
      <c r="O660" s="167"/>
      <c r="P660" s="167"/>
    </row>
    <row r="661" spans="1:16" ht="14.4" hidden="1" x14ac:dyDescent="0.3">
      <c r="A661" s="162" t="s">
        <v>37</v>
      </c>
      <c r="B661" s="162"/>
      <c r="C661" s="56"/>
      <c r="D661" s="171"/>
      <c r="E661" s="171"/>
      <c r="F661" s="171"/>
      <c r="G661" s="171"/>
      <c r="H661" s="171"/>
      <c r="I661" s="171"/>
      <c r="J661" s="171"/>
      <c r="K661" s="171"/>
      <c r="L661" s="171"/>
      <c r="M661" s="171"/>
      <c r="N661" s="171"/>
      <c r="O661" s="171"/>
      <c r="P661" s="171"/>
    </row>
    <row r="662" spans="1:16" ht="14.4" hidden="1" x14ac:dyDescent="0.3">
      <c r="A662" s="172" t="s">
        <v>38</v>
      </c>
      <c r="B662" s="55"/>
      <c r="C662" s="56" t="s">
        <v>19</v>
      </c>
      <c r="D662" s="167"/>
      <c r="E662" s="167"/>
      <c r="F662" s="167"/>
      <c r="G662" s="167"/>
      <c r="H662" s="167"/>
      <c r="I662" s="167"/>
      <c r="J662" s="167"/>
      <c r="K662" s="167"/>
      <c r="L662" s="167"/>
      <c r="M662" s="167"/>
      <c r="N662" s="167"/>
      <c r="O662" s="167"/>
      <c r="P662" s="167"/>
    </row>
    <row r="663" spans="1:16" ht="14.4" hidden="1" x14ac:dyDescent="0.3">
      <c r="A663" s="172" t="s">
        <v>39</v>
      </c>
      <c r="B663" s="55"/>
      <c r="C663" s="56" t="s">
        <v>19</v>
      </c>
      <c r="D663" s="167"/>
      <c r="E663" s="167"/>
      <c r="F663" s="167"/>
      <c r="G663" s="167"/>
      <c r="H663" s="167"/>
      <c r="I663" s="167"/>
      <c r="J663" s="167"/>
      <c r="K663" s="167"/>
      <c r="L663" s="167"/>
      <c r="M663" s="167"/>
      <c r="N663" s="167"/>
      <c r="O663" s="167"/>
      <c r="P663" s="167"/>
    </row>
    <row r="664" spans="1:16" ht="14.4" hidden="1" x14ac:dyDescent="0.3">
      <c r="A664" s="172" t="s">
        <v>180</v>
      </c>
      <c r="B664" s="55"/>
      <c r="C664" s="56" t="s">
        <v>19</v>
      </c>
      <c r="D664" s="167"/>
      <c r="E664" s="167"/>
      <c r="F664" s="167"/>
      <c r="G664" s="167"/>
      <c r="H664" s="167"/>
      <c r="I664" s="167"/>
      <c r="J664" s="167"/>
      <c r="K664" s="167"/>
      <c r="L664" s="167"/>
      <c r="M664" s="167"/>
      <c r="N664" s="167"/>
      <c r="O664" s="167"/>
      <c r="P664" s="167"/>
    </row>
    <row r="665" spans="1:16" ht="14.4" hidden="1" x14ac:dyDescent="0.3">
      <c r="A665" s="173" t="s">
        <v>40</v>
      </c>
      <c r="B665" s="55"/>
      <c r="C665" s="56" t="s">
        <v>19</v>
      </c>
      <c r="D665" s="167"/>
      <c r="E665" s="167"/>
      <c r="F665" s="167"/>
      <c r="G665" s="167"/>
      <c r="H665" s="167"/>
      <c r="I665" s="167"/>
      <c r="J665" s="167"/>
      <c r="K665" s="167"/>
      <c r="L665" s="167"/>
      <c r="M665" s="167"/>
      <c r="N665" s="167"/>
      <c r="O665" s="167"/>
      <c r="P665" s="167"/>
    </row>
    <row r="666" spans="1:16" ht="14.4" hidden="1" x14ac:dyDescent="0.3">
      <c r="A666" s="173" t="s">
        <v>41</v>
      </c>
      <c r="B666" s="55"/>
      <c r="C666" s="56" t="s">
        <v>19</v>
      </c>
      <c r="D666" s="167"/>
      <c r="E666" s="167"/>
      <c r="F666" s="167"/>
      <c r="G666" s="167"/>
      <c r="H666" s="167"/>
      <c r="I666" s="167"/>
      <c r="J666" s="167"/>
      <c r="K666" s="167"/>
      <c r="L666" s="167"/>
      <c r="M666" s="167"/>
      <c r="N666" s="167"/>
      <c r="O666" s="167"/>
      <c r="P666" s="167"/>
    </row>
    <row r="667" spans="1:16" ht="16.2" hidden="1" x14ac:dyDescent="0.3">
      <c r="A667" s="174" t="s">
        <v>182</v>
      </c>
      <c r="B667" s="175"/>
      <c r="C667" s="56" t="s">
        <v>19</v>
      </c>
      <c r="D667" s="167"/>
      <c r="E667" s="167"/>
      <c r="F667" s="167"/>
      <c r="G667" s="167"/>
      <c r="H667" s="167"/>
      <c r="I667" s="167"/>
      <c r="J667" s="167"/>
      <c r="K667" s="167"/>
      <c r="L667" s="167"/>
      <c r="M667" s="167"/>
      <c r="N667" s="167"/>
      <c r="O667" s="167"/>
      <c r="P667" s="167"/>
    </row>
    <row r="668" spans="1:16" ht="16.2" hidden="1" x14ac:dyDescent="0.3">
      <c r="A668" s="174" t="s">
        <v>182</v>
      </c>
      <c r="B668" s="175"/>
      <c r="C668" s="56" t="s">
        <v>19</v>
      </c>
      <c r="D668" s="167"/>
      <c r="E668" s="167"/>
      <c r="F668" s="167"/>
      <c r="G668" s="167"/>
      <c r="H668" s="167"/>
      <c r="I668" s="167"/>
      <c r="J668" s="167"/>
      <c r="K668" s="167"/>
      <c r="L668" s="167"/>
      <c r="M668" s="167"/>
      <c r="N668" s="167"/>
      <c r="O668" s="167"/>
      <c r="P668" s="167"/>
    </row>
    <row r="669" spans="1:16" ht="16.2" hidden="1" x14ac:dyDescent="0.3">
      <c r="A669" s="174" t="s">
        <v>182</v>
      </c>
      <c r="B669" s="176"/>
      <c r="C669" s="56" t="s">
        <v>19</v>
      </c>
      <c r="D669" s="167"/>
      <c r="E669" s="167"/>
      <c r="F669" s="167"/>
      <c r="G669" s="167"/>
      <c r="H669" s="167"/>
      <c r="I669" s="167"/>
      <c r="J669" s="167"/>
      <c r="K669" s="167"/>
      <c r="L669" s="167"/>
      <c r="M669" s="167"/>
      <c r="N669" s="167"/>
      <c r="O669" s="167"/>
      <c r="P669" s="167"/>
    </row>
    <row r="670" spans="1:16" ht="14.4" hidden="1" x14ac:dyDescent="0.3">
      <c r="A670" s="162" t="s">
        <v>42</v>
      </c>
      <c r="B670" s="162"/>
      <c r="C670" s="56"/>
      <c r="D670" s="171"/>
      <c r="E670" s="171"/>
      <c r="F670" s="171"/>
      <c r="G670" s="171"/>
      <c r="H670" s="171"/>
      <c r="I670" s="171"/>
      <c r="J670" s="171"/>
      <c r="K670" s="171"/>
      <c r="L670" s="171"/>
      <c r="M670" s="171"/>
      <c r="N670" s="171"/>
      <c r="O670" s="171"/>
      <c r="P670" s="171"/>
    </row>
    <row r="671" spans="1:16" ht="14.4" hidden="1" x14ac:dyDescent="0.3">
      <c r="A671" s="162" t="s">
        <v>191</v>
      </c>
      <c r="B671" s="162"/>
      <c r="C671" s="56" t="s">
        <v>44</v>
      </c>
      <c r="D671" s="177"/>
      <c r="E671" s="177"/>
      <c r="F671" s="177"/>
      <c r="G671" s="177"/>
      <c r="H671" s="177"/>
      <c r="I671" s="177"/>
      <c r="J671" s="177"/>
      <c r="K671" s="177"/>
      <c r="L671" s="177"/>
      <c r="M671" s="177"/>
      <c r="N671" s="177"/>
      <c r="O671" s="177"/>
      <c r="P671" s="177"/>
    </row>
    <row r="672" spans="1:16" ht="14.4" hidden="1" x14ac:dyDescent="0.3">
      <c r="A672" s="162" t="s">
        <v>183</v>
      </c>
      <c r="B672" s="162"/>
      <c r="C672" s="56"/>
      <c r="D672" s="178"/>
      <c r="E672" s="178"/>
      <c r="F672" s="178"/>
      <c r="G672" s="178"/>
      <c r="H672" s="178"/>
      <c r="I672" s="178"/>
      <c r="J672" s="178"/>
      <c r="K672" s="178"/>
      <c r="L672" s="178"/>
      <c r="M672" s="178"/>
      <c r="N672" s="178"/>
      <c r="O672" s="178"/>
      <c r="P672" s="178"/>
    </row>
    <row r="673" spans="1:16" ht="14.4" hidden="1" x14ac:dyDescent="0.3">
      <c r="A673" s="162" t="s">
        <v>184</v>
      </c>
      <c r="B673" s="162"/>
      <c r="C673" s="56" t="s">
        <v>19</v>
      </c>
      <c r="D673" s="167"/>
      <c r="E673" s="167"/>
      <c r="F673" s="167"/>
      <c r="G673" s="167"/>
      <c r="H673" s="167"/>
      <c r="I673" s="167"/>
      <c r="J673" s="167"/>
      <c r="K673" s="167"/>
      <c r="L673" s="167"/>
      <c r="M673" s="167"/>
      <c r="N673" s="167"/>
      <c r="O673" s="167"/>
      <c r="P673" s="167"/>
    </row>
    <row r="674" spans="1:16" ht="14.4" hidden="1" x14ac:dyDescent="0.3">
      <c r="A674" s="162" t="s">
        <v>45</v>
      </c>
      <c r="B674" s="162"/>
      <c r="C674" s="56"/>
      <c r="D674" s="178"/>
      <c r="E674" s="178"/>
      <c r="F674" s="178"/>
      <c r="G674" s="178"/>
      <c r="H674" s="178"/>
      <c r="I674" s="178"/>
      <c r="J674" s="178"/>
      <c r="K674" s="178"/>
      <c r="L674" s="178"/>
      <c r="M674" s="178"/>
      <c r="N674" s="178"/>
      <c r="O674" s="178"/>
      <c r="P674" s="178"/>
    </row>
    <row r="675" spans="1:16" ht="14.4" hidden="1" x14ac:dyDescent="0.3">
      <c r="A675" s="162" t="s">
        <v>46</v>
      </c>
      <c r="B675" s="162"/>
      <c r="C675" s="56" t="s">
        <v>19</v>
      </c>
      <c r="D675" s="167"/>
      <c r="E675" s="167"/>
      <c r="F675" s="167"/>
      <c r="G675" s="167"/>
      <c r="H675" s="167"/>
      <c r="I675" s="167"/>
      <c r="J675" s="167"/>
      <c r="K675" s="167"/>
      <c r="L675" s="167"/>
      <c r="M675" s="167"/>
      <c r="N675" s="167"/>
      <c r="O675" s="167"/>
      <c r="P675" s="167"/>
    </row>
    <row r="676" spans="1:16" ht="14.4" hidden="1" x14ac:dyDescent="0.3">
      <c r="A676" s="162" t="s">
        <v>185</v>
      </c>
      <c r="B676" s="162"/>
      <c r="C676" s="56"/>
      <c r="D676" s="178"/>
      <c r="E676" s="178"/>
      <c r="F676" s="178"/>
      <c r="G676" s="178"/>
      <c r="H676" s="178"/>
      <c r="I676" s="178"/>
      <c r="J676" s="178"/>
      <c r="K676" s="178"/>
      <c r="L676" s="178"/>
      <c r="M676" s="178"/>
      <c r="N676" s="178"/>
      <c r="O676" s="178"/>
      <c r="P676" s="178"/>
    </row>
    <row r="677" spans="1:16" ht="14.4" hidden="1" x14ac:dyDescent="0.3">
      <c r="A677" s="162" t="s">
        <v>186</v>
      </c>
      <c r="B677" s="162"/>
      <c r="C677" s="56" t="s">
        <v>19</v>
      </c>
      <c r="D677" s="167"/>
      <c r="E677" s="167"/>
      <c r="F677" s="167"/>
      <c r="G677" s="167"/>
      <c r="H677" s="167"/>
      <c r="I677" s="167"/>
      <c r="J677" s="167"/>
      <c r="K677" s="167"/>
      <c r="L677" s="167"/>
      <c r="M677" s="167"/>
      <c r="N677" s="167"/>
      <c r="O677" s="167"/>
      <c r="P677" s="167"/>
    </row>
    <row r="678" spans="1:16" ht="14.4" hidden="1" x14ac:dyDescent="0.3">
      <c r="A678" s="162" t="s">
        <v>47</v>
      </c>
      <c r="B678" s="162"/>
      <c r="C678" s="56"/>
      <c r="D678" s="171"/>
      <c r="E678" s="171"/>
      <c r="F678" s="171"/>
      <c r="G678" s="171"/>
      <c r="H678" s="171"/>
      <c r="I678" s="171"/>
      <c r="J678" s="171"/>
      <c r="K678" s="171"/>
      <c r="L678" s="171"/>
      <c r="M678" s="171"/>
      <c r="N678" s="171"/>
      <c r="O678" s="171"/>
      <c r="P678" s="171"/>
    </row>
    <row r="679" spans="1:16" ht="14.4" hidden="1" x14ac:dyDescent="0.3">
      <c r="A679" s="55" t="s">
        <v>48</v>
      </c>
      <c r="B679" s="55"/>
      <c r="C679" s="56" t="s">
        <v>19</v>
      </c>
      <c r="D679" s="167"/>
      <c r="E679" s="167"/>
      <c r="F679" s="167"/>
      <c r="G679" s="167"/>
      <c r="H679" s="167"/>
      <c r="I679" s="167"/>
      <c r="J679" s="167"/>
      <c r="K679" s="167"/>
      <c r="L679" s="167"/>
      <c r="M679" s="167"/>
      <c r="N679" s="167"/>
      <c r="O679" s="167"/>
      <c r="P679" s="167"/>
    </row>
    <row r="680" spans="1:16" ht="14.4" hidden="1" x14ac:dyDescent="0.3">
      <c r="A680" s="55" t="s">
        <v>49</v>
      </c>
      <c r="B680" s="55"/>
      <c r="C680" s="56" t="s">
        <v>19</v>
      </c>
      <c r="D680" s="167"/>
      <c r="E680" s="167"/>
      <c r="F680" s="167"/>
      <c r="G680" s="167"/>
      <c r="H680" s="167"/>
      <c r="I680" s="167"/>
      <c r="J680" s="167"/>
      <c r="K680" s="167"/>
      <c r="L680" s="167"/>
      <c r="M680" s="167"/>
      <c r="N680" s="167"/>
      <c r="O680" s="167"/>
      <c r="P680" s="167"/>
    </row>
    <row r="681" spans="1:16" ht="14.4" hidden="1" x14ac:dyDescent="0.3">
      <c r="A681" s="162" t="s">
        <v>52</v>
      </c>
      <c r="B681" s="162"/>
      <c r="C681" s="179"/>
      <c r="D681" s="170"/>
      <c r="E681" s="170"/>
      <c r="F681" s="170"/>
      <c r="G681" s="170"/>
      <c r="H681" s="170"/>
      <c r="I681" s="170"/>
      <c r="J681" s="170"/>
      <c r="K681" s="170"/>
      <c r="L681" s="170"/>
      <c r="M681" s="170"/>
      <c r="N681" s="170"/>
      <c r="O681" s="170"/>
      <c r="P681" s="170"/>
    </row>
    <row r="682" spans="1:16" ht="14.4" hidden="1" x14ac:dyDescent="0.3">
      <c r="A682" s="55" t="s">
        <v>53</v>
      </c>
      <c r="B682" s="55"/>
      <c r="C682" s="56" t="s">
        <v>44</v>
      </c>
      <c r="D682" s="167"/>
      <c r="E682" s="167"/>
      <c r="F682" s="167"/>
      <c r="G682" s="167"/>
      <c r="H682" s="167"/>
      <c r="I682" s="167"/>
      <c r="J682" s="167"/>
      <c r="K682" s="167"/>
      <c r="L682" s="167"/>
      <c r="M682" s="167"/>
      <c r="N682" s="167"/>
      <c r="O682" s="167"/>
      <c r="P682" s="167"/>
    </row>
    <row r="683" spans="1:16" ht="14.4" hidden="1" x14ac:dyDescent="0.3">
      <c r="A683" s="55" t="s">
        <v>54</v>
      </c>
      <c r="B683" s="55"/>
      <c r="C683" s="56" t="s">
        <v>44</v>
      </c>
      <c r="D683" s="167"/>
      <c r="E683" s="167"/>
      <c r="F683" s="167"/>
      <c r="G683" s="167"/>
      <c r="H683" s="167"/>
      <c r="I683" s="167"/>
      <c r="J683" s="167"/>
      <c r="K683" s="167"/>
      <c r="L683" s="167"/>
      <c r="M683" s="167"/>
      <c r="N683" s="167"/>
      <c r="O683" s="167"/>
      <c r="P683" s="167"/>
    </row>
    <row r="684" spans="1:16" ht="14.4" hidden="1" x14ac:dyDescent="0.3">
      <c r="A684" s="55" t="s">
        <v>55</v>
      </c>
      <c r="B684" s="55"/>
      <c r="C684" s="56" t="s">
        <v>44</v>
      </c>
      <c r="D684" s="167"/>
      <c r="E684" s="167"/>
      <c r="F684" s="167"/>
      <c r="G684" s="167"/>
      <c r="H684" s="167"/>
      <c r="I684" s="167"/>
      <c r="J684" s="167"/>
      <c r="K684" s="167"/>
      <c r="L684" s="167"/>
      <c r="M684" s="167"/>
      <c r="N684" s="167"/>
      <c r="O684" s="167"/>
      <c r="P684" s="167"/>
    </row>
    <row r="685" spans="1:16" ht="14.4" hidden="1" x14ac:dyDescent="0.3">
      <c r="A685" s="55" t="s">
        <v>187</v>
      </c>
      <c r="B685" s="55"/>
      <c r="C685" s="56" t="s">
        <v>44</v>
      </c>
      <c r="D685" s="167"/>
      <c r="E685" s="167"/>
      <c r="F685" s="167"/>
      <c r="G685" s="167"/>
      <c r="H685" s="167"/>
      <c r="I685" s="167"/>
      <c r="J685" s="167"/>
      <c r="K685" s="167"/>
      <c r="L685" s="167"/>
      <c r="M685" s="167"/>
      <c r="N685" s="167"/>
      <c r="O685" s="167"/>
      <c r="P685" s="167"/>
    </row>
    <row r="686" spans="1:16" ht="14.4" hidden="1" x14ac:dyDescent="0.3">
      <c r="A686" s="55" t="s">
        <v>188</v>
      </c>
      <c r="B686" s="55"/>
      <c r="C686" s="56" t="s">
        <v>44</v>
      </c>
      <c r="D686" s="167"/>
      <c r="E686" s="167"/>
      <c r="F686" s="167"/>
      <c r="G686" s="167"/>
      <c r="H686" s="167"/>
      <c r="I686" s="167"/>
      <c r="J686" s="167"/>
      <c r="K686" s="167"/>
      <c r="L686" s="167"/>
      <c r="M686" s="167"/>
      <c r="N686" s="167"/>
      <c r="O686" s="167"/>
      <c r="P686" s="167"/>
    </row>
    <row r="687" spans="1:16" ht="14.4" hidden="1" x14ac:dyDescent="0.3">
      <c r="A687" s="55" t="s">
        <v>56</v>
      </c>
      <c r="B687" s="55"/>
      <c r="C687" s="56" t="s">
        <v>44</v>
      </c>
      <c r="D687" s="180"/>
      <c r="E687" s="180"/>
      <c r="F687" s="180"/>
      <c r="G687" s="180"/>
      <c r="H687" s="180"/>
      <c r="I687" s="180"/>
      <c r="J687" s="180"/>
      <c r="K687" s="180"/>
      <c r="L687" s="180"/>
      <c r="M687" s="180"/>
      <c r="N687" s="180"/>
      <c r="O687" s="180"/>
      <c r="P687" s="180"/>
    </row>
    <row r="688" spans="1:16" ht="14.4" hidden="1" x14ac:dyDescent="0.3">
      <c r="A688" s="55" t="s">
        <v>57</v>
      </c>
      <c r="B688" s="55"/>
      <c r="C688" s="56" t="s">
        <v>44</v>
      </c>
      <c r="D688" s="180"/>
      <c r="E688" s="180"/>
      <c r="F688" s="180"/>
      <c r="G688" s="180"/>
      <c r="H688" s="180"/>
      <c r="I688" s="180"/>
      <c r="J688" s="180"/>
      <c r="K688" s="180"/>
      <c r="L688" s="180"/>
      <c r="M688" s="180"/>
      <c r="N688" s="180"/>
      <c r="O688" s="180"/>
      <c r="P688" s="180"/>
    </row>
    <row r="689" spans="1:16" ht="14.4" hidden="1" x14ac:dyDescent="0.3">
      <c r="D689" s="58"/>
      <c r="E689" s="58"/>
      <c r="F689" s="58"/>
      <c r="G689" s="58"/>
      <c r="H689" s="58"/>
      <c r="I689" s="58"/>
      <c r="J689" s="58"/>
      <c r="K689" s="58"/>
      <c r="L689" s="58"/>
      <c r="M689" s="58"/>
      <c r="N689" s="58"/>
      <c r="O689" s="58"/>
      <c r="P689" s="58"/>
    </row>
    <row r="690" spans="1:16" ht="18" x14ac:dyDescent="0.35">
      <c r="A690" s="59" t="str">
        <f>'[42]Statistical data'!A236</f>
        <v>General Service B</v>
      </c>
      <c r="B690" s="59"/>
      <c r="C690" s="5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</row>
    <row r="691" spans="1:16" s="13" customFormat="1" ht="14.4" x14ac:dyDescent="0.3">
      <c r="A691" s="11" t="s">
        <v>3</v>
      </c>
      <c r="B691" s="11"/>
      <c r="C691" s="11" t="s">
        <v>4</v>
      </c>
      <c r="D691" s="12" t="str">
        <f>D160</f>
        <v>JAN</v>
      </c>
      <c r="E691" s="12" t="str">
        <f t="shared" ref="E691:P691" si="24">E160</f>
        <v>FEB</v>
      </c>
      <c r="F691" s="12" t="str">
        <f t="shared" si="24"/>
        <v>MAR</v>
      </c>
      <c r="G691" s="12" t="str">
        <f t="shared" si="24"/>
        <v>APR</v>
      </c>
      <c r="H691" s="12" t="str">
        <f t="shared" si="24"/>
        <v>MAY</v>
      </c>
      <c r="I691" s="12" t="str">
        <f t="shared" si="24"/>
        <v>JUN</v>
      </c>
      <c r="J691" s="12" t="str">
        <f t="shared" si="24"/>
        <v>JUL</v>
      </c>
      <c r="K691" s="12" t="str">
        <f t="shared" si="24"/>
        <v>AUG</v>
      </c>
      <c r="L691" s="12" t="str">
        <f t="shared" si="24"/>
        <v>SEP</v>
      </c>
      <c r="M691" s="12" t="str">
        <f t="shared" si="24"/>
        <v>OCT</v>
      </c>
      <c r="N691" s="12" t="str">
        <f t="shared" si="24"/>
        <v>NOV</v>
      </c>
      <c r="O691" s="12" t="str">
        <f t="shared" si="24"/>
        <v>DEC</v>
      </c>
      <c r="P691" s="12" t="str">
        <f t="shared" si="24"/>
        <v>JAN</v>
      </c>
    </row>
    <row r="692" spans="1:16" ht="14.4" x14ac:dyDescent="0.3">
      <c r="A692" s="14" t="s">
        <v>17</v>
      </c>
      <c r="B692" s="15"/>
      <c r="C692" s="16"/>
      <c r="D692" s="17"/>
      <c r="E692" s="17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</row>
    <row r="693" spans="1:16" ht="14.4" x14ac:dyDescent="0.3">
      <c r="A693" s="18" t="s">
        <v>18</v>
      </c>
      <c r="B693" s="19"/>
      <c r="C693" s="16" t="s">
        <v>19</v>
      </c>
      <c r="D693" s="52" t="s">
        <v>59</v>
      </c>
      <c r="E693" s="52" t="s">
        <v>59</v>
      </c>
      <c r="F693" s="52" t="s">
        <v>59</v>
      </c>
      <c r="G693" s="52" t="s">
        <v>59</v>
      </c>
      <c r="H693" s="52" t="s">
        <v>59</v>
      </c>
      <c r="I693" s="52" t="s">
        <v>59</v>
      </c>
      <c r="J693" s="52" t="s">
        <v>59</v>
      </c>
      <c r="K693" s="52" t="s">
        <v>59</v>
      </c>
      <c r="L693" s="52" t="s">
        <v>59</v>
      </c>
      <c r="M693" s="52" t="s">
        <v>59</v>
      </c>
      <c r="N693" s="52" t="s">
        <v>59</v>
      </c>
      <c r="O693" s="52" t="s">
        <v>59</v>
      </c>
      <c r="P693" s="52" t="s">
        <v>59</v>
      </c>
    </row>
    <row r="694" spans="1:16" ht="14.4" hidden="1" x14ac:dyDescent="0.3">
      <c r="A694" s="18" t="s">
        <v>66</v>
      </c>
      <c r="B694" s="19"/>
      <c r="C694" s="16" t="s">
        <v>19</v>
      </c>
      <c r="D694" s="20">
        <v>0</v>
      </c>
      <c r="E694" s="20">
        <v>0</v>
      </c>
      <c r="F694" s="20">
        <v>0</v>
      </c>
      <c r="G694" s="20">
        <v>0</v>
      </c>
      <c r="H694" s="20">
        <v>0</v>
      </c>
      <c r="I694" s="20">
        <v>0</v>
      </c>
      <c r="J694" s="20">
        <v>0</v>
      </c>
      <c r="K694" s="20">
        <v>0</v>
      </c>
      <c r="L694" s="20">
        <v>0</v>
      </c>
      <c r="M694" s="20">
        <v>0</v>
      </c>
      <c r="N694" s="20">
        <v>0</v>
      </c>
      <c r="O694" s="20">
        <v>0</v>
      </c>
      <c r="P694" s="20">
        <v>0</v>
      </c>
    </row>
    <row r="695" spans="1:16" ht="14.4" x14ac:dyDescent="0.3">
      <c r="A695" s="14" t="s">
        <v>20</v>
      </c>
      <c r="B695" s="15"/>
      <c r="C695" s="16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</row>
    <row r="696" spans="1:16" ht="14.4" x14ac:dyDescent="0.3">
      <c r="A696" s="18" t="s">
        <v>21</v>
      </c>
      <c r="B696" s="19"/>
      <c r="C696" s="16" t="s">
        <v>19</v>
      </c>
      <c r="D696" s="20">
        <v>0</v>
      </c>
      <c r="E696" s="20">
        <v>0</v>
      </c>
      <c r="F696" s="20">
        <v>0</v>
      </c>
      <c r="G696" s="20">
        <v>0</v>
      </c>
      <c r="H696" s="20">
        <v>0</v>
      </c>
      <c r="I696" s="20">
        <v>0</v>
      </c>
      <c r="J696" s="20">
        <v>0</v>
      </c>
      <c r="K696" s="20">
        <v>0</v>
      </c>
      <c r="L696" s="20">
        <v>0</v>
      </c>
      <c r="M696" s="20">
        <v>0</v>
      </c>
      <c r="N696" s="20">
        <v>0</v>
      </c>
      <c r="O696" s="20">
        <v>0</v>
      </c>
      <c r="P696" s="20">
        <v>0</v>
      </c>
    </row>
    <row r="697" spans="1:16" ht="14.4" x14ac:dyDescent="0.3">
      <c r="A697" s="18" t="s">
        <v>22</v>
      </c>
      <c r="B697" s="19"/>
      <c r="C697" s="16" t="s">
        <v>23</v>
      </c>
      <c r="D697" s="23">
        <f>[42]TR!D78</f>
        <v>279.60000000000002</v>
      </c>
      <c r="E697" s="23">
        <f>[42]TR!E78</f>
        <v>275.08999999999997</v>
      </c>
      <c r="F697" s="23">
        <f>[42]TR!F78</f>
        <v>269.01</v>
      </c>
      <c r="G697" s="23">
        <f>[42]TR!G78</f>
        <v>310.58</v>
      </c>
      <c r="H697" s="23">
        <f>[42]TR!H78</f>
        <v>276.98</v>
      </c>
      <c r="I697" s="23">
        <f>[42]TR!I78</f>
        <v>268.94</v>
      </c>
      <c r="J697" s="23">
        <f>[42]TR!J78</f>
        <v>316.95999999999998</v>
      </c>
      <c r="K697" s="23">
        <f>[42]TR!K78</f>
        <v>299.68</v>
      </c>
      <c r="L697" s="23">
        <f>[42]TR!L78</f>
        <v>277.35000000000002</v>
      </c>
      <c r="M697" s="23">
        <f>[42]TR!M78</f>
        <v>252.67</v>
      </c>
      <c r="N697" s="23">
        <f>[42]TR!N78</f>
        <v>234.59</v>
      </c>
      <c r="O697" s="23">
        <f>[42]TR!O78</f>
        <v>233.09</v>
      </c>
      <c r="P697" s="23">
        <f>[42]TR!P78</f>
        <v>0</v>
      </c>
    </row>
    <row r="698" spans="1:16" ht="14.4" x14ac:dyDescent="0.3">
      <c r="A698" s="14" t="s">
        <v>24</v>
      </c>
      <c r="B698" s="15"/>
      <c r="C698" s="16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</row>
    <row r="699" spans="1:16" ht="14.4" x14ac:dyDescent="0.3">
      <c r="A699" s="18" t="s">
        <v>25</v>
      </c>
      <c r="B699" s="19"/>
      <c r="C699" s="16" t="s">
        <v>19</v>
      </c>
      <c r="D699" s="20">
        <f>D168</f>
        <v>0.60619999999999996</v>
      </c>
      <c r="E699" s="20">
        <f t="shared" ref="E699:P699" si="25">E168</f>
        <v>0.59540000000000004</v>
      </c>
      <c r="F699" s="20">
        <f t="shared" si="25"/>
        <v>0.55020000000000002</v>
      </c>
      <c r="G699" s="20">
        <f t="shared" si="25"/>
        <v>0.61329999999999996</v>
      </c>
      <c r="H699" s="20">
        <f t="shared" si="25"/>
        <v>0.59940000000000004</v>
      </c>
      <c r="I699" s="20">
        <f t="shared" si="25"/>
        <v>0.55889999999999995</v>
      </c>
      <c r="J699" s="20">
        <f t="shared" si="25"/>
        <v>0.5776</v>
      </c>
      <c r="K699" s="20">
        <f t="shared" si="25"/>
        <v>0.57809999999999995</v>
      </c>
      <c r="L699" s="20">
        <f t="shared" si="25"/>
        <v>0.55659999999999998</v>
      </c>
      <c r="M699" s="20">
        <f t="shared" si="25"/>
        <v>0.56210000000000004</v>
      </c>
      <c r="N699" s="20">
        <f t="shared" si="25"/>
        <v>0.5272</v>
      </c>
      <c r="O699" s="20">
        <f t="shared" si="25"/>
        <v>0.51049999999999995</v>
      </c>
      <c r="P699" s="20">
        <f t="shared" si="25"/>
        <v>0</v>
      </c>
    </row>
    <row r="700" spans="1:16" ht="14.4" x14ac:dyDescent="0.3">
      <c r="A700" s="14" t="s">
        <v>26</v>
      </c>
      <c r="B700" s="14"/>
      <c r="C700" s="16"/>
      <c r="D700" s="22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</row>
    <row r="701" spans="1:16" ht="14.4" x14ac:dyDescent="0.3">
      <c r="A701" s="18" t="s">
        <v>27</v>
      </c>
      <c r="B701" s="18"/>
      <c r="C701" s="16" t="s">
        <v>19</v>
      </c>
      <c r="D701" s="20">
        <v>0.16250000000000001</v>
      </c>
      <c r="E701" s="20">
        <v>0.16250000000000001</v>
      </c>
      <c r="F701" s="20">
        <v>0.16250000000000001</v>
      </c>
      <c r="G701" s="20">
        <v>0.16250000000000001</v>
      </c>
      <c r="H701" s="20">
        <v>0.16250000000000001</v>
      </c>
      <c r="I701" s="20">
        <v>0.16250000000000001</v>
      </c>
      <c r="J701" s="20">
        <v>0.15409999999999999</v>
      </c>
      <c r="K701" s="20">
        <v>0.15409999999999999</v>
      </c>
      <c r="L701" s="20">
        <v>0.15409999999999999</v>
      </c>
      <c r="M701" s="20">
        <v>0.15409999999999999</v>
      </c>
      <c r="N701" s="20">
        <v>0.15409999999999999</v>
      </c>
      <c r="O701" s="20">
        <v>0.15409999999999999</v>
      </c>
      <c r="P701" s="20">
        <v>0.15409999999999999</v>
      </c>
    </row>
    <row r="702" spans="1:16" ht="14.4" x14ac:dyDescent="0.3">
      <c r="A702" s="18" t="s">
        <v>28</v>
      </c>
      <c r="B702" s="18"/>
      <c r="C702" s="16" t="s">
        <v>23</v>
      </c>
      <c r="D702" s="23">
        <v>281.83999999999997</v>
      </c>
      <c r="E702" s="23">
        <v>281.83999999999997</v>
      </c>
      <c r="F702" s="23">
        <v>281.83999999999997</v>
      </c>
      <c r="G702" s="23">
        <v>281.83999999999997</v>
      </c>
      <c r="H702" s="23">
        <v>281.83999999999997</v>
      </c>
      <c r="I702" s="23">
        <v>281.83999999999997</v>
      </c>
      <c r="J702" s="23">
        <v>267.23</v>
      </c>
      <c r="K702" s="23">
        <v>267.23</v>
      </c>
      <c r="L702" s="23">
        <v>267.23</v>
      </c>
      <c r="M702" s="23">
        <v>267.23</v>
      </c>
      <c r="N702" s="23">
        <v>267.23</v>
      </c>
      <c r="O702" s="23">
        <v>267.23</v>
      </c>
      <c r="P702" s="23">
        <v>267.23</v>
      </c>
    </row>
    <row r="703" spans="1:16" ht="14.4" x14ac:dyDescent="0.3">
      <c r="A703" s="14" t="s">
        <v>29</v>
      </c>
      <c r="B703" s="14"/>
      <c r="C703" s="16"/>
      <c r="D703" s="24"/>
      <c r="E703" s="24"/>
      <c r="F703" s="24"/>
      <c r="G703" s="24"/>
      <c r="H703" s="24"/>
      <c r="I703" s="24"/>
      <c r="J703" s="24"/>
      <c r="K703" s="24"/>
      <c r="L703" s="24"/>
      <c r="M703" s="24"/>
      <c r="N703" s="24"/>
      <c r="O703" s="24"/>
      <c r="P703" s="24"/>
    </row>
    <row r="704" spans="1:16" ht="14.4" x14ac:dyDescent="0.3">
      <c r="A704" s="18" t="s">
        <v>30</v>
      </c>
      <c r="B704" s="18"/>
      <c r="C704" s="16" t="s">
        <v>19</v>
      </c>
      <c r="D704" s="52" t="s">
        <v>61</v>
      </c>
      <c r="E704" s="52" t="s">
        <v>61</v>
      </c>
      <c r="F704" s="52" t="s">
        <v>61</v>
      </c>
      <c r="G704" s="52" t="s">
        <v>61</v>
      </c>
      <c r="H704" s="52" t="s">
        <v>61</v>
      </c>
      <c r="I704" s="52" t="s">
        <v>61</v>
      </c>
      <c r="J704" s="52" t="s">
        <v>61</v>
      </c>
      <c r="K704" s="52" t="s">
        <v>61</v>
      </c>
      <c r="L704" s="52" t="s">
        <v>61</v>
      </c>
      <c r="M704" s="52" t="s">
        <v>61</v>
      </c>
      <c r="N704" s="52" t="s">
        <v>61</v>
      </c>
      <c r="O704" s="52" t="s">
        <v>61</v>
      </c>
      <c r="P704" s="52" t="s">
        <v>61</v>
      </c>
    </row>
    <row r="705" spans="1:16" ht="14.4" x14ac:dyDescent="0.3">
      <c r="A705" s="18" t="s">
        <v>31</v>
      </c>
      <c r="B705" s="18"/>
      <c r="C705" s="16" t="s">
        <v>32</v>
      </c>
      <c r="D705" s="52" t="s">
        <v>62</v>
      </c>
      <c r="E705" s="52" t="s">
        <v>62</v>
      </c>
      <c r="F705" s="52" t="s">
        <v>62</v>
      </c>
      <c r="G705" s="52" t="s">
        <v>62</v>
      </c>
      <c r="H705" s="52" t="s">
        <v>62</v>
      </c>
      <c r="I705" s="52" t="s">
        <v>62</v>
      </c>
      <c r="J705" s="52" t="s">
        <v>62</v>
      </c>
      <c r="K705" s="52" t="s">
        <v>62</v>
      </c>
      <c r="L705" s="52" t="s">
        <v>62</v>
      </c>
      <c r="M705" s="52" t="s">
        <v>62</v>
      </c>
      <c r="N705" s="52" t="s">
        <v>62</v>
      </c>
      <c r="O705" s="52" t="s">
        <v>62</v>
      </c>
      <c r="P705" s="52" t="s">
        <v>62</v>
      </c>
    </row>
    <row r="706" spans="1:16" ht="14.4" x14ac:dyDescent="0.3">
      <c r="A706" s="14" t="s">
        <v>33</v>
      </c>
      <c r="B706" s="14"/>
      <c r="C706" s="16"/>
      <c r="D706" s="24"/>
      <c r="E706" s="24"/>
      <c r="F706" s="24"/>
      <c r="G706" s="24"/>
      <c r="H706" s="24"/>
      <c r="I706" s="24"/>
      <c r="J706" s="24"/>
      <c r="K706" s="24"/>
      <c r="L706" s="24"/>
      <c r="M706" s="24"/>
      <c r="N706" s="24"/>
      <c r="O706" s="24"/>
      <c r="P706" s="24"/>
    </row>
    <row r="707" spans="1:16" ht="14.4" x14ac:dyDescent="0.3">
      <c r="A707" s="18" t="s">
        <v>34</v>
      </c>
      <c r="B707" s="18"/>
      <c r="C707" s="16" t="s">
        <v>19</v>
      </c>
      <c r="D707" s="20">
        <v>0</v>
      </c>
      <c r="E707" s="20">
        <v>0</v>
      </c>
      <c r="F707" s="20">
        <v>0</v>
      </c>
      <c r="G707" s="20">
        <v>0</v>
      </c>
      <c r="H707" s="20">
        <v>0</v>
      </c>
      <c r="I707" s="20">
        <v>0</v>
      </c>
      <c r="J707" s="20">
        <v>0</v>
      </c>
      <c r="K707" s="20">
        <v>0</v>
      </c>
      <c r="L707" s="20">
        <v>0</v>
      </c>
      <c r="M707" s="20">
        <v>0</v>
      </c>
      <c r="N707" s="20">
        <v>0</v>
      </c>
      <c r="O707" s="20">
        <v>0</v>
      </c>
      <c r="P707" s="20">
        <v>0</v>
      </c>
    </row>
    <row r="708" spans="1:16" ht="14.4" x14ac:dyDescent="0.3">
      <c r="A708" s="18" t="s">
        <v>35</v>
      </c>
      <c r="B708" s="18"/>
      <c r="C708" s="16" t="s">
        <v>36</v>
      </c>
      <c r="D708" s="52" t="s">
        <v>63</v>
      </c>
      <c r="E708" s="52" t="s">
        <v>63</v>
      </c>
      <c r="F708" s="52" t="s">
        <v>63</v>
      </c>
      <c r="G708" s="52" t="s">
        <v>63</v>
      </c>
      <c r="H708" s="52" t="s">
        <v>63</v>
      </c>
      <c r="I708" s="52" t="s">
        <v>63</v>
      </c>
      <c r="J708" s="52" t="s">
        <v>63</v>
      </c>
      <c r="K708" s="52" t="s">
        <v>63</v>
      </c>
      <c r="L708" s="52" t="s">
        <v>63</v>
      </c>
      <c r="M708" s="52" t="s">
        <v>63</v>
      </c>
      <c r="N708" s="52" t="s">
        <v>63</v>
      </c>
      <c r="O708" s="52" t="s">
        <v>63</v>
      </c>
      <c r="P708" s="52" t="s">
        <v>63</v>
      </c>
    </row>
    <row r="709" spans="1:16" ht="14.4" x14ac:dyDescent="0.3">
      <c r="A709" s="14" t="s">
        <v>37</v>
      </c>
      <c r="B709" s="14"/>
      <c r="C709" s="16"/>
      <c r="D709" s="24"/>
      <c r="E709" s="24"/>
      <c r="F709" s="24"/>
      <c r="G709" s="24"/>
      <c r="H709" s="24"/>
      <c r="I709" s="24"/>
      <c r="J709" s="24"/>
      <c r="K709" s="24"/>
      <c r="L709" s="24"/>
      <c r="M709" s="24"/>
      <c r="N709" s="24"/>
      <c r="O709" s="24"/>
      <c r="P709" s="24"/>
    </row>
    <row r="710" spans="1:16" ht="14.4" x14ac:dyDescent="0.3">
      <c r="A710" s="25" t="s">
        <v>38</v>
      </c>
      <c r="B710" s="18"/>
      <c r="C710" s="16" t="s">
        <v>19</v>
      </c>
      <c r="D710" s="20">
        <f>D179</f>
        <v>0.1173</v>
      </c>
      <c r="E710" s="20">
        <f t="shared" ref="E710:P710" si="26">E179</f>
        <v>0.1527</v>
      </c>
      <c r="F710" s="20">
        <f t="shared" si="26"/>
        <v>0.15920000000000001</v>
      </c>
      <c r="G710" s="20">
        <f t="shared" si="26"/>
        <v>0.16189999999999999</v>
      </c>
      <c r="H710" s="20">
        <f t="shared" si="26"/>
        <v>0.11899999999999999</v>
      </c>
      <c r="I710" s="20">
        <f t="shared" si="26"/>
        <v>0.1066</v>
      </c>
      <c r="J710" s="20">
        <f t="shared" si="26"/>
        <v>8.9300000000000004E-2</v>
      </c>
      <c r="K710" s="20">
        <f t="shared" si="26"/>
        <v>0.1177</v>
      </c>
      <c r="L710" s="20">
        <f t="shared" si="26"/>
        <v>0.1222</v>
      </c>
      <c r="M710" s="20">
        <f t="shared" si="26"/>
        <v>0.1089</v>
      </c>
      <c r="N710" s="20">
        <f t="shared" si="26"/>
        <v>0.1176</v>
      </c>
      <c r="O710" s="20">
        <f t="shared" si="26"/>
        <v>0.1109</v>
      </c>
      <c r="P710" s="20">
        <f t="shared" si="26"/>
        <v>0</v>
      </c>
    </row>
    <row r="711" spans="1:16" ht="14.4" x14ac:dyDescent="0.3">
      <c r="A711" s="25" t="s">
        <v>39</v>
      </c>
      <c r="B711" s="18"/>
      <c r="C711" s="16" t="s">
        <v>19</v>
      </c>
      <c r="D711" s="20">
        <v>0</v>
      </c>
      <c r="E711" s="20">
        <v>0</v>
      </c>
      <c r="F711" s="20">
        <v>0</v>
      </c>
      <c r="G711" s="20">
        <v>0</v>
      </c>
      <c r="H711" s="20">
        <v>0</v>
      </c>
      <c r="I711" s="20">
        <v>0</v>
      </c>
      <c r="J711" s="20">
        <v>0</v>
      </c>
      <c r="K711" s="20">
        <v>0</v>
      </c>
      <c r="L711" s="20">
        <v>0</v>
      </c>
      <c r="M711" s="20">
        <v>0</v>
      </c>
      <c r="N711" s="20">
        <v>0</v>
      </c>
      <c r="O711" s="20">
        <v>0</v>
      </c>
      <c r="P711" s="20">
        <v>0</v>
      </c>
    </row>
    <row r="712" spans="1:16" ht="14.4" x14ac:dyDescent="0.3">
      <c r="A712" s="25" t="s">
        <v>180</v>
      </c>
      <c r="B712" s="18"/>
      <c r="C712" s="16" t="s">
        <v>19</v>
      </c>
      <c r="D712" s="20">
        <f>D181</f>
        <v>3.1399999999999997E-2</v>
      </c>
      <c r="E712" s="20">
        <f t="shared" ref="E712:P715" si="27">E181</f>
        <v>3.1399999999999997E-2</v>
      </c>
      <c r="F712" s="20">
        <f t="shared" si="27"/>
        <v>0</v>
      </c>
      <c r="G712" s="20">
        <f t="shared" si="27"/>
        <v>0</v>
      </c>
      <c r="H712" s="20">
        <f t="shared" si="27"/>
        <v>0</v>
      </c>
      <c r="I712" s="20">
        <f t="shared" si="27"/>
        <v>0</v>
      </c>
      <c r="J712" s="20">
        <f t="shared" si="27"/>
        <v>0</v>
      </c>
      <c r="K712" s="20">
        <f t="shared" si="27"/>
        <v>0</v>
      </c>
      <c r="L712" s="20">
        <f t="shared" si="27"/>
        <v>0</v>
      </c>
      <c r="M712" s="20">
        <f t="shared" si="27"/>
        <v>0</v>
      </c>
      <c r="N712" s="20">
        <f t="shared" si="27"/>
        <v>0</v>
      </c>
      <c r="O712" s="20">
        <f t="shared" si="27"/>
        <v>0</v>
      </c>
      <c r="P712" s="20">
        <f t="shared" si="27"/>
        <v>0</v>
      </c>
    </row>
    <row r="713" spans="1:16" ht="14.4" x14ac:dyDescent="0.3">
      <c r="A713" s="26" t="s">
        <v>40</v>
      </c>
      <c r="B713" s="18"/>
      <c r="C713" s="16" t="s">
        <v>19</v>
      </c>
      <c r="D713" s="20">
        <f>D182</f>
        <v>1E-4</v>
      </c>
      <c r="E713" s="20">
        <f t="shared" si="27"/>
        <v>1E-4</v>
      </c>
      <c r="F713" s="20">
        <f t="shared" si="27"/>
        <v>1E-4</v>
      </c>
      <c r="G713" s="20">
        <f t="shared" si="27"/>
        <v>1E-4</v>
      </c>
      <c r="H713" s="20">
        <f t="shared" si="27"/>
        <v>1E-4</v>
      </c>
      <c r="I713" s="20">
        <f t="shared" si="27"/>
        <v>0</v>
      </c>
      <c r="J713" s="20">
        <f t="shared" si="27"/>
        <v>1E-4</v>
      </c>
      <c r="K713" s="20">
        <f t="shared" si="27"/>
        <v>1E-4</v>
      </c>
      <c r="L713" s="20">
        <f t="shared" si="27"/>
        <v>1E-4</v>
      </c>
      <c r="M713" s="20">
        <f t="shared" si="27"/>
        <v>2.0000000000000001E-4</v>
      </c>
      <c r="N713" s="20">
        <f t="shared" si="27"/>
        <v>1E-4</v>
      </c>
      <c r="O713" s="20">
        <f t="shared" si="27"/>
        <v>1E-4</v>
      </c>
      <c r="P713" s="20">
        <f t="shared" si="27"/>
        <v>0</v>
      </c>
    </row>
    <row r="714" spans="1:16" ht="14.4" x14ac:dyDescent="0.3">
      <c r="A714" s="26" t="s">
        <v>41</v>
      </c>
      <c r="B714" s="18"/>
      <c r="C714" s="16" t="s">
        <v>19</v>
      </c>
      <c r="D714" s="20">
        <f>D183</f>
        <v>0</v>
      </c>
      <c r="E714" s="20">
        <f t="shared" si="27"/>
        <v>0</v>
      </c>
      <c r="F714" s="20">
        <f t="shared" si="27"/>
        <v>0</v>
      </c>
      <c r="G714" s="20">
        <f t="shared" si="27"/>
        <v>0</v>
      </c>
      <c r="H714" s="20">
        <f t="shared" si="27"/>
        <v>0</v>
      </c>
      <c r="I714" s="20">
        <f t="shared" si="27"/>
        <v>0</v>
      </c>
      <c r="J714" s="20">
        <f t="shared" si="27"/>
        <v>0</v>
      </c>
      <c r="K714" s="20">
        <f t="shared" si="27"/>
        <v>0</v>
      </c>
      <c r="L714" s="20">
        <f t="shared" si="27"/>
        <v>0</v>
      </c>
      <c r="M714" s="20">
        <f t="shared" si="27"/>
        <v>0</v>
      </c>
      <c r="N714" s="20">
        <f t="shared" si="27"/>
        <v>0</v>
      </c>
      <c r="O714" s="20">
        <f t="shared" si="27"/>
        <v>0</v>
      </c>
      <c r="P714" s="20">
        <f t="shared" si="27"/>
        <v>0</v>
      </c>
    </row>
    <row r="715" spans="1:16" ht="15" hidden="1" customHeight="1" x14ac:dyDescent="0.3">
      <c r="A715" s="154" t="s">
        <v>181</v>
      </c>
      <c r="B715" s="155"/>
      <c r="C715" s="16" t="s">
        <v>19</v>
      </c>
      <c r="D715" s="20">
        <f>D184</f>
        <v>0</v>
      </c>
      <c r="E715" s="20">
        <f t="shared" si="27"/>
        <v>0</v>
      </c>
      <c r="F715" s="20">
        <f t="shared" si="27"/>
        <v>0</v>
      </c>
      <c r="G715" s="20">
        <f t="shared" si="27"/>
        <v>0</v>
      </c>
      <c r="H715" s="20">
        <f t="shared" si="27"/>
        <v>0</v>
      </c>
      <c r="I715" s="20">
        <f t="shared" si="27"/>
        <v>0</v>
      </c>
      <c r="J715" s="20">
        <f t="shared" si="27"/>
        <v>0</v>
      </c>
      <c r="K715" s="20">
        <f t="shared" si="27"/>
        <v>0</v>
      </c>
      <c r="L715" s="20">
        <f t="shared" si="27"/>
        <v>0</v>
      </c>
      <c r="M715" s="20">
        <f t="shared" si="27"/>
        <v>0</v>
      </c>
      <c r="N715" s="20">
        <f t="shared" si="27"/>
        <v>0</v>
      </c>
      <c r="O715" s="20">
        <f t="shared" si="27"/>
        <v>0</v>
      </c>
      <c r="P715" s="20">
        <f t="shared" si="27"/>
        <v>0</v>
      </c>
    </row>
    <row r="716" spans="1:16" ht="16.2" hidden="1" x14ac:dyDescent="0.3">
      <c r="A716" s="154" t="s">
        <v>182</v>
      </c>
      <c r="B716" s="155"/>
      <c r="C716" s="16" t="s">
        <v>19</v>
      </c>
      <c r="D716" s="20"/>
      <c r="E716" s="20"/>
      <c r="F716" s="20"/>
      <c r="G716" s="20"/>
      <c r="H716" s="20"/>
      <c r="I716" s="20"/>
      <c r="J716" s="20"/>
      <c r="K716" s="20"/>
      <c r="L716" s="20"/>
      <c r="M716" s="20"/>
      <c r="N716" s="20"/>
      <c r="O716" s="20"/>
      <c r="P716" s="20"/>
    </row>
    <row r="717" spans="1:16" ht="16.2" hidden="1" x14ac:dyDescent="0.3">
      <c r="A717" s="154" t="s">
        <v>182</v>
      </c>
      <c r="B717" s="156"/>
      <c r="C717" s="16" t="s">
        <v>19</v>
      </c>
      <c r="D717" s="20"/>
      <c r="E717" s="20"/>
      <c r="F717" s="20"/>
      <c r="G717" s="20"/>
      <c r="H717" s="20"/>
      <c r="I717" s="20"/>
      <c r="J717" s="20"/>
      <c r="K717" s="20"/>
      <c r="L717" s="20"/>
      <c r="M717" s="20"/>
      <c r="N717" s="20"/>
      <c r="O717" s="20"/>
      <c r="P717" s="20"/>
    </row>
    <row r="718" spans="1:16" ht="14.4" x14ac:dyDescent="0.3">
      <c r="A718" s="14" t="s">
        <v>42</v>
      </c>
      <c r="B718" s="14"/>
      <c r="C718" s="16"/>
      <c r="D718" s="24"/>
      <c r="E718" s="24"/>
      <c r="F718" s="24"/>
      <c r="G718" s="24"/>
      <c r="H718" s="24"/>
      <c r="I718" s="24"/>
      <c r="J718" s="24"/>
      <c r="K718" s="24"/>
      <c r="L718" s="24"/>
      <c r="M718" s="24"/>
      <c r="N718" s="24"/>
      <c r="O718" s="24"/>
      <c r="P718" s="24"/>
    </row>
    <row r="719" spans="1:16" ht="14.4" x14ac:dyDescent="0.3">
      <c r="A719" s="14" t="s">
        <v>43</v>
      </c>
      <c r="B719" s="14"/>
      <c r="C719" s="16" t="s">
        <v>44</v>
      </c>
      <c r="D719" s="27"/>
      <c r="E719" s="27"/>
      <c r="F719" s="27"/>
      <c r="G719" s="27"/>
      <c r="H719" s="27"/>
      <c r="I719" s="27"/>
      <c r="J719" s="27"/>
      <c r="K719" s="27"/>
      <c r="L719" s="27"/>
      <c r="M719" s="27"/>
      <c r="N719" s="27"/>
      <c r="O719" s="27"/>
      <c r="P719" s="27"/>
    </row>
    <row r="720" spans="1:16" ht="14.4" hidden="1" x14ac:dyDescent="0.3">
      <c r="A720" s="14" t="s">
        <v>183</v>
      </c>
      <c r="B720" s="14"/>
      <c r="C720" s="16"/>
      <c r="D720" s="28"/>
      <c r="E720" s="28"/>
      <c r="F720" s="28"/>
      <c r="G720" s="28"/>
      <c r="H720" s="28"/>
      <c r="I720" s="28"/>
      <c r="J720" s="28"/>
      <c r="K720" s="28"/>
      <c r="L720" s="28"/>
      <c r="M720" s="28"/>
      <c r="N720" s="28"/>
      <c r="O720" s="28"/>
      <c r="P720" s="28"/>
    </row>
    <row r="721" spans="1:16" ht="14.4" hidden="1" x14ac:dyDescent="0.3">
      <c r="A721" s="14" t="s">
        <v>184</v>
      </c>
      <c r="B721" s="14"/>
      <c r="C721" s="16" t="s">
        <v>19</v>
      </c>
      <c r="D721" s="20"/>
      <c r="E721" s="20"/>
      <c r="F721" s="20"/>
      <c r="G721" s="20"/>
      <c r="H721" s="20"/>
      <c r="I721" s="20"/>
      <c r="J721" s="20"/>
      <c r="K721" s="20"/>
      <c r="L721" s="20"/>
      <c r="M721" s="20"/>
      <c r="N721" s="20"/>
      <c r="O721" s="20"/>
      <c r="P721" s="20"/>
    </row>
    <row r="722" spans="1:16" ht="14.4" x14ac:dyDescent="0.3">
      <c r="A722" s="14" t="s">
        <v>45</v>
      </c>
      <c r="B722" s="14"/>
      <c r="C722" s="16"/>
      <c r="D722" s="28"/>
      <c r="E722" s="28"/>
      <c r="F722" s="28"/>
      <c r="G722" s="28"/>
      <c r="H722" s="28"/>
      <c r="I722" s="28"/>
      <c r="J722" s="28"/>
      <c r="K722" s="28"/>
      <c r="L722" s="28"/>
      <c r="M722" s="28"/>
      <c r="N722" s="28"/>
      <c r="O722" s="28"/>
      <c r="P722" s="28"/>
    </row>
    <row r="723" spans="1:16" ht="14.4" x14ac:dyDescent="0.3">
      <c r="A723" s="14" t="s">
        <v>46</v>
      </c>
      <c r="B723" s="14"/>
      <c r="C723" s="16" t="s">
        <v>19</v>
      </c>
      <c r="D723" s="20">
        <v>0</v>
      </c>
      <c r="E723" s="20">
        <v>0</v>
      </c>
      <c r="F723" s="20">
        <v>0</v>
      </c>
      <c r="G723" s="20">
        <v>0</v>
      </c>
      <c r="H723" s="20">
        <v>0</v>
      </c>
      <c r="I723" s="20">
        <v>0</v>
      </c>
      <c r="J723" s="20">
        <v>0</v>
      </c>
      <c r="K723" s="20">
        <v>0</v>
      </c>
      <c r="L723" s="20">
        <v>0</v>
      </c>
      <c r="M723" s="20">
        <v>0</v>
      </c>
      <c r="N723" s="20">
        <v>0</v>
      </c>
      <c r="O723" s="20">
        <v>0</v>
      </c>
      <c r="P723" s="20">
        <v>0</v>
      </c>
    </row>
    <row r="724" spans="1:16" ht="14.4" hidden="1" x14ac:dyDescent="0.3">
      <c r="A724" s="14" t="s">
        <v>185</v>
      </c>
      <c r="B724" s="14"/>
      <c r="C724" s="16"/>
      <c r="D724" s="28"/>
      <c r="E724" s="28"/>
      <c r="F724" s="28"/>
      <c r="G724" s="28"/>
      <c r="H724" s="28"/>
      <c r="I724" s="28"/>
      <c r="J724" s="28"/>
      <c r="K724" s="28"/>
      <c r="L724" s="28"/>
      <c r="M724" s="28"/>
      <c r="N724" s="28"/>
      <c r="O724" s="28"/>
      <c r="P724" s="28"/>
    </row>
    <row r="725" spans="1:16" ht="14.4" hidden="1" x14ac:dyDescent="0.3">
      <c r="A725" s="14" t="s">
        <v>186</v>
      </c>
      <c r="B725" s="14"/>
      <c r="C725" s="16" t="s">
        <v>19</v>
      </c>
      <c r="D725" s="20"/>
      <c r="E725" s="20"/>
      <c r="F725" s="20"/>
      <c r="G725" s="20"/>
      <c r="H725" s="20"/>
      <c r="I725" s="20"/>
      <c r="J725" s="20"/>
      <c r="K725" s="20"/>
      <c r="L725" s="20"/>
      <c r="M725" s="20"/>
      <c r="N725" s="20"/>
      <c r="O725" s="20"/>
      <c r="P725" s="20"/>
    </row>
    <row r="726" spans="1:16" ht="14.4" x14ac:dyDescent="0.3">
      <c r="A726" s="14" t="s">
        <v>47</v>
      </c>
      <c r="B726" s="14"/>
      <c r="C726" s="16"/>
      <c r="D726" s="24"/>
      <c r="E726" s="24"/>
      <c r="F726" s="24"/>
      <c r="G726" s="24"/>
      <c r="H726" s="24"/>
      <c r="I726" s="24"/>
      <c r="J726" s="24"/>
      <c r="K726" s="24"/>
      <c r="L726" s="24"/>
      <c r="M726" s="24"/>
      <c r="N726" s="24"/>
      <c r="O726" s="24"/>
      <c r="P726" s="24"/>
    </row>
    <row r="727" spans="1:16" ht="14.4" x14ac:dyDescent="0.3">
      <c r="A727" s="18" t="s">
        <v>48</v>
      </c>
      <c r="B727" s="18"/>
      <c r="C727" s="16" t="s">
        <v>19</v>
      </c>
      <c r="D727" s="20">
        <f t="shared" ref="D727:O728" si="28">D196</f>
        <v>0.15609999999999999</v>
      </c>
      <c r="E727" s="20">
        <f t="shared" si="28"/>
        <v>0.15609999999999999</v>
      </c>
      <c r="F727" s="20">
        <f t="shared" si="28"/>
        <v>0.11799999999999999</v>
      </c>
      <c r="G727" s="20">
        <f t="shared" si="28"/>
        <v>0.11799999999999999</v>
      </c>
      <c r="H727" s="20">
        <f t="shared" si="28"/>
        <v>0.11799999999999999</v>
      </c>
      <c r="I727" s="20">
        <f t="shared" si="28"/>
        <v>0.11799999999999999</v>
      </c>
      <c r="J727" s="20">
        <f t="shared" si="28"/>
        <v>0.11799999999999999</v>
      </c>
      <c r="K727" s="20">
        <f t="shared" si="28"/>
        <v>0.15609999999999999</v>
      </c>
      <c r="L727" s="20">
        <f t="shared" si="28"/>
        <v>0.15609999999999999</v>
      </c>
      <c r="M727" s="20">
        <f t="shared" si="28"/>
        <v>0.15609999999999999</v>
      </c>
      <c r="N727" s="20">
        <f t="shared" si="28"/>
        <v>0.15609999999999999</v>
      </c>
      <c r="O727" s="20">
        <f t="shared" si="28"/>
        <v>0.15609999999999999</v>
      </c>
      <c r="P727" s="20">
        <f>P196</f>
        <v>0.15609999999999999</v>
      </c>
    </row>
    <row r="728" spans="1:16" ht="14.4" x14ac:dyDescent="0.3">
      <c r="A728" s="18" t="s">
        <v>49</v>
      </c>
      <c r="B728" s="18"/>
      <c r="C728" s="16" t="s">
        <v>19</v>
      </c>
      <c r="D728" s="20">
        <f t="shared" si="28"/>
        <v>2.5000000000000001E-3</v>
      </c>
      <c r="E728" s="20">
        <f t="shared" si="28"/>
        <v>2.5000000000000001E-3</v>
      </c>
      <c r="F728" s="20">
        <f t="shared" si="28"/>
        <v>2.5000000000000001E-3</v>
      </c>
      <c r="G728" s="20">
        <f t="shared" si="28"/>
        <v>2.5000000000000001E-3</v>
      </c>
      <c r="H728" s="20">
        <f t="shared" si="28"/>
        <v>2.5000000000000001E-3</v>
      </c>
      <c r="I728" s="20">
        <f t="shared" si="28"/>
        <v>2.5000000000000001E-3</v>
      </c>
      <c r="J728" s="20">
        <f t="shared" si="28"/>
        <v>2.5000000000000001E-3</v>
      </c>
      <c r="K728" s="20">
        <f t="shared" si="28"/>
        <v>2.5000000000000001E-3</v>
      </c>
      <c r="L728" s="20">
        <f t="shared" si="28"/>
        <v>2.5000000000000001E-3</v>
      </c>
      <c r="M728" s="20">
        <f t="shared" si="28"/>
        <v>2.5000000000000001E-3</v>
      </c>
      <c r="N728" s="20">
        <f t="shared" si="28"/>
        <v>2.5000000000000001E-3</v>
      </c>
      <c r="O728" s="20">
        <f t="shared" si="28"/>
        <v>2.5000000000000001E-3</v>
      </c>
      <c r="P728" s="20">
        <f>P197</f>
        <v>2.5000000000000001E-3</v>
      </c>
    </row>
    <row r="729" spans="1:16" ht="14.4" x14ac:dyDescent="0.3">
      <c r="A729" s="18" t="s">
        <v>50</v>
      </c>
      <c r="B729" s="18"/>
      <c r="C729" s="16"/>
      <c r="D729" s="20">
        <v>0.1938</v>
      </c>
      <c r="E729" s="20">
        <v>0.1938</v>
      </c>
      <c r="F729" s="20">
        <v>0.1938</v>
      </c>
      <c r="G729" s="20">
        <v>0.1938</v>
      </c>
      <c r="H729" s="20">
        <v>0.1938</v>
      </c>
      <c r="I729" s="20">
        <v>0.1938</v>
      </c>
      <c r="J729" s="20">
        <v>0.1938</v>
      </c>
      <c r="K729" s="20">
        <v>0.1938</v>
      </c>
      <c r="L729" s="20">
        <v>0.1938</v>
      </c>
      <c r="M729" s="20">
        <v>0.1938</v>
      </c>
      <c r="N729" s="20">
        <v>0.1938</v>
      </c>
      <c r="O729" s="20">
        <v>0.1938</v>
      </c>
      <c r="P729" s="20">
        <v>0.1938</v>
      </c>
    </row>
    <row r="730" spans="1:16" ht="14.4" x14ac:dyDescent="0.3">
      <c r="A730" s="14" t="s">
        <v>52</v>
      </c>
      <c r="B730" s="14"/>
      <c r="C730" s="29"/>
      <c r="D730" s="22"/>
      <c r="E730" s="22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</row>
    <row r="731" spans="1:16" ht="14.4" x14ac:dyDescent="0.3">
      <c r="A731" s="18" t="s">
        <v>53</v>
      </c>
      <c r="B731" s="18"/>
      <c r="C731" s="16" t="s">
        <v>44</v>
      </c>
      <c r="D731" s="30">
        <f t="shared" ref="D731:O733" si="29">D200</f>
        <v>0.10970000000000001</v>
      </c>
      <c r="E731" s="30">
        <f t="shared" si="29"/>
        <v>0.1176</v>
      </c>
      <c r="F731" s="30">
        <f t="shared" si="29"/>
        <v>0.1169</v>
      </c>
      <c r="G731" s="30">
        <f t="shared" si="29"/>
        <v>0.1177</v>
      </c>
      <c r="H731" s="30">
        <f t="shared" si="29"/>
        <v>0.11890000000000001</v>
      </c>
      <c r="I731" s="30">
        <f t="shared" si="29"/>
        <v>0.1192</v>
      </c>
      <c r="J731" s="30">
        <f t="shared" si="29"/>
        <v>0.1179</v>
      </c>
      <c r="K731" s="30">
        <f t="shared" si="29"/>
        <v>0.11700000000000001</v>
      </c>
      <c r="L731" s="30">
        <f t="shared" si="29"/>
        <v>0.11650000000000001</v>
      </c>
      <c r="M731" s="30">
        <f t="shared" si="29"/>
        <v>0.1154</v>
      </c>
      <c r="N731" s="30">
        <f t="shared" si="29"/>
        <v>0.1129</v>
      </c>
      <c r="O731" s="30">
        <f t="shared" si="29"/>
        <v>0.115</v>
      </c>
      <c r="P731" s="30" t="e">
        <f>P200</f>
        <v>#DIV/0!</v>
      </c>
    </row>
    <row r="732" spans="1:16" ht="14.4" x14ac:dyDescent="0.3">
      <c r="A732" s="18" t="s">
        <v>54</v>
      </c>
      <c r="B732" s="18"/>
      <c r="C732" s="16" t="s">
        <v>44</v>
      </c>
      <c r="D732" s="30">
        <f t="shared" si="29"/>
        <v>6.0000000000000006E-4</v>
      </c>
      <c r="E732" s="30">
        <f t="shared" si="29"/>
        <v>3.2000000000000002E-3</v>
      </c>
      <c r="F732" s="30">
        <f t="shared" si="29"/>
        <v>3.5000000000000001E-3</v>
      </c>
      <c r="G732" s="30">
        <f t="shared" si="29"/>
        <v>1.3899999999999999E-2</v>
      </c>
      <c r="H732" s="30">
        <f t="shared" si="29"/>
        <v>2.5600000000000001E-2</v>
      </c>
      <c r="I732" s="30">
        <f t="shared" si="29"/>
        <v>2.8000000000000001E-2</v>
      </c>
      <c r="J732" s="30">
        <f t="shared" si="29"/>
        <v>3.73E-2</v>
      </c>
      <c r="K732" s="30">
        <f t="shared" si="29"/>
        <v>3.4099999999999998E-2</v>
      </c>
      <c r="L732" s="30">
        <f t="shared" si="29"/>
        <v>1.9699999999999999E-2</v>
      </c>
      <c r="M732" s="30">
        <f t="shared" si="29"/>
        <v>1.5299999999999999E-2</v>
      </c>
      <c r="N732" s="30">
        <f t="shared" si="29"/>
        <v>6.0000000000000001E-3</v>
      </c>
      <c r="O732" s="30">
        <f t="shared" si="29"/>
        <v>2.8999999999999998E-3</v>
      </c>
      <c r="P732" s="30" t="e">
        <f>P201</f>
        <v>#DIV/0!</v>
      </c>
    </row>
    <row r="733" spans="1:16" ht="14.4" x14ac:dyDescent="0.3">
      <c r="A733" s="18" t="s">
        <v>55</v>
      </c>
      <c r="B733" s="18"/>
      <c r="C733" s="16" t="s">
        <v>44</v>
      </c>
      <c r="D733" s="30">
        <f t="shared" si="29"/>
        <v>9.4299999999999995E-2</v>
      </c>
      <c r="E733" s="30">
        <f t="shared" si="29"/>
        <v>0.1008</v>
      </c>
      <c r="F733" s="30">
        <f t="shared" si="29"/>
        <v>9.9400000000000002E-2</v>
      </c>
      <c r="G733" s="30">
        <f t="shared" si="29"/>
        <v>0.10249999999999999</v>
      </c>
      <c r="H733" s="30">
        <f t="shared" si="29"/>
        <v>0.1066</v>
      </c>
      <c r="I733" s="30">
        <f t="shared" si="29"/>
        <v>0.10630000000000001</v>
      </c>
      <c r="J733" s="30">
        <f t="shared" si="29"/>
        <v>0.10589999999999999</v>
      </c>
      <c r="K733" s="30">
        <f t="shared" si="29"/>
        <v>0.10489999999999999</v>
      </c>
      <c r="L733" s="30">
        <f t="shared" si="29"/>
        <v>0.1022</v>
      </c>
      <c r="M733" s="30">
        <f t="shared" si="29"/>
        <v>0.1019</v>
      </c>
      <c r="N733" s="30">
        <f t="shared" si="29"/>
        <v>9.8799999999999999E-2</v>
      </c>
      <c r="O733" s="30">
        <f t="shared" si="29"/>
        <v>9.98E-2</v>
      </c>
      <c r="P733" s="30" t="e">
        <f>P202</f>
        <v>#DIV/0!</v>
      </c>
    </row>
    <row r="734" spans="1:16" ht="14.4" hidden="1" x14ac:dyDescent="0.3">
      <c r="A734" s="18" t="s">
        <v>187</v>
      </c>
      <c r="B734" s="18"/>
      <c r="C734" s="16" t="s">
        <v>44</v>
      </c>
      <c r="D734" s="27">
        <v>0</v>
      </c>
      <c r="E734" s="27">
        <v>0</v>
      </c>
      <c r="F734" s="27">
        <v>0</v>
      </c>
      <c r="G734" s="27">
        <v>0</v>
      </c>
      <c r="H734" s="27">
        <v>0</v>
      </c>
      <c r="I734" s="27">
        <v>0</v>
      </c>
      <c r="J734" s="27">
        <v>0</v>
      </c>
      <c r="K734" s="27">
        <v>0</v>
      </c>
      <c r="L734" s="27">
        <v>0</v>
      </c>
      <c r="M734" s="27">
        <v>0</v>
      </c>
      <c r="N734" s="27">
        <v>0</v>
      </c>
      <c r="O734" s="27">
        <v>0</v>
      </c>
      <c r="P734" s="27">
        <v>0</v>
      </c>
    </row>
    <row r="735" spans="1:16" ht="14.4" x14ac:dyDescent="0.3">
      <c r="A735" s="18" t="s">
        <v>188</v>
      </c>
      <c r="B735" s="18"/>
      <c r="C735" s="16" t="s">
        <v>44</v>
      </c>
      <c r="D735" s="30">
        <f t="shared" ref="D735:O737" si="30">D204</f>
        <v>9.8799999999999999E-2</v>
      </c>
      <c r="E735" s="30">
        <f t="shared" si="30"/>
        <v>9.8799999999999999E-2</v>
      </c>
      <c r="F735" s="30">
        <f t="shared" si="30"/>
        <v>0</v>
      </c>
      <c r="G735" s="30">
        <f t="shared" si="30"/>
        <v>0</v>
      </c>
      <c r="H735" s="30">
        <f t="shared" si="30"/>
        <v>0</v>
      </c>
      <c r="I735" s="30">
        <f t="shared" si="30"/>
        <v>0</v>
      </c>
      <c r="J735" s="30">
        <f t="shared" si="30"/>
        <v>0</v>
      </c>
      <c r="K735" s="30">
        <f t="shared" si="30"/>
        <v>0</v>
      </c>
      <c r="L735" s="30">
        <f t="shared" si="30"/>
        <v>0</v>
      </c>
      <c r="M735" s="30">
        <f t="shared" si="30"/>
        <v>0</v>
      </c>
      <c r="N735" s="30">
        <f t="shared" si="30"/>
        <v>0</v>
      </c>
      <c r="O735" s="30">
        <f t="shared" si="30"/>
        <v>0</v>
      </c>
      <c r="P735" s="30">
        <f>P204</f>
        <v>0</v>
      </c>
    </row>
    <row r="736" spans="1:16" ht="14.4" x14ac:dyDescent="0.3">
      <c r="A736" s="18" t="s">
        <v>56</v>
      </c>
      <c r="B736" s="18"/>
      <c r="C736" s="16" t="s">
        <v>44</v>
      </c>
      <c r="D736" s="30">
        <f t="shared" si="30"/>
        <v>0.12</v>
      </c>
      <c r="E736" s="30">
        <f t="shared" si="30"/>
        <v>0.12</v>
      </c>
      <c r="F736" s="30">
        <f t="shared" si="30"/>
        <v>0.12</v>
      </c>
      <c r="G736" s="30">
        <f t="shared" si="30"/>
        <v>0.12</v>
      </c>
      <c r="H736" s="30">
        <f t="shared" si="30"/>
        <v>0.12</v>
      </c>
      <c r="I736" s="30">
        <f t="shared" si="30"/>
        <v>0.12</v>
      </c>
      <c r="J736" s="30">
        <f t="shared" si="30"/>
        <v>0.12</v>
      </c>
      <c r="K736" s="30">
        <f t="shared" si="30"/>
        <v>0.12</v>
      </c>
      <c r="L736" s="30">
        <f t="shared" si="30"/>
        <v>0.12</v>
      </c>
      <c r="M736" s="30">
        <f t="shared" si="30"/>
        <v>0.12</v>
      </c>
      <c r="N736" s="30">
        <f t="shared" si="30"/>
        <v>0.12</v>
      </c>
      <c r="O736" s="30">
        <f t="shared" si="30"/>
        <v>0.12</v>
      </c>
      <c r="P736" s="30">
        <f>P205</f>
        <v>0.12</v>
      </c>
    </row>
    <row r="737" spans="1:16" ht="14.4" x14ac:dyDescent="0.3">
      <c r="A737" s="18" t="s">
        <v>57</v>
      </c>
      <c r="B737" s="18"/>
      <c r="C737" s="16" t="s">
        <v>44</v>
      </c>
      <c r="D737" s="30">
        <f t="shared" si="30"/>
        <v>0.12</v>
      </c>
      <c r="E737" s="30">
        <f t="shared" si="30"/>
        <v>0.12</v>
      </c>
      <c r="F737" s="30">
        <f t="shared" si="30"/>
        <v>0.12</v>
      </c>
      <c r="G737" s="30">
        <f t="shared" si="30"/>
        <v>0.12</v>
      </c>
      <c r="H737" s="30">
        <f t="shared" si="30"/>
        <v>0.12</v>
      </c>
      <c r="I737" s="30">
        <f t="shared" si="30"/>
        <v>0.12</v>
      </c>
      <c r="J737" s="30">
        <f t="shared" si="30"/>
        <v>0.12</v>
      </c>
      <c r="K737" s="30">
        <f t="shared" si="30"/>
        <v>0.12</v>
      </c>
      <c r="L737" s="30">
        <f t="shared" si="30"/>
        <v>0.12</v>
      </c>
      <c r="M737" s="30">
        <f t="shared" si="30"/>
        <v>0.12</v>
      </c>
      <c r="N737" s="30">
        <f t="shared" si="30"/>
        <v>0.12</v>
      </c>
      <c r="O737" s="30">
        <f t="shared" si="30"/>
        <v>0.12</v>
      </c>
      <c r="P737" s="30">
        <f>P206</f>
        <v>0.12</v>
      </c>
    </row>
    <row r="738" spans="1:16" s="5" customFormat="1" ht="14.4" x14ac:dyDescent="0.3">
      <c r="A738" s="55"/>
      <c r="B738" s="55"/>
      <c r="C738" s="56"/>
      <c r="D738" s="57"/>
      <c r="E738" s="57"/>
      <c r="F738" s="57"/>
      <c r="G738" s="57"/>
      <c r="H738" s="57"/>
      <c r="I738" s="57"/>
      <c r="J738" s="57"/>
      <c r="K738" s="57"/>
      <c r="L738" s="57"/>
      <c r="M738" s="57"/>
      <c r="N738" s="57"/>
      <c r="O738" s="57"/>
      <c r="P738" s="57"/>
    </row>
    <row r="739" spans="1:16" x14ac:dyDescent="0.3">
      <c r="A739" s="3" t="s">
        <v>58</v>
      </c>
    </row>
    <row r="741" spans="1:16" ht="18" x14ac:dyDescent="0.35">
      <c r="A741" s="59" t="str">
        <f>'[42]Statistical data'!A237</f>
        <v>General Power- Secondary</v>
      </c>
      <c r="B741" s="59"/>
      <c r="C741" s="5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</row>
    <row r="742" spans="1:16" s="13" customFormat="1" ht="14.4" x14ac:dyDescent="0.3">
      <c r="A742" s="11" t="s">
        <v>3</v>
      </c>
      <c r="B742" s="11"/>
      <c r="C742" s="11" t="s">
        <v>4</v>
      </c>
      <c r="D742" s="12" t="str">
        <f>D691</f>
        <v>JAN</v>
      </c>
      <c r="E742" s="12" t="str">
        <f t="shared" ref="E742:P742" si="31">E691</f>
        <v>FEB</v>
      </c>
      <c r="F742" s="12" t="str">
        <f t="shared" si="31"/>
        <v>MAR</v>
      </c>
      <c r="G742" s="12" t="str">
        <f t="shared" si="31"/>
        <v>APR</v>
      </c>
      <c r="H742" s="12" t="str">
        <f t="shared" si="31"/>
        <v>MAY</v>
      </c>
      <c r="I742" s="12" t="str">
        <f t="shared" si="31"/>
        <v>JUN</v>
      </c>
      <c r="J742" s="12" t="str">
        <f t="shared" si="31"/>
        <v>JUL</v>
      </c>
      <c r="K742" s="12" t="str">
        <f t="shared" si="31"/>
        <v>AUG</v>
      </c>
      <c r="L742" s="12" t="str">
        <f t="shared" si="31"/>
        <v>SEP</v>
      </c>
      <c r="M742" s="12" t="str">
        <f t="shared" si="31"/>
        <v>OCT</v>
      </c>
      <c r="N742" s="12" t="str">
        <f t="shared" si="31"/>
        <v>NOV</v>
      </c>
      <c r="O742" s="12" t="str">
        <f t="shared" si="31"/>
        <v>DEC</v>
      </c>
      <c r="P742" s="12" t="str">
        <f t="shared" si="31"/>
        <v>JAN</v>
      </c>
    </row>
    <row r="743" spans="1:16" ht="14.4" x14ac:dyDescent="0.3">
      <c r="A743" s="14" t="s">
        <v>17</v>
      </c>
      <c r="B743" s="15"/>
      <c r="C743" s="16"/>
      <c r="D743" s="17"/>
      <c r="E743" s="17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</row>
    <row r="744" spans="1:16" ht="14.4" x14ac:dyDescent="0.3">
      <c r="A744" s="18" t="s">
        <v>18</v>
      </c>
      <c r="B744" s="19"/>
      <c r="C744" s="16" t="s">
        <v>19</v>
      </c>
      <c r="D744" s="52" t="s">
        <v>59</v>
      </c>
      <c r="E744" s="52" t="s">
        <v>59</v>
      </c>
      <c r="F744" s="52" t="s">
        <v>59</v>
      </c>
      <c r="G744" s="52" t="s">
        <v>59</v>
      </c>
      <c r="H744" s="52" t="s">
        <v>59</v>
      </c>
      <c r="I744" s="52" t="s">
        <v>59</v>
      </c>
      <c r="J744" s="52" t="s">
        <v>59</v>
      </c>
      <c r="K744" s="52" t="s">
        <v>59</v>
      </c>
      <c r="L744" s="52" t="s">
        <v>59</v>
      </c>
      <c r="M744" s="52" t="s">
        <v>59</v>
      </c>
      <c r="N744" s="52" t="s">
        <v>59</v>
      </c>
      <c r="O744" s="52" t="s">
        <v>59</v>
      </c>
      <c r="P744" s="52" t="s">
        <v>59</v>
      </c>
    </row>
    <row r="745" spans="1:16" ht="14.4" x14ac:dyDescent="0.3">
      <c r="A745" s="18" t="s">
        <v>66</v>
      </c>
      <c r="B745" s="19"/>
      <c r="C745" s="16" t="s">
        <v>19</v>
      </c>
      <c r="D745" s="20">
        <v>0</v>
      </c>
      <c r="E745" s="20">
        <v>0</v>
      </c>
      <c r="F745" s="20">
        <v>0</v>
      </c>
      <c r="G745" s="20">
        <v>0</v>
      </c>
      <c r="H745" s="20">
        <v>0</v>
      </c>
      <c r="I745" s="20">
        <v>0</v>
      </c>
      <c r="J745" s="20">
        <v>0</v>
      </c>
      <c r="K745" s="20">
        <v>0</v>
      </c>
      <c r="L745" s="20">
        <v>0</v>
      </c>
      <c r="M745" s="20">
        <v>0</v>
      </c>
      <c r="N745" s="20">
        <v>0</v>
      </c>
      <c r="O745" s="20">
        <v>0</v>
      </c>
      <c r="P745" s="20">
        <v>0</v>
      </c>
    </row>
    <row r="746" spans="1:16" ht="14.4" x14ac:dyDescent="0.3">
      <c r="A746" s="14" t="s">
        <v>20</v>
      </c>
      <c r="B746" s="15"/>
      <c r="C746" s="16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</row>
    <row r="747" spans="1:16" ht="14.4" x14ac:dyDescent="0.3">
      <c r="A747" s="18" t="s">
        <v>21</v>
      </c>
      <c r="B747" s="19"/>
      <c r="C747" s="16" t="s">
        <v>19</v>
      </c>
      <c r="D747" s="20">
        <v>0</v>
      </c>
      <c r="E747" s="20">
        <v>0</v>
      </c>
      <c r="F747" s="20">
        <v>0</v>
      </c>
      <c r="G747" s="20">
        <v>0</v>
      </c>
      <c r="H747" s="20">
        <v>0</v>
      </c>
      <c r="I747" s="20">
        <v>0</v>
      </c>
      <c r="J747" s="20">
        <v>0</v>
      </c>
      <c r="K747" s="20">
        <v>0</v>
      </c>
      <c r="L747" s="20">
        <v>0</v>
      </c>
      <c r="M747" s="20">
        <v>0</v>
      </c>
      <c r="N747" s="20">
        <v>0</v>
      </c>
      <c r="O747" s="20">
        <v>0</v>
      </c>
      <c r="P747" s="20">
        <v>0</v>
      </c>
    </row>
    <row r="748" spans="1:16" ht="14.4" x14ac:dyDescent="0.3">
      <c r="A748" s="18" t="s">
        <v>22</v>
      </c>
      <c r="B748" s="19"/>
      <c r="C748" s="16" t="s">
        <v>23</v>
      </c>
      <c r="D748" s="23">
        <f>[42]TR!D79</f>
        <v>318.52</v>
      </c>
      <c r="E748" s="23">
        <f>[42]TR!E79</f>
        <v>305.39999999999998</v>
      </c>
      <c r="F748" s="23">
        <f>[42]TR!F79</f>
        <v>315.10000000000002</v>
      </c>
      <c r="G748" s="23">
        <f>[42]TR!G79</f>
        <v>345.02</v>
      </c>
      <c r="H748" s="23">
        <f>[42]TR!H79</f>
        <v>315.24</v>
      </c>
      <c r="I748" s="23">
        <f>[42]TR!I79</f>
        <v>300.11</v>
      </c>
      <c r="J748" s="23">
        <f>[42]TR!J79</f>
        <v>340.24</v>
      </c>
      <c r="K748" s="23">
        <f>[42]TR!K79</f>
        <v>331.77</v>
      </c>
      <c r="L748" s="23">
        <f>[42]TR!L79</f>
        <v>315.44</v>
      </c>
      <c r="M748" s="23">
        <f>[42]TR!M79</f>
        <v>292.92</v>
      </c>
      <c r="N748" s="23">
        <f>[42]TR!N79</f>
        <v>267.58999999999997</v>
      </c>
      <c r="O748" s="23">
        <f>[42]TR!O79</f>
        <v>271.31</v>
      </c>
      <c r="P748" s="23">
        <f>[42]TR!P79</f>
        <v>0</v>
      </c>
    </row>
    <row r="749" spans="1:16" ht="14.4" x14ac:dyDescent="0.3">
      <c r="A749" s="14" t="s">
        <v>24</v>
      </c>
      <c r="B749" s="15"/>
      <c r="C749" s="16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</row>
    <row r="750" spans="1:16" ht="14.4" x14ac:dyDescent="0.3">
      <c r="A750" s="18" t="s">
        <v>25</v>
      </c>
      <c r="B750" s="19"/>
      <c r="C750" s="16" t="s">
        <v>19</v>
      </c>
      <c r="D750" s="20">
        <f>D699</f>
        <v>0.60619999999999996</v>
      </c>
      <c r="E750" s="20">
        <f t="shared" ref="E750:P750" si="32">E699</f>
        <v>0.59540000000000004</v>
      </c>
      <c r="F750" s="20">
        <f t="shared" si="32"/>
        <v>0.55020000000000002</v>
      </c>
      <c r="G750" s="20">
        <f t="shared" si="32"/>
        <v>0.61329999999999996</v>
      </c>
      <c r="H750" s="20">
        <f t="shared" si="32"/>
        <v>0.59940000000000004</v>
      </c>
      <c r="I750" s="20">
        <f t="shared" si="32"/>
        <v>0.55889999999999995</v>
      </c>
      <c r="J750" s="20">
        <f t="shared" si="32"/>
        <v>0.5776</v>
      </c>
      <c r="K750" s="20">
        <f t="shared" si="32"/>
        <v>0.57809999999999995</v>
      </c>
      <c r="L750" s="20">
        <f t="shared" si="32"/>
        <v>0.55659999999999998</v>
      </c>
      <c r="M750" s="20">
        <f t="shared" si="32"/>
        <v>0.56210000000000004</v>
      </c>
      <c r="N750" s="20">
        <f t="shared" si="32"/>
        <v>0.5272</v>
      </c>
      <c r="O750" s="20">
        <f t="shared" si="32"/>
        <v>0.51049999999999995</v>
      </c>
      <c r="P750" s="20">
        <f t="shared" si="32"/>
        <v>0</v>
      </c>
    </row>
    <row r="751" spans="1:16" ht="14.4" x14ac:dyDescent="0.3">
      <c r="A751" s="14" t="s">
        <v>26</v>
      </c>
      <c r="B751" s="14"/>
      <c r="C751" s="16"/>
      <c r="D751" s="22"/>
      <c r="E751" s="22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</row>
    <row r="752" spans="1:16" ht="14.4" x14ac:dyDescent="0.3">
      <c r="A752" s="18" t="s">
        <v>27</v>
      </c>
      <c r="B752" s="18"/>
      <c r="C752" s="16" t="s">
        <v>19</v>
      </c>
      <c r="D752" s="20">
        <f>D701</f>
        <v>0.16250000000000001</v>
      </c>
      <c r="E752" s="20">
        <f t="shared" ref="E752:P753" si="33">E701</f>
        <v>0.16250000000000001</v>
      </c>
      <c r="F752" s="20">
        <f t="shared" si="33"/>
        <v>0.16250000000000001</v>
      </c>
      <c r="G752" s="20">
        <f t="shared" si="33"/>
        <v>0.16250000000000001</v>
      </c>
      <c r="H752" s="20">
        <f t="shared" si="33"/>
        <v>0.16250000000000001</v>
      </c>
      <c r="I752" s="20">
        <f t="shared" si="33"/>
        <v>0.16250000000000001</v>
      </c>
      <c r="J752" s="20">
        <f t="shared" si="33"/>
        <v>0.15409999999999999</v>
      </c>
      <c r="K752" s="20">
        <f t="shared" si="33"/>
        <v>0.15409999999999999</v>
      </c>
      <c r="L752" s="20">
        <f t="shared" si="33"/>
        <v>0.15409999999999999</v>
      </c>
      <c r="M752" s="20">
        <f t="shared" si="33"/>
        <v>0.15409999999999999</v>
      </c>
      <c r="N752" s="20">
        <f t="shared" si="33"/>
        <v>0.15409999999999999</v>
      </c>
      <c r="O752" s="20">
        <f t="shared" si="33"/>
        <v>0.15409999999999999</v>
      </c>
      <c r="P752" s="20">
        <f t="shared" si="33"/>
        <v>0.15409999999999999</v>
      </c>
    </row>
    <row r="753" spans="1:16" ht="14.4" x14ac:dyDescent="0.3">
      <c r="A753" s="18" t="s">
        <v>28</v>
      </c>
      <c r="B753" s="18"/>
      <c r="C753" s="16" t="s">
        <v>23</v>
      </c>
      <c r="D753" s="23">
        <f t="shared" ref="D753:J753" si="34">D702</f>
        <v>281.83999999999997</v>
      </c>
      <c r="E753" s="23">
        <f t="shared" si="34"/>
        <v>281.83999999999997</v>
      </c>
      <c r="F753" s="23">
        <f t="shared" si="34"/>
        <v>281.83999999999997</v>
      </c>
      <c r="G753" s="23">
        <f t="shared" si="34"/>
        <v>281.83999999999997</v>
      </c>
      <c r="H753" s="23">
        <f t="shared" si="34"/>
        <v>281.83999999999997</v>
      </c>
      <c r="I753" s="23">
        <f t="shared" si="34"/>
        <v>281.83999999999997</v>
      </c>
      <c r="J753" s="23">
        <f t="shared" si="34"/>
        <v>267.23</v>
      </c>
      <c r="K753" s="23">
        <f t="shared" si="33"/>
        <v>267.23</v>
      </c>
      <c r="L753" s="23">
        <f t="shared" si="33"/>
        <v>267.23</v>
      </c>
      <c r="M753" s="23">
        <f t="shared" si="33"/>
        <v>267.23</v>
      </c>
      <c r="N753" s="23">
        <f t="shared" si="33"/>
        <v>267.23</v>
      </c>
      <c r="O753" s="23">
        <f t="shared" si="33"/>
        <v>267.23</v>
      </c>
      <c r="P753" s="23">
        <f t="shared" si="33"/>
        <v>267.23</v>
      </c>
    </row>
    <row r="754" spans="1:16" ht="14.4" x14ac:dyDescent="0.3">
      <c r="A754" s="14" t="s">
        <v>29</v>
      </c>
      <c r="B754" s="14"/>
      <c r="C754" s="16"/>
      <c r="D754" s="24"/>
      <c r="E754" s="24"/>
      <c r="F754" s="24"/>
      <c r="G754" s="24"/>
      <c r="H754" s="24"/>
      <c r="I754" s="24"/>
      <c r="J754" s="24"/>
      <c r="K754" s="24"/>
      <c r="L754" s="24"/>
      <c r="M754" s="24"/>
      <c r="N754" s="24"/>
      <c r="O754" s="24"/>
      <c r="P754" s="24"/>
    </row>
    <row r="755" spans="1:16" ht="14.4" x14ac:dyDescent="0.3">
      <c r="A755" s="18" t="s">
        <v>30</v>
      </c>
      <c r="B755" s="18"/>
      <c r="C755" s="16" t="s">
        <v>19</v>
      </c>
      <c r="D755" s="52" t="s">
        <v>61</v>
      </c>
      <c r="E755" s="52" t="s">
        <v>61</v>
      </c>
      <c r="F755" s="52" t="s">
        <v>61</v>
      </c>
      <c r="G755" s="52" t="s">
        <v>61</v>
      </c>
      <c r="H755" s="52" t="s">
        <v>61</v>
      </c>
      <c r="I755" s="52" t="s">
        <v>61</v>
      </c>
      <c r="J755" s="52" t="s">
        <v>61</v>
      </c>
      <c r="K755" s="52" t="s">
        <v>61</v>
      </c>
      <c r="L755" s="52" t="s">
        <v>61</v>
      </c>
      <c r="M755" s="52" t="s">
        <v>61</v>
      </c>
      <c r="N755" s="52" t="s">
        <v>61</v>
      </c>
      <c r="O755" s="52" t="s">
        <v>61</v>
      </c>
      <c r="P755" s="52" t="s">
        <v>61</v>
      </c>
    </row>
    <row r="756" spans="1:16" ht="14.4" x14ac:dyDescent="0.3">
      <c r="A756" s="18" t="s">
        <v>31</v>
      </c>
      <c r="B756" s="18"/>
      <c r="C756" s="16" t="s">
        <v>32</v>
      </c>
      <c r="D756" s="52" t="s">
        <v>62</v>
      </c>
      <c r="E756" s="52" t="s">
        <v>62</v>
      </c>
      <c r="F756" s="52" t="s">
        <v>62</v>
      </c>
      <c r="G756" s="52" t="s">
        <v>62</v>
      </c>
      <c r="H756" s="52" t="s">
        <v>62</v>
      </c>
      <c r="I756" s="52" t="s">
        <v>62</v>
      </c>
      <c r="J756" s="52" t="s">
        <v>62</v>
      </c>
      <c r="K756" s="52" t="s">
        <v>62</v>
      </c>
      <c r="L756" s="52" t="s">
        <v>62</v>
      </c>
      <c r="M756" s="52" t="s">
        <v>62</v>
      </c>
      <c r="N756" s="52" t="s">
        <v>62</v>
      </c>
      <c r="O756" s="52" t="s">
        <v>62</v>
      </c>
      <c r="P756" s="52" t="s">
        <v>62</v>
      </c>
    </row>
    <row r="757" spans="1:16" ht="14.4" x14ac:dyDescent="0.3">
      <c r="A757" s="14" t="s">
        <v>33</v>
      </c>
      <c r="B757" s="14"/>
      <c r="C757" s="16"/>
      <c r="D757" s="24"/>
      <c r="E757" s="24"/>
      <c r="F757" s="24"/>
      <c r="G757" s="24"/>
      <c r="H757" s="24"/>
      <c r="I757" s="24"/>
      <c r="J757" s="24"/>
      <c r="K757" s="24"/>
      <c r="L757" s="24"/>
      <c r="M757" s="24"/>
      <c r="N757" s="24"/>
      <c r="O757" s="24"/>
      <c r="P757" s="24"/>
    </row>
    <row r="758" spans="1:16" ht="14.4" x14ac:dyDescent="0.3">
      <c r="A758" s="18" t="s">
        <v>34</v>
      </c>
      <c r="B758" s="18"/>
      <c r="C758" s="16" t="s">
        <v>19</v>
      </c>
      <c r="D758" s="20">
        <v>0</v>
      </c>
      <c r="E758" s="20">
        <v>0</v>
      </c>
      <c r="F758" s="20">
        <v>0</v>
      </c>
      <c r="G758" s="20">
        <v>0</v>
      </c>
      <c r="H758" s="20">
        <v>0</v>
      </c>
      <c r="I758" s="20">
        <v>0</v>
      </c>
      <c r="J758" s="20">
        <v>0</v>
      </c>
      <c r="K758" s="20">
        <v>0</v>
      </c>
      <c r="L758" s="20">
        <v>0</v>
      </c>
      <c r="M758" s="20">
        <v>0</v>
      </c>
      <c r="N758" s="20">
        <v>0</v>
      </c>
      <c r="O758" s="20">
        <v>0</v>
      </c>
      <c r="P758" s="20">
        <v>0</v>
      </c>
    </row>
    <row r="759" spans="1:16" ht="14.4" x14ac:dyDescent="0.3">
      <c r="A759" s="18" t="s">
        <v>35</v>
      </c>
      <c r="B759" s="18"/>
      <c r="C759" s="16" t="s">
        <v>36</v>
      </c>
      <c r="D759" s="52" t="s">
        <v>63</v>
      </c>
      <c r="E759" s="52" t="s">
        <v>63</v>
      </c>
      <c r="F759" s="52" t="s">
        <v>63</v>
      </c>
      <c r="G759" s="52" t="s">
        <v>63</v>
      </c>
      <c r="H759" s="52" t="s">
        <v>63</v>
      </c>
      <c r="I759" s="52" t="s">
        <v>63</v>
      </c>
      <c r="J759" s="52" t="s">
        <v>63</v>
      </c>
      <c r="K759" s="52" t="s">
        <v>63</v>
      </c>
      <c r="L759" s="52" t="s">
        <v>63</v>
      </c>
      <c r="M759" s="52" t="s">
        <v>63</v>
      </c>
      <c r="N759" s="52" t="s">
        <v>63</v>
      </c>
      <c r="O759" s="52" t="s">
        <v>63</v>
      </c>
      <c r="P759" s="52" t="s">
        <v>63</v>
      </c>
    </row>
    <row r="760" spans="1:16" ht="14.4" x14ac:dyDescent="0.3">
      <c r="A760" s="14" t="s">
        <v>37</v>
      </c>
      <c r="B760" s="14"/>
      <c r="C760" s="16"/>
      <c r="D760" s="24"/>
      <c r="E760" s="24"/>
      <c r="F760" s="24"/>
      <c r="G760" s="24"/>
      <c r="H760" s="24"/>
      <c r="I760" s="24"/>
      <c r="J760" s="24"/>
      <c r="K760" s="24"/>
      <c r="L760" s="24"/>
      <c r="M760" s="24"/>
      <c r="N760" s="24"/>
      <c r="O760" s="24"/>
      <c r="P760" s="24"/>
    </row>
    <row r="761" spans="1:16" ht="14.4" x14ac:dyDescent="0.3">
      <c r="A761" s="25" t="s">
        <v>38</v>
      </c>
      <c r="B761" s="18"/>
      <c r="C761" s="16" t="s">
        <v>19</v>
      </c>
      <c r="D761" s="20">
        <f>D710</f>
        <v>0.1173</v>
      </c>
      <c r="E761" s="20">
        <f t="shared" ref="E761:P761" si="35">E710</f>
        <v>0.1527</v>
      </c>
      <c r="F761" s="20">
        <f t="shared" si="35"/>
        <v>0.15920000000000001</v>
      </c>
      <c r="G761" s="20">
        <f t="shared" si="35"/>
        <v>0.16189999999999999</v>
      </c>
      <c r="H761" s="20">
        <f t="shared" si="35"/>
        <v>0.11899999999999999</v>
      </c>
      <c r="I761" s="20">
        <f t="shared" si="35"/>
        <v>0.1066</v>
      </c>
      <c r="J761" s="20">
        <f t="shared" si="35"/>
        <v>8.9300000000000004E-2</v>
      </c>
      <c r="K761" s="20">
        <f t="shared" si="35"/>
        <v>0.1177</v>
      </c>
      <c r="L761" s="20">
        <f t="shared" si="35"/>
        <v>0.1222</v>
      </c>
      <c r="M761" s="20">
        <f t="shared" si="35"/>
        <v>0.1089</v>
      </c>
      <c r="N761" s="20">
        <f t="shared" si="35"/>
        <v>0.1176</v>
      </c>
      <c r="O761" s="20">
        <f t="shared" si="35"/>
        <v>0.1109</v>
      </c>
      <c r="P761" s="20">
        <f t="shared" si="35"/>
        <v>0</v>
      </c>
    </row>
    <row r="762" spans="1:16" ht="14.4" x14ac:dyDescent="0.3">
      <c r="A762" s="25" t="s">
        <v>39</v>
      </c>
      <c r="B762" s="18"/>
      <c r="C762" s="16" t="s">
        <v>19</v>
      </c>
      <c r="D762" s="20">
        <v>0</v>
      </c>
      <c r="E762" s="20">
        <v>0</v>
      </c>
      <c r="F762" s="20">
        <v>0</v>
      </c>
      <c r="G762" s="20">
        <v>0</v>
      </c>
      <c r="H762" s="20">
        <v>0</v>
      </c>
      <c r="I762" s="20">
        <v>0</v>
      </c>
      <c r="J762" s="20">
        <v>0</v>
      </c>
      <c r="K762" s="20">
        <v>0</v>
      </c>
      <c r="L762" s="20">
        <v>0</v>
      </c>
      <c r="M762" s="20">
        <v>0</v>
      </c>
      <c r="N762" s="20">
        <v>0</v>
      </c>
      <c r="O762" s="20">
        <v>0</v>
      </c>
      <c r="P762" s="20">
        <v>0</v>
      </c>
    </row>
    <row r="763" spans="1:16" ht="14.4" x14ac:dyDescent="0.3">
      <c r="A763" s="25" t="s">
        <v>180</v>
      </c>
      <c r="B763" s="18"/>
      <c r="C763" s="16" t="s">
        <v>19</v>
      </c>
      <c r="D763" s="20">
        <f>D712</f>
        <v>3.1399999999999997E-2</v>
      </c>
      <c r="E763" s="20">
        <f t="shared" ref="E763:P766" si="36">E712</f>
        <v>3.1399999999999997E-2</v>
      </c>
      <c r="F763" s="20">
        <f t="shared" si="36"/>
        <v>0</v>
      </c>
      <c r="G763" s="20">
        <f t="shared" si="36"/>
        <v>0</v>
      </c>
      <c r="H763" s="20">
        <f t="shared" si="36"/>
        <v>0</v>
      </c>
      <c r="I763" s="20">
        <f t="shared" si="36"/>
        <v>0</v>
      </c>
      <c r="J763" s="20">
        <f t="shared" si="36"/>
        <v>0</v>
      </c>
      <c r="K763" s="20">
        <f t="shared" si="36"/>
        <v>0</v>
      </c>
      <c r="L763" s="20">
        <f t="shared" si="36"/>
        <v>0</v>
      </c>
      <c r="M763" s="20">
        <f t="shared" si="36"/>
        <v>0</v>
      </c>
      <c r="N763" s="20">
        <f t="shared" si="36"/>
        <v>0</v>
      </c>
      <c r="O763" s="20">
        <f t="shared" si="36"/>
        <v>0</v>
      </c>
      <c r="P763" s="20">
        <f t="shared" si="36"/>
        <v>0</v>
      </c>
    </row>
    <row r="764" spans="1:16" ht="14.4" x14ac:dyDescent="0.3">
      <c r="A764" s="26" t="s">
        <v>40</v>
      </c>
      <c r="B764" s="18"/>
      <c r="C764" s="16" t="s">
        <v>19</v>
      </c>
      <c r="D764" s="20">
        <f>D713</f>
        <v>1E-4</v>
      </c>
      <c r="E764" s="20">
        <f t="shared" si="36"/>
        <v>1E-4</v>
      </c>
      <c r="F764" s="20">
        <f t="shared" si="36"/>
        <v>1E-4</v>
      </c>
      <c r="G764" s="20">
        <f t="shared" si="36"/>
        <v>1E-4</v>
      </c>
      <c r="H764" s="20">
        <f t="shared" si="36"/>
        <v>1E-4</v>
      </c>
      <c r="I764" s="20">
        <f t="shared" si="36"/>
        <v>0</v>
      </c>
      <c r="J764" s="20">
        <f t="shared" si="36"/>
        <v>1E-4</v>
      </c>
      <c r="K764" s="20">
        <f t="shared" si="36"/>
        <v>1E-4</v>
      </c>
      <c r="L764" s="20">
        <f t="shared" si="36"/>
        <v>1E-4</v>
      </c>
      <c r="M764" s="20">
        <f t="shared" si="36"/>
        <v>2.0000000000000001E-4</v>
      </c>
      <c r="N764" s="20">
        <f t="shared" si="36"/>
        <v>1E-4</v>
      </c>
      <c r="O764" s="20">
        <f t="shared" si="36"/>
        <v>1E-4</v>
      </c>
      <c r="P764" s="20">
        <f t="shared" si="36"/>
        <v>0</v>
      </c>
    </row>
    <row r="765" spans="1:16" ht="14.4" x14ac:dyDescent="0.3">
      <c r="A765" s="26" t="s">
        <v>41</v>
      </c>
      <c r="B765" s="18"/>
      <c r="C765" s="16" t="s">
        <v>19</v>
      </c>
      <c r="D765" s="20">
        <f>D714</f>
        <v>0</v>
      </c>
      <c r="E765" s="20">
        <f t="shared" si="36"/>
        <v>0</v>
      </c>
      <c r="F765" s="20">
        <f t="shared" si="36"/>
        <v>0</v>
      </c>
      <c r="G765" s="20">
        <f t="shared" si="36"/>
        <v>0</v>
      </c>
      <c r="H765" s="20">
        <f t="shared" si="36"/>
        <v>0</v>
      </c>
      <c r="I765" s="20">
        <f t="shared" si="36"/>
        <v>0</v>
      </c>
      <c r="J765" s="20">
        <f t="shared" si="36"/>
        <v>0</v>
      </c>
      <c r="K765" s="20">
        <f t="shared" si="36"/>
        <v>0</v>
      </c>
      <c r="L765" s="20">
        <f t="shared" si="36"/>
        <v>0</v>
      </c>
      <c r="M765" s="20">
        <f t="shared" si="36"/>
        <v>0</v>
      </c>
      <c r="N765" s="20">
        <f t="shared" si="36"/>
        <v>0</v>
      </c>
      <c r="O765" s="20">
        <f t="shared" si="36"/>
        <v>0</v>
      </c>
      <c r="P765" s="20">
        <f t="shared" si="36"/>
        <v>0</v>
      </c>
    </row>
    <row r="766" spans="1:16" ht="14.4" hidden="1" x14ac:dyDescent="0.3">
      <c r="A766" s="154" t="s">
        <v>181</v>
      </c>
      <c r="B766" s="155"/>
      <c r="C766" s="16" t="s">
        <v>19</v>
      </c>
      <c r="D766" s="20">
        <f>D715</f>
        <v>0</v>
      </c>
      <c r="E766" s="20">
        <f t="shared" si="36"/>
        <v>0</v>
      </c>
      <c r="F766" s="20">
        <f t="shared" si="36"/>
        <v>0</v>
      </c>
      <c r="G766" s="20">
        <f t="shared" si="36"/>
        <v>0</v>
      </c>
      <c r="H766" s="20">
        <f t="shared" si="36"/>
        <v>0</v>
      </c>
      <c r="I766" s="20">
        <f t="shared" si="36"/>
        <v>0</v>
      </c>
      <c r="J766" s="20">
        <f t="shared" si="36"/>
        <v>0</v>
      </c>
      <c r="K766" s="20">
        <f t="shared" si="36"/>
        <v>0</v>
      </c>
      <c r="L766" s="20">
        <f t="shared" si="36"/>
        <v>0</v>
      </c>
      <c r="M766" s="20">
        <f t="shared" si="36"/>
        <v>0</v>
      </c>
      <c r="N766" s="20">
        <f t="shared" si="36"/>
        <v>0</v>
      </c>
      <c r="O766" s="20">
        <f t="shared" si="36"/>
        <v>0</v>
      </c>
      <c r="P766" s="20">
        <f t="shared" si="36"/>
        <v>0</v>
      </c>
    </row>
    <row r="767" spans="1:16" ht="16.2" hidden="1" x14ac:dyDescent="0.3">
      <c r="A767" s="154" t="s">
        <v>182</v>
      </c>
      <c r="B767" s="155"/>
      <c r="C767" s="16" t="s">
        <v>19</v>
      </c>
      <c r="D767" s="20"/>
      <c r="E767" s="20"/>
      <c r="F767" s="20"/>
      <c r="G767" s="20"/>
      <c r="H767" s="20"/>
      <c r="I767" s="20"/>
      <c r="J767" s="20"/>
      <c r="K767" s="20"/>
      <c r="L767" s="20"/>
      <c r="M767" s="20"/>
      <c r="N767" s="20"/>
      <c r="O767" s="20"/>
      <c r="P767" s="20"/>
    </row>
    <row r="768" spans="1:16" ht="16.2" hidden="1" x14ac:dyDescent="0.3">
      <c r="A768" s="154" t="s">
        <v>182</v>
      </c>
      <c r="B768" s="156"/>
      <c r="C768" s="16" t="s">
        <v>19</v>
      </c>
      <c r="D768" s="20"/>
      <c r="E768" s="20"/>
      <c r="F768" s="20"/>
      <c r="G768" s="20"/>
      <c r="H768" s="20"/>
      <c r="I768" s="20"/>
      <c r="J768" s="20"/>
      <c r="K768" s="20"/>
      <c r="L768" s="20"/>
      <c r="M768" s="20"/>
      <c r="N768" s="20"/>
      <c r="O768" s="20"/>
      <c r="P768" s="20"/>
    </row>
    <row r="769" spans="1:16" ht="14.4" x14ac:dyDescent="0.3">
      <c r="A769" s="14" t="s">
        <v>42</v>
      </c>
      <c r="B769" s="14"/>
      <c r="C769" s="16"/>
      <c r="D769" s="24"/>
      <c r="E769" s="24"/>
      <c r="F769" s="24"/>
      <c r="G769" s="24"/>
      <c r="H769" s="24"/>
      <c r="I769" s="24"/>
      <c r="J769" s="24"/>
      <c r="K769" s="24"/>
      <c r="L769" s="24"/>
      <c r="M769" s="24"/>
      <c r="N769" s="24"/>
      <c r="O769" s="24"/>
      <c r="P769" s="24"/>
    </row>
    <row r="770" spans="1:16" ht="14.4" x14ac:dyDescent="0.3">
      <c r="A770" s="14" t="s">
        <v>43</v>
      </c>
      <c r="B770" s="14"/>
      <c r="C770" s="16" t="s">
        <v>44</v>
      </c>
      <c r="D770" s="27"/>
      <c r="E770" s="27"/>
      <c r="F770" s="27"/>
      <c r="G770" s="27"/>
      <c r="H770" s="27"/>
      <c r="I770" s="27"/>
      <c r="J770" s="27"/>
      <c r="K770" s="27"/>
      <c r="L770" s="27"/>
      <c r="M770" s="27"/>
      <c r="N770" s="27"/>
      <c r="O770" s="27"/>
      <c r="P770" s="27"/>
    </row>
    <row r="771" spans="1:16" ht="14.4" hidden="1" x14ac:dyDescent="0.3">
      <c r="A771" s="14" t="s">
        <v>183</v>
      </c>
      <c r="B771" s="14"/>
      <c r="C771" s="16"/>
      <c r="D771" s="28"/>
      <c r="E771" s="28"/>
      <c r="F771" s="28"/>
      <c r="G771" s="28"/>
      <c r="H771" s="28"/>
      <c r="I771" s="28"/>
      <c r="J771" s="28"/>
      <c r="K771" s="28"/>
      <c r="L771" s="28"/>
      <c r="M771" s="28"/>
      <c r="N771" s="28"/>
      <c r="O771" s="28"/>
      <c r="P771" s="28"/>
    </row>
    <row r="772" spans="1:16" ht="14.4" hidden="1" x14ac:dyDescent="0.3">
      <c r="A772" s="14" t="s">
        <v>184</v>
      </c>
      <c r="B772" s="14"/>
      <c r="C772" s="16" t="s">
        <v>19</v>
      </c>
      <c r="D772" s="20"/>
      <c r="E772" s="20"/>
      <c r="F772" s="20"/>
      <c r="G772" s="20"/>
      <c r="H772" s="20"/>
      <c r="I772" s="20"/>
      <c r="J772" s="20"/>
      <c r="K772" s="20"/>
      <c r="L772" s="20"/>
      <c r="M772" s="20"/>
      <c r="N772" s="20"/>
      <c r="O772" s="20"/>
      <c r="P772" s="20"/>
    </row>
    <row r="773" spans="1:16" ht="14.4" x14ac:dyDescent="0.3">
      <c r="A773" s="14" t="s">
        <v>45</v>
      </c>
      <c r="B773" s="14"/>
      <c r="C773" s="16"/>
      <c r="D773" s="28"/>
      <c r="E773" s="28"/>
      <c r="F773" s="28"/>
      <c r="G773" s="28"/>
      <c r="H773" s="28"/>
      <c r="I773" s="28"/>
      <c r="J773" s="28"/>
      <c r="K773" s="28"/>
      <c r="L773" s="28"/>
      <c r="M773" s="28"/>
      <c r="N773" s="28"/>
      <c r="O773" s="28"/>
      <c r="P773" s="28"/>
    </row>
    <row r="774" spans="1:16" ht="14.4" x14ac:dyDescent="0.3">
      <c r="A774" s="14" t="s">
        <v>46</v>
      </c>
      <c r="B774" s="14"/>
      <c r="C774" s="16" t="s">
        <v>19</v>
      </c>
      <c r="D774" s="20">
        <v>0</v>
      </c>
      <c r="E774" s="20">
        <v>0</v>
      </c>
      <c r="F774" s="20">
        <v>0</v>
      </c>
      <c r="G774" s="20">
        <v>0</v>
      </c>
      <c r="H774" s="20">
        <v>0</v>
      </c>
      <c r="I774" s="20">
        <v>0</v>
      </c>
      <c r="J774" s="20">
        <v>0</v>
      </c>
      <c r="K774" s="20">
        <v>0</v>
      </c>
      <c r="L774" s="20">
        <v>0</v>
      </c>
      <c r="M774" s="20">
        <v>0</v>
      </c>
      <c r="N774" s="20">
        <v>0</v>
      </c>
      <c r="O774" s="20">
        <v>0</v>
      </c>
      <c r="P774" s="20">
        <v>0</v>
      </c>
    </row>
    <row r="775" spans="1:16" ht="14.4" hidden="1" x14ac:dyDescent="0.3">
      <c r="A775" s="14" t="s">
        <v>185</v>
      </c>
      <c r="B775" s="14"/>
      <c r="C775" s="16"/>
      <c r="D775" s="28"/>
      <c r="E775" s="28"/>
      <c r="F775" s="28"/>
      <c r="G775" s="28"/>
      <c r="H775" s="28"/>
      <c r="I775" s="28"/>
      <c r="J775" s="28"/>
      <c r="K775" s="28"/>
      <c r="L775" s="28"/>
      <c r="M775" s="28"/>
      <c r="N775" s="28"/>
      <c r="O775" s="28"/>
      <c r="P775" s="28"/>
    </row>
    <row r="776" spans="1:16" ht="14.4" hidden="1" x14ac:dyDescent="0.3">
      <c r="A776" s="14" t="s">
        <v>186</v>
      </c>
      <c r="B776" s="14"/>
      <c r="C776" s="16" t="s">
        <v>19</v>
      </c>
      <c r="D776" s="20"/>
      <c r="E776" s="20"/>
      <c r="F776" s="20"/>
      <c r="G776" s="20"/>
      <c r="H776" s="20"/>
      <c r="I776" s="20"/>
      <c r="J776" s="20"/>
      <c r="K776" s="20"/>
      <c r="L776" s="20"/>
      <c r="M776" s="20"/>
      <c r="N776" s="20"/>
      <c r="O776" s="20"/>
      <c r="P776" s="20"/>
    </row>
    <row r="777" spans="1:16" ht="14.4" x14ac:dyDescent="0.3">
      <c r="A777" s="14" t="s">
        <v>47</v>
      </c>
      <c r="B777" s="14"/>
      <c r="C777" s="16"/>
      <c r="D777" s="24"/>
      <c r="E777" s="24"/>
      <c r="F777" s="24"/>
      <c r="G777" s="24"/>
      <c r="H777" s="24"/>
      <c r="I777" s="24"/>
      <c r="J777" s="24"/>
      <c r="K777" s="24"/>
      <c r="L777" s="24"/>
      <c r="M777" s="24"/>
      <c r="N777" s="24"/>
      <c r="O777" s="24"/>
      <c r="P777" s="24"/>
    </row>
    <row r="778" spans="1:16" ht="14.4" x14ac:dyDescent="0.3">
      <c r="A778" s="18" t="s">
        <v>48</v>
      </c>
      <c r="B778" s="18"/>
      <c r="C778" s="16" t="s">
        <v>19</v>
      </c>
      <c r="D778" s="20">
        <f>D727</f>
        <v>0.15609999999999999</v>
      </c>
      <c r="E778" s="20">
        <f>E727</f>
        <v>0.15609999999999999</v>
      </c>
      <c r="F778" s="20">
        <f t="shared" ref="F778:P779" si="37">F727</f>
        <v>0.11799999999999999</v>
      </c>
      <c r="G778" s="20">
        <f t="shared" si="37"/>
        <v>0.11799999999999999</v>
      </c>
      <c r="H778" s="20">
        <f t="shared" si="37"/>
        <v>0.11799999999999999</v>
      </c>
      <c r="I778" s="20">
        <f t="shared" si="37"/>
        <v>0.11799999999999999</v>
      </c>
      <c r="J778" s="20">
        <f t="shared" si="37"/>
        <v>0.11799999999999999</v>
      </c>
      <c r="K778" s="20">
        <f t="shared" si="37"/>
        <v>0.15609999999999999</v>
      </c>
      <c r="L778" s="20">
        <f t="shared" si="37"/>
        <v>0.15609999999999999</v>
      </c>
      <c r="M778" s="20">
        <f t="shared" si="37"/>
        <v>0.15609999999999999</v>
      </c>
      <c r="N778" s="20">
        <f t="shared" si="37"/>
        <v>0.15609999999999999</v>
      </c>
      <c r="O778" s="20">
        <f t="shared" si="37"/>
        <v>0.15609999999999999</v>
      </c>
      <c r="P778" s="20">
        <f t="shared" si="37"/>
        <v>0.15609999999999999</v>
      </c>
    </row>
    <row r="779" spans="1:16" ht="14.4" x14ac:dyDescent="0.3">
      <c r="A779" s="18" t="s">
        <v>49</v>
      </c>
      <c r="B779" s="18"/>
      <c r="C779" s="16" t="s">
        <v>19</v>
      </c>
      <c r="D779" s="20">
        <f>D728</f>
        <v>2.5000000000000001E-3</v>
      </c>
      <c r="E779" s="20">
        <f>E728</f>
        <v>2.5000000000000001E-3</v>
      </c>
      <c r="F779" s="20">
        <f t="shared" si="37"/>
        <v>2.5000000000000001E-3</v>
      </c>
      <c r="G779" s="20">
        <f t="shared" si="37"/>
        <v>2.5000000000000001E-3</v>
      </c>
      <c r="H779" s="20">
        <f t="shared" si="37"/>
        <v>2.5000000000000001E-3</v>
      </c>
      <c r="I779" s="20">
        <f t="shared" si="37"/>
        <v>2.5000000000000001E-3</v>
      </c>
      <c r="J779" s="20">
        <f t="shared" si="37"/>
        <v>2.5000000000000001E-3</v>
      </c>
      <c r="K779" s="20">
        <f t="shared" si="37"/>
        <v>2.5000000000000001E-3</v>
      </c>
      <c r="L779" s="20">
        <f t="shared" si="37"/>
        <v>2.5000000000000001E-3</v>
      </c>
      <c r="M779" s="20">
        <f t="shared" si="37"/>
        <v>2.5000000000000001E-3</v>
      </c>
      <c r="N779" s="20">
        <f t="shared" si="37"/>
        <v>2.5000000000000001E-3</v>
      </c>
      <c r="O779" s="20">
        <f t="shared" si="37"/>
        <v>2.5000000000000001E-3</v>
      </c>
      <c r="P779" s="20">
        <f t="shared" si="37"/>
        <v>2.5000000000000001E-3</v>
      </c>
    </row>
    <row r="780" spans="1:16" ht="14.4" x14ac:dyDescent="0.3">
      <c r="A780" s="18" t="s">
        <v>50</v>
      </c>
      <c r="B780" s="18"/>
      <c r="C780" s="16"/>
      <c r="D780" s="20">
        <v>0.1938</v>
      </c>
      <c r="E780" s="20">
        <v>0.1938</v>
      </c>
      <c r="F780" s="20">
        <v>0.1938</v>
      </c>
      <c r="G780" s="20">
        <v>0.1938</v>
      </c>
      <c r="H780" s="20">
        <v>0.1938</v>
      </c>
      <c r="I780" s="20">
        <v>0.1938</v>
      </c>
      <c r="J780" s="20">
        <v>0.1938</v>
      </c>
      <c r="K780" s="20">
        <v>0.1938</v>
      </c>
      <c r="L780" s="20">
        <v>0.1938</v>
      </c>
      <c r="M780" s="20">
        <v>0.1938</v>
      </c>
      <c r="N780" s="20">
        <v>0.1938</v>
      </c>
      <c r="O780" s="20">
        <v>0.1938</v>
      </c>
      <c r="P780" s="20">
        <v>0.1938</v>
      </c>
    </row>
    <row r="781" spans="1:16" ht="14.4" x14ac:dyDescent="0.3">
      <c r="A781" s="14" t="s">
        <v>52</v>
      </c>
      <c r="B781" s="14"/>
      <c r="C781" s="29"/>
      <c r="D781" s="22"/>
      <c r="E781" s="22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</row>
    <row r="782" spans="1:16" ht="14.4" x14ac:dyDescent="0.3">
      <c r="A782" s="18" t="s">
        <v>53</v>
      </c>
      <c r="B782" s="18"/>
      <c r="C782" s="16" t="s">
        <v>44</v>
      </c>
      <c r="D782" s="30">
        <f t="shared" ref="D782:O784" si="38">D731</f>
        <v>0.10970000000000001</v>
      </c>
      <c r="E782" s="30">
        <f t="shared" si="38"/>
        <v>0.1176</v>
      </c>
      <c r="F782" s="30">
        <f t="shared" si="38"/>
        <v>0.1169</v>
      </c>
      <c r="G782" s="30">
        <f t="shared" si="38"/>
        <v>0.1177</v>
      </c>
      <c r="H782" s="30">
        <f t="shared" si="38"/>
        <v>0.11890000000000001</v>
      </c>
      <c r="I782" s="30">
        <f t="shared" si="38"/>
        <v>0.1192</v>
      </c>
      <c r="J782" s="30">
        <f t="shared" si="38"/>
        <v>0.1179</v>
      </c>
      <c r="K782" s="30">
        <f t="shared" si="38"/>
        <v>0.11700000000000001</v>
      </c>
      <c r="L782" s="30">
        <f t="shared" si="38"/>
        <v>0.11650000000000001</v>
      </c>
      <c r="M782" s="30">
        <f t="shared" si="38"/>
        <v>0.1154</v>
      </c>
      <c r="N782" s="30">
        <f t="shared" si="38"/>
        <v>0.1129</v>
      </c>
      <c r="O782" s="30">
        <f t="shared" si="38"/>
        <v>0.115</v>
      </c>
      <c r="P782" s="30" t="e">
        <f>P731</f>
        <v>#DIV/0!</v>
      </c>
    </row>
    <row r="783" spans="1:16" ht="14.4" x14ac:dyDescent="0.3">
      <c r="A783" s="18" t="s">
        <v>54</v>
      </c>
      <c r="B783" s="18"/>
      <c r="C783" s="16" t="s">
        <v>44</v>
      </c>
      <c r="D783" s="30">
        <f t="shared" si="38"/>
        <v>6.0000000000000006E-4</v>
      </c>
      <c r="E783" s="30">
        <f t="shared" si="38"/>
        <v>3.2000000000000002E-3</v>
      </c>
      <c r="F783" s="30">
        <f t="shared" si="38"/>
        <v>3.5000000000000001E-3</v>
      </c>
      <c r="G783" s="30">
        <f t="shared" si="38"/>
        <v>1.3899999999999999E-2</v>
      </c>
      <c r="H783" s="30">
        <f t="shared" si="38"/>
        <v>2.5600000000000001E-2</v>
      </c>
      <c r="I783" s="30">
        <f t="shared" si="38"/>
        <v>2.8000000000000001E-2</v>
      </c>
      <c r="J783" s="30">
        <f t="shared" si="38"/>
        <v>3.73E-2</v>
      </c>
      <c r="K783" s="30">
        <f t="shared" si="38"/>
        <v>3.4099999999999998E-2</v>
      </c>
      <c r="L783" s="30">
        <f t="shared" si="38"/>
        <v>1.9699999999999999E-2</v>
      </c>
      <c r="M783" s="30">
        <f t="shared" si="38"/>
        <v>1.5299999999999999E-2</v>
      </c>
      <c r="N783" s="30">
        <f t="shared" si="38"/>
        <v>6.0000000000000001E-3</v>
      </c>
      <c r="O783" s="30">
        <f t="shared" si="38"/>
        <v>2.8999999999999998E-3</v>
      </c>
      <c r="P783" s="30" t="e">
        <f>P732</f>
        <v>#DIV/0!</v>
      </c>
    </row>
    <row r="784" spans="1:16" ht="14.4" x14ac:dyDescent="0.3">
      <c r="A784" s="18" t="s">
        <v>55</v>
      </c>
      <c r="B784" s="18"/>
      <c r="C784" s="16" t="s">
        <v>44</v>
      </c>
      <c r="D784" s="30">
        <f t="shared" si="38"/>
        <v>9.4299999999999995E-2</v>
      </c>
      <c r="E784" s="30">
        <f t="shared" si="38"/>
        <v>0.1008</v>
      </c>
      <c r="F784" s="30">
        <f t="shared" si="38"/>
        <v>9.9400000000000002E-2</v>
      </c>
      <c r="G784" s="30">
        <f t="shared" si="38"/>
        <v>0.10249999999999999</v>
      </c>
      <c r="H784" s="30">
        <f t="shared" si="38"/>
        <v>0.1066</v>
      </c>
      <c r="I784" s="30">
        <f t="shared" si="38"/>
        <v>0.10630000000000001</v>
      </c>
      <c r="J784" s="30">
        <f t="shared" si="38"/>
        <v>0.10589999999999999</v>
      </c>
      <c r="K784" s="30">
        <f t="shared" si="38"/>
        <v>0.10489999999999999</v>
      </c>
      <c r="L784" s="30">
        <f t="shared" si="38"/>
        <v>0.1022</v>
      </c>
      <c r="M784" s="30">
        <f t="shared" si="38"/>
        <v>0.1019</v>
      </c>
      <c r="N784" s="30">
        <f t="shared" si="38"/>
        <v>9.8799999999999999E-2</v>
      </c>
      <c r="O784" s="30">
        <f t="shared" si="38"/>
        <v>9.98E-2</v>
      </c>
      <c r="P784" s="30" t="e">
        <f>P733</f>
        <v>#DIV/0!</v>
      </c>
    </row>
    <row r="785" spans="1:16" ht="14.4" hidden="1" x14ac:dyDescent="0.3">
      <c r="A785" s="18" t="s">
        <v>187</v>
      </c>
      <c r="B785" s="18"/>
      <c r="C785" s="16" t="s">
        <v>44</v>
      </c>
      <c r="D785" s="27">
        <v>0</v>
      </c>
      <c r="E785" s="27">
        <v>0</v>
      </c>
      <c r="F785" s="27">
        <v>0</v>
      </c>
      <c r="G785" s="27">
        <v>0</v>
      </c>
      <c r="H785" s="27">
        <v>0</v>
      </c>
      <c r="I785" s="27">
        <v>0</v>
      </c>
      <c r="J785" s="27">
        <v>0</v>
      </c>
      <c r="K785" s="27">
        <v>0</v>
      </c>
      <c r="L785" s="27">
        <v>0</v>
      </c>
      <c r="M785" s="27">
        <v>0</v>
      </c>
      <c r="N785" s="27">
        <v>0</v>
      </c>
      <c r="O785" s="27">
        <v>0</v>
      </c>
      <c r="P785" s="27">
        <v>0</v>
      </c>
    </row>
    <row r="786" spans="1:16" ht="14.4" x14ac:dyDescent="0.3">
      <c r="A786" s="18" t="s">
        <v>188</v>
      </c>
      <c r="B786" s="18"/>
      <c r="C786" s="16" t="s">
        <v>44</v>
      </c>
      <c r="D786" s="30">
        <f t="shared" ref="D786:O788" si="39">D735</f>
        <v>9.8799999999999999E-2</v>
      </c>
      <c r="E786" s="30">
        <f t="shared" si="39"/>
        <v>9.8799999999999999E-2</v>
      </c>
      <c r="F786" s="30">
        <f t="shared" si="39"/>
        <v>0</v>
      </c>
      <c r="G786" s="30">
        <f t="shared" si="39"/>
        <v>0</v>
      </c>
      <c r="H786" s="30">
        <f t="shared" si="39"/>
        <v>0</v>
      </c>
      <c r="I786" s="30">
        <f t="shared" si="39"/>
        <v>0</v>
      </c>
      <c r="J786" s="30">
        <f t="shared" si="39"/>
        <v>0</v>
      </c>
      <c r="K786" s="30">
        <f t="shared" si="39"/>
        <v>0</v>
      </c>
      <c r="L786" s="30">
        <f t="shared" si="39"/>
        <v>0</v>
      </c>
      <c r="M786" s="30">
        <f t="shared" si="39"/>
        <v>0</v>
      </c>
      <c r="N786" s="30">
        <f t="shared" si="39"/>
        <v>0</v>
      </c>
      <c r="O786" s="30">
        <f t="shared" si="39"/>
        <v>0</v>
      </c>
      <c r="P786" s="30">
        <f>P735</f>
        <v>0</v>
      </c>
    </row>
    <row r="787" spans="1:16" ht="14.4" x14ac:dyDescent="0.3">
      <c r="A787" s="18" t="s">
        <v>56</v>
      </c>
      <c r="B787" s="18"/>
      <c r="C787" s="16" t="s">
        <v>44</v>
      </c>
      <c r="D787" s="30">
        <f t="shared" si="39"/>
        <v>0.12</v>
      </c>
      <c r="E787" s="30">
        <f t="shared" si="39"/>
        <v>0.12</v>
      </c>
      <c r="F787" s="30">
        <f t="shared" si="39"/>
        <v>0.12</v>
      </c>
      <c r="G787" s="30">
        <f t="shared" si="39"/>
        <v>0.12</v>
      </c>
      <c r="H787" s="30">
        <f t="shared" si="39"/>
        <v>0.12</v>
      </c>
      <c r="I787" s="30">
        <f t="shared" si="39"/>
        <v>0.12</v>
      </c>
      <c r="J787" s="30">
        <f t="shared" si="39"/>
        <v>0.12</v>
      </c>
      <c r="K787" s="30">
        <f t="shared" si="39"/>
        <v>0.12</v>
      </c>
      <c r="L787" s="30">
        <f t="shared" si="39"/>
        <v>0.12</v>
      </c>
      <c r="M787" s="30">
        <f t="shared" si="39"/>
        <v>0.12</v>
      </c>
      <c r="N787" s="30">
        <f t="shared" si="39"/>
        <v>0.12</v>
      </c>
      <c r="O787" s="30">
        <f t="shared" si="39"/>
        <v>0.12</v>
      </c>
      <c r="P787" s="30">
        <f>P736</f>
        <v>0.12</v>
      </c>
    </row>
    <row r="788" spans="1:16" ht="14.4" x14ac:dyDescent="0.3">
      <c r="A788" s="18" t="s">
        <v>57</v>
      </c>
      <c r="B788" s="18"/>
      <c r="C788" s="16" t="s">
        <v>44</v>
      </c>
      <c r="D788" s="30">
        <f t="shared" si="39"/>
        <v>0.12</v>
      </c>
      <c r="E788" s="30">
        <f t="shared" si="39"/>
        <v>0.12</v>
      </c>
      <c r="F788" s="30">
        <f t="shared" si="39"/>
        <v>0.12</v>
      </c>
      <c r="G788" s="30">
        <f t="shared" si="39"/>
        <v>0.12</v>
      </c>
      <c r="H788" s="30">
        <f t="shared" si="39"/>
        <v>0.12</v>
      </c>
      <c r="I788" s="30">
        <f t="shared" si="39"/>
        <v>0.12</v>
      </c>
      <c r="J788" s="30">
        <f t="shared" si="39"/>
        <v>0.12</v>
      </c>
      <c r="K788" s="30">
        <f t="shared" si="39"/>
        <v>0.12</v>
      </c>
      <c r="L788" s="30">
        <f t="shared" si="39"/>
        <v>0.12</v>
      </c>
      <c r="M788" s="30">
        <f t="shared" si="39"/>
        <v>0.12</v>
      </c>
      <c r="N788" s="30">
        <f t="shared" si="39"/>
        <v>0.12</v>
      </c>
      <c r="O788" s="30">
        <f t="shared" si="39"/>
        <v>0.12</v>
      </c>
      <c r="P788" s="30">
        <f>P737</f>
        <v>0.12</v>
      </c>
    </row>
    <row r="789" spans="1:16" s="5" customFormat="1" ht="14.4" x14ac:dyDescent="0.3">
      <c r="A789" s="55"/>
      <c r="B789" s="55"/>
      <c r="C789" s="56"/>
      <c r="D789" s="57"/>
      <c r="E789" s="57"/>
      <c r="F789" s="57"/>
      <c r="G789" s="57"/>
      <c r="H789" s="57"/>
      <c r="I789" s="57"/>
      <c r="J789" s="57"/>
      <c r="K789" s="57"/>
      <c r="L789" s="57"/>
      <c r="M789" s="57"/>
      <c r="N789" s="57"/>
      <c r="O789" s="57"/>
      <c r="P789" s="57"/>
    </row>
    <row r="790" spans="1:16" x14ac:dyDescent="0.3">
      <c r="A790" s="3" t="s">
        <v>58</v>
      </c>
    </row>
    <row r="792" spans="1:16" ht="18" x14ac:dyDescent="0.35">
      <c r="A792" s="59" t="str">
        <f>'[42]Statistical data'!A238</f>
        <v>General Power-Below 13.2kV</v>
      </c>
      <c r="B792" s="60"/>
      <c r="C792" s="5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</row>
    <row r="793" spans="1:16" s="13" customFormat="1" ht="14.4" x14ac:dyDescent="0.3">
      <c r="A793" s="11" t="s">
        <v>3</v>
      </c>
      <c r="B793" s="11"/>
      <c r="C793" s="11" t="s">
        <v>4</v>
      </c>
      <c r="D793" s="12" t="str">
        <f>D742</f>
        <v>JAN</v>
      </c>
      <c r="E793" s="12" t="str">
        <f t="shared" ref="E793:P793" si="40">E742</f>
        <v>FEB</v>
      </c>
      <c r="F793" s="12" t="str">
        <f t="shared" si="40"/>
        <v>MAR</v>
      </c>
      <c r="G793" s="12" t="str">
        <f t="shared" si="40"/>
        <v>APR</v>
      </c>
      <c r="H793" s="12" t="str">
        <f t="shared" si="40"/>
        <v>MAY</v>
      </c>
      <c r="I793" s="12" t="str">
        <f t="shared" si="40"/>
        <v>JUN</v>
      </c>
      <c r="J793" s="12" t="str">
        <f t="shared" si="40"/>
        <v>JUL</v>
      </c>
      <c r="K793" s="12" t="str">
        <f t="shared" si="40"/>
        <v>AUG</v>
      </c>
      <c r="L793" s="12" t="str">
        <f t="shared" si="40"/>
        <v>SEP</v>
      </c>
      <c r="M793" s="12" t="str">
        <f t="shared" si="40"/>
        <v>OCT</v>
      </c>
      <c r="N793" s="12" t="str">
        <f t="shared" si="40"/>
        <v>NOV</v>
      </c>
      <c r="O793" s="12" t="str">
        <f t="shared" si="40"/>
        <v>DEC</v>
      </c>
      <c r="P793" s="12" t="str">
        <f t="shared" si="40"/>
        <v>JAN</v>
      </c>
    </row>
    <row r="794" spans="1:16" ht="14.4" x14ac:dyDescent="0.3">
      <c r="A794" s="14" t="s">
        <v>17</v>
      </c>
      <c r="B794" s="15"/>
      <c r="C794" s="16"/>
      <c r="D794" s="17"/>
      <c r="E794" s="17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</row>
    <row r="795" spans="1:16" ht="14.4" x14ac:dyDescent="0.3">
      <c r="A795" s="18" t="s">
        <v>18</v>
      </c>
      <c r="B795" s="19"/>
      <c r="C795" s="16" t="s">
        <v>19</v>
      </c>
      <c r="D795" s="20">
        <f>[42]GR!D23</f>
        <v>5.6673</v>
      </c>
      <c r="E795" s="20">
        <f>[42]GR!F23</f>
        <v>5.5358999999999998</v>
      </c>
      <c r="F795" s="20">
        <f>[42]GR!G23</f>
        <v>5.2064000000000004</v>
      </c>
      <c r="G795" s="20">
        <f>[42]GR!H23</f>
        <v>5.8994999999999997</v>
      </c>
      <c r="H795" s="20">
        <f>[42]GR!I23</f>
        <v>5.9702999999999999</v>
      </c>
      <c r="I795" s="20">
        <f>[42]GR!J23</f>
        <v>5.3105000000000002</v>
      </c>
      <c r="J795" s="20">
        <f>[42]GR!K23</f>
        <v>5.4071999999999996</v>
      </c>
      <c r="K795" s="20">
        <f>[42]GR!L23</f>
        <v>5.6352000000000002</v>
      </c>
      <c r="L795" s="20">
        <f>[42]GR!M23</f>
        <v>5.1936999999999998</v>
      </c>
      <c r="M795" s="20">
        <f>[42]GR!N23</f>
        <v>5.3522999999999996</v>
      </c>
      <c r="N795" s="20">
        <f>[42]GR!O23</f>
        <v>5.1071999999999997</v>
      </c>
      <c r="O795" s="20">
        <f>[42]GR!P23</f>
        <v>4.9371999999999998</v>
      </c>
      <c r="P795" s="20" t="e">
        <f>[42]GR!Q23</f>
        <v>#DIV/0!</v>
      </c>
    </row>
    <row r="796" spans="1:16" ht="14.4" hidden="1" x14ac:dyDescent="0.3">
      <c r="A796" s="18" t="s">
        <v>66</v>
      </c>
      <c r="B796" s="19"/>
      <c r="C796" s="16" t="s">
        <v>19</v>
      </c>
      <c r="D796" s="20">
        <v>0</v>
      </c>
      <c r="E796" s="20">
        <v>0</v>
      </c>
      <c r="F796" s="20">
        <v>0</v>
      </c>
      <c r="G796" s="20">
        <v>0</v>
      </c>
      <c r="H796" s="20">
        <v>0</v>
      </c>
      <c r="I796" s="20">
        <v>0</v>
      </c>
      <c r="J796" s="20">
        <v>0</v>
      </c>
      <c r="K796" s="20">
        <v>0</v>
      </c>
      <c r="L796" s="20">
        <v>0</v>
      </c>
      <c r="M796" s="20">
        <v>0</v>
      </c>
      <c r="N796" s="20">
        <v>0</v>
      </c>
      <c r="O796" s="20">
        <v>0</v>
      </c>
      <c r="P796" s="20">
        <v>0</v>
      </c>
    </row>
    <row r="797" spans="1:16" ht="14.4" x14ac:dyDescent="0.3">
      <c r="A797" s="14" t="s">
        <v>20</v>
      </c>
      <c r="B797" s="15"/>
      <c r="C797" s="16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</row>
    <row r="798" spans="1:16" ht="14.4" x14ac:dyDescent="0.3">
      <c r="A798" s="18" t="s">
        <v>21</v>
      </c>
      <c r="B798" s="19"/>
      <c r="C798" s="16" t="s">
        <v>19</v>
      </c>
      <c r="D798" s="20">
        <v>0</v>
      </c>
      <c r="E798" s="20">
        <v>0</v>
      </c>
      <c r="F798" s="20">
        <v>0</v>
      </c>
      <c r="G798" s="20">
        <v>0</v>
      </c>
      <c r="H798" s="20">
        <v>0</v>
      </c>
      <c r="I798" s="20">
        <v>0</v>
      </c>
      <c r="J798" s="20">
        <v>0</v>
      </c>
      <c r="K798" s="20">
        <v>0</v>
      </c>
      <c r="L798" s="20">
        <v>0</v>
      </c>
      <c r="M798" s="20">
        <v>0</v>
      </c>
      <c r="N798" s="20">
        <v>0</v>
      </c>
      <c r="O798" s="20">
        <v>0</v>
      </c>
      <c r="P798" s="20">
        <v>0</v>
      </c>
    </row>
    <row r="799" spans="1:16" ht="14.4" x14ac:dyDescent="0.3">
      <c r="A799" s="18" t="s">
        <v>22</v>
      </c>
      <c r="B799" s="19"/>
      <c r="C799" s="16" t="s">
        <v>23</v>
      </c>
      <c r="D799" s="23">
        <f>[42]TR!D80</f>
        <v>337.22</v>
      </c>
      <c r="E799" s="23">
        <f>[42]TR!E80</f>
        <v>334.43</v>
      </c>
      <c r="F799" s="23">
        <f>[42]TR!F80</f>
        <v>334.25</v>
      </c>
      <c r="G799" s="23">
        <f>[42]TR!G80</f>
        <v>352.69</v>
      </c>
      <c r="H799" s="23">
        <f>[42]TR!H80</f>
        <v>331.29</v>
      </c>
      <c r="I799" s="23">
        <f>[42]TR!I80</f>
        <v>313.36</v>
      </c>
      <c r="J799" s="23">
        <f>[42]TR!J80</f>
        <v>359.26</v>
      </c>
      <c r="K799" s="23">
        <f>[42]TR!K80</f>
        <v>341.03</v>
      </c>
      <c r="L799" s="23">
        <f>[42]TR!L80</f>
        <v>330.53</v>
      </c>
      <c r="M799" s="23">
        <f>[42]TR!M80</f>
        <v>317.88</v>
      </c>
      <c r="N799" s="23">
        <f>[42]TR!N80</f>
        <v>281.54000000000002</v>
      </c>
      <c r="O799" s="23">
        <f>[42]TR!O80</f>
        <v>293.14</v>
      </c>
      <c r="P799" s="23">
        <f>[42]TR!P80</f>
        <v>0</v>
      </c>
    </row>
    <row r="800" spans="1:16" ht="14.4" x14ac:dyDescent="0.3">
      <c r="A800" s="14" t="s">
        <v>24</v>
      </c>
      <c r="B800" s="15"/>
      <c r="C800" s="16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</row>
    <row r="801" spans="1:16" ht="14.4" x14ac:dyDescent="0.3">
      <c r="A801" s="18" t="s">
        <v>25</v>
      </c>
      <c r="B801" s="19"/>
      <c r="C801" s="16" t="s">
        <v>19</v>
      </c>
      <c r="D801" s="20">
        <f>[42]SLR!D118</f>
        <v>0.25230000000000002</v>
      </c>
      <c r="E801" s="20">
        <f>[42]SLR!E118</f>
        <v>0.23749999999999999</v>
      </c>
      <c r="F801" s="20">
        <f>[42]SLR!F118</f>
        <v>0.22670000000000001</v>
      </c>
      <c r="G801" s="20">
        <f>[42]SLR!G118</f>
        <v>0.2545</v>
      </c>
      <c r="H801" s="20">
        <f>[42]SLR!H118</f>
        <v>0.24990000000000001</v>
      </c>
      <c r="I801" s="20">
        <f>[42]SLR!I118</f>
        <v>0.23930000000000001</v>
      </c>
      <c r="J801" s="20">
        <f>[42]SLR!J118</f>
        <v>0.2341</v>
      </c>
      <c r="K801" s="20">
        <f>[42]SLR!K118</f>
        <v>0.23499999999999999</v>
      </c>
      <c r="L801" s="20">
        <f>[42]SLR!L118</f>
        <v>0.23369999999999999</v>
      </c>
      <c r="M801" s="20">
        <f>[42]SLR!M118</f>
        <v>0.22239999999999999</v>
      </c>
      <c r="N801" s="20">
        <f>[42]SLR!N118</f>
        <v>0.21240000000000001</v>
      </c>
      <c r="O801" s="20">
        <f>[42]SLR!O118</f>
        <v>0.20680000000000001</v>
      </c>
      <c r="P801" s="20">
        <f>[42]SLR!P118</f>
        <v>0</v>
      </c>
    </row>
    <row r="802" spans="1:16" ht="14.4" x14ac:dyDescent="0.3">
      <c r="A802" s="14" t="s">
        <v>26</v>
      </c>
      <c r="B802" s="14"/>
      <c r="C802" s="16"/>
      <c r="D802" s="22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</row>
    <row r="803" spans="1:16" ht="14.4" x14ac:dyDescent="0.3">
      <c r="A803" s="18" t="s">
        <v>27</v>
      </c>
      <c r="B803" s="18"/>
      <c r="C803" s="16" t="s">
        <v>19</v>
      </c>
      <c r="D803" s="20">
        <v>6.0900000000000003E-2</v>
      </c>
      <c r="E803" s="20">
        <v>6.0900000000000003E-2</v>
      </c>
      <c r="F803" s="20">
        <v>6.0900000000000003E-2</v>
      </c>
      <c r="G803" s="20">
        <v>6.0900000000000003E-2</v>
      </c>
      <c r="H803" s="20">
        <v>6.0900000000000003E-2</v>
      </c>
      <c r="I803" s="20">
        <v>6.0900000000000003E-2</v>
      </c>
      <c r="J803" s="20">
        <v>5.7799999999999997E-2</v>
      </c>
      <c r="K803" s="20">
        <v>5.7799999999999997E-2</v>
      </c>
      <c r="L803" s="20">
        <v>5.7799999999999997E-2</v>
      </c>
      <c r="M803" s="20">
        <v>5.7799999999999997E-2</v>
      </c>
      <c r="N803" s="20">
        <v>5.7799999999999997E-2</v>
      </c>
      <c r="O803" s="20">
        <v>5.7799999999999997E-2</v>
      </c>
      <c r="P803" s="20">
        <v>5.7799999999999997E-2</v>
      </c>
    </row>
    <row r="804" spans="1:16" ht="14.4" x14ac:dyDescent="0.3">
      <c r="A804" s="18" t="s">
        <v>28</v>
      </c>
      <c r="B804" s="18"/>
      <c r="C804" s="16" t="s">
        <v>23</v>
      </c>
      <c r="D804" s="23">
        <v>217.08</v>
      </c>
      <c r="E804" s="23">
        <v>217.08</v>
      </c>
      <c r="F804" s="23">
        <v>217.08</v>
      </c>
      <c r="G804" s="23">
        <v>217.08</v>
      </c>
      <c r="H804" s="23">
        <v>217.08</v>
      </c>
      <c r="I804" s="23">
        <v>217.08</v>
      </c>
      <c r="J804" s="23">
        <v>205.83</v>
      </c>
      <c r="K804" s="23">
        <v>205.83</v>
      </c>
      <c r="L804" s="23">
        <v>205.83</v>
      </c>
      <c r="M804" s="23">
        <v>205.83</v>
      </c>
      <c r="N804" s="23">
        <v>205.83</v>
      </c>
      <c r="O804" s="23">
        <v>205.83</v>
      </c>
      <c r="P804" s="23">
        <v>205.83</v>
      </c>
    </row>
    <row r="805" spans="1:16" ht="14.4" x14ac:dyDescent="0.3">
      <c r="A805" s="14" t="s">
        <v>29</v>
      </c>
      <c r="B805" s="14"/>
      <c r="C805" s="16"/>
      <c r="D805" s="24"/>
      <c r="E805" s="24"/>
      <c r="F805" s="24"/>
      <c r="G805" s="24"/>
      <c r="H805" s="24"/>
      <c r="I805" s="24"/>
      <c r="J805" s="24"/>
      <c r="K805" s="24"/>
      <c r="L805" s="24"/>
      <c r="M805" s="24"/>
      <c r="N805" s="24"/>
      <c r="O805" s="24"/>
      <c r="P805" s="24"/>
    </row>
    <row r="806" spans="1:16" ht="14.4" x14ac:dyDescent="0.3">
      <c r="A806" s="18" t="s">
        <v>30</v>
      </c>
      <c r="B806" s="18"/>
      <c r="C806" s="16" t="s">
        <v>19</v>
      </c>
      <c r="D806" s="20">
        <v>0</v>
      </c>
      <c r="E806" s="20">
        <v>0</v>
      </c>
      <c r="F806" s="20">
        <v>0</v>
      </c>
      <c r="G806" s="20">
        <v>0</v>
      </c>
      <c r="H806" s="20">
        <v>0</v>
      </c>
      <c r="I806" s="20">
        <v>0</v>
      </c>
      <c r="J806" s="20">
        <v>0</v>
      </c>
      <c r="K806" s="20">
        <v>0</v>
      </c>
      <c r="L806" s="20">
        <v>0</v>
      </c>
      <c r="M806" s="20">
        <v>0</v>
      </c>
      <c r="N806" s="20">
        <v>0</v>
      </c>
      <c r="O806" s="20">
        <v>0</v>
      </c>
      <c r="P806" s="20">
        <v>0</v>
      </c>
    </row>
    <row r="807" spans="1:16" ht="14.4" x14ac:dyDescent="0.3">
      <c r="A807" s="18" t="s">
        <v>31</v>
      </c>
      <c r="B807" s="18"/>
      <c r="C807" s="16" t="s">
        <v>32</v>
      </c>
      <c r="D807" s="52" t="s">
        <v>62</v>
      </c>
      <c r="E807" s="52" t="s">
        <v>62</v>
      </c>
      <c r="F807" s="52" t="s">
        <v>62</v>
      </c>
      <c r="G807" s="52" t="s">
        <v>62</v>
      </c>
      <c r="H807" s="52" t="s">
        <v>62</v>
      </c>
      <c r="I807" s="52" t="s">
        <v>62</v>
      </c>
      <c r="J807" s="52" t="s">
        <v>62</v>
      </c>
      <c r="K807" s="52" t="s">
        <v>62</v>
      </c>
      <c r="L807" s="52" t="s">
        <v>62</v>
      </c>
      <c r="M807" s="52" t="s">
        <v>62</v>
      </c>
      <c r="N807" s="52" t="s">
        <v>62</v>
      </c>
      <c r="O807" s="52" t="s">
        <v>62</v>
      </c>
      <c r="P807" s="52" t="s">
        <v>62</v>
      </c>
    </row>
    <row r="808" spans="1:16" ht="14.4" x14ac:dyDescent="0.3">
      <c r="A808" s="14" t="s">
        <v>33</v>
      </c>
      <c r="B808" s="14"/>
      <c r="C808" s="16"/>
      <c r="D808" s="24"/>
      <c r="E808" s="24"/>
      <c r="F808" s="24"/>
      <c r="G808" s="24"/>
      <c r="H808" s="24"/>
      <c r="I808" s="24"/>
      <c r="J808" s="24"/>
      <c r="K808" s="24"/>
      <c r="L808" s="24"/>
      <c r="M808" s="24"/>
      <c r="N808" s="24"/>
      <c r="O808" s="24"/>
      <c r="P808" s="24"/>
    </row>
    <row r="809" spans="1:16" ht="14.4" x14ac:dyDescent="0.3">
      <c r="A809" s="18" t="s">
        <v>34</v>
      </c>
      <c r="B809" s="18"/>
      <c r="C809" s="16" t="s">
        <v>19</v>
      </c>
      <c r="D809" s="20">
        <v>0</v>
      </c>
      <c r="E809" s="20">
        <v>0</v>
      </c>
      <c r="F809" s="20">
        <v>0</v>
      </c>
      <c r="G809" s="20">
        <v>0</v>
      </c>
      <c r="H809" s="20">
        <v>0</v>
      </c>
      <c r="I809" s="20">
        <v>0</v>
      </c>
      <c r="J809" s="20">
        <v>0</v>
      </c>
      <c r="K809" s="20">
        <v>0</v>
      </c>
      <c r="L809" s="20">
        <v>0</v>
      </c>
      <c r="M809" s="20">
        <v>0</v>
      </c>
      <c r="N809" s="20">
        <v>0</v>
      </c>
      <c r="O809" s="20">
        <v>0</v>
      </c>
      <c r="P809" s="20">
        <v>0</v>
      </c>
    </row>
    <row r="810" spans="1:16" ht="14.4" x14ac:dyDescent="0.3">
      <c r="A810" s="18" t="s">
        <v>35</v>
      </c>
      <c r="B810" s="18"/>
      <c r="C810" s="16" t="s">
        <v>36</v>
      </c>
      <c r="D810" s="52" t="s">
        <v>63</v>
      </c>
      <c r="E810" s="52" t="s">
        <v>63</v>
      </c>
      <c r="F810" s="52" t="s">
        <v>63</v>
      </c>
      <c r="G810" s="52" t="s">
        <v>63</v>
      </c>
      <c r="H810" s="52" t="s">
        <v>63</v>
      </c>
      <c r="I810" s="52" t="s">
        <v>63</v>
      </c>
      <c r="J810" s="52" t="s">
        <v>63</v>
      </c>
      <c r="K810" s="52" t="s">
        <v>63</v>
      </c>
      <c r="L810" s="52" t="s">
        <v>63</v>
      </c>
      <c r="M810" s="52" t="s">
        <v>63</v>
      </c>
      <c r="N810" s="52" t="s">
        <v>63</v>
      </c>
      <c r="O810" s="52" t="s">
        <v>63</v>
      </c>
      <c r="P810" s="52" t="s">
        <v>63</v>
      </c>
    </row>
    <row r="811" spans="1:16" ht="14.4" x14ac:dyDescent="0.3">
      <c r="A811" s="14" t="s">
        <v>37</v>
      </c>
      <c r="B811" s="14"/>
      <c r="C811" s="16"/>
      <c r="D811" s="24"/>
      <c r="E811" s="24"/>
      <c r="F811" s="24"/>
      <c r="G811" s="24"/>
      <c r="H811" s="24"/>
      <c r="I811" s="24"/>
      <c r="J811" s="24"/>
      <c r="K811" s="24"/>
      <c r="L811" s="24"/>
      <c r="M811" s="24"/>
      <c r="N811" s="24"/>
      <c r="O811" s="24"/>
      <c r="P811" s="24"/>
    </row>
    <row r="812" spans="1:16" ht="14.4" x14ac:dyDescent="0.3">
      <c r="A812" s="25" t="s">
        <v>38</v>
      </c>
      <c r="B812" s="18"/>
      <c r="C812" s="16" t="s">
        <v>19</v>
      </c>
      <c r="D812" s="20">
        <f>D761</f>
        <v>0.1173</v>
      </c>
      <c r="E812" s="20">
        <f t="shared" ref="E812:P812" si="41">E761</f>
        <v>0.1527</v>
      </c>
      <c r="F812" s="20">
        <f t="shared" si="41"/>
        <v>0.15920000000000001</v>
      </c>
      <c r="G812" s="20">
        <f t="shared" si="41"/>
        <v>0.16189999999999999</v>
      </c>
      <c r="H812" s="20">
        <f t="shared" si="41"/>
        <v>0.11899999999999999</v>
      </c>
      <c r="I812" s="20">
        <f t="shared" si="41"/>
        <v>0.1066</v>
      </c>
      <c r="J812" s="20">
        <f t="shared" si="41"/>
        <v>8.9300000000000004E-2</v>
      </c>
      <c r="K812" s="20">
        <f t="shared" si="41"/>
        <v>0.1177</v>
      </c>
      <c r="L812" s="20">
        <f t="shared" si="41"/>
        <v>0.1222</v>
      </c>
      <c r="M812" s="20">
        <f t="shared" si="41"/>
        <v>0.1089</v>
      </c>
      <c r="N812" s="20">
        <f t="shared" si="41"/>
        <v>0.1176</v>
      </c>
      <c r="O812" s="20">
        <f t="shared" si="41"/>
        <v>0.1109</v>
      </c>
      <c r="P812" s="20">
        <f t="shared" si="41"/>
        <v>0</v>
      </c>
    </row>
    <row r="813" spans="1:16" ht="14.4" x14ac:dyDescent="0.3">
      <c r="A813" s="25" t="s">
        <v>39</v>
      </c>
      <c r="B813" s="18"/>
      <c r="C813" s="16" t="s">
        <v>19</v>
      </c>
      <c r="D813" s="20">
        <v>0</v>
      </c>
      <c r="E813" s="20">
        <v>0</v>
      </c>
      <c r="F813" s="20">
        <v>0</v>
      </c>
      <c r="G813" s="20">
        <v>0</v>
      </c>
      <c r="H813" s="20">
        <v>0</v>
      </c>
      <c r="I813" s="20">
        <v>0</v>
      </c>
      <c r="J813" s="20">
        <v>0</v>
      </c>
      <c r="K813" s="20">
        <v>0</v>
      </c>
      <c r="L813" s="20">
        <v>0</v>
      </c>
      <c r="M813" s="20">
        <v>0</v>
      </c>
      <c r="N813" s="20">
        <v>0</v>
      </c>
      <c r="O813" s="20">
        <v>0</v>
      </c>
      <c r="P813" s="20">
        <v>0</v>
      </c>
    </row>
    <row r="814" spans="1:16" ht="14.4" x14ac:dyDescent="0.3">
      <c r="A814" s="25" t="s">
        <v>180</v>
      </c>
      <c r="B814" s="18"/>
      <c r="C814" s="16" t="s">
        <v>19</v>
      </c>
      <c r="D814" s="20">
        <f>D763</f>
        <v>3.1399999999999997E-2</v>
      </c>
      <c r="E814" s="20">
        <f t="shared" ref="E814:P817" si="42">E763</f>
        <v>3.1399999999999997E-2</v>
      </c>
      <c r="F814" s="20">
        <f t="shared" si="42"/>
        <v>0</v>
      </c>
      <c r="G814" s="20">
        <f t="shared" si="42"/>
        <v>0</v>
      </c>
      <c r="H814" s="20">
        <f t="shared" si="42"/>
        <v>0</v>
      </c>
      <c r="I814" s="20">
        <f t="shared" si="42"/>
        <v>0</v>
      </c>
      <c r="J814" s="20">
        <f t="shared" si="42"/>
        <v>0</v>
      </c>
      <c r="K814" s="20">
        <f t="shared" si="42"/>
        <v>0</v>
      </c>
      <c r="L814" s="20">
        <f t="shared" si="42"/>
        <v>0</v>
      </c>
      <c r="M814" s="20">
        <f t="shared" si="42"/>
        <v>0</v>
      </c>
      <c r="N814" s="20">
        <f t="shared" si="42"/>
        <v>0</v>
      </c>
      <c r="O814" s="20">
        <f t="shared" si="42"/>
        <v>0</v>
      </c>
      <c r="P814" s="20">
        <f t="shared" si="42"/>
        <v>0</v>
      </c>
    </row>
    <row r="815" spans="1:16" ht="14.4" x14ac:dyDescent="0.3">
      <c r="A815" s="26" t="s">
        <v>40</v>
      </c>
      <c r="B815" s="18"/>
      <c r="C815" s="16" t="s">
        <v>19</v>
      </c>
      <c r="D815" s="20">
        <f>D764</f>
        <v>1E-4</v>
      </c>
      <c r="E815" s="20">
        <f t="shared" si="42"/>
        <v>1E-4</v>
      </c>
      <c r="F815" s="20">
        <f t="shared" si="42"/>
        <v>1E-4</v>
      </c>
      <c r="G815" s="20">
        <f t="shared" si="42"/>
        <v>1E-4</v>
      </c>
      <c r="H815" s="20">
        <f t="shared" si="42"/>
        <v>1E-4</v>
      </c>
      <c r="I815" s="20">
        <f t="shared" si="42"/>
        <v>0</v>
      </c>
      <c r="J815" s="20">
        <f t="shared" si="42"/>
        <v>1E-4</v>
      </c>
      <c r="K815" s="20">
        <f t="shared" si="42"/>
        <v>1E-4</v>
      </c>
      <c r="L815" s="20">
        <f t="shared" si="42"/>
        <v>1E-4</v>
      </c>
      <c r="M815" s="20">
        <f t="shared" si="42"/>
        <v>2.0000000000000001E-4</v>
      </c>
      <c r="N815" s="20">
        <f t="shared" si="42"/>
        <v>1E-4</v>
      </c>
      <c r="O815" s="20">
        <f t="shared" si="42"/>
        <v>1E-4</v>
      </c>
      <c r="P815" s="20">
        <f t="shared" si="42"/>
        <v>0</v>
      </c>
    </row>
    <row r="816" spans="1:16" ht="14.4" x14ac:dyDescent="0.3">
      <c r="A816" s="26" t="s">
        <v>41</v>
      </c>
      <c r="B816" s="18"/>
      <c r="C816" s="16" t="s">
        <v>19</v>
      </c>
      <c r="D816" s="20">
        <f>D765</f>
        <v>0</v>
      </c>
      <c r="E816" s="20">
        <f t="shared" si="42"/>
        <v>0</v>
      </c>
      <c r="F816" s="20">
        <f t="shared" si="42"/>
        <v>0</v>
      </c>
      <c r="G816" s="20">
        <f t="shared" si="42"/>
        <v>0</v>
      </c>
      <c r="H816" s="20">
        <f t="shared" si="42"/>
        <v>0</v>
      </c>
      <c r="I816" s="20">
        <f t="shared" si="42"/>
        <v>0</v>
      </c>
      <c r="J816" s="20">
        <f t="shared" si="42"/>
        <v>0</v>
      </c>
      <c r="K816" s="20">
        <f t="shared" si="42"/>
        <v>0</v>
      </c>
      <c r="L816" s="20">
        <f t="shared" si="42"/>
        <v>0</v>
      </c>
      <c r="M816" s="20">
        <f t="shared" si="42"/>
        <v>0</v>
      </c>
      <c r="N816" s="20">
        <f t="shared" si="42"/>
        <v>0</v>
      </c>
      <c r="O816" s="20">
        <f t="shared" si="42"/>
        <v>0</v>
      </c>
      <c r="P816" s="20">
        <f t="shared" si="42"/>
        <v>0</v>
      </c>
    </row>
    <row r="817" spans="1:16" ht="14.4" hidden="1" x14ac:dyDescent="0.3">
      <c r="A817" s="154" t="s">
        <v>181</v>
      </c>
      <c r="B817" s="155"/>
      <c r="C817" s="16" t="s">
        <v>19</v>
      </c>
      <c r="D817" s="20">
        <f>D766</f>
        <v>0</v>
      </c>
      <c r="E817" s="20">
        <f t="shared" si="42"/>
        <v>0</v>
      </c>
      <c r="F817" s="20">
        <f t="shared" si="42"/>
        <v>0</v>
      </c>
      <c r="G817" s="20">
        <f t="shared" si="42"/>
        <v>0</v>
      </c>
      <c r="H817" s="20">
        <f t="shared" si="42"/>
        <v>0</v>
      </c>
      <c r="I817" s="20">
        <f t="shared" si="42"/>
        <v>0</v>
      </c>
      <c r="J817" s="20">
        <f t="shared" si="42"/>
        <v>0</v>
      </c>
      <c r="K817" s="20">
        <f t="shared" si="42"/>
        <v>0</v>
      </c>
      <c r="L817" s="20">
        <f t="shared" si="42"/>
        <v>0</v>
      </c>
      <c r="M817" s="20">
        <f t="shared" si="42"/>
        <v>0</v>
      </c>
      <c r="N817" s="20">
        <f t="shared" si="42"/>
        <v>0</v>
      </c>
      <c r="O817" s="20">
        <f t="shared" si="42"/>
        <v>0</v>
      </c>
      <c r="P817" s="20">
        <f t="shared" si="42"/>
        <v>0</v>
      </c>
    </row>
    <row r="818" spans="1:16" ht="16.2" hidden="1" x14ac:dyDescent="0.3">
      <c r="A818" s="154" t="s">
        <v>182</v>
      </c>
      <c r="B818" s="155"/>
      <c r="C818" s="16" t="s">
        <v>19</v>
      </c>
      <c r="D818" s="20"/>
      <c r="E818" s="20"/>
      <c r="F818" s="20"/>
      <c r="G818" s="20"/>
      <c r="H818" s="20"/>
      <c r="I818" s="20"/>
      <c r="J818" s="20"/>
      <c r="K818" s="20"/>
      <c r="L818" s="20"/>
      <c r="M818" s="20"/>
      <c r="N818" s="20"/>
      <c r="O818" s="20"/>
      <c r="P818" s="20"/>
    </row>
    <row r="819" spans="1:16" ht="16.2" hidden="1" x14ac:dyDescent="0.3">
      <c r="A819" s="154" t="s">
        <v>182</v>
      </c>
      <c r="B819" s="156"/>
      <c r="C819" s="16" t="s">
        <v>19</v>
      </c>
      <c r="D819" s="20"/>
      <c r="E819" s="20"/>
      <c r="F819" s="20"/>
      <c r="G819" s="20"/>
      <c r="H819" s="20"/>
      <c r="I819" s="20"/>
      <c r="J819" s="20"/>
      <c r="K819" s="20"/>
      <c r="L819" s="20"/>
      <c r="M819" s="20"/>
      <c r="N819" s="20"/>
      <c r="O819" s="20"/>
      <c r="P819" s="20"/>
    </row>
    <row r="820" spans="1:16" ht="14.4" x14ac:dyDescent="0.3">
      <c r="A820" s="14" t="s">
        <v>42</v>
      </c>
      <c r="B820" s="14"/>
      <c r="C820" s="16"/>
      <c r="D820" s="24"/>
      <c r="E820" s="24"/>
      <c r="F820" s="24"/>
      <c r="G820" s="24"/>
      <c r="H820" s="24"/>
      <c r="I820" s="24"/>
      <c r="J820" s="24"/>
      <c r="K820" s="24"/>
      <c r="L820" s="24"/>
      <c r="M820" s="24"/>
      <c r="N820" s="24"/>
      <c r="O820" s="24"/>
      <c r="P820" s="24"/>
    </row>
    <row r="821" spans="1:16" ht="14.4" x14ac:dyDescent="0.3">
      <c r="A821" s="14" t="s">
        <v>43</v>
      </c>
      <c r="B821" s="14"/>
      <c r="C821" s="16" t="s">
        <v>44</v>
      </c>
      <c r="D821" s="27"/>
      <c r="E821" s="27"/>
      <c r="F821" s="27"/>
      <c r="G821" s="27"/>
      <c r="H821" s="27"/>
      <c r="I821" s="27"/>
      <c r="J821" s="27"/>
      <c r="K821" s="27"/>
      <c r="L821" s="27"/>
      <c r="M821" s="27"/>
      <c r="N821" s="27"/>
      <c r="O821" s="27"/>
      <c r="P821" s="27"/>
    </row>
    <row r="822" spans="1:16" ht="14.4" hidden="1" x14ac:dyDescent="0.3">
      <c r="A822" s="14" t="s">
        <v>183</v>
      </c>
      <c r="B822" s="14"/>
      <c r="C822" s="16"/>
      <c r="D822" s="28"/>
      <c r="E822" s="28"/>
      <c r="F822" s="28"/>
      <c r="G822" s="28"/>
      <c r="H822" s="28"/>
      <c r="I822" s="28"/>
      <c r="J822" s="28"/>
      <c r="K822" s="28"/>
      <c r="L822" s="28"/>
      <c r="M822" s="28"/>
      <c r="N822" s="28"/>
      <c r="O822" s="28"/>
      <c r="P822" s="28"/>
    </row>
    <row r="823" spans="1:16" ht="14.4" hidden="1" x14ac:dyDescent="0.3">
      <c r="A823" s="14" t="s">
        <v>184</v>
      </c>
      <c r="B823" s="14"/>
      <c r="C823" s="16" t="s">
        <v>19</v>
      </c>
      <c r="D823" s="20"/>
      <c r="E823" s="20"/>
      <c r="F823" s="20"/>
      <c r="G823" s="20"/>
      <c r="H823" s="20"/>
      <c r="I823" s="20"/>
      <c r="J823" s="20"/>
      <c r="K823" s="20"/>
      <c r="L823" s="20"/>
      <c r="M823" s="20"/>
      <c r="N823" s="20"/>
      <c r="O823" s="20"/>
      <c r="P823" s="20"/>
    </row>
    <row r="824" spans="1:16" ht="14.4" x14ac:dyDescent="0.3">
      <c r="A824" s="14" t="s">
        <v>45</v>
      </c>
      <c r="B824" s="14"/>
      <c r="C824" s="16"/>
      <c r="D824" s="28"/>
      <c r="E824" s="28"/>
      <c r="F824" s="28"/>
      <c r="G824" s="28"/>
      <c r="H824" s="28"/>
      <c r="I824" s="28"/>
      <c r="J824" s="28"/>
      <c r="K824" s="28"/>
      <c r="L824" s="28"/>
      <c r="M824" s="28"/>
      <c r="N824" s="28"/>
      <c r="O824" s="28"/>
      <c r="P824" s="28"/>
    </row>
    <row r="825" spans="1:16" ht="14.4" x14ac:dyDescent="0.3">
      <c r="A825" s="14" t="s">
        <v>46</v>
      </c>
      <c r="B825" s="14"/>
      <c r="C825" s="16" t="s">
        <v>19</v>
      </c>
      <c r="D825" s="20">
        <v>0</v>
      </c>
      <c r="E825" s="20">
        <v>0</v>
      </c>
      <c r="F825" s="20">
        <v>0</v>
      </c>
      <c r="G825" s="20">
        <v>0</v>
      </c>
      <c r="H825" s="20">
        <v>0</v>
      </c>
      <c r="I825" s="20">
        <v>0</v>
      </c>
      <c r="J825" s="20">
        <v>0</v>
      </c>
      <c r="K825" s="20">
        <v>0</v>
      </c>
      <c r="L825" s="20">
        <v>0</v>
      </c>
      <c r="M825" s="20">
        <v>0</v>
      </c>
      <c r="N825" s="20">
        <v>0</v>
      </c>
      <c r="O825" s="20">
        <v>0</v>
      </c>
      <c r="P825" s="20">
        <v>0</v>
      </c>
    </row>
    <row r="826" spans="1:16" ht="14.4" hidden="1" x14ac:dyDescent="0.3">
      <c r="A826" s="14" t="s">
        <v>185</v>
      </c>
      <c r="B826" s="14"/>
      <c r="C826" s="16"/>
      <c r="D826" s="28"/>
      <c r="E826" s="28"/>
      <c r="F826" s="28"/>
      <c r="G826" s="28"/>
      <c r="H826" s="28"/>
      <c r="I826" s="28"/>
      <c r="J826" s="28"/>
      <c r="K826" s="28"/>
      <c r="L826" s="28"/>
      <c r="M826" s="28"/>
      <c r="N826" s="28"/>
      <c r="O826" s="28"/>
      <c r="P826" s="28"/>
    </row>
    <row r="827" spans="1:16" ht="14.4" hidden="1" x14ac:dyDescent="0.3">
      <c r="A827" s="14" t="s">
        <v>186</v>
      </c>
      <c r="B827" s="14"/>
      <c r="C827" s="16" t="s">
        <v>19</v>
      </c>
      <c r="D827" s="20"/>
      <c r="E827" s="20"/>
      <c r="F827" s="20"/>
      <c r="G827" s="20"/>
      <c r="H827" s="20"/>
      <c r="I827" s="20"/>
      <c r="J827" s="20"/>
      <c r="K827" s="20"/>
      <c r="L827" s="20"/>
      <c r="M827" s="20"/>
      <c r="N827" s="20"/>
      <c r="O827" s="20"/>
      <c r="P827" s="20"/>
    </row>
    <row r="828" spans="1:16" ht="14.4" x14ac:dyDescent="0.3">
      <c r="A828" s="14" t="s">
        <v>47</v>
      </c>
      <c r="B828" s="14"/>
      <c r="C828" s="16"/>
      <c r="D828" s="24"/>
      <c r="E828" s="24"/>
      <c r="F828" s="24"/>
      <c r="G828" s="24"/>
      <c r="H828" s="24"/>
      <c r="I828" s="24"/>
      <c r="J828" s="24"/>
      <c r="K828" s="24"/>
      <c r="L828" s="24"/>
      <c r="M828" s="24"/>
      <c r="N828" s="24"/>
      <c r="O828" s="24"/>
      <c r="P828" s="24"/>
    </row>
    <row r="829" spans="1:16" ht="14.4" x14ac:dyDescent="0.3">
      <c r="A829" s="18" t="s">
        <v>48</v>
      </c>
      <c r="B829" s="18"/>
      <c r="C829" s="16" t="s">
        <v>19</v>
      </c>
      <c r="D829" s="20">
        <f>D778</f>
        <v>0.15609999999999999</v>
      </c>
      <c r="E829" s="20">
        <f>E778</f>
        <v>0.15609999999999999</v>
      </c>
      <c r="F829" s="20">
        <f t="shared" ref="F829:P830" si="43">F778</f>
        <v>0.11799999999999999</v>
      </c>
      <c r="G829" s="20">
        <f t="shared" si="43"/>
        <v>0.11799999999999999</v>
      </c>
      <c r="H829" s="20">
        <f t="shared" si="43"/>
        <v>0.11799999999999999</v>
      </c>
      <c r="I829" s="20">
        <f t="shared" si="43"/>
        <v>0.11799999999999999</v>
      </c>
      <c r="J829" s="20">
        <f t="shared" si="43"/>
        <v>0.11799999999999999</v>
      </c>
      <c r="K829" s="20">
        <f t="shared" si="43"/>
        <v>0.15609999999999999</v>
      </c>
      <c r="L829" s="20">
        <f t="shared" si="43"/>
        <v>0.15609999999999999</v>
      </c>
      <c r="M829" s="20">
        <f t="shared" si="43"/>
        <v>0.15609999999999999</v>
      </c>
      <c r="N829" s="20">
        <f t="shared" si="43"/>
        <v>0.15609999999999999</v>
      </c>
      <c r="O829" s="20">
        <f t="shared" si="43"/>
        <v>0.15609999999999999</v>
      </c>
      <c r="P829" s="20">
        <f t="shared" si="43"/>
        <v>0.15609999999999999</v>
      </c>
    </row>
    <row r="830" spans="1:16" ht="14.4" x14ac:dyDescent="0.3">
      <c r="A830" s="18" t="s">
        <v>49</v>
      </c>
      <c r="B830" s="18"/>
      <c r="C830" s="16" t="s">
        <v>19</v>
      </c>
      <c r="D830" s="20">
        <f>D779</f>
        <v>2.5000000000000001E-3</v>
      </c>
      <c r="E830" s="20">
        <f>E779</f>
        <v>2.5000000000000001E-3</v>
      </c>
      <c r="F830" s="20">
        <f t="shared" si="43"/>
        <v>2.5000000000000001E-3</v>
      </c>
      <c r="G830" s="20">
        <f t="shared" si="43"/>
        <v>2.5000000000000001E-3</v>
      </c>
      <c r="H830" s="20">
        <f t="shared" si="43"/>
        <v>2.5000000000000001E-3</v>
      </c>
      <c r="I830" s="20">
        <f t="shared" si="43"/>
        <v>2.5000000000000001E-3</v>
      </c>
      <c r="J830" s="20">
        <f t="shared" si="43"/>
        <v>2.5000000000000001E-3</v>
      </c>
      <c r="K830" s="20">
        <f t="shared" si="43"/>
        <v>2.5000000000000001E-3</v>
      </c>
      <c r="L830" s="20">
        <f t="shared" si="43"/>
        <v>2.5000000000000001E-3</v>
      </c>
      <c r="M830" s="20">
        <f t="shared" si="43"/>
        <v>2.5000000000000001E-3</v>
      </c>
      <c r="N830" s="20">
        <f t="shared" si="43"/>
        <v>2.5000000000000001E-3</v>
      </c>
      <c r="O830" s="20">
        <f t="shared" si="43"/>
        <v>2.5000000000000001E-3</v>
      </c>
      <c r="P830" s="20">
        <f t="shared" si="43"/>
        <v>2.5000000000000001E-3</v>
      </c>
    </row>
    <row r="831" spans="1:16" ht="14.4" x14ac:dyDescent="0.3">
      <c r="A831" s="18" t="s">
        <v>50</v>
      </c>
      <c r="B831" s="18"/>
      <c r="C831" s="16"/>
      <c r="D831" s="20">
        <v>0.1938</v>
      </c>
      <c r="E831" s="20">
        <v>0.1938</v>
      </c>
      <c r="F831" s="20">
        <v>0.1938</v>
      </c>
      <c r="G831" s="20">
        <v>0.1938</v>
      </c>
      <c r="H831" s="20">
        <v>0.1938</v>
      </c>
      <c r="I831" s="20">
        <v>0.1938</v>
      </c>
      <c r="J831" s="20">
        <v>0.1938</v>
      </c>
      <c r="K831" s="20">
        <v>0.1938</v>
      </c>
      <c r="L831" s="20">
        <v>0.1938</v>
      </c>
      <c r="M831" s="20">
        <v>0.1938</v>
      </c>
      <c r="N831" s="20">
        <v>0.1938</v>
      </c>
      <c r="O831" s="20">
        <v>0.1938</v>
      </c>
      <c r="P831" s="20">
        <v>0.1938</v>
      </c>
    </row>
    <row r="832" spans="1:16" ht="14.4" x14ac:dyDescent="0.3">
      <c r="A832" s="14" t="s">
        <v>52</v>
      </c>
      <c r="B832" s="14"/>
      <c r="C832" s="29"/>
      <c r="D832" s="22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</row>
    <row r="833" spans="1:16" ht="14.4" x14ac:dyDescent="0.3">
      <c r="A833" s="18" t="s">
        <v>53</v>
      </c>
      <c r="B833" s="18"/>
      <c r="C833" s="16" t="s">
        <v>44</v>
      </c>
      <c r="D833" s="30">
        <f t="shared" ref="D833:P839" si="44">D782</f>
        <v>0.10970000000000001</v>
      </c>
      <c r="E833" s="30">
        <f t="shared" si="44"/>
        <v>0.1176</v>
      </c>
      <c r="F833" s="30">
        <f t="shared" si="44"/>
        <v>0.1169</v>
      </c>
      <c r="G833" s="30">
        <f t="shared" si="44"/>
        <v>0.1177</v>
      </c>
      <c r="H833" s="30">
        <f t="shared" si="44"/>
        <v>0.11890000000000001</v>
      </c>
      <c r="I833" s="30">
        <f t="shared" si="44"/>
        <v>0.1192</v>
      </c>
      <c r="J833" s="30">
        <f t="shared" si="44"/>
        <v>0.1179</v>
      </c>
      <c r="K833" s="30">
        <f t="shared" si="44"/>
        <v>0.11700000000000001</v>
      </c>
      <c r="L833" s="30">
        <f t="shared" si="44"/>
        <v>0.11650000000000001</v>
      </c>
      <c r="M833" s="30">
        <f t="shared" si="44"/>
        <v>0.1154</v>
      </c>
      <c r="N833" s="30">
        <f t="shared" si="44"/>
        <v>0.1129</v>
      </c>
      <c r="O833" s="30">
        <f t="shared" si="44"/>
        <v>0.115</v>
      </c>
      <c r="P833" s="30" t="e">
        <f t="shared" si="44"/>
        <v>#DIV/0!</v>
      </c>
    </row>
    <row r="834" spans="1:16" ht="14.4" x14ac:dyDescent="0.3">
      <c r="A834" s="18" t="s">
        <v>54</v>
      </c>
      <c r="B834" s="18"/>
      <c r="C834" s="16" t="s">
        <v>44</v>
      </c>
      <c r="D834" s="30">
        <f t="shared" si="44"/>
        <v>6.0000000000000006E-4</v>
      </c>
      <c r="E834" s="30">
        <f t="shared" si="44"/>
        <v>3.2000000000000002E-3</v>
      </c>
      <c r="F834" s="30">
        <f t="shared" si="44"/>
        <v>3.5000000000000001E-3</v>
      </c>
      <c r="G834" s="30">
        <f t="shared" si="44"/>
        <v>1.3899999999999999E-2</v>
      </c>
      <c r="H834" s="30">
        <f t="shared" si="44"/>
        <v>2.5600000000000001E-2</v>
      </c>
      <c r="I834" s="30">
        <f t="shared" si="44"/>
        <v>2.8000000000000001E-2</v>
      </c>
      <c r="J834" s="30">
        <f t="shared" si="44"/>
        <v>3.73E-2</v>
      </c>
      <c r="K834" s="30">
        <f t="shared" si="44"/>
        <v>3.4099999999999998E-2</v>
      </c>
      <c r="L834" s="30">
        <f t="shared" si="44"/>
        <v>1.9699999999999999E-2</v>
      </c>
      <c r="M834" s="30">
        <f t="shared" si="44"/>
        <v>1.5299999999999999E-2</v>
      </c>
      <c r="N834" s="30">
        <f t="shared" si="44"/>
        <v>6.0000000000000001E-3</v>
      </c>
      <c r="O834" s="30">
        <f t="shared" si="44"/>
        <v>2.8999999999999998E-3</v>
      </c>
      <c r="P834" s="30" t="e">
        <f t="shared" si="44"/>
        <v>#DIV/0!</v>
      </c>
    </row>
    <row r="835" spans="1:16" ht="14.4" x14ac:dyDescent="0.3">
      <c r="A835" s="18" t="s">
        <v>55</v>
      </c>
      <c r="B835" s="18"/>
      <c r="C835" s="16" t="s">
        <v>44</v>
      </c>
      <c r="D835" s="30">
        <f t="shared" si="44"/>
        <v>9.4299999999999995E-2</v>
      </c>
      <c r="E835" s="30">
        <f t="shared" si="44"/>
        <v>0.1008</v>
      </c>
      <c r="F835" s="30">
        <f t="shared" si="44"/>
        <v>9.9400000000000002E-2</v>
      </c>
      <c r="G835" s="30">
        <f t="shared" si="44"/>
        <v>0.10249999999999999</v>
      </c>
      <c r="H835" s="30">
        <f t="shared" si="44"/>
        <v>0.1066</v>
      </c>
      <c r="I835" s="30">
        <f t="shared" si="44"/>
        <v>0.10630000000000001</v>
      </c>
      <c r="J835" s="30">
        <f t="shared" si="44"/>
        <v>0.10589999999999999</v>
      </c>
      <c r="K835" s="30">
        <f t="shared" si="44"/>
        <v>0.10489999999999999</v>
      </c>
      <c r="L835" s="30">
        <f t="shared" si="44"/>
        <v>0.1022</v>
      </c>
      <c r="M835" s="30">
        <f t="shared" si="44"/>
        <v>0.1019</v>
      </c>
      <c r="N835" s="30">
        <f t="shared" si="44"/>
        <v>9.8799999999999999E-2</v>
      </c>
      <c r="O835" s="30">
        <f t="shared" si="44"/>
        <v>9.98E-2</v>
      </c>
      <c r="P835" s="30" t="e">
        <f t="shared" si="44"/>
        <v>#DIV/0!</v>
      </c>
    </row>
    <row r="836" spans="1:16" ht="14.4" hidden="1" x14ac:dyDescent="0.3">
      <c r="A836" s="18" t="s">
        <v>187</v>
      </c>
      <c r="B836" s="18"/>
      <c r="C836" s="16" t="s">
        <v>44</v>
      </c>
      <c r="D836" s="27">
        <v>0</v>
      </c>
      <c r="E836" s="27">
        <v>0</v>
      </c>
      <c r="F836" s="27">
        <v>0</v>
      </c>
      <c r="G836" s="27">
        <v>0</v>
      </c>
      <c r="H836" s="27">
        <v>0</v>
      </c>
      <c r="I836" s="27">
        <v>0</v>
      </c>
      <c r="J836" s="27">
        <v>0</v>
      </c>
      <c r="K836" s="27">
        <v>0</v>
      </c>
      <c r="L836" s="27">
        <v>0</v>
      </c>
      <c r="M836" s="27">
        <v>0</v>
      </c>
      <c r="N836" s="27">
        <v>0</v>
      </c>
      <c r="O836" s="27">
        <v>0</v>
      </c>
      <c r="P836" s="27">
        <v>0</v>
      </c>
    </row>
    <row r="837" spans="1:16" ht="14.4" x14ac:dyDescent="0.3">
      <c r="A837" s="18" t="s">
        <v>188</v>
      </c>
      <c r="B837" s="18"/>
      <c r="C837" s="16" t="s">
        <v>44</v>
      </c>
      <c r="D837" s="30">
        <f t="shared" si="44"/>
        <v>9.8799999999999999E-2</v>
      </c>
      <c r="E837" s="30">
        <f t="shared" si="44"/>
        <v>9.8799999999999999E-2</v>
      </c>
      <c r="F837" s="30">
        <f t="shared" si="44"/>
        <v>0</v>
      </c>
      <c r="G837" s="30">
        <f t="shared" si="44"/>
        <v>0</v>
      </c>
      <c r="H837" s="30">
        <f t="shared" si="44"/>
        <v>0</v>
      </c>
      <c r="I837" s="30">
        <f t="shared" si="44"/>
        <v>0</v>
      </c>
      <c r="J837" s="30">
        <f t="shared" si="44"/>
        <v>0</v>
      </c>
      <c r="K837" s="30">
        <f t="shared" si="44"/>
        <v>0</v>
      </c>
      <c r="L837" s="30">
        <f t="shared" si="44"/>
        <v>0</v>
      </c>
      <c r="M837" s="30">
        <f t="shared" si="44"/>
        <v>0</v>
      </c>
      <c r="N837" s="30">
        <f t="shared" si="44"/>
        <v>0</v>
      </c>
      <c r="O837" s="30">
        <f t="shared" si="44"/>
        <v>0</v>
      </c>
      <c r="P837" s="30">
        <f t="shared" si="44"/>
        <v>0</v>
      </c>
    </row>
    <row r="838" spans="1:16" ht="14.4" x14ac:dyDescent="0.3">
      <c r="A838" s="18" t="s">
        <v>56</v>
      </c>
      <c r="B838" s="18"/>
      <c r="C838" s="16" t="s">
        <v>44</v>
      </c>
      <c r="D838" s="30">
        <f t="shared" si="44"/>
        <v>0.12</v>
      </c>
      <c r="E838" s="30">
        <f t="shared" si="44"/>
        <v>0.12</v>
      </c>
      <c r="F838" s="30">
        <f t="shared" si="44"/>
        <v>0.12</v>
      </c>
      <c r="G838" s="30">
        <f t="shared" si="44"/>
        <v>0.12</v>
      </c>
      <c r="H838" s="30">
        <f t="shared" si="44"/>
        <v>0.12</v>
      </c>
      <c r="I838" s="30">
        <f t="shared" si="44"/>
        <v>0.12</v>
      </c>
      <c r="J838" s="30">
        <f t="shared" si="44"/>
        <v>0.12</v>
      </c>
      <c r="K838" s="30">
        <f t="shared" si="44"/>
        <v>0.12</v>
      </c>
      <c r="L838" s="30">
        <f t="shared" si="44"/>
        <v>0.12</v>
      </c>
      <c r="M838" s="30">
        <f t="shared" si="44"/>
        <v>0.12</v>
      </c>
      <c r="N838" s="30">
        <f t="shared" si="44"/>
        <v>0.12</v>
      </c>
      <c r="O838" s="30">
        <f t="shared" si="44"/>
        <v>0.12</v>
      </c>
      <c r="P838" s="30">
        <f t="shared" si="44"/>
        <v>0.12</v>
      </c>
    </row>
    <row r="839" spans="1:16" ht="14.4" x14ac:dyDescent="0.3">
      <c r="A839" s="18" t="s">
        <v>57</v>
      </c>
      <c r="B839" s="18"/>
      <c r="C839" s="16" t="s">
        <v>44</v>
      </c>
      <c r="D839" s="30">
        <f t="shared" si="44"/>
        <v>0.12</v>
      </c>
      <c r="E839" s="30">
        <f t="shared" si="44"/>
        <v>0.12</v>
      </c>
      <c r="F839" s="30">
        <f t="shared" si="44"/>
        <v>0.12</v>
      </c>
      <c r="G839" s="30">
        <f t="shared" si="44"/>
        <v>0.12</v>
      </c>
      <c r="H839" s="30">
        <f t="shared" si="44"/>
        <v>0.12</v>
      </c>
      <c r="I839" s="30">
        <f t="shared" si="44"/>
        <v>0.12</v>
      </c>
      <c r="J839" s="30">
        <f t="shared" si="44"/>
        <v>0.12</v>
      </c>
      <c r="K839" s="30">
        <f t="shared" si="44"/>
        <v>0.12</v>
      </c>
      <c r="L839" s="30">
        <f t="shared" si="44"/>
        <v>0.12</v>
      </c>
      <c r="M839" s="30">
        <f t="shared" si="44"/>
        <v>0.12</v>
      </c>
      <c r="N839" s="30">
        <f t="shared" si="44"/>
        <v>0.12</v>
      </c>
      <c r="O839" s="30">
        <f t="shared" si="44"/>
        <v>0.12</v>
      </c>
      <c r="P839" s="30">
        <f t="shared" si="44"/>
        <v>0.12</v>
      </c>
    </row>
    <row r="840" spans="1:16" s="5" customFormat="1" ht="14.4" x14ac:dyDescent="0.3">
      <c r="A840" s="55"/>
      <c r="B840" s="55"/>
      <c r="C840" s="56"/>
      <c r="D840" s="57"/>
      <c r="E840" s="57"/>
      <c r="F840" s="57"/>
      <c r="G840" s="57"/>
      <c r="H840" s="57"/>
      <c r="I840" s="57"/>
      <c r="J840" s="57"/>
      <c r="K840" s="57"/>
      <c r="L840" s="57"/>
      <c r="M840" s="57"/>
      <c r="N840" s="57"/>
      <c r="O840" s="57"/>
      <c r="P840" s="57"/>
    </row>
    <row r="841" spans="1:16" x14ac:dyDescent="0.3">
      <c r="A841" s="3" t="s">
        <v>58</v>
      </c>
    </row>
    <row r="842" spans="1:16" s="5" customFormat="1" ht="14.4" x14ac:dyDescent="0.3">
      <c r="A842" s="55"/>
      <c r="B842" s="55"/>
      <c r="C842" s="56"/>
      <c r="D842" s="57"/>
      <c r="E842" s="57"/>
      <c r="F842" s="57"/>
      <c r="G842" s="57"/>
      <c r="H842" s="57"/>
      <c r="I842" s="57"/>
      <c r="J842" s="57"/>
      <c r="K842" s="57"/>
      <c r="L842" s="57"/>
      <c r="M842" s="57"/>
      <c r="N842" s="57"/>
      <c r="O842" s="57"/>
      <c r="P842" s="57"/>
    </row>
    <row r="843" spans="1:16" ht="18" x14ac:dyDescent="0.35">
      <c r="A843" s="59" t="str">
        <f>'[42]Statistical data'!A239</f>
        <v>General Power-13.8/13.2 kV</v>
      </c>
      <c r="B843" s="60"/>
      <c r="C843" s="5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</row>
    <row r="844" spans="1:16" s="13" customFormat="1" ht="14.4" x14ac:dyDescent="0.3">
      <c r="A844" s="11" t="s">
        <v>3</v>
      </c>
      <c r="B844" s="11"/>
      <c r="C844" s="11" t="s">
        <v>4</v>
      </c>
      <c r="D844" s="12" t="str">
        <f>D793</f>
        <v>JAN</v>
      </c>
      <c r="E844" s="12" t="str">
        <f t="shared" ref="E844:P844" si="45">E793</f>
        <v>FEB</v>
      </c>
      <c r="F844" s="12" t="str">
        <f t="shared" si="45"/>
        <v>MAR</v>
      </c>
      <c r="G844" s="12" t="str">
        <f t="shared" si="45"/>
        <v>APR</v>
      </c>
      <c r="H844" s="12" t="str">
        <f t="shared" si="45"/>
        <v>MAY</v>
      </c>
      <c r="I844" s="12" t="str">
        <f t="shared" si="45"/>
        <v>JUN</v>
      </c>
      <c r="J844" s="12" t="str">
        <f t="shared" si="45"/>
        <v>JUL</v>
      </c>
      <c r="K844" s="12" t="str">
        <f t="shared" si="45"/>
        <v>AUG</v>
      </c>
      <c r="L844" s="12" t="str">
        <f t="shared" si="45"/>
        <v>SEP</v>
      </c>
      <c r="M844" s="12" t="str">
        <f t="shared" si="45"/>
        <v>OCT</v>
      </c>
      <c r="N844" s="12" t="str">
        <f t="shared" si="45"/>
        <v>NOV</v>
      </c>
      <c r="O844" s="12" t="str">
        <f t="shared" si="45"/>
        <v>DEC</v>
      </c>
      <c r="P844" s="12" t="str">
        <f t="shared" si="45"/>
        <v>JAN</v>
      </c>
    </row>
    <row r="845" spans="1:16" ht="14.4" x14ac:dyDescent="0.3">
      <c r="A845" s="14" t="s">
        <v>17</v>
      </c>
      <c r="B845" s="15"/>
      <c r="C845" s="16"/>
      <c r="D845" s="17"/>
      <c r="E845" s="17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</row>
    <row r="846" spans="1:16" ht="14.4" x14ac:dyDescent="0.3">
      <c r="A846" s="18" t="s">
        <v>18</v>
      </c>
      <c r="B846" s="19"/>
      <c r="C846" s="16" t="s">
        <v>19</v>
      </c>
      <c r="D846" s="52" t="s">
        <v>59</v>
      </c>
      <c r="E846" s="52" t="s">
        <v>59</v>
      </c>
      <c r="F846" s="52" t="s">
        <v>59</v>
      </c>
      <c r="G846" s="52" t="s">
        <v>59</v>
      </c>
      <c r="H846" s="52" t="s">
        <v>59</v>
      </c>
      <c r="I846" s="52" t="s">
        <v>59</v>
      </c>
      <c r="J846" s="52" t="s">
        <v>59</v>
      </c>
      <c r="K846" s="52" t="s">
        <v>59</v>
      </c>
      <c r="L846" s="52" t="s">
        <v>59</v>
      </c>
      <c r="M846" s="52" t="s">
        <v>59</v>
      </c>
      <c r="N846" s="52" t="s">
        <v>59</v>
      </c>
      <c r="O846" s="52" t="s">
        <v>59</v>
      </c>
      <c r="P846" s="52" t="s">
        <v>59</v>
      </c>
    </row>
    <row r="847" spans="1:16" ht="14.4" hidden="1" x14ac:dyDescent="0.3">
      <c r="A847" s="18" t="s">
        <v>66</v>
      </c>
      <c r="B847" s="19"/>
      <c r="C847" s="16" t="s">
        <v>19</v>
      </c>
      <c r="D847" s="20">
        <v>0</v>
      </c>
      <c r="E847" s="20">
        <v>0</v>
      </c>
      <c r="F847" s="20">
        <v>0</v>
      </c>
      <c r="G847" s="20">
        <v>0</v>
      </c>
      <c r="H847" s="20">
        <v>0</v>
      </c>
      <c r="I847" s="20">
        <v>0</v>
      </c>
      <c r="J847" s="20">
        <v>0</v>
      </c>
      <c r="K847" s="20">
        <v>0</v>
      </c>
      <c r="L847" s="20">
        <v>0</v>
      </c>
      <c r="M847" s="20">
        <v>0</v>
      </c>
      <c r="N847" s="20">
        <v>0</v>
      </c>
      <c r="O847" s="20">
        <v>0</v>
      </c>
      <c r="P847" s="20">
        <v>0</v>
      </c>
    </row>
    <row r="848" spans="1:16" ht="14.4" x14ac:dyDescent="0.3">
      <c r="A848" s="14" t="s">
        <v>20</v>
      </c>
      <c r="B848" s="15"/>
      <c r="C848" s="16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</row>
    <row r="849" spans="1:16" ht="14.4" x14ac:dyDescent="0.3">
      <c r="A849" s="18" t="s">
        <v>21</v>
      </c>
      <c r="B849" s="19"/>
      <c r="C849" s="16" t="s">
        <v>19</v>
      </c>
      <c r="D849" s="20">
        <f>D798</f>
        <v>0</v>
      </c>
      <c r="E849" s="20">
        <f t="shared" ref="E849:P850" si="46">E798</f>
        <v>0</v>
      </c>
      <c r="F849" s="20">
        <f t="shared" si="46"/>
        <v>0</v>
      </c>
      <c r="G849" s="20">
        <f t="shared" si="46"/>
        <v>0</v>
      </c>
      <c r="H849" s="20">
        <f t="shared" si="46"/>
        <v>0</v>
      </c>
      <c r="I849" s="20">
        <f t="shared" si="46"/>
        <v>0</v>
      </c>
      <c r="J849" s="20">
        <f t="shared" si="46"/>
        <v>0</v>
      </c>
      <c r="K849" s="20">
        <f t="shared" si="46"/>
        <v>0</v>
      </c>
      <c r="L849" s="20">
        <f t="shared" si="46"/>
        <v>0</v>
      </c>
      <c r="M849" s="20">
        <f t="shared" si="46"/>
        <v>0</v>
      </c>
      <c r="N849" s="20">
        <f t="shared" si="46"/>
        <v>0</v>
      </c>
      <c r="O849" s="20">
        <f t="shared" si="46"/>
        <v>0</v>
      </c>
      <c r="P849" s="20">
        <f t="shared" si="46"/>
        <v>0</v>
      </c>
    </row>
    <row r="850" spans="1:16" ht="14.4" x14ac:dyDescent="0.3">
      <c r="A850" s="18" t="s">
        <v>22</v>
      </c>
      <c r="B850" s="19"/>
      <c r="C850" s="16" t="s">
        <v>23</v>
      </c>
      <c r="D850" s="23">
        <f>D799</f>
        <v>337.22</v>
      </c>
      <c r="E850" s="23">
        <f t="shared" si="46"/>
        <v>334.43</v>
      </c>
      <c r="F850" s="23">
        <f t="shared" si="46"/>
        <v>334.25</v>
      </c>
      <c r="G850" s="23">
        <f t="shared" si="46"/>
        <v>352.69</v>
      </c>
      <c r="H850" s="23">
        <f t="shared" si="46"/>
        <v>331.29</v>
      </c>
      <c r="I850" s="23">
        <f t="shared" si="46"/>
        <v>313.36</v>
      </c>
      <c r="J850" s="23">
        <f t="shared" si="46"/>
        <v>359.26</v>
      </c>
      <c r="K850" s="23">
        <f t="shared" si="46"/>
        <v>341.03</v>
      </c>
      <c r="L850" s="23">
        <f t="shared" si="46"/>
        <v>330.53</v>
      </c>
      <c r="M850" s="23">
        <f t="shared" si="46"/>
        <v>317.88</v>
      </c>
      <c r="N850" s="23">
        <f t="shared" si="46"/>
        <v>281.54000000000002</v>
      </c>
      <c r="O850" s="23">
        <f t="shared" si="46"/>
        <v>293.14</v>
      </c>
      <c r="P850" s="23">
        <f t="shared" si="46"/>
        <v>0</v>
      </c>
    </row>
    <row r="851" spans="1:16" ht="14.4" x14ac:dyDescent="0.3">
      <c r="A851" s="14" t="s">
        <v>24</v>
      </c>
      <c r="B851" s="15"/>
      <c r="C851" s="16"/>
      <c r="D851" s="21"/>
      <c r="E851" s="21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</row>
    <row r="852" spans="1:16" ht="14.4" x14ac:dyDescent="0.3">
      <c r="A852" s="18" t="s">
        <v>25</v>
      </c>
      <c r="B852" s="19"/>
      <c r="C852" s="16" t="s">
        <v>19</v>
      </c>
      <c r="D852" s="20">
        <f>D801</f>
        <v>0.25230000000000002</v>
      </c>
      <c r="E852" s="20">
        <f t="shared" ref="E852:P852" si="47">E801</f>
        <v>0.23749999999999999</v>
      </c>
      <c r="F852" s="20">
        <f t="shared" si="47"/>
        <v>0.22670000000000001</v>
      </c>
      <c r="G852" s="20">
        <f t="shared" si="47"/>
        <v>0.2545</v>
      </c>
      <c r="H852" s="20">
        <f t="shared" si="47"/>
        <v>0.24990000000000001</v>
      </c>
      <c r="I852" s="20">
        <f t="shared" si="47"/>
        <v>0.23930000000000001</v>
      </c>
      <c r="J852" s="20">
        <f t="shared" si="47"/>
        <v>0.2341</v>
      </c>
      <c r="K852" s="20">
        <f t="shared" si="47"/>
        <v>0.23499999999999999</v>
      </c>
      <c r="L852" s="20">
        <f t="shared" si="47"/>
        <v>0.23369999999999999</v>
      </c>
      <c r="M852" s="20">
        <f t="shared" si="47"/>
        <v>0.22239999999999999</v>
      </c>
      <c r="N852" s="20">
        <f t="shared" si="47"/>
        <v>0.21240000000000001</v>
      </c>
      <c r="O852" s="20">
        <f t="shared" si="47"/>
        <v>0.20680000000000001</v>
      </c>
      <c r="P852" s="20">
        <f t="shared" si="47"/>
        <v>0</v>
      </c>
    </row>
    <row r="853" spans="1:16" ht="14.4" x14ac:dyDescent="0.3">
      <c r="A853" s="14" t="s">
        <v>26</v>
      </c>
      <c r="B853" s="14"/>
      <c r="C853" s="16"/>
      <c r="D853" s="22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</row>
    <row r="854" spans="1:16" ht="14.4" x14ac:dyDescent="0.3">
      <c r="A854" s="18" t="s">
        <v>27</v>
      </c>
      <c r="B854" s="18"/>
      <c r="C854" s="16" t="s">
        <v>19</v>
      </c>
      <c r="D854" s="20">
        <f t="shared" ref="D854:P855" si="48">D803</f>
        <v>6.0900000000000003E-2</v>
      </c>
      <c r="E854" s="20">
        <f t="shared" si="48"/>
        <v>6.0900000000000003E-2</v>
      </c>
      <c r="F854" s="20">
        <f t="shared" si="48"/>
        <v>6.0900000000000003E-2</v>
      </c>
      <c r="G854" s="20">
        <f t="shared" si="48"/>
        <v>6.0900000000000003E-2</v>
      </c>
      <c r="H854" s="20">
        <f t="shared" si="48"/>
        <v>6.0900000000000003E-2</v>
      </c>
      <c r="I854" s="20">
        <f t="shared" si="48"/>
        <v>6.0900000000000003E-2</v>
      </c>
      <c r="J854" s="20">
        <f t="shared" si="48"/>
        <v>5.7799999999999997E-2</v>
      </c>
      <c r="K854" s="20">
        <f t="shared" si="48"/>
        <v>5.7799999999999997E-2</v>
      </c>
      <c r="L854" s="20">
        <f t="shared" si="48"/>
        <v>5.7799999999999997E-2</v>
      </c>
      <c r="M854" s="20">
        <f t="shared" si="48"/>
        <v>5.7799999999999997E-2</v>
      </c>
      <c r="N854" s="20">
        <f t="shared" si="48"/>
        <v>5.7799999999999997E-2</v>
      </c>
      <c r="O854" s="20">
        <f t="shared" si="48"/>
        <v>5.7799999999999997E-2</v>
      </c>
      <c r="P854" s="20">
        <f t="shared" si="48"/>
        <v>5.7799999999999997E-2</v>
      </c>
    </row>
    <row r="855" spans="1:16" ht="14.4" x14ac:dyDescent="0.3">
      <c r="A855" s="18" t="s">
        <v>28</v>
      </c>
      <c r="B855" s="18"/>
      <c r="C855" s="16" t="s">
        <v>23</v>
      </c>
      <c r="D855" s="23">
        <f t="shared" si="48"/>
        <v>217.08</v>
      </c>
      <c r="E855" s="23">
        <f t="shared" si="48"/>
        <v>217.08</v>
      </c>
      <c r="F855" s="23">
        <f t="shared" si="48"/>
        <v>217.08</v>
      </c>
      <c r="G855" s="23">
        <f t="shared" si="48"/>
        <v>217.08</v>
      </c>
      <c r="H855" s="23">
        <f t="shared" si="48"/>
        <v>217.08</v>
      </c>
      <c r="I855" s="23">
        <f t="shared" si="48"/>
        <v>217.08</v>
      </c>
      <c r="J855" s="23">
        <f t="shared" si="48"/>
        <v>205.83</v>
      </c>
      <c r="K855" s="23">
        <f t="shared" si="48"/>
        <v>205.83</v>
      </c>
      <c r="L855" s="23">
        <f t="shared" si="48"/>
        <v>205.83</v>
      </c>
      <c r="M855" s="23">
        <f t="shared" si="48"/>
        <v>205.83</v>
      </c>
      <c r="N855" s="23">
        <f t="shared" si="48"/>
        <v>205.83</v>
      </c>
      <c r="O855" s="23">
        <f t="shared" si="48"/>
        <v>205.83</v>
      </c>
      <c r="P855" s="23">
        <f t="shared" si="48"/>
        <v>205.83</v>
      </c>
    </row>
    <row r="856" spans="1:16" ht="14.4" x14ac:dyDescent="0.3">
      <c r="A856" s="14" t="s">
        <v>29</v>
      </c>
      <c r="B856" s="14"/>
      <c r="C856" s="16"/>
      <c r="D856" s="24"/>
      <c r="E856" s="24"/>
      <c r="F856" s="24"/>
      <c r="G856" s="24"/>
      <c r="H856" s="24"/>
      <c r="I856" s="24"/>
      <c r="J856" s="24"/>
      <c r="K856" s="24"/>
      <c r="L856" s="24"/>
      <c r="M856" s="24"/>
      <c r="N856" s="24"/>
      <c r="O856" s="24"/>
      <c r="P856" s="24"/>
    </row>
    <row r="857" spans="1:16" ht="14.4" x14ac:dyDescent="0.3">
      <c r="A857" s="18" t="s">
        <v>30</v>
      </c>
      <c r="B857" s="18"/>
      <c r="C857" s="16" t="s">
        <v>19</v>
      </c>
      <c r="D857" s="52" t="s">
        <v>61</v>
      </c>
      <c r="E857" s="52" t="s">
        <v>61</v>
      </c>
      <c r="F857" s="52" t="s">
        <v>61</v>
      </c>
      <c r="G857" s="52" t="s">
        <v>61</v>
      </c>
      <c r="H857" s="52" t="s">
        <v>61</v>
      </c>
      <c r="I857" s="52" t="s">
        <v>61</v>
      </c>
      <c r="J857" s="52" t="s">
        <v>61</v>
      </c>
      <c r="K857" s="52" t="s">
        <v>61</v>
      </c>
      <c r="L857" s="52" t="s">
        <v>61</v>
      </c>
      <c r="M857" s="52" t="s">
        <v>61</v>
      </c>
      <c r="N857" s="52" t="s">
        <v>61</v>
      </c>
      <c r="O857" s="52" t="s">
        <v>61</v>
      </c>
      <c r="P857" s="52" t="s">
        <v>61</v>
      </c>
    </row>
    <row r="858" spans="1:16" ht="14.4" x14ac:dyDescent="0.3">
      <c r="A858" s="18" t="s">
        <v>31</v>
      </c>
      <c r="B858" s="18"/>
      <c r="C858" s="16" t="s">
        <v>32</v>
      </c>
      <c r="D858" s="52" t="s">
        <v>62</v>
      </c>
      <c r="E858" s="52" t="s">
        <v>62</v>
      </c>
      <c r="F858" s="52" t="s">
        <v>62</v>
      </c>
      <c r="G858" s="52" t="s">
        <v>62</v>
      </c>
      <c r="H858" s="52" t="s">
        <v>62</v>
      </c>
      <c r="I858" s="52" t="s">
        <v>62</v>
      </c>
      <c r="J858" s="52" t="s">
        <v>62</v>
      </c>
      <c r="K858" s="52" t="s">
        <v>62</v>
      </c>
      <c r="L858" s="52" t="s">
        <v>62</v>
      </c>
      <c r="M858" s="52" t="s">
        <v>62</v>
      </c>
      <c r="N858" s="52" t="s">
        <v>62</v>
      </c>
      <c r="O858" s="52" t="s">
        <v>62</v>
      </c>
      <c r="P858" s="52" t="s">
        <v>62</v>
      </c>
    </row>
    <row r="859" spans="1:16" ht="14.4" x14ac:dyDescent="0.3">
      <c r="A859" s="14" t="s">
        <v>33</v>
      </c>
      <c r="B859" s="14"/>
      <c r="C859" s="16"/>
      <c r="D859" s="24"/>
      <c r="E859" s="24"/>
      <c r="F859" s="24"/>
      <c r="G859" s="24"/>
      <c r="H859" s="24"/>
      <c r="I859" s="24"/>
      <c r="J859" s="24"/>
      <c r="K859" s="24"/>
      <c r="L859" s="24"/>
      <c r="M859" s="24"/>
      <c r="N859" s="24"/>
      <c r="O859" s="24"/>
      <c r="P859" s="24"/>
    </row>
    <row r="860" spans="1:16" ht="14.4" x14ac:dyDescent="0.3">
      <c r="A860" s="18" t="s">
        <v>34</v>
      </c>
      <c r="B860" s="18"/>
      <c r="C860" s="16" t="s">
        <v>19</v>
      </c>
      <c r="D860" s="20">
        <v>0</v>
      </c>
      <c r="E860" s="20">
        <v>0</v>
      </c>
      <c r="F860" s="20">
        <v>0</v>
      </c>
      <c r="G860" s="20">
        <v>0</v>
      </c>
      <c r="H860" s="20">
        <v>0</v>
      </c>
      <c r="I860" s="20">
        <v>0</v>
      </c>
      <c r="J860" s="20">
        <v>0</v>
      </c>
      <c r="K860" s="20">
        <v>0</v>
      </c>
      <c r="L860" s="20">
        <v>0</v>
      </c>
      <c r="M860" s="20">
        <v>0</v>
      </c>
      <c r="N860" s="20">
        <v>0</v>
      </c>
      <c r="O860" s="20">
        <v>0</v>
      </c>
      <c r="P860" s="20">
        <v>0</v>
      </c>
    </row>
    <row r="861" spans="1:16" ht="14.4" x14ac:dyDescent="0.3">
      <c r="A861" s="18" t="s">
        <v>35</v>
      </c>
      <c r="B861" s="18"/>
      <c r="C861" s="16" t="s">
        <v>36</v>
      </c>
      <c r="D861" s="52" t="s">
        <v>63</v>
      </c>
      <c r="E861" s="52" t="s">
        <v>63</v>
      </c>
      <c r="F861" s="52" t="s">
        <v>63</v>
      </c>
      <c r="G861" s="52" t="s">
        <v>63</v>
      </c>
      <c r="H861" s="52" t="s">
        <v>63</v>
      </c>
      <c r="I861" s="52" t="s">
        <v>63</v>
      </c>
      <c r="J861" s="52" t="s">
        <v>63</v>
      </c>
      <c r="K861" s="52" t="s">
        <v>63</v>
      </c>
      <c r="L861" s="52" t="s">
        <v>63</v>
      </c>
      <c r="M861" s="52" t="s">
        <v>63</v>
      </c>
      <c r="N861" s="52" t="s">
        <v>63</v>
      </c>
      <c r="O861" s="52" t="s">
        <v>63</v>
      </c>
      <c r="P861" s="52" t="s">
        <v>63</v>
      </c>
    </row>
    <row r="862" spans="1:16" ht="14.25" customHeight="1" x14ac:dyDescent="0.3">
      <c r="A862" s="14" t="s">
        <v>37</v>
      </c>
      <c r="B862" s="14"/>
      <c r="C862" s="16"/>
      <c r="D862" s="24"/>
      <c r="E862" s="24"/>
      <c r="F862" s="24"/>
      <c r="G862" s="24"/>
      <c r="H862" s="24"/>
      <c r="I862" s="24"/>
      <c r="J862" s="24"/>
      <c r="K862" s="24"/>
      <c r="L862" s="24"/>
      <c r="M862" s="24"/>
      <c r="N862" s="24"/>
      <c r="O862" s="24"/>
      <c r="P862" s="24"/>
    </row>
    <row r="863" spans="1:16" ht="14.4" x14ac:dyDescent="0.3">
      <c r="A863" s="25" t="s">
        <v>38</v>
      </c>
      <c r="B863" s="18"/>
      <c r="C863" s="16" t="s">
        <v>19</v>
      </c>
      <c r="D863" s="20">
        <f>D812</f>
        <v>0.1173</v>
      </c>
      <c r="E863" s="20">
        <f t="shared" ref="E863:P863" si="49">E812</f>
        <v>0.1527</v>
      </c>
      <c r="F863" s="20">
        <f t="shared" si="49"/>
        <v>0.15920000000000001</v>
      </c>
      <c r="G863" s="20">
        <f t="shared" si="49"/>
        <v>0.16189999999999999</v>
      </c>
      <c r="H863" s="20">
        <f t="shared" si="49"/>
        <v>0.11899999999999999</v>
      </c>
      <c r="I863" s="20">
        <f t="shared" si="49"/>
        <v>0.1066</v>
      </c>
      <c r="J863" s="20">
        <f t="shared" si="49"/>
        <v>8.9300000000000004E-2</v>
      </c>
      <c r="K863" s="20">
        <f t="shared" si="49"/>
        <v>0.1177</v>
      </c>
      <c r="L863" s="20">
        <f t="shared" si="49"/>
        <v>0.1222</v>
      </c>
      <c r="M863" s="20">
        <f t="shared" si="49"/>
        <v>0.1089</v>
      </c>
      <c r="N863" s="20">
        <f t="shared" si="49"/>
        <v>0.1176</v>
      </c>
      <c r="O863" s="20">
        <f t="shared" si="49"/>
        <v>0.1109</v>
      </c>
      <c r="P863" s="20">
        <f t="shared" si="49"/>
        <v>0</v>
      </c>
    </row>
    <row r="864" spans="1:16" ht="14.4" x14ac:dyDescent="0.3">
      <c r="A864" s="25" t="s">
        <v>39</v>
      </c>
      <c r="B864" s="18"/>
      <c r="C864" s="16" t="s">
        <v>19</v>
      </c>
      <c r="D864" s="20">
        <v>0</v>
      </c>
      <c r="E864" s="20">
        <v>0</v>
      </c>
      <c r="F864" s="20">
        <v>0</v>
      </c>
      <c r="G864" s="20">
        <v>0</v>
      </c>
      <c r="H864" s="20">
        <v>0</v>
      </c>
      <c r="I864" s="20">
        <v>0</v>
      </c>
      <c r="J864" s="20">
        <v>0</v>
      </c>
      <c r="K864" s="20">
        <v>0</v>
      </c>
      <c r="L864" s="20">
        <v>0</v>
      </c>
      <c r="M864" s="20">
        <v>0</v>
      </c>
      <c r="N864" s="20">
        <v>0</v>
      </c>
      <c r="O864" s="20">
        <v>0</v>
      </c>
      <c r="P864" s="20">
        <v>0</v>
      </c>
    </row>
    <row r="865" spans="1:16" ht="14.4" x14ac:dyDescent="0.3">
      <c r="A865" s="25" t="s">
        <v>180</v>
      </c>
      <c r="B865" s="18"/>
      <c r="C865" s="16" t="s">
        <v>19</v>
      </c>
      <c r="D865" s="20">
        <f>D814</f>
        <v>3.1399999999999997E-2</v>
      </c>
      <c r="E865" s="20">
        <f t="shared" ref="E865:P868" si="50">E814</f>
        <v>3.1399999999999997E-2</v>
      </c>
      <c r="F865" s="20">
        <f t="shared" si="50"/>
        <v>0</v>
      </c>
      <c r="G865" s="20">
        <f t="shared" si="50"/>
        <v>0</v>
      </c>
      <c r="H865" s="20">
        <f t="shared" si="50"/>
        <v>0</v>
      </c>
      <c r="I865" s="20">
        <f t="shared" si="50"/>
        <v>0</v>
      </c>
      <c r="J865" s="20">
        <f t="shared" si="50"/>
        <v>0</v>
      </c>
      <c r="K865" s="20">
        <f t="shared" si="50"/>
        <v>0</v>
      </c>
      <c r="L865" s="20">
        <f t="shared" si="50"/>
        <v>0</v>
      </c>
      <c r="M865" s="20">
        <f t="shared" si="50"/>
        <v>0</v>
      </c>
      <c r="N865" s="20">
        <f t="shared" si="50"/>
        <v>0</v>
      </c>
      <c r="O865" s="20">
        <f t="shared" si="50"/>
        <v>0</v>
      </c>
      <c r="P865" s="20">
        <f t="shared" si="50"/>
        <v>0</v>
      </c>
    </row>
    <row r="866" spans="1:16" ht="14.4" x14ac:dyDescent="0.3">
      <c r="A866" s="26" t="s">
        <v>40</v>
      </c>
      <c r="B866" s="18"/>
      <c r="C866" s="16" t="s">
        <v>19</v>
      </c>
      <c r="D866" s="20">
        <f>D815</f>
        <v>1E-4</v>
      </c>
      <c r="E866" s="20">
        <f t="shared" si="50"/>
        <v>1E-4</v>
      </c>
      <c r="F866" s="20">
        <f t="shared" si="50"/>
        <v>1E-4</v>
      </c>
      <c r="G866" s="20">
        <f t="shared" si="50"/>
        <v>1E-4</v>
      </c>
      <c r="H866" s="20">
        <f t="shared" si="50"/>
        <v>1E-4</v>
      </c>
      <c r="I866" s="20">
        <f t="shared" si="50"/>
        <v>0</v>
      </c>
      <c r="J866" s="20">
        <f t="shared" si="50"/>
        <v>1E-4</v>
      </c>
      <c r="K866" s="20">
        <f t="shared" si="50"/>
        <v>1E-4</v>
      </c>
      <c r="L866" s="20">
        <f t="shared" si="50"/>
        <v>1E-4</v>
      </c>
      <c r="M866" s="20">
        <f t="shared" si="50"/>
        <v>2.0000000000000001E-4</v>
      </c>
      <c r="N866" s="20">
        <f t="shared" si="50"/>
        <v>1E-4</v>
      </c>
      <c r="O866" s="20">
        <f t="shared" si="50"/>
        <v>1E-4</v>
      </c>
      <c r="P866" s="20">
        <f t="shared" si="50"/>
        <v>0</v>
      </c>
    </row>
    <row r="867" spans="1:16" ht="14.4" x14ac:dyDescent="0.3">
      <c r="A867" s="26" t="s">
        <v>41</v>
      </c>
      <c r="B867" s="18"/>
      <c r="C867" s="16" t="s">
        <v>19</v>
      </c>
      <c r="D867" s="20">
        <f>D816</f>
        <v>0</v>
      </c>
      <c r="E867" s="20">
        <f t="shared" si="50"/>
        <v>0</v>
      </c>
      <c r="F867" s="20">
        <f t="shared" si="50"/>
        <v>0</v>
      </c>
      <c r="G867" s="20">
        <f t="shared" si="50"/>
        <v>0</v>
      </c>
      <c r="H867" s="20">
        <f t="shared" si="50"/>
        <v>0</v>
      </c>
      <c r="I867" s="20">
        <f t="shared" si="50"/>
        <v>0</v>
      </c>
      <c r="J867" s="20">
        <f t="shared" si="50"/>
        <v>0</v>
      </c>
      <c r="K867" s="20">
        <f t="shared" si="50"/>
        <v>0</v>
      </c>
      <c r="L867" s="20">
        <f t="shared" si="50"/>
        <v>0</v>
      </c>
      <c r="M867" s="20">
        <f t="shared" si="50"/>
        <v>0</v>
      </c>
      <c r="N867" s="20">
        <f t="shared" si="50"/>
        <v>0</v>
      </c>
      <c r="O867" s="20">
        <f t="shared" si="50"/>
        <v>0</v>
      </c>
      <c r="P867" s="20">
        <f t="shared" si="50"/>
        <v>0</v>
      </c>
    </row>
    <row r="868" spans="1:16" ht="14.4" hidden="1" x14ac:dyDescent="0.3">
      <c r="A868" s="154" t="s">
        <v>181</v>
      </c>
      <c r="B868" s="155"/>
      <c r="C868" s="16" t="s">
        <v>19</v>
      </c>
      <c r="D868" s="20">
        <f>D817</f>
        <v>0</v>
      </c>
      <c r="E868" s="20">
        <f t="shared" si="50"/>
        <v>0</v>
      </c>
      <c r="F868" s="20">
        <f t="shared" si="50"/>
        <v>0</v>
      </c>
      <c r="G868" s="20">
        <f t="shared" si="50"/>
        <v>0</v>
      </c>
      <c r="H868" s="20">
        <f t="shared" si="50"/>
        <v>0</v>
      </c>
      <c r="I868" s="20">
        <f t="shared" si="50"/>
        <v>0</v>
      </c>
      <c r="J868" s="20">
        <f t="shared" si="50"/>
        <v>0</v>
      </c>
      <c r="K868" s="20">
        <f t="shared" si="50"/>
        <v>0</v>
      </c>
      <c r="L868" s="20">
        <f t="shared" si="50"/>
        <v>0</v>
      </c>
      <c r="M868" s="20">
        <f t="shared" si="50"/>
        <v>0</v>
      </c>
      <c r="N868" s="20">
        <f t="shared" si="50"/>
        <v>0</v>
      </c>
      <c r="O868" s="20">
        <f t="shared" si="50"/>
        <v>0</v>
      </c>
      <c r="P868" s="20">
        <f t="shared" si="50"/>
        <v>0</v>
      </c>
    </row>
    <row r="869" spans="1:16" ht="16.2" hidden="1" x14ac:dyDescent="0.3">
      <c r="A869" s="154" t="s">
        <v>182</v>
      </c>
      <c r="B869" s="155"/>
      <c r="C869" s="16" t="s">
        <v>19</v>
      </c>
      <c r="D869" s="20"/>
      <c r="E869" s="20"/>
      <c r="F869" s="20"/>
      <c r="G869" s="20"/>
      <c r="H869" s="20"/>
      <c r="I869" s="20"/>
      <c r="J869" s="20"/>
      <c r="K869" s="20"/>
      <c r="L869" s="20"/>
      <c r="M869" s="20"/>
      <c r="N869" s="20"/>
      <c r="O869" s="20"/>
      <c r="P869" s="20"/>
    </row>
    <row r="870" spans="1:16" ht="16.2" hidden="1" x14ac:dyDescent="0.3">
      <c r="A870" s="154" t="s">
        <v>182</v>
      </c>
      <c r="B870" s="156"/>
      <c r="C870" s="16" t="s">
        <v>19</v>
      </c>
      <c r="D870" s="20"/>
      <c r="E870" s="20"/>
      <c r="F870" s="20"/>
      <c r="G870" s="20"/>
      <c r="H870" s="20"/>
      <c r="I870" s="20"/>
      <c r="J870" s="20"/>
      <c r="K870" s="20"/>
      <c r="L870" s="20"/>
      <c r="M870" s="20"/>
      <c r="N870" s="20"/>
      <c r="O870" s="20"/>
      <c r="P870" s="20"/>
    </row>
    <row r="871" spans="1:16" ht="14.4" x14ac:dyDescent="0.3">
      <c r="A871" s="14" t="s">
        <v>42</v>
      </c>
      <c r="B871" s="14"/>
      <c r="C871" s="16"/>
      <c r="D871" s="24"/>
      <c r="E871" s="24"/>
      <c r="F871" s="24"/>
      <c r="G871" s="24"/>
      <c r="H871" s="24"/>
      <c r="I871" s="24"/>
      <c r="J871" s="24"/>
      <c r="K871" s="24"/>
      <c r="L871" s="24"/>
      <c r="M871" s="24"/>
      <c r="N871" s="24"/>
      <c r="O871" s="24"/>
      <c r="P871" s="24"/>
    </row>
    <row r="872" spans="1:16" ht="14.4" x14ac:dyDescent="0.3">
      <c r="A872" s="14" t="s">
        <v>43</v>
      </c>
      <c r="B872" s="14"/>
      <c r="C872" s="16" t="s">
        <v>44</v>
      </c>
      <c r="D872" s="27"/>
      <c r="E872" s="27"/>
      <c r="F872" s="27"/>
      <c r="G872" s="27"/>
      <c r="H872" s="27"/>
      <c r="I872" s="27"/>
      <c r="J872" s="27"/>
      <c r="K872" s="27"/>
      <c r="L872" s="27"/>
      <c r="M872" s="27"/>
      <c r="N872" s="27"/>
      <c r="O872" s="27"/>
      <c r="P872" s="27"/>
    </row>
    <row r="873" spans="1:16" ht="14.4" hidden="1" x14ac:dyDescent="0.3">
      <c r="A873" s="14" t="s">
        <v>183</v>
      </c>
      <c r="B873" s="14"/>
      <c r="C873" s="16"/>
      <c r="D873" s="28"/>
      <c r="E873" s="28"/>
      <c r="F873" s="28"/>
      <c r="G873" s="28"/>
      <c r="H873" s="28"/>
      <c r="I873" s="28"/>
      <c r="J873" s="28"/>
      <c r="K873" s="28"/>
      <c r="L873" s="28"/>
      <c r="M873" s="28"/>
      <c r="N873" s="28"/>
      <c r="O873" s="28"/>
      <c r="P873" s="28"/>
    </row>
    <row r="874" spans="1:16" ht="14.4" hidden="1" x14ac:dyDescent="0.3">
      <c r="A874" s="14" t="s">
        <v>184</v>
      </c>
      <c r="B874" s="14"/>
      <c r="C874" s="16" t="s">
        <v>19</v>
      </c>
      <c r="D874" s="20"/>
      <c r="E874" s="20"/>
      <c r="F874" s="20"/>
      <c r="G874" s="20"/>
      <c r="H874" s="20"/>
      <c r="I874" s="20"/>
      <c r="J874" s="20"/>
      <c r="K874" s="20"/>
      <c r="L874" s="20"/>
      <c r="M874" s="20"/>
      <c r="N874" s="20"/>
      <c r="O874" s="20"/>
      <c r="P874" s="20"/>
    </row>
    <row r="875" spans="1:16" ht="14.4" x14ac:dyDescent="0.3">
      <c r="A875" s="14" t="s">
        <v>45</v>
      </c>
      <c r="B875" s="14"/>
      <c r="C875" s="16"/>
      <c r="D875" s="28"/>
      <c r="E875" s="28"/>
      <c r="F875" s="28"/>
      <c r="G875" s="28"/>
      <c r="H875" s="28"/>
      <c r="I875" s="28"/>
      <c r="J875" s="28"/>
      <c r="K875" s="28"/>
      <c r="L875" s="28"/>
      <c r="M875" s="28"/>
      <c r="N875" s="28"/>
      <c r="O875" s="28"/>
      <c r="P875" s="28"/>
    </row>
    <row r="876" spans="1:16" ht="14.4" x14ac:dyDescent="0.3">
      <c r="A876" s="14" t="s">
        <v>46</v>
      </c>
      <c r="B876" s="14"/>
      <c r="C876" s="16" t="s">
        <v>19</v>
      </c>
      <c r="D876" s="20">
        <v>0</v>
      </c>
      <c r="E876" s="20">
        <v>0</v>
      </c>
      <c r="F876" s="20">
        <v>0</v>
      </c>
      <c r="G876" s="20">
        <v>0</v>
      </c>
      <c r="H876" s="20">
        <v>0</v>
      </c>
      <c r="I876" s="20">
        <v>0</v>
      </c>
      <c r="J876" s="20">
        <v>0</v>
      </c>
      <c r="K876" s="20">
        <v>0</v>
      </c>
      <c r="L876" s="20">
        <v>0</v>
      </c>
      <c r="M876" s="20">
        <v>0</v>
      </c>
      <c r="N876" s="20">
        <v>0</v>
      </c>
      <c r="O876" s="20">
        <v>0</v>
      </c>
      <c r="P876" s="20">
        <v>0</v>
      </c>
    </row>
    <row r="877" spans="1:16" ht="14.4" hidden="1" x14ac:dyDescent="0.3">
      <c r="A877" s="14" t="s">
        <v>185</v>
      </c>
      <c r="B877" s="14"/>
      <c r="C877" s="16"/>
      <c r="D877" s="28"/>
      <c r="E877" s="28"/>
      <c r="F877" s="28"/>
      <c r="G877" s="28"/>
      <c r="H877" s="28"/>
      <c r="I877" s="28"/>
      <c r="J877" s="28"/>
      <c r="K877" s="28"/>
      <c r="L877" s="28"/>
      <c r="M877" s="28"/>
      <c r="N877" s="28"/>
      <c r="O877" s="28"/>
      <c r="P877" s="28"/>
    </row>
    <row r="878" spans="1:16" ht="14.4" hidden="1" x14ac:dyDescent="0.3">
      <c r="A878" s="14" t="s">
        <v>186</v>
      </c>
      <c r="B878" s="14"/>
      <c r="C878" s="16" t="s">
        <v>19</v>
      </c>
      <c r="D878" s="20"/>
      <c r="E878" s="20"/>
      <c r="F878" s="20"/>
      <c r="G878" s="20"/>
      <c r="H878" s="20"/>
      <c r="I878" s="20"/>
      <c r="J878" s="20"/>
      <c r="K878" s="20"/>
      <c r="L878" s="20"/>
      <c r="M878" s="20"/>
      <c r="N878" s="20"/>
      <c r="O878" s="20"/>
      <c r="P878" s="20"/>
    </row>
    <row r="879" spans="1:16" ht="14.4" x14ac:dyDescent="0.3">
      <c r="A879" s="14" t="s">
        <v>47</v>
      </c>
      <c r="B879" s="14"/>
      <c r="C879" s="16"/>
      <c r="D879" s="24"/>
      <c r="E879" s="24"/>
      <c r="F879" s="24"/>
      <c r="G879" s="24"/>
      <c r="H879" s="24"/>
      <c r="I879" s="24"/>
      <c r="J879" s="24"/>
      <c r="K879" s="24"/>
      <c r="L879" s="24"/>
      <c r="M879" s="24"/>
      <c r="N879" s="24"/>
      <c r="O879" s="24"/>
      <c r="P879" s="24"/>
    </row>
    <row r="880" spans="1:16" ht="14.4" x14ac:dyDescent="0.3">
      <c r="A880" s="18" t="s">
        <v>48</v>
      </c>
      <c r="B880" s="18"/>
      <c r="C880" s="16" t="s">
        <v>19</v>
      </c>
      <c r="D880" s="20">
        <f>D829</f>
        <v>0.15609999999999999</v>
      </c>
      <c r="E880" s="20">
        <f>E829</f>
        <v>0.15609999999999999</v>
      </c>
      <c r="F880" s="20">
        <f t="shared" ref="F880:P881" si="51">F829</f>
        <v>0.11799999999999999</v>
      </c>
      <c r="G880" s="20">
        <f t="shared" si="51"/>
        <v>0.11799999999999999</v>
      </c>
      <c r="H880" s="20">
        <f t="shared" si="51"/>
        <v>0.11799999999999999</v>
      </c>
      <c r="I880" s="20">
        <f t="shared" si="51"/>
        <v>0.11799999999999999</v>
      </c>
      <c r="J880" s="20">
        <f t="shared" si="51"/>
        <v>0.11799999999999999</v>
      </c>
      <c r="K880" s="20">
        <f t="shared" si="51"/>
        <v>0.15609999999999999</v>
      </c>
      <c r="L880" s="20">
        <f t="shared" si="51"/>
        <v>0.15609999999999999</v>
      </c>
      <c r="M880" s="20">
        <f t="shared" si="51"/>
        <v>0.15609999999999999</v>
      </c>
      <c r="N880" s="20">
        <f t="shared" si="51"/>
        <v>0.15609999999999999</v>
      </c>
      <c r="O880" s="20">
        <f t="shared" si="51"/>
        <v>0.15609999999999999</v>
      </c>
      <c r="P880" s="20">
        <f t="shared" si="51"/>
        <v>0.15609999999999999</v>
      </c>
    </row>
    <row r="881" spans="1:16" ht="14.4" x14ac:dyDescent="0.3">
      <c r="A881" s="18" t="s">
        <v>49</v>
      </c>
      <c r="B881" s="18"/>
      <c r="C881" s="16" t="s">
        <v>19</v>
      </c>
      <c r="D881" s="20">
        <f>D830</f>
        <v>2.5000000000000001E-3</v>
      </c>
      <c r="E881" s="20">
        <f>E830</f>
        <v>2.5000000000000001E-3</v>
      </c>
      <c r="F881" s="20">
        <f t="shared" si="51"/>
        <v>2.5000000000000001E-3</v>
      </c>
      <c r="G881" s="20">
        <f t="shared" si="51"/>
        <v>2.5000000000000001E-3</v>
      </c>
      <c r="H881" s="20">
        <f t="shared" si="51"/>
        <v>2.5000000000000001E-3</v>
      </c>
      <c r="I881" s="20">
        <f t="shared" si="51"/>
        <v>2.5000000000000001E-3</v>
      </c>
      <c r="J881" s="20">
        <f t="shared" si="51"/>
        <v>2.5000000000000001E-3</v>
      </c>
      <c r="K881" s="20">
        <f t="shared" si="51"/>
        <v>2.5000000000000001E-3</v>
      </c>
      <c r="L881" s="20">
        <f t="shared" si="51"/>
        <v>2.5000000000000001E-3</v>
      </c>
      <c r="M881" s="20">
        <f t="shared" si="51"/>
        <v>2.5000000000000001E-3</v>
      </c>
      <c r="N881" s="20">
        <f t="shared" si="51"/>
        <v>2.5000000000000001E-3</v>
      </c>
      <c r="O881" s="20">
        <f t="shared" si="51"/>
        <v>2.5000000000000001E-3</v>
      </c>
      <c r="P881" s="20">
        <f t="shared" si="51"/>
        <v>2.5000000000000001E-3</v>
      </c>
    </row>
    <row r="882" spans="1:16" ht="14.4" x14ac:dyDescent="0.3">
      <c r="A882" s="18" t="s">
        <v>50</v>
      </c>
      <c r="B882" s="18"/>
      <c r="C882" s="16"/>
      <c r="D882" s="20">
        <v>0.1938</v>
      </c>
      <c r="E882" s="20">
        <v>0.1938</v>
      </c>
      <c r="F882" s="20">
        <v>0.1938</v>
      </c>
      <c r="G882" s="20">
        <v>0.1938</v>
      </c>
      <c r="H882" s="20">
        <v>0.1938</v>
      </c>
      <c r="I882" s="20">
        <v>0.1938</v>
      </c>
      <c r="J882" s="20">
        <v>0.1938</v>
      </c>
      <c r="K882" s="20">
        <v>0.1938</v>
      </c>
      <c r="L882" s="20">
        <v>0.1938</v>
      </c>
      <c r="M882" s="20">
        <v>0.1938</v>
      </c>
      <c r="N882" s="20">
        <v>0.1938</v>
      </c>
      <c r="O882" s="20">
        <v>0.1938</v>
      </c>
      <c r="P882" s="20">
        <v>0.1938</v>
      </c>
    </row>
    <row r="883" spans="1:16" ht="14.4" x14ac:dyDescent="0.3">
      <c r="A883" s="14" t="s">
        <v>52</v>
      </c>
      <c r="B883" s="14"/>
      <c r="C883" s="29"/>
      <c r="D883" s="22"/>
      <c r="E883" s="22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</row>
    <row r="884" spans="1:16" ht="14.4" x14ac:dyDescent="0.3">
      <c r="A884" s="18" t="s">
        <v>53</v>
      </c>
      <c r="B884" s="18"/>
      <c r="C884" s="16" t="s">
        <v>44</v>
      </c>
      <c r="D884" s="30">
        <f t="shared" ref="D884:O886" si="52">D833</f>
        <v>0.10970000000000001</v>
      </c>
      <c r="E884" s="30">
        <f t="shared" si="52"/>
        <v>0.1176</v>
      </c>
      <c r="F884" s="30">
        <f t="shared" si="52"/>
        <v>0.1169</v>
      </c>
      <c r="G884" s="30">
        <f t="shared" si="52"/>
        <v>0.1177</v>
      </c>
      <c r="H884" s="30">
        <f t="shared" si="52"/>
        <v>0.11890000000000001</v>
      </c>
      <c r="I884" s="30">
        <f t="shared" si="52"/>
        <v>0.1192</v>
      </c>
      <c r="J884" s="30">
        <f t="shared" si="52"/>
        <v>0.1179</v>
      </c>
      <c r="K884" s="30">
        <f t="shared" si="52"/>
        <v>0.11700000000000001</v>
      </c>
      <c r="L884" s="30">
        <f t="shared" si="52"/>
        <v>0.11650000000000001</v>
      </c>
      <c r="M884" s="30">
        <f t="shared" si="52"/>
        <v>0.1154</v>
      </c>
      <c r="N884" s="30">
        <f t="shared" si="52"/>
        <v>0.1129</v>
      </c>
      <c r="O884" s="30">
        <f t="shared" si="52"/>
        <v>0.115</v>
      </c>
      <c r="P884" s="30" t="e">
        <f>P833</f>
        <v>#DIV/0!</v>
      </c>
    </row>
    <row r="885" spans="1:16" ht="14.4" x14ac:dyDescent="0.3">
      <c r="A885" s="18" t="s">
        <v>54</v>
      </c>
      <c r="B885" s="18"/>
      <c r="C885" s="16" t="s">
        <v>44</v>
      </c>
      <c r="D885" s="30">
        <f t="shared" si="52"/>
        <v>6.0000000000000006E-4</v>
      </c>
      <c r="E885" s="30">
        <f t="shared" si="52"/>
        <v>3.2000000000000002E-3</v>
      </c>
      <c r="F885" s="30">
        <f t="shared" si="52"/>
        <v>3.5000000000000001E-3</v>
      </c>
      <c r="G885" s="30">
        <f t="shared" si="52"/>
        <v>1.3899999999999999E-2</v>
      </c>
      <c r="H885" s="30">
        <f t="shared" si="52"/>
        <v>2.5600000000000001E-2</v>
      </c>
      <c r="I885" s="30">
        <f t="shared" si="52"/>
        <v>2.8000000000000001E-2</v>
      </c>
      <c r="J885" s="30">
        <f t="shared" si="52"/>
        <v>3.73E-2</v>
      </c>
      <c r="K885" s="30">
        <f t="shared" si="52"/>
        <v>3.4099999999999998E-2</v>
      </c>
      <c r="L885" s="30">
        <f t="shared" si="52"/>
        <v>1.9699999999999999E-2</v>
      </c>
      <c r="M885" s="30">
        <f t="shared" si="52"/>
        <v>1.5299999999999999E-2</v>
      </c>
      <c r="N885" s="30">
        <f t="shared" si="52"/>
        <v>6.0000000000000001E-3</v>
      </c>
      <c r="O885" s="30">
        <f t="shared" si="52"/>
        <v>2.8999999999999998E-3</v>
      </c>
      <c r="P885" s="30" t="e">
        <f>P834</f>
        <v>#DIV/0!</v>
      </c>
    </row>
    <row r="886" spans="1:16" ht="14.4" x14ac:dyDescent="0.3">
      <c r="A886" s="18" t="s">
        <v>55</v>
      </c>
      <c r="B886" s="18"/>
      <c r="C886" s="16" t="s">
        <v>44</v>
      </c>
      <c r="D886" s="30">
        <f t="shared" si="52"/>
        <v>9.4299999999999995E-2</v>
      </c>
      <c r="E886" s="30">
        <f t="shared" si="52"/>
        <v>0.1008</v>
      </c>
      <c r="F886" s="30">
        <f t="shared" si="52"/>
        <v>9.9400000000000002E-2</v>
      </c>
      <c r="G886" s="30">
        <f t="shared" si="52"/>
        <v>0.10249999999999999</v>
      </c>
      <c r="H886" s="30">
        <f t="shared" si="52"/>
        <v>0.1066</v>
      </c>
      <c r="I886" s="30">
        <f t="shared" si="52"/>
        <v>0.10630000000000001</v>
      </c>
      <c r="J886" s="30">
        <f t="shared" si="52"/>
        <v>0.10589999999999999</v>
      </c>
      <c r="K886" s="30">
        <f t="shared" si="52"/>
        <v>0.10489999999999999</v>
      </c>
      <c r="L886" s="30">
        <f t="shared" si="52"/>
        <v>0.1022</v>
      </c>
      <c r="M886" s="30">
        <f t="shared" si="52"/>
        <v>0.1019</v>
      </c>
      <c r="N886" s="30">
        <f t="shared" si="52"/>
        <v>9.8799999999999999E-2</v>
      </c>
      <c r="O886" s="30">
        <f t="shared" si="52"/>
        <v>9.98E-2</v>
      </c>
      <c r="P886" s="30" t="e">
        <f>P835</f>
        <v>#DIV/0!</v>
      </c>
    </row>
    <row r="887" spans="1:16" ht="14.4" hidden="1" x14ac:dyDescent="0.3">
      <c r="A887" s="18" t="s">
        <v>187</v>
      </c>
      <c r="B887" s="18"/>
      <c r="C887" s="16" t="s">
        <v>44</v>
      </c>
      <c r="D887" s="27">
        <v>0</v>
      </c>
      <c r="E887" s="27">
        <v>0</v>
      </c>
      <c r="F887" s="27">
        <v>0</v>
      </c>
      <c r="G887" s="27">
        <v>0</v>
      </c>
      <c r="H887" s="27">
        <v>0</v>
      </c>
      <c r="I887" s="27">
        <v>0</v>
      </c>
      <c r="J887" s="27">
        <v>0</v>
      </c>
      <c r="K887" s="27">
        <v>0</v>
      </c>
      <c r="L887" s="27">
        <v>0</v>
      </c>
      <c r="M887" s="27">
        <v>0</v>
      </c>
      <c r="N887" s="27">
        <v>0</v>
      </c>
      <c r="O887" s="27">
        <v>0</v>
      </c>
      <c r="P887" s="27">
        <v>0</v>
      </c>
    </row>
    <row r="888" spans="1:16" ht="14.4" x14ac:dyDescent="0.3">
      <c r="A888" s="18" t="s">
        <v>188</v>
      </c>
      <c r="B888" s="18"/>
      <c r="C888" s="16" t="s">
        <v>44</v>
      </c>
      <c r="D888" s="30">
        <f t="shared" ref="D888:O890" si="53">D837</f>
        <v>9.8799999999999999E-2</v>
      </c>
      <c r="E888" s="30">
        <f t="shared" si="53"/>
        <v>9.8799999999999999E-2</v>
      </c>
      <c r="F888" s="30">
        <f t="shared" si="53"/>
        <v>0</v>
      </c>
      <c r="G888" s="30">
        <f t="shared" si="53"/>
        <v>0</v>
      </c>
      <c r="H888" s="30">
        <f t="shared" si="53"/>
        <v>0</v>
      </c>
      <c r="I888" s="30">
        <f t="shared" si="53"/>
        <v>0</v>
      </c>
      <c r="J888" s="30">
        <f t="shared" si="53"/>
        <v>0</v>
      </c>
      <c r="K888" s="30">
        <f t="shared" si="53"/>
        <v>0</v>
      </c>
      <c r="L888" s="30">
        <f t="shared" si="53"/>
        <v>0</v>
      </c>
      <c r="M888" s="30">
        <f t="shared" si="53"/>
        <v>0</v>
      </c>
      <c r="N888" s="30">
        <f t="shared" si="53"/>
        <v>0</v>
      </c>
      <c r="O888" s="30">
        <f t="shared" si="53"/>
        <v>0</v>
      </c>
      <c r="P888" s="30">
        <f>P837</f>
        <v>0</v>
      </c>
    </row>
    <row r="889" spans="1:16" ht="14.4" x14ac:dyDescent="0.3">
      <c r="A889" s="18" t="s">
        <v>56</v>
      </c>
      <c r="B889" s="18"/>
      <c r="C889" s="16" t="s">
        <v>44</v>
      </c>
      <c r="D889" s="30">
        <f t="shared" si="53"/>
        <v>0.12</v>
      </c>
      <c r="E889" s="30">
        <f t="shared" si="53"/>
        <v>0.12</v>
      </c>
      <c r="F889" s="30">
        <f t="shared" si="53"/>
        <v>0.12</v>
      </c>
      <c r="G889" s="30">
        <f t="shared" si="53"/>
        <v>0.12</v>
      </c>
      <c r="H889" s="30">
        <f t="shared" si="53"/>
        <v>0.12</v>
      </c>
      <c r="I889" s="30">
        <f t="shared" si="53"/>
        <v>0.12</v>
      </c>
      <c r="J889" s="30">
        <f t="shared" si="53"/>
        <v>0.12</v>
      </c>
      <c r="K889" s="30">
        <f t="shared" si="53"/>
        <v>0.12</v>
      </c>
      <c r="L889" s="30">
        <f t="shared" si="53"/>
        <v>0.12</v>
      </c>
      <c r="M889" s="30">
        <f t="shared" si="53"/>
        <v>0.12</v>
      </c>
      <c r="N889" s="30">
        <f t="shared" si="53"/>
        <v>0.12</v>
      </c>
      <c r="O889" s="30">
        <f t="shared" si="53"/>
        <v>0.12</v>
      </c>
      <c r="P889" s="30">
        <f>P838</f>
        <v>0.12</v>
      </c>
    </row>
    <row r="890" spans="1:16" ht="14.4" x14ac:dyDescent="0.3">
      <c r="A890" s="18" t="s">
        <v>57</v>
      </c>
      <c r="B890" s="18"/>
      <c r="C890" s="16" t="s">
        <v>44</v>
      </c>
      <c r="D890" s="30">
        <f t="shared" si="53"/>
        <v>0.12</v>
      </c>
      <c r="E890" s="30">
        <f t="shared" si="53"/>
        <v>0.12</v>
      </c>
      <c r="F890" s="30">
        <f t="shared" si="53"/>
        <v>0.12</v>
      </c>
      <c r="G890" s="30">
        <f t="shared" si="53"/>
        <v>0.12</v>
      </c>
      <c r="H890" s="30">
        <f t="shared" si="53"/>
        <v>0.12</v>
      </c>
      <c r="I890" s="30">
        <f t="shared" si="53"/>
        <v>0.12</v>
      </c>
      <c r="J890" s="30">
        <f t="shared" si="53"/>
        <v>0.12</v>
      </c>
      <c r="K890" s="30">
        <f t="shared" si="53"/>
        <v>0.12</v>
      </c>
      <c r="L890" s="30">
        <f t="shared" si="53"/>
        <v>0.12</v>
      </c>
      <c r="M890" s="30">
        <f t="shared" si="53"/>
        <v>0.12</v>
      </c>
      <c r="N890" s="30">
        <f t="shared" si="53"/>
        <v>0.12</v>
      </c>
      <c r="O890" s="30">
        <f t="shared" si="53"/>
        <v>0.12</v>
      </c>
      <c r="P890" s="30">
        <f>P839</f>
        <v>0.12</v>
      </c>
    </row>
    <row r="891" spans="1:16" s="5" customFormat="1" ht="14.4" x14ac:dyDescent="0.3">
      <c r="A891" s="55"/>
      <c r="B891" s="55"/>
      <c r="C891" s="56"/>
      <c r="D891" s="57"/>
      <c r="E891" s="57"/>
      <c r="F891" s="57"/>
      <c r="G891" s="57"/>
      <c r="H891" s="57"/>
      <c r="I891" s="57"/>
      <c r="J891" s="57"/>
      <c r="K891" s="57"/>
      <c r="L891" s="57"/>
      <c r="M891" s="57"/>
      <c r="N891" s="57"/>
      <c r="O891" s="57"/>
      <c r="P891" s="57"/>
    </row>
    <row r="892" spans="1:16" x14ac:dyDescent="0.3">
      <c r="A892" s="3" t="s">
        <v>58</v>
      </c>
    </row>
    <row r="893" spans="1:16" s="5" customFormat="1" ht="14.4" x14ac:dyDescent="0.3">
      <c r="A893" s="55"/>
      <c r="B893" s="55"/>
      <c r="C893" s="56"/>
      <c r="D893" s="57"/>
      <c r="E893" s="57"/>
      <c r="F893" s="57"/>
      <c r="G893" s="57"/>
      <c r="H893" s="57"/>
      <c r="I893" s="57"/>
      <c r="J893" s="57"/>
      <c r="K893" s="57"/>
      <c r="L893" s="57"/>
      <c r="M893" s="57"/>
      <c r="N893" s="57"/>
      <c r="O893" s="57"/>
      <c r="P893" s="57"/>
    </row>
    <row r="894" spans="1:16" ht="18" x14ac:dyDescent="0.35">
      <c r="A894" s="59" t="str">
        <f>'[42]Statistical data'!A240</f>
        <v>General Power-34.5kV</v>
      </c>
      <c r="B894" s="60"/>
      <c r="C894" s="5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</row>
    <row r="895" spans="1:16" s="13" customFormat="1" ht="14.4" x14ac:dyDescent="0.3">
      <c r="A895" s="11" t="s">
        <v>3</v>
      </c>
      <c r="B895" s="11"/>
      <c r="C895" s="11" t="s">
        <v>4</v>
      </c>
      <c r="D895" s="12" t="str">
        <f>D844</f>
        <v>JAN</v>
      </c>
      <c r="E895" s="12" t="str">
        <f t="shared" ref="E895:P895" si="54">E844</f>
        <v>FEB</v>
      </c>
      <c r="F895" s="12" t="str">
        <f t="shared" si="54"/>
        <v>MAR</v>
      </c>
      <c r="G895" s="12" t="str">
        <f t="shared" si="54"/>
        <v>APR</v>
      </c>
      <c r="H895" s="12" t="str">
        <f t="shared" si="54"/>
        <v>MAY</v>
      </c>
      <c r="I895" s="12" t="str">
        <f t="shared" si="54"/>
        <v>JUN</v>
      </c>
      <c r="J895" s="12" t="str">
        <f t="shared" si="54"/>
        <v>JUL</v>
      </c>
      <c r="K895" s="12" t="str">
        <f t="shared" si="54"/>
        <v>AUG</v>
      </c>
      <c r="L895" s="12" t="str">
        <f t="shared" si="54"/>
        <v>SEP</v>
      </c>
      <c r="M895" s="12" t="str">
        <f t="shared" si="54"/>
        <v>OCT</v>
      </c>
      <c r="N895" s="12" t="str">
        <f t="shared" si="54"/>
        <v>NOV</v>
      </c>
      <c r="O895" s="12" t="str">
        <f t="shared" si="54"/>
        <v>DEC</v>
      </c>
      <c r="P895" s="12" t="str">
        <f t="shared" si="54"/>
        <v>JAN</v>
      </c>
    </row>
    <row r="896" spans="1:16" ht="14.4" x14ac:dyDescent="0.3">
      <c r="A896" s="14" t="s">
        <v>17</v>
      </c>
      <c r="B896" s="15"/>
      <c r="C896" s="16"/>
      <c r="D896" s="17"/>
      <c r="E896" s="17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</row>
    <row r="897" spans="1:16" ht="14.4" x14ac:dyDescent="0.3">
      <c r="A897" s="18" t="s">
        <v>18</v>
      </c>
      <c r="B897" s="19"/>
      <c r="C897" s="16" t="s">
        <v>19</v>
      </c>
      <c r="D897" s="52" t="s">
        <v>59</v>
      </c>
      <c r="E897" s="52" t="s">
        <v>59</v>
      </c>
      <c r="F897" s="52" t="s">
        <v>59</v>
      </c>
      <c r="G897" s="52" t="s">
        <v>59</v>
      </c>
      <c r="H897" s="52" t="s">
        <v>59</v>
      </c>
      <c r="I897" s="52" t="s">
        <v>59</v>
      </c>
      <c r="J897" s="52" t="s">
        <v>59</v>
      </c>
      <c r="K897" s="52" t="s">
        <v>59</v>
      </c>
      <c r="L897" s="52" t="s">
        <v>59</v>
      </c>
      <c r="M897" s="52" t="s">
        <v>59</v>
      </c>
      <c r="N897" s="52" t="s">
        <v>59</v>
      </c>
      <c r="O897" s="52" t="s">
        <v>59</v>
      </c>
      <c r="P897" s="52" t="s">
        <v>59</v>
      </c>
    </row>
    <row r="898" spans="1:16" ht="14.4" hidden="1" x14ac:dyDescent="0.3">
      <c r="A898" s="18" t="s">
        <v>66</v>
      </c>
      <c r="B898" s="19"/>
      <c r="C898" s="16" t="s">
        <v>19</v>
      </c>
      <c r="D898" s="20">
        <v>0</v>
      </c>
      <c r="E898" s="20">
        <v>0</v>
      </c>
      <c r="F898" s="20">
        <v>0</v>
      </c>
      <c r="G898" s="20">
        <v>0</v>
      </c>
      <c r="H898" s="20">
        <v>0</v>
      </c>
      <c r="I898" s="20">
        <v>0</v>
      </c>
      <c r="J898" s="20">
        <v>0</v>
      </c>
      <c r="K898" s="20">
        <v>0</v>
      </c>
      <c r="L898" s="20">
        <v>0</v>
      </c>
      <c r="M898" s="20">
        <v>0</v>
      </c>
      <c r="N898" s="20">
        <v>0</v>
      </c>
      <c r="O898" s="20">
        <v>0</v>
      </c>
      <c r="P898" s="20">
        <v>0</v>
      </c>
    </row>
    <row r="899" spans="1:16" ht="14.4" x14ac:dyDescent="0.3">
      <c r="A899" s="14" t="s">
        <v>20</v>
      </c>
      <c r="B899" s="15"/>
      <c r="C899" s="16"/>
      <c r="D899" s="21"/>
      <c r="E899" s="21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1"/>
    </row>
    <row r="900" spans="1:16" ht="14.4" x14ac:dyDescent="0.3">
      <c r="A900" s="18" t="s">
        <v>21</v>
      </c>
      <c r="B900" s="19"/>
      <c r="C900" s="16" t="s">
        <v>19</v>
      </c>
      <c r="D900" s="20">
        <v>0</v>
      </c>
      <c r="E900" s="20">
        <v>0</v>
      </c>
      <c r="F900" s="20">
        <v>0</v>
      </c>
      <c r="G900" s="20">
        <v>0</v>
      </c>
      <c r="H900" s="20">
        <v>0</v>
      </c>
      <c r="I900" s="20">
        <v>0</v>
      </c>
      <c r="J900" s="20">
        <v>0</v>
      </c>
      <c r="K900" s="20">
        <v>0</v>
      </c>
      <c r="L900" s="20">
        <v>0</v>
      </c>
      <c r="M900" s="20">
        <v>0</v>
      </c>
      <c r="N900" s="20">
        <v>0</v>
      </c>
      <c r="O900" s="20">
        <v>0</v>
      </c>
      <c r="P900" s="20">
        <v>0</v>
      </c>
    </row>
    <row r="901" spans="1:16" ht="14.4" x14ac:dyDescent="0.3">
      <c r="A901" s="18" t="s">
        <v>22</v>
      </c>
      <c r="B901" s="19"/>
      <c r="C901" s="16" t="s">
        <v>23</v>
      </c>
      <c r="D901" s="23">
        <f>[42]TR!D82</f>
        <v>371.06</v>
      </c>
      <c r="E901" s="23">
        <f>[42]TR!E82</f>
        <v>373.68</v>
      </c>
      <c r="F901" s="23">
        <f>[42]TR!F82</f>
        <v>393.44</v>
      </c>
      <c r="G901" s="23">
        <f>[42]TR!G82</f>
        <v>386.66</v>
      </c>
      <c r="H901" s="23">
        <f>[42]TR!H82</f>
        <v>365.51</v>
      </c>
      <c r="I901" s="23">
        <f>[42]TR!I82</f>
        <v>355.77</v>
      </c>
      <c r="J901" s="23">
        <f>[42]TR!J82</f>
        <v>408.14</v>
      </c>
      <c r="K901" s="23">
        <f>[42]TR!K82</f>
        <v>381.84</v>
      </c>
      <c r="L901" s="23">
        <f>[42]TR!L82</f>
        <v>368.46</v>
      </c>
      <c r="M901" s="23">
        <f>[42]TR!M82</f>
        <v>357.76</v>
      </c>
      <c r="N901" s="23">
        <f>[42]TR!N82</f>
        <v>316.69</v>
      </c>
      <c r="O901" s="23">
        <f>[42]TR!O82</f>
        <v>332.27</v>
      </c>
      <c r="P901" s="23">
        <f>[42]TR!P82</f>
        <v>0</v>
      </c>
    </row>
    <row r="902" spans="1:16" ht="14.4" x14ac:dyDescent="0.3">
      <c r="A902" s="14" t="s">
        <v>24</v>
      </c>
      <c r="B902" s="15"/>
      <c r="C902" s="16"/>
      <c r="D902" s="21"/>
      <c r="E902" s="21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</row>
    <row r="903" spans="1:16" ht="14.4" x14ac:dyDescent="0.3">
      <c r="A903" s="18" t="s">
        <v>25</v>
      </c>
      <c r="B903" s="19"/>
      <c r="C903" s="16" t="s">
        <v>19</v>
      </c>
      <c r="D903" s="20">
        <f>D852</f>
        <v>0.25230000000000002</v>
      </c>
      <c r="E903" s="20">
        <f t="shared" ref="E903:P903" si="55">E852</f>
        <v>0.23749999999999999</v>
      </c>
      <c r="F903" s="20">
        <f t="shared" si="55"/>
        <v>0.22670000000000001</v>
      </c>
      <c r="G903" s="20">
        <f t="shared" si="55"/>
        <v>0.2545</v>
      </c>
      <c r="H903" s="20">
        <f t="shared" si="55"/>
        <v>0.24990000000000001</v>
      </c>
      <c r="I903" s="20">
        <f t="shared" si="55"/>
        <v>0.23930000000000001</v>
      </c>
      <c r="J903" s="20">
        <f t="shared" si="55"/>
        <v>0.2341</v>
      </c>
      <c r="K903" s="20">
        <f t="shared" si="55"/>
        <v>0.23499999999999999</v>
      </c>
      <c r="L903" s="20">
        <f t="shared" si="55"/>
        <v>0.23369999999999999</v>
      </c>
      <c r="M903" s="20">
        <f t="shared" si="55"/>
        <v>0.22239999999999999</v>
      </c>
      <c r="N903" s="20">
        <f t="shared" si="55"/>
        <v>0.21240000000000001</v>
      </c>
      <c r="O903" s="20">
        <f t="shared" si="55"/>
        <v>0.20680000000000001</v>
      </c>
      <c r="P903" s="20">
        <f t="shared" si="55"/>
        <v>0</v>
      </c>
    </row>
    <row r="904" spans="1:16" ht="14.4" x14ac:dyDescent="0.3">
      <c r="A904" s="14" t="s">
        <v>26</v>
      </c>
      <c r="B904" s="14"/>
      <c r="C904" s="16"/>
      <c r="D904" s="22"/>
      <c r="E904" s="22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</row>
    <row r="905" spans="1:16" ht="14.4" x14ac:dyDescent="0.3">
      <c r="A905" s="18" t="s">
        <v>27</v>
      </c>
      <c r="B905" s="18"/>
      <c r="C905" s="16" t="s">
        <v>19</v>
      </c>
      <c r="D905" s="20">
        <f t="shared" ref="D905:P906" si="56">D854</f>
        <v>6.0900000000000003E-2</v>
      </c>
      <c r="E905" s="20">
        <f t="shared" si="56"/>
        <v>6.0900000000000003E-2</v>
      </c>
      <c r="F905" s="20">
        <f t="shared" si="56"/>
        <v>6.0900000000000003E-2</v>
      </c>
      <c r="G905" s="20">
        <f t="shared" si="56"/>
        <v>6.0900000000000003E-2</v>
      </c>
      <c r="H905" s="20">
        <f t="shared" si="56"/>
        <v>6.0900000000000003E-2</v>
      </c>
      <c r="I905" s="20">
        <f t="shared" si="56"/>
        <v>6.0900000000000003E-2</v>
      </c>
      <c r="J905" s="20">
        <f t="shared" si="56"/>
        <v>5.7799999999999997E-2</v>
      </c>
      <c r="K905" s="20">
        <f t="shared" si="56"/>
        <v>5.7799999999999997E-2</v>
      </c>
      <c r="L905" s="20">
        <f t="shared" si="56"/>
        <v>5.7799999999999997E-2</v>
      </c>
      <c r="M905" s="20">
        <f t="shared" si="56"/>
        <v>5.7799999999999997E-2</v>
      </c>
      <c r="N905" s="20">
        <f t="shared" si="56"/>
        <v>5.7799999999999997E-2</v>
      </c>
      <c r="O905" s="20">
        <f t="shared" si="56"/>
        <v>5.7799999999999997E-2</v>
      </c>
      <c r="P905" s="20">
        <f t="shared" si="56"/>
        <v>5.7799999999999997E-2</v>
      </c>
    </row>
    <row r="906" spans="1:16" ht="14.4" x14ac:dyDescent="0.3">
      <c r="A906" s="18" t="s">
        <v>28</v>
      </c>
      <c r="B906" s="18"/>
      <c r="C906" s="16" t="s">
        <v>23</v>
      </c>
      <c r="D906" s="23">
        <f t="shared" si="56"/>
        <v>217.08</v>
      </c>
      <c r="E906" s="23">
        <f t="shared" si="56"/>
        <v>217.08</v>
      </c>
      <c r="F906" s="23">
        <f t="shared" si="56"/>
        <v>217.08</v>
      </c>
      <c r="G906" s="23">
        <f t="shared" si="56"/>
        <v>217.08</v>
      </c>
      <c r="H906" s="23">
        <f t="shared" si="56"/>
        <v>217.08</v>
      </c>
      <c r="I906" s="23">
        <f t="shared" si="56"/>
        <v>217.08</v>
      </c>
      <c r="J906" s="23">
        <f t="shared" si="56"/>
        <v>205.83</v>
      </c>
      <c r="K906" s="23">
        <f t="shared" si="56"/>
        <v>205.83</v>
      </c>
      <c r="L906" s="23">
        <f t="shared" si="56"/>
        <v>205.83</v>
      </c>
      <c r="M906" s="23">
        <f t="shared" si="56"/>
        <v>205.83</v>
      </c>
      <c r="N906" s="23">
        <f t="shared" si="56"/>
        <v>205.83</v>
      </c>
      <c r="O906" s="23">
        <f t="shared" si="56"/>
        <v>205.83</v>
      </c>
      <c r="P906" s="23">
        <f t="shared" si="56"/>
        <v>205.83</v>
      </c>
    </row>
    <row r="907" spans="1:16" ht="14.4" x14ac:dyDescent="0.3">
      <c r="A907" s="14" t="s">
        <v>29</v>
      </c>
      <c r="B907" s="14"/>
      <c r="C907" s="16"/>
      <c r="D907" s="24"/>
      <c r="E907" s="24"/>
      <c r="F907" s="24"/>
      <c r="G907" s="24"/>
      <c r="H907" s="24"/>
      <c r="I907" s="24"/>
      <c r="J907" s="24"/>
      <c r="K907" s="24"/>
      <c r="L907" s="24"/>
      <c r="M907" s="24"/>
      <c r="N907" s="24"/>
      <c r="O907" s="24"/>
      <c r="P907" s="24"/>
    </row>
    <row r="908" spans="1:16" ht="14.4" x14ac:dyDescent="0.3">
      <c r="A908" s="18" t="s">
        <v>30</v>
      </c>
      <c r="B908" s="18"/>
      <c r="C908" s="16" t="s">
        <v>19</v>
      </c>
      <c r="D908" s="52" t="s">
        <v>61</v>
      </c>
      <c r="E908" s="52" t="s">
        <v>61</v>
      </c>
      <c r="F908" s="52" t="s">
        <v>61</v>
      </c>
      <c r="G908" s="52" t="s">
        <v>61</v>
      </c>
      <c r="H908" s="52" t="s">
        <v>61</v>
      </c>
      <c r="I908" s="52" t="s">
        <v>61</v>
      </c>
      <c r="J908" s="52" t="s">
        <v>61</v>
      </c>
      <c r="K908" s="52" t="s">
        <v>61</v>
      </c>
      <c r="L908" s="52" t="s">
        <v>61</v>
      </c>
      <c r="M908" s="52" t="s">
        <v>61</v>
      </c>
      <c r="N908" s="52" t="s">
        <v>61</v>
      </c>
      <c r="O908" s="52" t="s">
        <v>61</v>
      </c>
      <c r="P908" s="52" t="s">
        <v>61</v>
      </c>
    </row>
    <row r="909" spans="1:16" ht="14.4" x14ac:dyDescent="0.3">
      <c r="A909" s="18" t="s">
        <v>31</v>
      </c>
      <c r="B909" s="18"/>
      <c r="C909" s="16" t="s">
        <v>32</v>
      </c>
      <c r="D909" s="52" t="s">
        <v>62</v>
      </c>
      <c r="E909" s="52" t="s">
        <v>62</v>
      </c>
      <c r="F909" s="52" t="s">
        <v>62</v>
      </c>
      <c r="G909" s="52" t="s">
        <v>62</v>
      </c>
      <c r="H909" s="52" t="s">
        <v>62</v>
      </c>
      <c r="I909" s="52" t="s">
        <v>62</v>
      </c>
      <c r="J909" s="52" t="s">
        <v>62</v>
      </c>
      <c r="K909" s="52" t="s">
        <v>62</v>
      </c>
      <c r="L909" s="52" t="s">
        <v>62</v>
      </c>
      <c r="M909" s="52" t="s">
        <v>62</v>
      </c>
      <c r="N909" s="52" t="s">
        <v>62</v>
      </c>
      <c r="O909" s="52" t="s">
        <v>62</v>
      </c>
      <c r="P909" s="52" t="s">
        <v>62</v>
      </c>
    </row>
    <row r="910" spans="1:16" ht="14.4" x14ac:dyDescent="0.3">
      <c r="A910" s="14" t="s">
        <v>33</v>
      </c>
      <c r="B910" s="14"/>
      <c r="C910" s="16"/>
      <c r="D910" s="24"/>
      <c r="E910" s="24"/>
      <c r="F910" s="24"/>
      <c r="G910" s="24"/>
      <c r="H910" s="24"/>
      <c r="I910" s="24"/>
      <c r="J910" s="24"/>
      <c r="K910" s="24"/>
      <c r="L910" s="24"/>
      <c r="M910" s="24"/>
      <c r="N910" s="24"/>
      <c r="O910" s="24"/>
      <c r="P910" s="24"/>
    </row>
    <row r="911" spans="1:16" ht="14.4" x14ac:dyDescent="0.3">
      <c r="A911" s="18" t="s">
        <v>34</v>
      </c>
      <c r="B911" s="18"/>
      <c r="C911" s="16" t="s">
        <v>19</v>
      </c>
      <c r="D911" s="20">
        <v>0</v>
      </c>
      <c r="E911" s="20">
        <v>0</v>
      </c>
      <c r="F911" s="20">
        <v>0</v>
      </c>
      <c r="G911" s="20">
        <v>0</v>
      </c>
      <c r="H911" s="20">
        <v>0</v>
      </c>
      <c r="I911" s="20">
        <v>0</v>
      </c>
      <c r="J911" s="20">
        <v>0</v>
      </c>
      <c r="K911" s="20">
        <v>0</v>
      </c>
      <c r="L911" s="20">
        <v>0</v>
      </c>
      <c r="M911" s="20">
        <v>0</v>
      </c>
      <c r="N911" s="20">
        <v>0</v>
      </c>
      <c r="O911" s="20">
        <v>0</v>
      </c>
      <c r="P911" s="20">
        <v>0</v>
      </c>
    </row>
    <row r="912" spans="1:16" ht="14.4" x14ac:dyDescent="0.3">
      <c r="A912" s="18" t="s">
        <v>35</v>
      </c>
      <c r="B912" s="18"/>
      <c r="C912" s="16" t="s">
        <v>36</v>
      </c>
      <c r="D912" s="52" t="s">
        <v>63</v>
      </c>
      <c r="E912" s="52" t="s">
        <v>63</v>
      </c>
      <c r="F912" s="52" t="s">
        <v>63</v>
      </c>
      <c r="G912" s="52" t="s">
        <v>63</v>
      </c>
      <c r="H912" s="52" t="s">
        <v>63</v>
      </c>
      <c r="I912" s="52" t="s">
        <v>63</v>
      </c>
      <c r="J912" s="52" t="s">
        <v>63</v>
      </c>
      <c r="K912" s="52" t="s">
        <v>63</v>
      </c>
      <c r="L912" s="52" t="s">
        <v>63</v>
      </c>
      <c r="M912" s="52" t="s">
        <v>63</v>
      </c>
      <c r="N912" s="52" t="s">
        <v>63</v>
      </c>
      <c r="O912" s="52" t="s">
        <v>63</v>
      </c>
      <c r="P912" s="52" t="s">
        <v>63</v>
      </c>
    </row>
    <row r="913" spans="1:16" ht="14.4" x14ac:dyDescent="0.3">
      <c r="A913" s="14" t="s">
        <v>37</v>
      </c>
      <c r="B913" s="14"/>
      <c r="C913" s="16"/>
      <c r="D913" s="24"/>
      <c r="E913" s="24"/>
      <c r="F913" s="24"/>
      <c r="G913" s="24"/>
      <c r="H913" s="24"/>
      <c r="I913" s="24"/>
      <c r="J913" s="24"/>
      <c r="K913" s="24"/>
      <c r="L913" s="24"/>
      <c r="M913" s="24"/>
      <c r="N913" s="24"/>
      <c r="O913" s="24"/>
      <c r="P913" s="24"/>
    </row>
    <row r="914" spans="1:16" ht="14.4" x14ac:dyDescent="0.3">
      <c r="A914" s="25" t="s">
        <v>38</v>
      </c>
      <c r="B914" s="18"/>
      <c r="C914" s="16" t="s">
        <v>19</v>
      </c>
      <c r="D914" s="20">
        <f>D863</f>
        <v>0.1173</v>
      </c>
      <c r="E914" s="20">
        <f t="shared" ref="E914:P914" si="57">E863</f>
        <v>0.1527</v>
      </c>
      <c r="F914" s="20">
        <f t="shared" si="57"/>
        <v>0.15920000000000001</v>
      </c>
      <c r="G914" s="20">
        <f t="shared" si="57"/>
        <v>0.16189999999999999</v>
      </c>
      <c r="H914" s="20">
        <f t="shared" si="57"/>
        <v>0.11899999999999999</v>
      </c>
      <c r="I914" s="20">
        <f t="shared" si="57"/>
        <v>0.1066</v>
      </c>
      <c r="J914" s="20">
        <f t="shared" si="57"/>
        <v>8.9300000000000004E-2</v>
      </c>
      <c r="K914" s="20">
        <f t="shared" si="57"/>
        <v>0.1177</v>
      </c>
      <c r="L914" s="20">
        <f t="shared" si="57"/>
        <v>0.1222</v>
      </c>
      <c r="M914" s="20">
        <f t="shared" si="57"/>
        <v>0.1089</v>
      </c>
      <c r="N914" s="20">
        <f t="shared" si="57"/>
        <v>0.1176</v>
      </c>
      <c r="O914" s="20">
        <f t="shared" si="57"/>
        <v>0.1109</v>
      </c>
      <c r="P914" s="20">
        <f t="shared" si="57"/>
        <v>0</v>
      </c>
    </row>
    <row r="915" spans="1:16" ht="14.4" x14ac:dyDescent="0.3">
      <c r="A915" s="25" t="s">
        <v>39</v>
      </c>
      <c r="B915" s="18"/>
      <c r="C915" s="16" t="s">
        <v>19</v>
      </c>
      <c r="D915" s="20">
        <v>0</v>
      </c>
      <c r="E915" s="20">
        <v>0</v>
      </c>
      <c r="F915" s="20">
        <v>0</v>
      </c>
      <c r="G915" s="20">
        <v>0</v>
      </c>
      <c r="H915" s="20">
        <v>0</v>
      </c>
      <c r="I915" s="20">
        <v>0</v>
      </c>
      <c r="J915" s="20">
        <v>0</v>
      </c>
      <c r="K915" s="20">
        <v>0</v>
      </c>
      <c r="L915" s="20">
        <v>0</v>
      </c>
      <c r="M915" s="20">
        <v>0</v>
      </c>
      <c r="N915" s="20">
        <v>0</v>
      </c>
      <c r="O915" s="20">
        <v>0</v>
      </c>
      <c r="P915" s="20">
        <v>0</v>
      </c>
    </row>
    <row r="916" spans="1:16" ht="14.4" x14ac:dyDescent="0.3">
      <c r="A916" s="25" t="s">
        <v>180</v>
      </c>
      <c r="B916" s="18"/>
      <c r="C916" s="16" t="s">
        <v>19</v>
      </c>
      <c r="D916" s="20">
        <f>D865</f>
        <v>3.1399999999999997E-2</v>
      </c>
      <c r="E916" s="20">
        <f t="shared" ref="E916:P919" si="58">E865</f>
        <v>3.1399999999999997E-2</v>
      </c>
      <c r="F916" s="20">
        <f t="shared" si="58"/>
        <v>0</v>
      </c>
      <c r="G916" s="20">
        <f t="shared" si="58"/>
        <v>0</v>
      </c>
      <c r="H916" s="20">
        <f t="shared" si="58"/>
        <v>0</v>
      </c>
      <c r="I916" s="20">
        <f t="shared" si="58"/>
        <v>0</v>
      </c>
      <c r="J916" s="20">
        <f t="shared" si="58"/>
        <v>0</v>
      </c>
      <c r="K916" s="20">
        <f t="shared" si="58"/>
        <v>0</v>
      </c>
      <c r="L916" s="20">
        <f t="shared" si="58"/>
        <v>0</v>
      </c>
      <c r="M916" s="20">
        <f t="shared" si="58"/>
        <v>0</v>
      </c>
      <c r="N916" s="20">
        <f t="shared" si="58"/>
        <v>0</v>
      </c>
      <c r="O916" s="20">
        <f t="shared" si="58"/>
        <v>0</v>
      </c>
      <c r="P916" s="20">
        <f t="shared" si="58"/>
        <v>0</v>
      </c>
    </row>
    <row r="917" spans="1:16" ht="14.4" x14ac:dyDescent="0.3">
      <c r="A917" s="26" t="s">
        <v>40</v>
      </c>
      <c r="B917" s="18"/>
      <c r="C917" s="16" t="s">
        <v>19</v>
      </c>
      <c r="D917" s="20">
        <f>D866</f>
        <v>1E-4</v>
      </c>
      <c r="E917" s="20">
        <f t="shared" si="58"/>
        <v>1E-4</v>
      </c>
      <c r="F917" s="20">
        <f t="shared" si="58"/>
        <v>1E-4</v>
      </c>
      <c r="G917" s="20">
        <f t="shared" si="58"/>
        <v>1E-4</v>
      </c>
      <c r="H917" s="20">
        <f t="shared" si="58"/>
        <v>1E-4</v>
      </c>
      <c r="I917" s="20">
        <f t="shared" si="58"/>
        <v>0</v>
      </c>
      <c r="J917" s="20">
        <f t="shared" si="58"/>
        <v>1E-4</v>
      </c>
      <c r="K917" s="20">
        <f t="shared" si="58"/>
        <v>1E-4</v>
      </c>
      <c r="L917" s="20">
        <f t="shared" si="58"/>
        <v>1E-4</v>
      </c>
      <c r="M917" s="20">
        <f t="shared" si="58"/>
        <v>2.0000000000000001E-4</v>
      </c>
      <c r="N917" s="20">
        <f t="shared" si="58"/>
        <v>1E-4</v>
      </c>
      <c r="O917" s="20">
        <f t="shared" si="58"/>
        <v>1E-4</v>
      </c>
      <c r="P917" s="20">
        <f t="shared" si="58"/>
        <v>0</v>
      </c>
    </row>
    <row r="918" spans="1:16" ht="14.4" x14ac:dyDescent="0.3">
      <c r="A918" s="26" t="s">
        <v>41</v>
      </c>
      <c r="B918" s="18"/>
      <c r="C918" s="16" t="s">
        <v>19</v>
      </c>
      <c r="D918" s="20">
        <f>D867</f>
        <v>0</v>
      </c>
      <c r="E918" s="20">
        <f t="shared" si="58"/>
        <v>0</v>
      </c>
      <c r="F918" s="20">
        <f t="shared" si="58"/>
        <v>0</v>
      </c>
      <c r="G918" s="20">
        <f t="shared" si="58"/>
        <v>0</v>
      </c>
      <c r="H918" s="20">
        <f t="shared" si="58"/>
        <v>0</v>
      </c>
      <c r="I918" s="20">
        <f t="shared" si="58"/>
        <v>0</v>
      </c>
      <c r="J918" s="20">
        <f t="shared" si="58"/>
        <v>0</v>
      </c>
      <c r="K918" s="20">
        <f t="shared" si="58"/>
        <v>0</v>
      </c>
      <c r="L918" s="20">
        <f t="shared" si="58"/>
        <v>0</v>
      </c>
      <c r="M918" s="20">
        <f t="shared" si="58"/>
        <v>0</v>
      </c>
      <c r="N918" s="20">
        <f t="shared" si="58"/>
        <v>0</v>
      </c>
      <c r="O918" s="20">
        <f t="shared" si="58"/>
        <v>0</v>
      </c>
      <c r="P918" s="20">
        <f t="shared" si="58"/>
        <v>0</v>
      </c>
    </row>
    <row r="919" spans="1:16" ht="14.4" hidden="1" x14ac:dyDescent="0.3">
      <c r="A919" s="154" t="s">
        <v>181</v>
      </c>
      <c r="B919" s="155"/>
      <c r="C919" s="16" t="s">
        <v>19</v>
      </c>
      <c r="D919" s="20">
        <f>D868</f>
        <v>0</v>
      </c>
      <c r="E919" s="20">
        <f t="shared" si="58"/>
        <v>0</v>
      </c>
      <c r="F919" s="20">
        <f t="shared" si="58"/>
        <v>0</v>
      </c>
      <c r="G919" s="20">
        <f t="shared" si="58"/>
        <v>0</v>
      </c>
      <c r="H919" s="20">
        <f t="shared" si="58"/>
        <v>0</v>
      </c>
      <c r="I919" s="20">
        <f t="shared" si="58"/>
        <v>0</v>
      </c>
      <c r="J919" s="20">
        <f t="shared" si="58"/>
        <v>0</v>
      </c>
      <c r="K919" s="20">
        <f t="shared" si="58"/>
        <v>0</v>
      </c>
      <c r="L919" s="20">
        <f t="shared" si="58"/>
        <v>0</v>
      </c>
      <c r="M919" s="20">
        <f t="shared" si="58"/>
        <v>0</v>
      </c>
      <c r="N919" s="20">
        <f t="shared" si="58"/>
        <v>0</v>
      </c>
      <c r="O919" s="20">
        <f t="shared" si="58"/>
        <v>0</v>
      </c>
      <c r="P919" s="20">
        <f t="shared" si="58"/>
        <v>0</v>
      </c>
    </row>
    <row r="920" spans="1:16" ht="16.2" hidden="1" x14ac:dyDescent="0.3">
      <c r="A920" s="154" t="s">
        <v>182</v>
      </c>
      <c r="B920" s="155"/>
      <c r="C920" s="16" t="s">
        <v>19</v>
      </c>
      <c r="D920" s="20"/>
      <c r="E920" s="20"/>
      <c r="F920" s="20"/>
      <c r="G920" s="20"/>
      <c r="H920" s="20"/>
      <c r="I920" s="20"/>
      <c r="J920" s="20"/>
      <c r="K920" s="20"/>
      <c r="L920" s="20"/>
      <c r="M920" s="20"/>
      <c r="N920" s="20"/>
      <c r="O920" s="20"/>
      <c r="P920" s="20"/>
    </row>
    <row r="921" spans="1:16" ht="16.2" hidden="1" x14ac:dyDescent="0.3">
      <c r="A921" s="154" t="s">
        <v>182</v>
      </c>
      <c r="B921" s="156"/>
      <c r="C921" s="16" t="s">
        <v>19</v>
      </c>
      <c r="D921" s="20"/>
      <c r="E921" s="20"/>
      <c r="F921" s="20"/>
      <c r="G921" s="20"/>
      <c r="H921" s="20"/>
      <c r="I921" s="20"/>
      <c r="J921" s="20"/>
      <c r="K921" s="20"/>
      <c r="L921" s="20"/>
      <c r="M921" s="20"/>
      <c r="N921" s="20"/>
      <c r="O921" s="20"/>
      <c r="P921" s="20"/>
    </row>
    <row r="922" spans="1:16" ht="14.4" x14ac:dyDescent="0.3">
      <c r="A922" s="14" t="s">
        <v>42</v>
      </c>
      <c r="B922" s="14"/>
      <c r="C922" s="16"/>
      <c r="D922" s="24"/>
      <c r="E922" s="24"/>
      <c r="F922" s="24"/>
      <c r="G922" s="24"/>
      <c r="H922" s="24"/>
      <c r="I922" s="24"/>
      <c r="J922" s="24"/>
      <c r="K922" s="24"/>
      <c r="L922" s="24"/>
      <c r="M922" s="24"/>
      <c r="N922" s="24"/>
      <c r="O922" s="24"/>
      <c r="P922" s="24"/>
    </row>
    <row r="923" spans="1:16" ht="14.4" x14ac:dyDescent="0.3">
      <c r="A923" s="14" t="s">
        <v>43</v>
      </c>
      <c r="B923" s="14"/>
      <c r="C923" s="16" t="s">
        <v>44</v>
      </c>
      <c r="D923" s="27"/>
      <c r="E923" s="27"/>
      <c r="F923" s="27"/>
      <c r="G923" s="27"/>
      <c r="H923" s="27"/>
      <c r="I923" s="27"/>
      <c r="J923" s="27"/>
      <c r="K923" s="27"/>
      <c r="L923" s="27"/>
      <c r="M923" s="27"/>
      <c r="N923" s="27"/>
      <c r="O923" s="27"/>
      <c r="P923" s="27"/>
    </row>
    <row r="924" spans="1:16" ht="14.4" hidden="1" x14ac:dyDescent="0.3">
      <c r="A924" s="14" t="s">
        <v>183</v>
      </c>
      <c r="B924" s="14"/>
      <c r="C924" s="16"/>
      <c r="D924" s="28"/>
      <c r="E924" s="28"/>
      <c r="F924" s="28"/>
      <c r="G924" s="28"/>
      <c r="H924" s="28"/>
      <c r="I924" s="28"/>
      <c r="J924" s="28"/>
      <c r="K924" s="28"/>
      <c r="L924" s="28"/>
      <c r="M924" s="28"/>
      <c r="N924" s="28"/>
      <c r="O924" s="28"/>
      <c r="P924" s="28"/>
    </row>
    <row r="925" spans="1:16" ht="14.4" hidden="1" x14ac:dyDescent="0.3">
      <c r="A925" s="14" t="s">
        <v>184</v>
      </c>
      <c r="B925" s="14"/>
      <c r="C925" s="16" t="s">
        <v>19</v>
      </c>
      <c r="D925" s="20"/>
      <c r="E925" s="20"/>
      <c r="F925" s="20"/>
      <c r="G925" s="20"/>
      <c r="H925" s="20"/>
      <c r="I925" s="20"/>
      <c r="J925" s="20"/>
      <c r="K925" s="20"/>
      <c r="L925" s="20"/>
      <c r="M925" s="20"/>
      <c r="N925" s="20"/>
      <c r="O925" s="20"/>
      <c r="P925" s="20"/>
    </row>
    <row r="926" spans="1:16" ht="14.4" x14ac:dyDescent="0.3">
      <c r="A926" s="14" t="s">
        <v>45</v>
      </c>
      <c r="B926" s="14"/>
      <c r="C926" s="16"/>
      <c r="D926" s="28"/>
      <c r="E926" s="28"/>
      <c r="F926" s="28"/>
      <c r="G926" s="28"/>
      <c r="H926" s="28"/>
      <c r="I926" s="28"/>
      <c r="J926" s="28"/>
      <c r="K926" s="28"/>
      <c r="L926" s="28"/>
      <c r="M926" s="28"/>
      <c r="N926" s="28"/>
      <c r="O926" s="28"/>
      <c r="P926" s="28"/>
    </row>
    <row r="927" spans="1:16" ht="14.4" x14ac:dyDescent="0.3">
      <c r="A927" s="14" t="s">
        <v>46</v>
      </c>
      <c r="B927" s="14"/>
      <c r="C927" s="16" t="s">
        <v>19</v>
      </c>
      <c r="D927" s="20">
        <v>0</v>
      </c>
      <c r="E927" s="20">
        <v>0</v>
      </c>
      <c r="F927" s="20">
        <v>0</v>
      </c>
      <c r="G927" s="20">
        <v>0</v>
      </c>
      <c r="H927" s="20">
        <v>0</v>
      </c>
      <c r="I927" s="20">
        <v>0</v>
      </c>
      <c r="J927" s="20">
        <v>0</v>
      </c>
      <c r="K927" s="20">
        <v>0</v>
      </c>
      <c r="L927" s="20">
        <v>0</v>
      </c>
      <c r="M927" s="20">
        <v>0</v>
      </c>
      <c r="N927" s="20">
        <v>0</v>
      </c>
      <c r="O927" s="20">
        <v>0</v>
      </c>
      <c r="P927" s="20">
        <v>0</v>
      </c>
    </row>
    <row r="928" spans="1:16" ht="14.4" hidden="1" x14ac:dyDescent="0.3">
      <c r="A928" s="14" t="s">
        <v>185</v>
      </c>
      <c r="B928" s="14"/>
      <c r="C928" s="16"/>
      <c r="D928" s="28"/>
      <c r="E928" s="28"/>
      <c r="F928" s="28"/>
      <c r="G928" s="28"/>
      <c r="H928" s="28"/>
      <c r="I928" s="28"/>
      <c r="J928" s="28"/>
      <c r="K928" s="28"/>
      <c r="L928" s="28"/>
      <c r="M928" s="28"/>
      <c r="N928" s="28"/>
      <c r="O928" s="28"/>
      <c r="P928" s="28"/>
    </row>
    <row r="929" spans="1:16" ht="14.4" hidden="1" x14ac:dyDescent="0.3">
      <c r="A929" s="14" t="s">
        <v>186</v>
      </c>
      <c r="B929" s="14"/>
      <c r="C929" s="16" t="s">
        <v>19</v>
      </c>
      <c r="D929" s="20"/>
      <c r="E929" s="20"/>
      <c r="F929" s="20"/>
      <c r="G929" s="20"/>
      <c r="H929" s="20"/>
      <c r="I929" s="20"/>
      <c r="J929" s="20"/>
      <c r="K929" s="20"/>
      <c r="L929" s="20"/>
      <c r="M929" s="20"/>
      <c r="N929" s="20"/>
      <c r="O929" s="20"/>
      <c r="P929" s="20"/>
    </row>
    <row r="930" spans="1:16" ht="14.4" x14ac:dyDescent="0.3">
      <c r="A930" s="14" t="s">
        <v>47</v>
      </c>
      <c r="B930" s="14"/>
      <c r="C930" s="16"/>
      <c r="D930" s="24"/>
      <c r="E930" s="24"/>
      <c r="F930" s="24"/>
      <c r="G930" s="24"/>
      <c r="H930" s="24"/>
      <c r="I930" s="24"/>
      <c r="J930" s="24"/>
      <c r="K930" s="24"/>
      <c r="L930" s="24"/>
      <c r="M930" s="24"/>
      <c r="N930" s="24"/>
      <c r="O930" s="24"/>
      <c r="P930" s="24"/>
    </row>
    <row r="931" spans="1:16" ht="14.4" x14ac:dyDescent="0.3">
      <c r="A931" s="18" t="s">
        <v>48</v>
      </c>
      <c r="B931" s="18"/>
      <c r="C931" s="16" t="s">
        <v>19</v>
      </c>
      <c r="D931" s="20">
        <f>D880</f>
        <v>0.15609999999999999</v>
      </c>
      <c r="E931" s="20">
        <f>E880</f>
        <v>0.15609999999999999</v>
      </c>
      <c r="F931" s="20">
        <f t="shared" ref="F931:P932" si="59">F880</f>
        <v>0.11799999999999999</v>
      </c>
      <c r="G931" s="20">
        <f t="shared" si="59"/>
        <v>0.11799999999999999</v>
      </c>
      <c r="H931" s="20">
        <f t="shared" si="59"/>
        <v>0.11799999999999999</v>
      </c>
      <c r="I931" s="20">
        <f t="shared" si="59"/>
        <v>0.11799999999999999</v>
      </c>
      <c r="J931" s="20">
        <f t="shared" si="59"/>
        <v>0.11799999999999999</v>
      </c>
      <c r="K931" s="20">
        <f t="shared" si="59"/>
        <v>0.15609999999999999</v>
      </c>
      <c r="L931" s="20">
        <f t="shared" si="59"/>
        <v>0.15609999999999999</v>
      </c>
      <c r="M931" s="20">
        <f t="shared" si="59"/>
        <v>0.15609999999999999</v>
      </c>
      <c r="N931" s="20">
        <f t="shared" si="59"/>
        <v>0.15609999999999999</v>
      </c>
      <c r="O931" s="20">
        <f t="shared" si="59"/>
        <v>0.15609999999999999</v>
      </c>
      <c r="P931" s="20">
        <f t="shared" si="59"/>
        <v>0.15609999999999999</v>
      </c>
    </row>
    <row r="932" spans="1:16" ht="14.4" x14ac:dyDescent="0.3">
      <c r="A932" s="18" t="s">
        <v>49</v>
      </c>
      <c r="B932" s="18"/>
      <c r="C932" s="16" t="s">
        <v>19</v>
      </c>
      <c r="D932" s="20">
        <f>D881</f>
        <v>2.5000000000000001E-3</v>
      </c>
      <c r="E932" s="20">
        <f>E881</f>
        <v>2.5000000000000001E-3</v>
      </c>
      <c r="F932" s="20">
        <f t="shared" si="59"/>
        <v>2.5000000000000001E-3</v>
      </c>
      <c r="G932" s="20">
        <f t="shared" si="59"/>
        <v>2.5000000000000001E-3</v>
      </c>
      <c r="H932" s="20">
        <f t="shared" si="59"/>
        <v>2.5000000000000001E-3</v>
      </c>
      <c r="I932" s="20">
        <f t="shared" si="59"/>
        <v>2.5000000000000001E-3</v>
      </c>
      <c r="J932" s="20">
        <f t="shared" si="59"/>
        <v>2.5000000000000001E-3</v>
      </c>
      <c r="K932" s="20">
        <f t="shared" si="59"/>
        <v>2.5000000000000001E-3</v>
      </c>
      <c r="L932" s="20">
        <f t="shared" si="59"/>
        <v>2.5000000000000001E-3</v>
      </c>
      <c r="M932" s="20">
        <f t="shared" si="59"/>
        <v>2.5000000000000001E-3</v>
      </c>
      <c r="N932" s="20">
        <f t="shared" si="59"/>
        <v>2.5000000000000001E-3</v>
      </c>
      <c r="O932" s="20">
        <f t="shared" si="59"/>
        <v>2.5000000000000001E-3</v>
      </c>
      <c r="P932" s="20">
        <f t="shared" si="59"/>
        <v>2.5000000000000001E-3</v>
      </c>
    </row>
    <row r="933" spans="1:16" ht="14.4" x14ac:dyDescent="0.3">
      <c r="A933" s="18" t="s">
        <v>50</v>
      </c>
      <c r="B933" s="18"/>
      <c r="C933" s="16"/>
      <c r="D933" s="20">
        <v>0.1938</v>
      </c>
      <c r="E933" s="20">
        <v>0.1938</v>
      </c>
      <c r="F933" s="20">
        <v>0.1938</v>
      </c>
      <c r="G933" s="20">
        <v>0.1938</v>
      </c>
      <c r="H933" s="20">
        <v>0.1938</v>
      </c>
      <c r="I933" s="20">
        <v>0.1938</v>
      </c>
      <c r="J933" s="20">
        <v>0.1938</v>
      </c>
      <c r="K933" s="20">
        <v>0.1938</v>
      </c>
      <c r="L933" s="20">
        <v>0.1938</v>
      </c>
      <c r="M933" s="20">
        <v>0.1938</v>
      </c>
      <c r="N933" s="20">
        <v>0.1938</v>
      </c>
      <c r="O933" s="20">
        <v>0.1938</v>
      </c>
      <c r="P933" s="20">
        <v>0.1938</v>
      </c>
    </row>
    <row r="934" spans="1:16" ht="14.4" x14ac:dyDescent="0.3">
      <c r="A934" s="14" t="s">
        <v>52</v>
      </c>
      <c r="B934" s="14"/>
      <c r="C934" s="29"/>
      <c r="D934" s="22"/>
      <c r="E934" s="22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</row>
    <row r="935" spans="1:16" ht="14.4" x14ac:dyDescent="0.3">
      <c r="A935" s="18" t="s">
        <v>53</v>
      </c>
      <c r="B935" s="18"/>
      <c r="C935" s="16" t="s">
        <v>44</v>
      </c>
      <c r="D935" s="30">
        <f t="shared" ref="D935:O937" si="60">D884</f>
        <v>0.10970000000000001</v>
      </c>
      <c r="E935" s="30">
        <f t="shared" si="60"/>
        <v>0.1176</v>
      </c>
      <c r="F935" s="30">
        <f t="shared" si="60"/>
        <v>0.1169</v>
      </c>
      <c r="G935" s="30">
        <f t="shared" si="60"/>
        <v>0.1177</v>
      </c>
      <c r="H935" s="30">
        <f t="shared" si="60"/>
        <v>0.11890000000000001</v>
      </c>
      <c r="I935" s="30">
        <f t="shared" si="60"/>
        <v>0.1192</v>
      </c>
      <c r="J935" s="30">
        <f t="shared" si="60"/>
        <v>0.1179</v>
      </c>
      <c r="K935" s="30">
        <f t="shared" si="60"/>
        <v>0.11700000000000001</v>
      </c>
      <c r="L935" s="30">
        <f t="shared" si="60"/>
        <v>0.11650000000000001</v>
      </c>
      <c r="M935" s="30">
        <f t="shared" si="60"/>
        <v>0.1154</v>
      </c>
      <c r="N935" s="30">
        <f t="shared" si="60"/>
        <v>0.1129</v>
      </c>
      <c r="O935" s="30">
        <f t="shared" si="60"/>
        <v>0.115</v>
      </c>
      <c r="P935" s="30" t="e">
        <f>P884</f>
        <v>#DIV/0!</v>
      </c>
    </row>
    <row r="936" spans="1:16" ht="14.4" x14ac:dyDescent="0.3">
      <c r="A936" s="18" t="s">
        <v>54</v>
      </c>
      <c r="B936" s="18"/>
      <c r="C936" s="16" t="s">
        <v>44</v>
      </c>
      <c r="D936" s="30">
        <f t="shared" si="60"/>
        <v>6.0000000000000006E-4</v>
      </c>
      <c r="E936" s="30">
        <f t="shared" si="60"/>
        <v>3.2000000000000002E-3</v>
      </c>
      <c r="F936" s="30">
        <f t="shared" si="60"/>
        <v>3.5000000000000001E-3</v>
      </c>
      <c r="G936" s="30">
        <f t="shared" si="60"/>
        <v>1.3899999999999999E-2</v>
      </c>
      <c r="H936" s="30">
        <f t="shared" si="60"/>
        <v>2.5600000000000001E-2</v>
      </c>
      <c r="I936" s="30">
        <f t="shared" si="60"/>
        <v>2.8000000000000001E-2</v>
      </c>
      <c r="J936" s="30">
        <f t="shared" si="60"/>
        <v>3.73E-2</v>
      </c>
      <c r="K936" s="30">
        <f t="shared" si="60"/>
        <v>3.4099999999999998E-2</v>
      </c>
      <c r="L936" s="30">
        <f t="shared" si="60"/>
        <v>1.9699999999999999E-2</v>
      </c>
      <c r="M936" s="30">
        <f t="shared" si="60"/>
        <v>1.5299999999999999E-2</v>
      </c>
      <c r="N936" s="30">
        <f t="shared" si="60"/>
        <v>6.0000000000000001E-3</v>
      </c>
      <c r="O936" s="30">
        <f t="shared" si="60"/>
        <v>2.8999999999999998E-3</v>
      </c>
      <c r="P936" s="30" t="e">
        <f>P885</f>
        <v>#DIV/0!</v>
      </c>
    </row>
    <row r="937" spans="1:16" ht="14.4" x14ac:dyDescent="0.3">
      <c r="A937" s="18" t="s">
        <v>55</v>
      </c>
      <c r="B937" s="18"/>
      <c r="C937" s="16" t="s">
        <v>44</v>
      </c>
      <c r="D937" s="30">
        <f t="shared" si="60"/>
        <v>9.4299999999999995E-2</v>
      </c>
      <c r="E937" s="30">
        <f t="shared" si="60"/>
        <v>0.1008</v>
      </c>
      <c r="F937" s="30">
        <f t="shared" si="60"/>
        <v>9.9400000000000002E-2</v>
      </c>
      <c r="G937" s="30">
        <f t="shared" si="60"/>
        <v>0.10249999999999999</v>
      </c>
      <c r="H937" s="30">
        <f t="shared" si="60"/>
        <v>0.1066</v>
      </c>
      <c r="I937" s="30">
        <f t="shared" si="60"/>
        <v>0.10630000000000001</v>
      </c>
      <c r="J937" s="30">
        <f t="shared" si="60"/>
        <v>0.10589999999999999</v>
      </c>
      <c r="K937" s="30">
        <f t="shared" si="60"/>
        <v>0.10489999999999999</v>
      </c>
      <c r="L937" s="30">
        <f t="shared" si="60"/>
        <v>0.1022</v>
      </c>
      <c r="M937" s="30">
        <f t="shared" si="60"/>
        <v>0.1019</v>
      </c>
      <c r="N937" s="30">
        <f t="shared" si="60"/>
        <v>9.8799999999999999E-2</v>
      </c>
      <c r="O937" s="30">
        <f t="shared" si="60"/>
        <v>9.98E-2</v>
      </c>
      <c r="P937" s="30" t="e">
        <f>P886</f>
        <v>#DIV/0!</v>
      </c>
    </row>
    <row r="938" spans="1:16" ht="14.4" x14ac:dyDescent="0.3">
      <c r="A938" s="18" t="s">
        <v>187</v>
      </c>
      <c r="B938" s="18"/>
      <c r="C938" s="16" t="s">
        <v>44</v>
      </c>
      <c r="D938" s="27">
        <v>0</v>
      </c>
      <c r="E938" s="27">
        <v>0</v>
      </c>
      <c r="F938" s="27">
        <v>0</v>
      </c>
      <c r="G938" s="27">
        <v>0</v>
      </c>
      <c r="H938" s="27">
        <v>0</v>
      </c>
      <c r="I938" s="27">
        <v>0</v>
      </c>
      <c r="J938" s="27">
        <v>0</v>
      </c>
      <c r="K938" s="27">
        <v>0</v>
      </c>
      <c r="L938" s="27">
        <v>0</v>
      </c>
      <c r="M938" s="27">
        <v>0</v>
      </c>
      <c r="N938" s="27">
        <v>0</v>
      </c>
      <c r="O938" s="27">
        <v>0</v>
      </c>
      <c r="P938" s="27">
        <v>0</v>
      </c>
    </row>
    <row r="939" spans="1:16" ht="14.4" x14ac:dyDescent="0.3">
      <c r="A939" s="18" t="s">
        <v>188</v>
      </c>
      <c r="B939" s="18"/>
      <c r="C939" s="16" t="s">
        <v>44</v>
      </c>
      <c r="D939" s="30">
        <f t="shared" ref="D939:O941" si="61">D888</f>
        <v>9.8799999999999999E-2</v>
      </c>
      <c r="E939" s="30">
        <f t="shared" si="61"/>
        <v>9.8799999999999999E-2</v>
      </c>
      <c r="F939" s="30">
        <f t="shared" si="61"/>
        <v>0</v>
      </c>
      <c r="G939" s="30">
        <f t="shared" si="61"/>
        <v>0</v>
      </c>
      <c r="H939" s="30">
        <f t="shared" si="61"/>
        <v>0</v>
      </c>
      <c r="I939" s="30">
        <f t="shared" si="61"/>
        <v>0</v>
      </c>
      <c r="J939" s="30">
        <f t="shared" si="61"/>
        <v>0</v>
      </c>
      <c r="K939" s="30">
        <f t="shared" si="61"/>
        <v>0</v>
      </c>
      <c r="L939" s="30">
        <f t="shared" si="61"/>
        <v>0</v>
      </c>
      <c r="M939" s="30">
        <f t="shared" si="61"/>
        <v>0</v>
      </c>
      <c r="N939" s="30">
        <f t="shared" si="61"/>
        <v>0</v>
      </c>
      <c r="O939" s="30">
        <f t="shared" si="61"/>
        <v>0</v>
      </c>
      <c r="P939" s="30">
        <f>P888</f>
        <v>0</v>
      </c>
    </row>
    <row r="940" spans="1:16" ht="14.4" x14ac:dyDescent="0.3">
      <c r="A940" s="18" t="s">
        <v>56</v>
      </c>
      <c r="B940" s="18"/>
      <c r="C940" s="16" t="s">
        <v>44</v>
      </c>
      <c r="D940" s="30">
        <f t="shared" si="61"/>
        <v>0.12</v>
      </c>
      <c r="E940" s="30">
        <f t="shared" si="61"/>
        <v>0.12</v>
      </c>
      <c r="F940" s="30">
        <f t="shared" si="61"/>
        <v>0.12</v>
      </c>
      <c r="G940" s="30">
        <f t="shared" si="61"/>
        <v>0.12</v>
      </c>
      <c r="H940" s="30">
        <f t="shared" si="61"/>
        <v>0.12</v>
      </c>
      <c r="I940" s="30">
        <f t="shared" si="61"/>
        <v>0.12</v>
      </c>
      <c r="J940" s="30">
        <f t="shared" si="61"/>
        <v>0.12</v>
      </c>
      <c r="K940" s="30">
        <f t="shared" si="61"/>
        <v>0.12</v>
      </c>
      <c r="L940" s="30">
        <f t="shared" si="61"/>
        <v>0.12</v>
      </c>
      <c r="M940" s="30">
        <f t="shared" si="61"/>
        <v>0.12</v>
      </c>
      <c r="N940" s="30">
        <f t="shared" si="61"/>
        <v>0.12</v>
      </c>
      <c r="O940" s="30">
        <f t="shared" si="61"/>
        <v>0.12</v>
      </c>
      <c r="P940" s="30">
        <f>P889</f>
        <v>0.12</v>
      </c>
    </row>
    <row r="941" spans="1:16" ht="14.4" x14ac:dyDescent="0.3">
      <c r="A941" s="18" t="s">
        <v>57</v>
      </c>
      <c r="B941" s="18"/>
      <c r="C941" s="16" t="s">
        <v>44</v>
      </c>
      <c r="D941" s="30">
        <f t="shared" si="61"/>
        <v>0.12</v>
      </c>
      <c r="E941" s="30">
        <f t="shared" si="61"/>
        <v>0.12</v>
      </c>
      <c r="F941" s="30">
        <f t="shared" si="61"/>
        <v>0.12</v>
      </c>
      <c r="G941" s="30">
        <f t="shared" si="61"/>
        <v>0.12</v>
      </c>
      <c r="H941" s="30">
        <f t="shared" si="61"/>
        <v>0.12</v>
      </c>
      <c r="I941" s="30">
        <f t="shared" si="61"/>
        <v>0.12</v>
      </c>
      <c r="J941" s="30">
        <f t="shared" si="61"/>
        <v>0.12</v>
      </c>
      <c r="K941" s="30">
        <f t="shared" si="61"/>
        <v>0.12</v>
      </c>
      <c r="L941" s="30">
        <f t="shared" si="61"/>
        <v>0.12</v>
      </c>
      <c r="M941" s="30">
        <f t="shared" si="61"/>
        <v>0.12</v>
      </c>
      <c r="N941" s="30">
        <f t="shared" si="61"/>
        <v>0.12</v>
      </c>
      <c r="O941" s="30">
        <f t="shared" si="61"/>
        <v>0.12</v>
      </c>
      <c r="P941" s="30">
        <f>P890</f>
        <v>0.12</v>
      </c>
    </row>
    <row r="942" spans="1:16" s="5" customFormat="1" ht="14.4" x14ac:dyDescent="0.3">
      <c r="A942" s="55"/>
      <c r="B942" s="55"/>
      <c r="C942" s="56"/>
      <c r="D942" s="57"/>
      <c r="E942" s="57"/>
      <c r="F942" s="57"/>
      <c r="G942" s="57"/>
      <c r="H942" s="57"/>
      <c r="I942" s="57"/>
      <c r="J942" s="57"/>
      <c r="K942" s="57"/>
      <c r="L942" s="57"/>
      <c r="M942" s="57"/>
      <c r="N942" s="57"/>
      <c r="O942" s="57"/>
      <c r="P942" s="57"/>
    </row>
    <row r="943" spans="1:16" x14ac:dyDescent="0.3">
      <c r="A943" s="3" t="s">
        <v>58</v>
      </c>
    </row>
    <row r="944" spans="1:16" s="5" customFormat="1" ht="14.4" x14ac:dyDescent="0.3">
      <c r="A944" s="55"/>
      <c r="B944" s="55"/>
      <c r="C944" s="56"/>
      <c r="D944" s="57"/>
      <c r="E944" s="57"/>
      <c r="F944" s="57"/>
      <c r="G944" s="57"/>
      <c r="H944" s="57"/>
      <c r="I944" s="57"/>
      <c r="J944" s="57"/>
      <c r="K944" s="57"/>
      <c r="L944" s="57"/>
      <c r="M944" s="57"/>
      <c r="N944" s="57"/>
      <c r="O944" s="57"/>
      <c r="P944" s="57"/>
    </row>
    <row r="945" spans="1:16" ht="18" x14ac:dyDescent="0.35">
      <c r="A945" s="59" t="str">
        <f>'[42]Statistical data'!A241</f>
        <v>General Power-69/115kV</v>
      </c>
      <c r="B945" s="60"/>
      <c r="C945" s="5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</row>
    <row r="946" spans="1:16" s="13" customFormat="1" ht="14.4" x14ac:dyDescent="0.3">
      <c r="A946" s="11" t="s">
        <v>3</v>
      </c>
      <c r="B946" s="11"/>
      <c r="C946" s="11" t="s">
        <v>4</v>
      </c>
      <c r="D946" s="12" t="str">
        <f>D895</f>
        <v>JAN</v>
      </c>
      <c r="E946" s="12" t="str">
        <f t="shared" ref="E946:P946" si="62">E895</f>
        <v>FEB</v>
      </c>
      <c r="F946" s="12" t="str">
        <f t="shared" si="62"/>
        <v>MAR</v>
      </c>
      <c r="G946" s="12" t="str">
        <f t="shared" si="62"/>
        <v>APR</v>
      </c>
      <c r="H946" s="12" t="str">
        <f t="shared" si="62"/>
        <v>MAY</v>
      </c>
      <c r="I946" s="12" t="str">
        <f t="shared" si="62"/>
        <v>JUN</v>
      </c>
      <c r="J946" s="12" t="str">
        <f t="shared" si="62"/>
        <v>JUL</v>
      </c>
      <c r="K946" s="12" t="str">
        <f t="shared" si="62"/>
        <v>AUG</v>
      </c>
      <c r="L946" s="12" t="str">
        <f t="shared" si="62"/>
        <v>SEP</v>
      </c>
      <c r="M946" s="12" t="str">
        <f t="shared" si="62"/>
        <v>OCT</v>
      </c>
      <c r="N946" s="12" t="str">
        <f t="shared" si="62"/>
        <v>NOV</v>
      </c>
      <c r="O946" s="12" t="str">
        <f t="shared" si="62"/>
        <v>DEC</v>
      </c>
      <c r="P946" s="12" t="str">
        <f t="shared" si="62"/>
        <v>JAN</v>
      </c>
    </row>
    <row r="947" spans="1:16" ht="14.4" x14ac:dyDescent="0.3">
      <c r="A947" s="14" t="s">
        <v>17</v>
      </c>
      <c r="B947" s="15"/>
      <c r="C947" s="16"/>
      <c r="D947" s="17"/>
      <c r="E947" s="17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</row>
    <row r="948" spans="1:16" ht="14.4" x14ac:dyDescent="0.3">
      <c r="A948" s="18" t="s">
        <v>18</v>
      </c>
      <c r="B948" s="19"/>
      <c r="C948" s="16" t="s">
        <v>19</v>
      </c>
      <c r="D948" s="52" t="s">
        <v>59</v>
      </c>
      <c r="E948" s="52" t="s">
        <v>59</v>
      </c>
      <c r="F948" s="52" t="s">
        <v>59</v>
      </c>
      <c r="G948" s="52" t="s">
        <v>59</v>
      </c>
      <c r="H948" s="52" t="s">
        <v>59</v>
      </c>
      <c r="I948" s="52" t="s">
        <v>59</v>
      </c>
      <c r="J948" s="52" t="s">
        <v>59</v>
      </c>
      <c r="K948" s="52" t="s">
        <v>59</v>
      </c>
      <c r="L948" s="52" t="s">
        <v>59</v>
      </c>
      <c r="M948" s="52" t="s">
        <v>59</v>
      </c>
      <c r="N948" s="52" t="s">
        <v>59</v>
      </c>
      <c r="O948" s="52" t="s">
        <v>59</v>
      </c>
      <c r="P948" s="52" t="s">
        <v>59</v>
      </c>
    </row>
    <row r="949" spans="1:16" ht="14.4" x14ac:dyDescent="0.3">
      <c r="A949" s="18" t="s">
        <v>66</v>
      </c>
      <c r="B949" s="19"/>
      <c r="C949" s="16" t="s">
        <v>19</v>
      </c>
      <c r="D949" s="20">
        <v>0</v>
      </c>
      <c r="E949" s="20">
        <v>0</v>
      </c>
      <c r="F949" s="20">
        <v>0</v>
      </c>
      <c r="G949" s="20">
        <v>0</v>
      </c>
      <c r="H949" s="20">
        <v>0</v>
      </c>
      <c r="I949" s="20">
        <v>0</v>
      </c>
      <c r="J949" s="20">
        <v>0</v>
      </c>
      <c r="K949" s="20">
        <v>0</v>
      </c>
      <c r="L949" s="20">
        <v>0</v>
      </c>
      <c r="M949" s="20">
        <v>0</v>
      </c>
      <c r="N949" s="20">
        <v>0</v>
      </c>
      <c r="O949" s="20">
        <v>0</v>
      </c>
      <c r="P949" s="20">
        <v>0</v>
      </c>
    </row>
    <row r="950" spans="1:16" ht="14.4" x14ac:dyDescent="0.3">
      <c r="A950" s="14" t="s">
        <v>20</v>
      </c>
      <c r="B950" s="15"/>
      <c r="C950" s="16"/>
      <c r="D950" s="21"/>
      <c r="E950" s="21"/>
      <c r="F950" s="21"/>
      <c r="G950" s="21"/>
      <c r="H950" s="21"/>
      <c r="I950" s="21"/>
      <c r="J950" s="21"/>
      <c r="K950" s="21"/>
      <c r="L950" s="21"/>
      <c r="M950" s="21"/>
      <c r="N950" s="21"/>
      <c r="O950" s="21"/>
      <c r="P950" s="21"/>
    </row>
    <row r="951" spans="1:16" ht="14.4" x14ac:dyDescent="0.3">
      <c r="A951" s="18" t="s">
        <v>21</v>
      </c>
      <c r="B951" s="19"/>
      <c r="C951" s="16" t="s">
        <v>19</v>
      </c>
      <c r="D951" s="20">
        <v>0</v>
      </c>
      <c r="E951" s="20">
        <v>0</v>
      </c>
      <c r="F951" s="20">
        <v>0</v>
      </c>
      <c r="G951" s="20">
        <v>0</v>
      </c>
      <c r="H951" s="20">
        <v>0</v>
      </c>
      <c r="I951" s="20">
        <v>0</v>
      </c>
      <c r="J951" s="20">
        <v>0</v>
      </c>
      <c r="K951" s="20">
        <v>0</v>
      </c>
      <c r="L951" s="20">
        <v>0</v>
      </c>
      <c r="M951" s="20">
        <v>0</v>
      </c>
      <c r="N951" s="20">
        <v>0</v>
      </c>
      <c r="O951" s="20">
        <v>0</v>
      </c>
      <c r="P951" s="20">
        <v>0</v>
      </c>
    </row>
    <row r="952" spans="1:16" ht="14.4" x14ac:dyDescent="0.3">
      <c r="A952" s="18" t="s">
        <v>22</v>
      </c>
      <c r="B952" s="19"/>
      <c r="C952" s="16" t="s">
        <v>23</v>
      </c>
      <c r="D952" s="23">
        <f>[42]TR!D83</f>
        <v>288.2</v>
      </c>
      <c r="E952" s="23">
        <f>[42]TR!E83</f>
        <v>290.81</v>
      </c>
      <c r="F952" s="23">
        <f>[42]TR!F83</f>
        <v>310.58</v>
      </c>
      <c r="G952" s="23">
        <f>[42]TR!G83</f>
        <v>303.8</v>
      </c>
      <c r="H952" s="23">
        <f>[42]TR!H83</f>
        <v>282.64999999999998</v>
      </c>
      <c r="I952" s="23">
        <f>[42]TR!I83</f>
        <v>272.91000000000003</v>
      </c>
      <c r="J952" s="23">
        <f>[42]TR!J83</f>
        <v>325.27999999999997</v>
      </c>
      <c r="K952" s="23">
        <f>[42]TR!K83</f>
        <v>298.98</v>
      </c>
      <c r="L952" s="23">
        <f>[42]TR!L83</f>
        <v>285.60000000000002</v>
      </c>
      <c r="M952" s="23">
        <f>[42]TR!M83</f>
        <v>274.89999999999998</v>
      </c>
      <c r="N952" s="23">
        <f>[42]TR!N83</f>
        <v>233.83</v>
      </c>
      <c r="O952" s="23">
        <f>[42]TR!O83</f>
        <v>249.41</v>
      </c>
      <c r="P952" s="23">
        <f>[42]TR!P83</f>
        <v>0</v>
      </c>
    </row>
    <row r="953" spans="1:16" ht="14.4" x14ac:dyDescent="0.3">
      <c r="A953" s="14" t="s">
        <v>24</v>
      </c>
      <c r="B953" s="15"/>
      <c r="C953" s="16"/>
      <c r="D953" s="21"/>
      <c r="E953" s="21"/>
      <c r="F953" s="21"/>
      <c r="G953" s="21"/>
      <c r="H953" s="21"/>
      <c r="I953" s="21"/>
      <c r="J953" s="21"/>
      <c r="K953" s="21"/>
      <c r="L953" s="21"/>
      <c r="M953" s="21"/>
      <c r="N953" s="21"/>
      <c r="O953" s="21"/>
      <c r="P953" s="21"/>
    </row>
    <row r="954" spans="1:16" ht="14.4" x14ac:dyDescent="0.3">
      <c r="A954" s="18" t="s">
        <v>25</v>
      </c>
      <c r="B954" s="19"/>
      <c r="C954" s="16" t="s">
        <v>19</v>
      </c>
      <c r="D954" s="20">
        <f>[42]SLR!D121</f>
        <v>7.3999999999999996E-2</v>
      </c>
      <c r="E954" s="20">
        <f>[42]SLR!E121</f>
        <v>7.0000000000000007E-2</v>
      </c>
      <c r="F954" s="20">
        <f>[42]SLR!F121</f>
        <v>6.6900000000000001E-2</v>
      </c>
      <c r="G954" s="20">
        <f>[42]SLR!G121</f>
        <v>7.5399999999999995E-2</v>
      </c>
      <c r="H954" s="20">
        <f>[42]SLR!H121</f>
        <v>7.4200000000000002E-2</v>
      </c>
      <c r="I954" s="20">
        <f>[42]SLR!I121</f>
        <v>7.0800000000000002E-2</v>
      </c>
      <c r="J954" s="20">
        <f>[42]SLR!J121</f>
        <v>6.9099999999999995E-2</v>
      </c>
      <c r="K954" s="20">
        <f>[42]SLR!K121</f>
        <v>6.9199999999999998E-2</v>
      </c>
      <c r="L954" s="20">
        <f>[42]SLR!L121</f>
        <v>6.8699999999999997E-2</v>
      </c>
      <c r="M954" s="20">
        <f>[42]SLR!M121</f>
        <v>6.5699999999999995E-2</v>
      </c>
      <c r="N954" s="20">
        <f>[42]SLR!N121</f>
        <v>6.2700000000000006E-2</v>
      </c>
      <c r="O954" s="20">
        <f>[42]SLR!O121</f>
        <v>6.1199999999999997E-2</v>
      </c>
      <c r="P954" s="20">
        <f>[42]SLR!P121</f>
        <v>0</v>
      </c>
    </row>
    <row r="955" spans="1:16" ht="14.4" x14ac:dyDescent="0.3">
      <c r="A955" s="14" t="s">
        <v>26</v>
      </c>
      <c r="B955" s="14"/>
      <c r="C955" s="16"/>
      <c r="D955" s="22"/>
      <c r="E955" s="22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</row>
    <row r="956" spans="1:16" ht="14.4" x14ac:dyDescent="0.3">
      <c r="A956" s="18" t="s">
        <v>27</v>
      </c>
      <c r="B956" s="18"/>
      <c r="C956" s="16" t="s">
        <v>19</v>
      </c>
      <c r="D956" s="20">
        <f t="shared" ref="D956:P956" si="63">D905</f>
        <v>6.0900000000000003E-2</v>
      </c>
      <c r="E956" s="20">
        <f t="shared" si="63"/>
        <v>6.0900000000000003E-2</v>
      </c>
      <c r="F956" s="20">
        <f t="shared" si="63"/>
        <v>6.0900000000000003E-2</v>
      </c>
      <c r="G956" s="20">
        <f t="shared" si="63"/>
        <v>6.0900000000000003E-2</v>
      </c>
      <c r="H956" s="20">
        <f t="shared" si="63"/>
        <v>6.0900000000000003E-2</v>
      </c>
      <c r="I956" s="20">
        <f t="shared" si="63"/>
        <v>6.0900000000000003E-2</v>
      </c>
      <c r="J956" s="20">
        <f t="shared" si="63"/>
        <v>5.7799999999999997E-2</v>
      </c>
      <c r="K956" s="20">
        <f t="shared" si="63"/>
        <v>5.7799999999999997E-2</v>
      </c>
      <c r="L956" s="20">
        <f t="shared" si="63"/>
        <v>5.7799999999999997E-2</v>
      </c>
      <c r="M956" s="20">
        <f t="shared" si="63"/>
        <v>5.7799999999999997E-2</v>
      </c>
      <c r="N956" s="20">
        <f t="shared" si="63"/>
        <v>5.7799999999999997E-2</v>
      </c>
      <c r="O956" s="20">
        <f t="shared" si="63"/>
        <v>5.7799999999999997E-2</v>
      </c>
      <c r="P956" s="20">
        <f t="shared" si="63"/>
        <v>5.7799999999999997E-2</v>
      </c>
    </row>
    <row r="957" spans="1:16" ht="14.4" x14ac:dyDescent="0.3">
      <c r="A957" s="18" t="s">
        <v>28</v>
      </c>
      <c r="B957" s="18"/>
      <c r="C957" s="16" t="s">
        <v>23</v>
      </c>
      <c r="D957" s="23">
        <v>170.08</v>
      </c>
      <c r="E957" s="23">
        <v>170.08</v>
      </c>
      <c r="F957" s="23">
        <v>170.08</v>
      </c>
      <c r="G957" s="23">
        <v>170.08</v>
      </c>
      <c r="H957" s="23">
        <v>170.08</v>
      </c>
      <c r="I957" s="23">
        <v>170.08</v>
      </c>
      <c r="J957" s="23">
        <v>161.5</v>
      </c>
      <c r="K957" s="23">
        <v>161.5</v>
      </c>
      <c r="L957" s="23">
        <v>161.5</v>
      </c>
      <c r="M957" s="23">
        <v>161.5</v>
      </c>
      <c r="N957" s="23">
        <v>161.5</v>
      </c>
      <c r="O957" s="23">
        <v>161.5</v>
      </c>
      <c r="P957" s="23">
        <v>161.5</v>
      </c>
    </row>
    <row r="958" spans="1:16" ht="14.4" x14ac:dyDescent="0.3">
      <c r="A958" s="14" t="s">
        <v>29</v>
      </c>
      <c r="B958" s="14"/>
      <c r="C958" s="16"/>
      <c r="D958" s="24"/>
      <c r="E958" s="24"/>
      <c r="F958" s="24"/>
      <c r="G958" s="24"/>
      <c r="H958" s="24"/>
      <c r="I958" s="24"/>
      <c r="J958" s="24"/>
      <c r="K958" s="24"/>
      <c r="L958" s="24"/>
      <c r="M958" s="24"/>
      <c r="N958" s="24"/>
      <c r="O958" s="24"/>
      <c r="P958" s="24"/>
    </row>
    <row r="959" spans="1:16" ht="14.4" x14ac:dyDescent="0.3">
      <c r="A959" s="18" t="s">
        <v>30</v>
      </c>
      <c r="B959" s="18"/>
      <c r="C959" s="16" t="s">
        <v>19</v>
      </c>
      <c r="D959" s="52" t="s">
        <v>61</v>
      </c>
      <c r="E959" s="52" t="s">
        <v>61</v>
      </c>
      <c r="F959" s="52" t="s">
        <v>61</v>
      </c>
      <c r="G959" s="52" t="s">
        <v>61</v>
      </c>
      <c r="H959" s="52" t="s">
        <v>61</v>
      </c>
      <c r="I959" s="52" t="s">
        <v>61</v>
      </c>
      <c r="J959" s="52" t="s">
        <v>61</v>
      </c>
      <c r="K959" s="52" t="s">
        <v>61</v>
      </c>
      <c r="L959" s="52" t="s">
        <v>61</v>
      </c>
      <c r="M959" s="52" t="s">
        <v>61</v>
      </c>
      <c r="N959" s="52" t="s">
        <v>61</v>
      </c>
      <c r="O959" s="52" t="s">
        <v>61</v>
      </c>
      <c r="P959" s="52" t="s">
        <v>61</v>
      </c>
    </row>
    <row r="960" spans="1:16" ht="14.4" x14ac:dyDescent="0.3">
      <c r="A960" s="18" t="s">
        <v>31</v>
      </c>
      <c r="B960" s="18"/>
      <c r="C960" s="16" t="s">
        <v>32</v>
      </c>
      <c r="D960" s="52" t="s">
        <v>62</v>
      </c>
      <c r="E960" s="52" t="s">
        <v>62</v>
      </c>
      <c r="F960" s="52" t="s">
        <v>62</v>
      </c>
      <c r="G960" s="52" t="s">
        <v>62</v>
      </c>
      <c r="H960" s="52" t="s">
        <v>62</v>
      </c>
      <c r="I960" s="52" t="s">
        <v>62</v>
      </c>
      <c r="J960" s="52" t="s">
        <v>62</v>
      </c>
      <c r="K960" s="52" t="s">
        <v>62</v>
      </c>
      <c r="L960" s="52" t="s">
        <v>62</v>
      </c>
      <c r="M960" s="52" t="s">
        <v>62</v>
      </c>
      <c r="N960" s="52" t="s">
        <v>62</v>
      </c>
      <c r="O960" s="52" t="s">
        <v>62</v>
      </c>
      <c r="P960" s="52" t="s">
        <v>62</v>
      </c>
    </row>
    <row r="961" spans="1:16" ht="14.4" x14ac:dyDescent="0.3">
      <c r="A961" s="14" t="s">
        <v>33</v>
      </c>
      <c r="B961" s="14"/>
      <c r="C961" s="16"/>
      <c r="D961" s="24"/>
      <c r="E961" s="24"/>
      <c r="F961" s="24"/>
      <c r="G961" s="24"/>
      <c r="H961" s="24"/>
      <c r="I961" s="24"/>
      <c r="J961" s="24"/>
      <c r="K961" s="24"/>
      <c r="L961" s="24"/>
      <c r="M961" s="24"/>
      <c r="N961" s="24"/>
      <c r="O961" s="24"/>
      <c r="P961" s="24"/>
    </row>
    <row r="962" spans="1:16" ht="14.4" x14ac:dyDescent="0.3">
      <c r="A962" s="18" t="s">
        <v>34</v>
      </c>
      <c r="B962" s="18"/>
      <c r="C962" s="16" t="s">
        <v>19</v>
      </c>
      <c r="D962" s="20">
        <v>0</v>
      </c>
      <c r="E962" s="20">
        <v>0</v>
      </c>
      <c r="F962" s="20">
        <v>0</v>
      </c>
      <c r="G962" s="20">
        <v>0</v>
      </c>
      <c r="H962" s="20">
        <v>0</v>
      </c>
      <c r="I962" s="20">
        <v>0</v>
      </c>
      <c r="J962" s="20">
        <v>0</v>
      </c>
      <c r="K962" s="20">
        <v>0</v>
      </c>
      <c r="L962" s="20">
        <v>0</v>
      </c>
      <c r="M962" s="20">
        <v>0</v>
      </c>
      <c r="N962" s="20">
        <v>0</v>
      </c>
      <c r="O962" s="20">
        <v>0</v>
      </c>
      <c r="P962" s="20">
        <v>0</v>
      </c>
    </row>
    <row r="963" spans="1:16" ht="14.4" x14ac:dyDescent="0.3">
      <c r="A963" s="18" t="s">
        <v>35</v>
      </c>
      <c r="B963" s="18"/>
      <c r="C963" s="16" t="s">
        <v>36</v>
      </c>
      <c r="D963" s="52" t="s">
        <v>63</v>
      </c>
      <c r="E963" s="52" t="s">
        <v>63</v>
      </c>
      <c r="F963" s="52" t="s">
        <v>63</v>
      </c>
      <c r="G963" s="52" t="s">
        <v>63</v>
      </c>
      <c r="H963" s="52" t="s">
        <v>63</v>
      </c>
      <c r="I963" s="52" t="s">
        <v>63</v>
      </c>
      <c r="J963" s="52" t="s">
        <v>63</v>
      </c>
      <c r="K963" s="52" t="s">
        <v>63</v>
      </c>
      <c r="L963" s="52" t="s">
        <v>63</v>
      </c>
      <c r="M963" s="52" t="s">
        <v>63</v>
      </c>
      <c r="N963" s="52" t="s">
        <v>63</v>
      </c>
      <c r="O963" s="52" t="s">
        <v>63</v>
      </c>
      <c r="P963" s="52" t="s">
        <v>63</v>
      </c>
    </row>
    <row r="964" spans="1:16" ht="14.4" x14ac:dyDescent="0.3">
      <c r="A964" s="14" t="s">
        <v>37</v>
      </c>
      <c r="B964" s="14"/>
      <c r="C964" s="16"/>
      <c r="D964" s="24"/>
      <c r="E964" s="24"/>
      <c r="F964" s="24"/>
      <c r="G964" s="24"/>
      <c r="H964" s="24"/>
      <c r="I964" s="24"/>
      <c r="J964" s="24"/>
      <c r="K964" s="24"/>
      <c r="L964" s="24"/>
      <c r="M964" s="24"/>
      <c r="N964" s="24"/>
      <c r="O964" s="24"/>
      <c r="P964" s="24"/>
    </row>
    <row r="965" spans="1:16" ht="14.4" x14ac:dyDescent="0.3">
      <c r="A965" s="25" t="s">
        <v>38</v>
      </c>
      <c r="B965" s="18"/>
      <c r="C965" s="16" t="s">
        <v>19</v>
      </c>
      <c r="D965" s="20">
        <f>D914</f>
        <v>0.1173</v>
      </c>
      <c r="E965" s="20">
        <f t="shared" ref="E965:P965" si="64">E914</f>
        <v>0.1527</v>
      </c>
      <c r="F965" s="20">
        <f t="shared" si="64"/>
        <v>0.15920000000000001</v>
      </c>
      <c r="G965" s="20">
        <f t="shared" si="64"/>
        <v>0.16189999999999999</v>
      </c>
      <c r="H965" s="20">
        <f t="shared" si="64"/>
        <v>0.11899999999999999</v>
      </c>
      <c r="I965" s="20">
        <f t="shared" si="64"/>
        <v>0.1066</v>
      </c>
      <c r="J965" s="20">
        <f t="shared" si="64"/>
        <v>8.9300000000000004E-2</v>
      </c>
      <c r="K965" s="20">
        <f t="shared" si="64"/>
        <v>0.1177</v>
      </c>
      <c r="L965" s="20">
        <f t="shared" si="64"/>
        <v>0.1222</v>
      </c>
      <c r="M965" s="20">
        <f t="shared" si="64"/>
        <v>0.1089</v>
      </c>
      <c r="N965" s="20">
        <f t="shared" si="64"/>
        <v>0.1176</v>
      </c>
      <c r="O965" s="20">
        <f t="shared" si="64"/>
        <v>0.1109</v>
      </c>
      <c r="P965" s="20">
        <f t="shared" si="64"/>
        <v>0</v>
      </c>
    </row>
    <row r="966" spans="1:16" ht="14.4" x14ac:dyDescent="0.3">
      <c r="A966" s="25" t="s">
        <v>39</v>
      </c>
      <c r="B966" s="18"/>
      <c r="C966" s="16" t="s">
        <v>19</v>
      </c>
      <c r="D966" s="20">
        <v>0</v>
      </c>
      <c r="E966" s="20">
        <v>0</v>
      </c>
      <c r="F966" s="20">
        <v>0</v>
      </c>
      <c r="G966" s="20">
        <v>0</v>
      </c>
      <c r="H966" s="20">
        <v>0</v>
      </c>
      <c r="I966" s="20">
        <v>0</v>
      </c>
      <c r="J966" s="20">
        <v>0</v>
      </c>
      <c r="K966" s="20">
        <v>0</v>
      </c>
      <c r="L966" s="20">
        <v>0</v>
      </c>
      <c r="M966" s="20">
        <v>0</v>
      </c>
      <c r="N966" s="20">
        <v>0</v>
      </c>
      <c r="O966" s="20">
        <v>0</v>
      </c>
      <c r="P966" s="20">
        <v>0</v>
      </c>
    </row>
    <row r="967" spans="1:16" ht="14.4" x14ac:dyDescent="0.3">
      <c r="A967" s="25" t="s">
        <v>180</v>
      </c>
      <c r="B967" s="18"/>
      <c r="C967" s="16" t="s">
        <v>19</v>
      </c>
      <c r="D967" s="20">
        <f>D916</f>
        <v>3.1399999999999997E-2</v>
      </c>
      <c r="E967" s="20">
        <f t="shared" ref="E967:P970" si="65">E916</f>
        <v>3.1399999999999997E-2</v>
      </c>
      <c r="F967" s="20">
        <f t="shared" si="65"/>
        <v>0</v>
      </c>
      <c r="G967" s="20">
        <f t="shared" si="65"/>
        <v>0</v>
      </c>
      <c r="H967" s="20">
        <f t="shared" si="65"/>
        <v>0</v>
      </c>
      <c r="I967" s="20">
        <f t="shared" si="65"/>
        <v>0</v>
      </c>
      <c r="J967" s="20">
        <f t="shared" si="65"/>
        <v>0</v>
      </c>
      <c r="K967" s="20">
        <f t="shared" si="65"/>
        <v>0</v>
      </c>
      <c r="L967" s="20">
        <f t="shared" si="65"/>
        <v>0</v>
      </c>
      <c r="M967" s="20">
        <f t="shared" si="65"/>
        <v>0</v>
      </c>
      <c r="N967" s="20">
        <f t="shared" si="65"/>
        <v>0</v>
      </c>
      <c r="O967" s="20">
        <f t="shared" si="65"/>
        <v>0</v>
      </c>
      <c r="P967" s="20">
        <f t="shared" si="65"/>
        <v>0</v>
      </c>
    </row>
    <row r="968" spans="1:16" ht="14.4" x14ac:dyDescent="0.3">
      <c r="A968" s="26" t="s">
        <v>40</v>
      </c>
      <c r="B968" s="18"/>
      <c r="C968" s="16" t="s">
        <v>19</v>
      </c>
      <c r="D968" s="20">
        <f>D917</f>
        <v>1E-4</v>
      </c>
      <c r="E968" s="20">
        <f t="shared" si="65"/>
        <v>1E-4</v>
      </c>
      <c r="F968" s="20">
        <f t="shared" si="65"/>
        <v>1E-4</v>
      </c>
      <c r="G968" s="20">
        <f t="shared" si="65"/>
        <v>1E-4</v>
      </c>
      <c r="H968" s="20">
        <f t="shared" si="65"/>
        <v>1E-4</v>
      </c>
      <c r="I968" s="20">
        <f t="shared" si="65"/>
        <v>0</v>
      </c>
      <c r="J968" s="20">
        <f t="shared" si="65"/>
        <v>1E-4</v>
      </c>
      <c r="K968" s="20">
        <f t="shared" si="65"/>
        <v>1E-4</v>
      </c>
      <c r="L968" s="20">
        <f t="shared" si="65"/>
        <v>1E-4</v>
      </c>
      <c r="M968" s="20">
        <f t="shared" si="65"/>
        <v>2.0000000000000001E-4</v>
      </c>
      <c r="N968" s="20">
        <f t="shared" si="65"/>
        <v>1E-4</v>
      </c>
      <c r="O968" s="20">
        <f t="shared" si="65"/>
        <v>1E-4</v>
      </c>
      <c r="P968" s="20">
        <f t="shared" si="65"/>
        <v>0</v>
      </c>
    </row>
    <row r="969" spans="1:16" ht="14.4" x14ac:dyDescent="0.3">
      <c r="A969" s="26" t="s">
        <v>41</v>
      </c>
      <c r="B969" s="18"/>
      <c r="C969" s="16" t="s">
        <v>19</v>
      </c>
      <c r="D969" s="20">
        <f>D918</f>
        <v>0</v>
      </c>
      <c r="E969" s="20">
        <f t="shared" si="65"/>
        <v>0</v>
      </c>
      <c r="F969" s="20">
        <f t="shared" si="65"/>
        <v>0</v>
      </c>
      <c r="G969" s="20">
        <f t="shared" si="65"/>
        <v>0</v>
      </c>
      <c r="H969" s="20">
        <f t="shared" si="65"/>
        <v>0</v>
      </c>
      <c r="I969" s="20">
        <f t="shared" si="65"/>
        <v>0</v>
      </c>
      <c r="J969" s="20">
        <f t="shared" si="65"/>
        <v>0</v>
      </c>
      <c r="K969" s="20">
        <f t="shared" si="65"/>
        <v>0</v>
      </c>
      <c r="L969" s="20">
        <f t="shared" si="65"/>
        <v>0</v>
      </c>
      <c r="M969" s="20">
        <f t="shared" si="65"/>
        <v>0</v>
      </c>
      <c r="N969" s="20">
        <f t="shared" si="65"/>
        <v>0</v>
      </c>
      <c r="O969" s="20">
        <f t="shared" si="65"/>
        <v>0</v>
      </c>
      <c r="P969" s="20">
        <f t="shared" si="65"/>
        <v>0</v>
      </c>
    </row>
    <row r="970" spans="1:16" ht="14.4" hidden="1" x14ac:dyDescent="0.3">
      <c r="A970" s="154" t="s">
        <v>181</v>
      </c>
      <c r="B970" s="155"/>
      <c r="C970" s="16" t="s">
        <v>19</v>
      </c>
      <c r="D970" s="20">
        <f>D919</f>
        <v>0</v>
      </c>
      <c r="E970" s="20">
        <f t="shared" si="65"/>
        <v>0</v>
      </c>
      <c r="F970" s="20">
        <f t="shared" si="65"/>
        <v>0</v>
      </c>
      <c r="G970" s="20">
        <f t="shared" si="65"/>
        <v>0</v>
      </c>
      <c r="H970" s="20">
        <f t="shared" si="65"/>
        <v>0</v>
      </c>
      <c r="I970" s="20">
        <f t="shared" si="65"/>
        <v>0</v>
      </c>
      <c r="J970" s="20">
        <f t="shared" si="65"/>
        <v>0</v>
      </c>
      <c r="K970" s="20">
        <f t="shared" si="65"/>
        <v>0</v>
      </c>
      <c r="L970" s="20">
        <f t="shared" si="65"/>
        <v>0</v>
      </c>
      <c r="M970" s="20">
        <f t="shared" si="65"/>
        <v>0</v>
      </c>
      <c r="N970" s="20">
        <f t="shared" si="65"/>
        <v>0</v>
      </c>
      <c r="O970" s="20">
        <f t="shared" si="65"/>
        <v>0</v>
      </c>
      <c r="P970" s="20">
        <f t="shared" si="65"/>
        <v>0</v>
      </c>
    </row>
    <row r="971" spans="1:16" ht="16.2" hidden="1" x14ac:dyDescent="0.3">
      <c r="A971" s="154" t="s">
        <v>182</v>
      </c>
      <c r="B971" s="155"/>
      <c r="C971" s="16" t="s">
        <v>19</v>
      </c>
      <c r="D971" s="20"/>
      <c r="E971" s="20"/>
      <c r="F971" s="20"/>
      <c r="G971" s="20"/>
      <c r="H971" s="20"/>
      <c r="I971" s="20"/>
      <c r="J971" s="20"/>
      <c r="K971" s="20"/>
      <c r="L971" s="20"/>
      <c r="M971" s="20"/>
      <c r="N971" s="20"/>
      <c r="O971" s="20"/>
      <c r="P971" s="20"/>
    </row>
    <row r="972" spans="1:16" ht="16.2" hidden="1" x14ac:dyDescent="0.3">
      <c r="A972" s="154" t="s">
        <v>182</v>
      </c>
      <c r="B972" s="156"/>
      <c r="C972" s="16" t="s">
        <v>19</v>
      </c>
      <c r="D972" s="20"/>
      <c r="E972" s="20"/>
      <c r="F972" s="20"/>
      <c r="G972" s="20"/>
      <c r="H972" s="20"/>
      <c r="I972" s="20"/>
      <c r="J972" s="20"/>
      <c r="K972" s="20"/>
      <c r="L972" s="20"/>
      <c r="M972" s="20"/>
      <c r="N972" s="20"/>
      <c r="O972" s="20"/>
      <c r="P972" s="20"/>
    </row>
    <row r="973" spans="1:16" ht="14.4" x14ac:dyDescent="0.3">
      <c r="A973" s="14" t="s">
        <v>42</v>
      </c>
      <c r="B973" s="14"/>
      <c r="C973" s="16"/>
      <c r="D973" s="24"/>
      <c r="E973" s="24"/>
      <c r="F973" s="24"/>
      <c r="G973" s="24"/>
      <c r="H973" s="24"/>
      <c r="I973" s="24"/>
      <c r="J973" s="24"/>
      <c r="K973" s="24"/>
      <c r="L973" s="24"/>
      <c r="M973" s="24"/>
      <c r="N973" s="24"/>
      <c r="O973" s="24"/>
      <c r="P973" s="24"/>
    </row>
    <row r="974" spans="1:16" ht="14.4" x14ac:dyDescent="0.3">
      <c r="A974" s="14" t="s">
        <v>43</v>
      </c>
      <c r="B974" s="14"/>
      <c r="C974" s="16" t="s">
        <v>44</v>
      </c>
      <c r="D974" s="27"/>
      <c r="E974" s="27"/>
      <c r="F974" s="27"/>
      <c r="G974" s="27"/>
      <c r="H974" s="27"/>
      <c r="I974" s="27"/>
      <c r="J974" s="27"/>
      <c r="K974" s="27"/>
      <c r="L974" s="27"/>
      <c r="M974" s="27"/>
      <c r="N974" s="27"/>
      <c r="O974" s="27"/>
      <c r="P974" s="27"/>
    </row>
    <row r="975" spans="1:16" ht="14.4" hidden="1" x14ac:dyDescent="0.3">
      <c r="A975" s="14" t="s">
        <v>183</v>
      </c>
      <c r="B975" s="14"/>
      <c r="C975" s="16"/>
      <c r="D975" s="28"/>
      <c r="E975" s="28"/>
      <c r="F975" s="28"/>
      <c r="G975" s="28"/>
      <c r="H975" s="28"/>
      <c r="I975" s="28"/>
      <c r="J975" s="28"/>
      <c r="K975" s="28"/>
      <c r="L975" s="28"/>
      <c r="M975" s="28"/>
      <c r="N975" s="28"/>
      <c r="O975" s="28"/>
      <c r="P975" s="28"/>
    </row>
    <row r="976" spans="1:16" ht="14.4" hidden="1" x14ac:dyDescent="0.3">
      <c r="A976" s="14" t="s">
        <v>184</v>
      </c>
      <c r="B976" s="14"/>
      <c r="C976" s="16" t="s">
        <v>19</v>
      </c>
      <c r="D976" s="20"/>
      <c r="E976" s="20"/>
      <c r="F976" s="20"/>
      <c r="G976" s="20"/>
      <c r="H976" s="20"/>
      <c r="I976" s="20"/>
      <c r="J976" s="20"/>
      <c r="K976" s="20"/>
      <c r="L976" s="20"/>
      <c r="M976" s="20"/>
      <c r="N976" s="20"/>
      <c r="O976" s="20"/>
      <c r="P976" s="20"/>
    </row>
    <row r="977" spans="1:16" ht="14.4" x14ac:dyDescent="0.3">
      <c r="A977" s="14" t="s">
        <v>45</v>
      </c>
      <c r="B977" s="14"/>
      <c r="C977" s="16"/>
      <c r="D977" s="28"/>
      <c r="E977" s="28"/>
      <c r="F977" s="28"/>
      <c r="G977" s="28"/>
      <c r="H977" s="28"/>
      <c r="I977" s="28"/>
      <c r="J977" s="28"/>
      <c r="K977" s="28"/>
      <c r="L977" s="28"/>
      <c r="M977" s="28"/>
      <c r="N977" s="28"/>
      <c r="O977" s="28"/>
      <c r="P977" s="28"/>
    </row>
    <row r="978" spans="1:16" ht="14.4" x14ac:dyDescent="0.3">
      <c r="A978" s="14" t="s">
        <v>46</v>
      </c>
      <c r="B978" s="14"/>
      <c r="C978" s="16" t="s">
        <v>19</v>
      </c>
      <c r="D978" s="20">
        <v>0</v>
      </c>
      <c r="E978" s="20">
        <v>0</v>
      </c>
      <c r="F978" s="20">
        <v>0</v>
      </c>
      <c r="G978" s="20">
        <v>0</v>
      </c>
      <c r="H978" s="20">
        <v>0</v>
      </c>
      <c r="I978" s="20">
        <v>0</v>
      </c>
      <c r="J978" s="20">
        <v>0</v>
      </c>
      <c r="K978" s="20">
        <v>0</v>
      </c>
      <c r="L978" s="20">
        <v>0</v>
      </c>
      <c r="M978" s="20">
        <v>0</v>
      </c>
      <c r="N978" s="20">
        <v>0</v>
      </c>
      <c r="O978" s="20">
        <v>0</v>
      </c>
      <c r="P978" s="20">
        <v>0</v>
      </c>
    </row>
    <row r="979" spans="1:16" ht="14.4" hidden="1" x14ac:dyDescent="0.3">
      <c r="A979" s="14" t="s">
        <v>185</v>
      </c>
      <c r="B979" s="14"/>
      <c r="C979" s="16"/>
      <c r="D979" s="28"/>
      <c r="E979" s="28"/>
      <c r="F979" s="28"/>
      <c r="G979" s="28"/>
      <c r="H979" s="28"/>
      <c r="I979" s="28"/>
      <c r="J979" s="28"/>
      <c r="K979" s="28"/>
      <c r="L979" s="28"/>
      <c r="M979" s="28"/>
      <c r="N979" s="28"/>
      <c r="O979" s="28"/>
      <c r="P979" s="28"/>
    </row>
    <row r="980" spans="1:16" ht="14.4" hidden="1" x14ac:dyDescent="0.3">
      <c r="A980" s="14" t="s">
        <v>186</v>
      </c>
      <c r="B980" s="14"/>
      <c r="C980" s="16" t="s">
        <v>19</v>
      </c>
      <c r="D980" s="20"/>
      <c r="E980" s="20"/>
      <c r="F980" s="20"/>
      <c r="G980" s="20"/>
      <c r="H980" s="20"/>
      <c r="I980" s="20"/>
      <c r="J980" s="20"/>
      <c r="K980" s="20"/>
      <c r="L980" s="20"/>
      <c r="M980" s="20"/>
      <c r="N980" s="20"/>
      <c r="O980" s="20"/>
      <c r="P980" s="20"/>
    </row>
    <row r="981" spans="1:16" ht="14.4" x14ac:dyDescent="0.3">
      <c r="A981" s="14" t="s">
        <v>47</v>
      </c>
      <c r="B981" s="14"/>
      <c r="C981" s="16"/>
      <c r="D981" s="24"/>
      <c r="E981" s="24"/>
      <c r="F981" s="24"/>
      <c r="G981" s="24"/>
      <c r="H981" s="24"/>
      <c r="I981" s="24"/>
      <c r="J981" s="24"/>
      <c r="K981" s="24"/>
      <c r="L981" s="24"/>
      <c r="M981" s="24"/>
      <c r="N981" s="24"/>
      <c r="O981" s="24"/>
      <c r="P981" s="24"/>
    </row>
    <row r="982" spans="1:16" ht="14.4" x14ac:dyDescent="0.3">
      <c r="A982" s="18" t="s">
        <v>48</v>
      </c>
      <c r="B982" s="18"/>
      <c r="C982" s="16" t="s">
        <v>19</v>
      </c>
      <c r="D982" s="20">
        <f>D931</f>
        <v>0.15609999999999999</v>
      </c>
      <c r="E982" s="20">
        <f>E931</f>
        <v>0.15609999999999999</v>
      </c>
      <c r="F982" s="20">
        <f t="shared" ref="F982:P983" si="66">F931</f>
        <v>0.11799999999999999</v>
      </c>
      <c r="G982" s="20">
        <f t="shared" si="66"/>
        <v>0.11799999999999999</v>
      </c>
      <c r="H982" s="20">
        <f t="shared" si="66"/>
        <v>0.11799999999999999</v>
      </c>
      <c r="I982" s="20">
        <f t="shared" si="66"/>
        <v>0.11799999999999999</v>
      </c>
      <c r="J982" s="20">
        <f t="shared" si="66"/>
        <v>0.11799999999999999</v>
      </c>
      <c r="K982" s="20">
        <f t="shared" si="66"/>
        <v>0.15609999999999999</v>
      </c>
      <c r="L982" s="20">
        <f t="shared" si="66"/>
        <v>0.15609999999999999</v>
      </c>
      <c r="M982" s="20">
        <f t="shared" si="66"/>
        <v>0.15609999999999999</v>
      </c>
      <c r="N982" s="20">
        <f t="shared" si="66"/>
        <v>0.15609999999999999</v>
      </c>
      <c r="O982" s="20">
        <f t="shared" si="66"/>
        <v>0.15609999999999999</v>
      </c>
      <c r="P982" s="20">
        <f t="shared" si="66"/>
        <v>0.15609999999999999</v>
      </c>
    </row>
    <row r="983" spans="1:16" ht="14.4" x14ac:dyDescent="0.3">
      <c r="A983" s="18" t="s">
        <v>49</v>
      </c>
      <c r="B983" s="18"/>
      <c r="C983" s="16" t="s">
        <v>19</v>
      </c>
      <c r="D983" s="20">
        <f>D932</f>
        <v>2.5000000000000001E-3</v>
      </c>
      <c r="E983" s="20">
        <f>E932</f>
        <v>2.5000000000000001E-3</v>
      </c>
      <c r="F983" s="20">
        <f t="shared" si="66"/>
        <v>2.5000000000000001E-3</v>
      </c>
      <c r="G983" s="20">
        <f t="shared" si="66"/>
        <v>2.5000000000000001E-3</v>
      </c>
      <c r="H983" s="20">
        <f t="shared" si="66"/>
        <v>2.5000000000000001E-3</v>
      </c>
      <c r="I983" s="20">
        <f t="shared" si="66"/>
        <v>2.5000000000000001E-3</v>
      </c>
      <c r="J983" s="20">
        <f t="shared" si="66"/>
        <v>2.5000000000000001E-3</v>
      </c>
      <c r="K983" s="20">
        <f t="shared" si="66"/>
        <v>2.5000000000000001E-3</v>
      </c>
      <c r="L983" s="20">
        <f t="shared" si="66"/>
        <v>2.5000000000000001E-3</v>
      </c>
      <c r="M983" s="20">
        <f t="shared" si="66"/>
        <v>2.5000000000000001E-3</v>
      </c>
      <c r="N983" s="20">
        <f t="shared" si="66"/>
        <v>2.5000000000000001E-3</v>
      </c>
      <c r="O983" s="20">
        <f t="shared" si="66"/>
        <v>2.5000000000000001E-3</v>
      </c>
      <c r="P983" s="20">
        <f t="shared" si="66"/>
        <v>2.5000000000000001E-3</v>
      </c>
    </row>
    <row r="984" spans="1:16" ht="14.4" x14ac:dyDescent="0.3">
      <c r="A984" s="18" t="s">
        <v>50</v>
      </c>
      <c r="B984" s="18"/>
      <c r="C984" s="16"/>
      <c r="D984" s="20">
        <v>0.1938</v>
      </c>
      <c r="E984" s="20">
        <v>0.1938</v>
      </c>
      <c r="F984" s="20">
        <v>0.1938</v>
      </c>
      <c r="G984" s="20">
        <v>0.1938</v>
      </c>
      <c r="H984" s="20">
        <v>0.1938</v>
      </c>
      <c r="I984" s="20">
        <v>0.1938</v>
      </c>
      <c r="J984" s="20">
        <v>0.1938</v>
      </c>
      <c r="K984" s="20">
        <v>0.1938</v>
      </c>
      <c r="L984" s="20">
        <v>0.1938</v>
      </c>
      <c r="M984" s="20">
        <v>0.1938</v>
      </c>
      <c r="N984" s="20">
        <v>0.1938</v>
      </c>
      <c r="O984" s="20">
        <v>0.1938</v>
      </c>
      <c r="P984" s="20">
        <v>0.1938</v>
      </c>
    </row>
    <row r="985" spans="1:16" ht="14.4" x14ac:dyDescent="0.3">
      <c r="A985" s="14" t="s">
        <v>52</v>
      </c>
      <c r="B985" s="14"/>
      <c r="C985" s="29"/>
      <c r="D985" s="22"/>
      <c r="E985" s="22"/>
      <c r="F985" s="22"/>
      <c r="G985" s="22"/>
      <c r="H985" s="22"/>
      <c r="I985" s="22"/>
      <c r="J985" s="22"/>
      <c r="K985" s="22"/>
      <c r="L985" s="22"/>
      <c r="M985" s="22"/>
      <c r="N985" s="22"/>
      <c r="O985" s="22"/>
      <c r="P985" s="22"/>
    </row>
    <row r="986" spans="1:16" ht="14.4" x14ac:dyDescent="0.3">
      <c r="A986" s="18" t="s">
        <v>53</v>
      </c>
      <c r="B986" s="18"/>
      <c r="C986" s="16" t="s">
        <v>44</v>
      </c>
      <c r="D986" s="30">
        <f t="shared" ref="D986:O988" si="67">D935</f>
        <v>0.10970000000000001</v>
      </c>
      <c r="E986" s="30">
        <f t="shared" si="67"/>
        <v>0.1176</v>
      </c>
      <c r="F986" s="30">
        <f t="shared" si="67"/>
        <v>0.1169</v>
      </c>
      <c r="G986" s="30">
        <f t="shared" si="67"/>
        <v>0.1177</v>
      </c>
      <c r="H986" s="30">
        <f t="shared" si="67"/>
        <v>0.11890000000000001</v>
      </c>
      <c r="I986" s="30">
        <f t="shared" si="67"/>
        <v>0.1192</v>
      </c>
      <c r="J986" s="30">
        <f t="shared" si="67"/>
        <v>0.1179</v>
      </c>
      <c r="K986" s="30">
        <f t="shared" si="67"/>
        <v>0.11700000000000001</v>
      </c>
      <c r="L986" s="30">
        <f t="shared" si="67"/>
        <v>0.11650000000000001</v>
      </c>
      <c r="M986" s="30">
        <f t="shared" si="67"/>
        <v>0.1154</v>
      </c>
      <c r="N986" s="30">
        <f t="shared" si="67"/>
        <v>0.1129</v>
      </c>
      <c r="O986" s="30">
        <f t="shared" si="67"/>
        <v>0.115</v>
      </c>
      <c r="P986" s="30" t="e">
        <f>P935</f>
        <v>#DIV/0!</v>
      </c>
    </row>
    <row r="987" spans="1:16" ht="14.4" x14ac:dyDescent="0.3">
      <c r="A987" s="18" t="s">
        <v>54</v>
      </c>
      <c r="B987" s="18"/>
      <c r="C987" s="16" t="s">
        <v>44</v>
      </c>
      <c r="D987" s="30">
        <f t="shared" si="67"/>
        <v>6.0000000000000006E-4</v>
      </c>
      <c r="E987" s="30">
        <f t="shared" si="67"/>
        <v>3.2000000000000002E-3</v>
      </c>
      <c r="F987" s="30">
        <f t="shared" si="67"/>
        <v>3.5000000000000001E-3</v>
      </c>
      <c r="G987" s="30">
        <f t="shared" si="67"/>
        <v>1.3899999999999999E-2</v>
      </c>
      <c r="H987" s="30">
        <f t="shared" si="67"/>
        <v>2.5600000000000001E-2</v>
      </c>
      <c r="I987" s="30">
        <f t="shared" si="67"/>
        <v>2.8000000000000001E-2</v>
      </c>
      <c r="J987" s="30">
        <f t="shared" si="67"/>
        <v>3.73E-2</v>
      </c>
      <c r="K987" s="30">
        <f t="shared" si="67"/>
        <v>3.4099999999999998E-2</v>
      </c>
      <c r="L987" s="30">
        <f t="shared" si="67"/>
        <v>1.9699999999999999E-2</v>
      </c>
      <c r="M987" s="30">
        <f t="shared" si="67"/>
        <v>1.5299999999999999E-2</v>
      </c>
      <c r="N987" s="30">
        <f t="shared" si="67"/>
        <v>6.0000000000000001E-3</v>
      </c>
      <c r="O987" s="30">
        <f t="shared" si="67"/>
        <v>2.8999999999999998E-3</v>
      </c>
      <c r="P987" s="30" t="e">
        <f>P936</f>
        <v>#DIV/0!</v>
      </c>
    </row>
    <row r="988" spans="1:16" ht="14.4" x14ac:dyDescent="0.3">
      <c r="A988" s="18" t="s">
        <v>55</v>
      </c>
      <c r="B988" s="18"/>
      <c r="C988" s="16" t="s">
        <v>44</v>
      </c>
      <c r="D988" s="30">
        <f t="shared" si="67"/>
        <v>9.4299999999999995E-2</v>
      </c>
      <c r="E988" s="30">
        <f t="shared" si="67"/>
        <v>0.1008</v>
      </c>
      <c r="F988" s="30">
        <f t="shared" si="67"/>
        <v>9.9400000000000002E-2</v>
      </c>
      <c r="G988" s="30">
        <f t="shared" si="67"/>
        <v>0.10249999999999999</v>
      </c>
      <c r="H988" s="30">
        <f t="shared" si="67"/>
        <v>0.1066</v>
      </c>
      <c r="I988" s="30">
        <f t="shared" si="67"/>
        <v>0.10630000000000001</v>
      </c>
      <c r="J988" s="30">
        <f t="shared" si="67"/>
        <v>0.10589999999999999</v>
      </c>
      <c r="K988" s="30">
        <f t="shared" si="67"/>
        <v>0.10489999999999999</v>
      </c>
      <c r="L988" s="30">
        <f t="shared" si="67"/>
        <v>0.1022</v>
      </c>
      <c r="M988" s="30">
        <f t="shared" si="67"/>
        <v>0.1019</v>
      </c>
      <c r="N988" s="30">
        <f t="shared" si="67"/>
        <v>9.8799999999999999E-2</v>
      </c>
      <c r="O988" s="30">
        <f t="shared" si="67"/>
        <v>9.98E-2</v>
      </c>
      <c r="P988" s="30" t="e">
        <f>P937</f>
        <v>#DIV/0!</v>
      </c>
    </row>
    <row r="989" spans="1:16" ht="14.4" hidden="1" x14ac:dyDescent="0.3">
      <c r="A989" s="18" t="s">
        <v>187</v>
      </c>
      <c r="B989" s="18"/>
      <c r="C989" s="16" t="s">
        <v>44</v>
      </c>
      <c r="D989" s="27">
        <v>0</v>
      </c>
      <c r="E989" s="27">
        <v>0</v>
      </c>
      <c r="F989" s="27">
        <v>0</v>
      </c>
      <c r="G989" s="27">
        <v>0</v>
      </c>
      <c r="H989" s="27">
        <v>0</v>
      </c>
      <c r="I989" s="27">
        <v>0</v>
      </c>
      <c r="J989" s="27">
        <v>0</v>
      </c>
      <c r="K989" s="27">
        <v>0</v>
      </c>
      <c r="L989" s="27">
        <v>0</v>
      </c>
      <c r="M989" s="27">
        <v>0</v>
      </c>
      <c r="N989" s="27">
        <v>0</v>
      </c>
      <c r="O989" s="27">
        <v>0</v>
      </c>
      <c r="P989" s="27">
        <v>0</v>
      </c>
    </row>
    <row r="990" spans="1:16" ht="14.4" x14ac:dyDescent="0.3">
      <c r="A990" s="18" t="s">
        <v>188</v>
      </c>
      <c r="B990" s="18"/>
      <c r="C990" s="16" t="s">
        <v>44</v>
      </c>
      <c r="D990" s="30">
        <f t="shared" ref="D990:O992" si="68">D939</f>
        <v>9.8799999999999999E-2</v>
      </c>
      <c r="E990" s="30">
        <f t="shared" si="68"/>
        <v>9.8799999999999999E-2</v>
      </c>
      <c r="F990" s="30">
        <f t="shared" si="68"/>
        <v>0</v>
      </c>
      <c r="G990" s="30">
        <f t="shared" si="68"/>
        <v>0</v>
      </c>
      <c r="H990" s="30">
        <f t="shared" si="68"/>
        <v>0</v>
      </c>
      <c r="I990" s="30">
        <f t="shared" si="68"/>
        <v>0</v>
      </c>
      <c r="J990" s="30">
        <f t="shared" si="68"/>
        <v>0</v>
      </c>
      <c r="K990" s="30">
        <f t="shared" si="68"/>
        <v>0</v>
      </c>
      <c r="L990" s="30">
        <f t="shared" si="68"/>
        <v>0</v>
      </c>
      <c r="M990" s="30">
        <f t="shared" si="68"/>
        <v>0</v>
      </c>
      <c r="N990" s="30">
        <f t="shared" si="68"/>
        <v>0</v>
      </c>
      <c r="O990" s="30">
        <f t="shared" si="68"/>
        <v>0</v>
      </c>
      <c r="P990" s="30">
        <f>P939</f>
        <v>0</v>
      </c>
    </row>
    <row r="991" spans="1:16" ht="14.4" x14ac:dyDescent="0.3">
      <c r="A991" s="18" t="s">
        <v>56</v>
      </c>
      <c r="B991" s="18"/>
      <c r="C991" s="16" t="s">
        <v>44</v>
      </c>
      <c r="D991" s="30">
        <f t="shared" si="68"/>
        <v>0.12</v>
      </c>
      <c r="E991" s="30">
        <f t="shared" si="68"/>
        <v>0.12</v>
      </c>
      <c r="F991" s="30">
        <f t="shared" si="68"/>
        <v>0.12</v>
      </c>
      <c r="G991" s="30">
        <f t="shared" si="68"/>
        <v>0.12</v>
      </c>
      <c r="H991" s="30">
        <f t="shared" si="68"/>
        <v>0.12</v>
      </c>
      <c r="I991" s="30">
        <f t="shared" si="68"/>
        <v>0.12</v>
      </c>
      <c r="J991" s="30">
        <f t="shared" si="68"/>
        <v>0.12</v>
      </c>
      <c r="K991" s="30">
        <f t="shared" si="68"/>
        <v>0.12</v>
      </c>
      <c r="L991" s="30">
        <f t="shared" si="68"/>
        <v>0.12</v>
      </c>
      <c r="M991" s="30">
        <f t="shared" si="68"/>
        <v>0.12</v>
      </c>
      <c r="N991" s="30">
        <f t="shared" si="68"/>
        <v>0.12</v>
      </c>
      <c r="O991" s="30">
        <f t="shared" si="68"/>
        <v>0.12</v>
      </c>
      <c r="P991" s="30">
        <f>P940</f>
        <v>0.12</v>
      </c>
    </row>
    <row r="992" spans="1:16" ht="14.4" x14ac:dyDescent="0.3">
      <c r="A992" s="18" t="s">
        <v>57</v>
      </c>
      <c r="B992" s="18"/>
      <c r="C992" s="16" t="s">
        <v>44</v>
      </c>
      <c r="D992" s="30">
        <f t="shared" si="68"/>
        <v>0.12</v>
      </c>
      <c r="E992" s="30">
        <f t="shared" si="68"/>
        <v>0.12</v>
      </c>
      <c r="F992" s="30">
        <f t="shared" si="68"/>
        <v>0.12</v>
      </c>
      <c r="G992" s="30">
        <f t="shared" si="68"/>
        <v>0.12</v>
      </c>
      <c r="H992" s="30">
        <f t="shared" si="68"/>
        <v>0.12</v>
      </c>
      <c r="I992" s="30">
        <f t="shared" si="68"/>
        <v>0.12</v>
      </c>
      <c r="J992" s="30">
        <f t="shared" si="68"/>
        <v>0.12</v>
      </c>
      <c r="K992" s="30">
        <f t="shared" si="68"/>
        <v>0.12</v>
      </c>
      <c r="L992" s="30">
        <f t="shared" si="68"/>
        <v>0.12</v>
      </c>
      <c r="M992" s="30">
        <f t="shared" si="68"/>
        <v>0.12</v>
      </c>
      <c r="N992" s="30">
        <f t="shared" si="68"/>
        <v>0.12</v>
      </c>
      <c r="O992" s="30">
        <f t="shared" si="68"/>
        <v>0.12</v>
      </c>
      <c r="P992" s="30">
        <f>P941</f>
        <v>0.12</v>
      </c>
    </row>
    <row r="994" spans="1:18" hidden="1" x14ac:dyDescent="0.3"/>
    <row r="995" spans="1:18" hidden="1" x14ac:dyDescent="0.3"/>
    <row r="996" spans="1:18" x14ac:dyDescent="0.3">
      <c r="A996" s="3" t="s">
        <v>58</v>
      </c>
    </row>
    <row r="998" spans="1:18" s="13" customFormat="1" ht="14.4" x14ac:dyDescent="0.3">
      <c r="A998" s="11" t="s">
        <v>3</v>
      </c>
      <c r="B998" s="11"/>
      <c r="C998" s="11" t="s">
        <v>4</v>
      </c>
      <c r="D998" s="12" t="str">
        <f>D946</f>
        <v>JAN</v>
      </c>
      <c r="E998" s="12" t="str">
        <f t="shared" ref="E998:P998" si="69">E946</f>
        <v>FEB</v>
      </c>
      <c r="F998" s="12" t="str">
        <f t="shared" si="69"/>
        <v>MAR</v>
      </c>
      <c r="G998" s="12" t="str">
        <f t="shared" si="69"/>
        <v>APR</v>
      </c>
      <c r="H998" s="12" t="str">
        <f t="shared" si="69"/>
        <v>MAY</v>
      </c>
      <c r="I998" s="12" t="str">
        <f t="shared" si="69"/>
        <v>JUN</v>
      </c>
      <c r="J998" s="12" t="str">
        <f t="shared" si="69"/>
        <v>JUL</v>
      </c>
      <c r="K998" s="12" t="str">
        <f t="shared" si="69"/>
        <v>AUG</v>
      </c>
      <c r="L998" s="12" t="str">
        <f t="shared" si="69"/>
        <v>SEP</v>
      </c>
      <c r="M998" s="12" t="str">
        <f t="shared" si="69"/>
        <v>OCT</v>
      </c>
      <c r="N998" s="12" t="str">
        <f t="shared" si="69"/>
        <v>NOV</v>
      </c>
      <c r="O998" s="12" t="str">
        <f t="shared" si="69"/>
        <v>DEC</v>
      </c>
      <c r="P998" s="12" t="str">
        <f t="shared" si="69"/>
        <v>JAN</v>
      </c>
    </row>
    <row r="999" spans="1:18" ht="14.4" x14ac:dyDescent="0.3">
      <c r="A999" s="61" t="s">
        <v>67</v>
      </c>
      <c r="B999" s="62"/>
      <c r="C999" s="63"/>
      <c r="D999" s="62"/>
      <c r="E999" s="62"/>
      <c r="F999" s="62"/>
      <c r="G999" s="62"/>
      <c r="H999" s="62"/>
      <c r="I999" s="62"/>
      <c r="J999" s="62"/>
      <c r="K999" s="62"/>
      <c r="L999" s="62"/>
      <c r="M999" s="62"/>
      <c r="N999" s="62"/>
      <c r="O999" s="62"/>
      <c r="P999" s="62"/>
    </row>
    <row r="1000" spans="1:18" ht="14.4" x14ac:dyDescent="0.3">
      <c r="A1000" s="25" t="s">
        <v>68</v>
      </c>
      <c r="B1000" s="25"/>
      <c r="C1000" s="16" t="s">
        <v>19</v>
      </c>
      <c r="D1000" s="20">
        <f>[42]GR!D23</f>
        <v>5.6673</v>
      </c>
      <c r="E1000" s="20">
        <f>[42]GR!F23</f>
        <v>5.5358999999999998</v>
      </c>
      <c r="F1000" s="20">
        <f>[42]GR!G23</f>
        <v>5.2064000000000004</v>
      </c>
      <c r="G1000" s="20">
        <f>[42]GR!H23</f>
        <v>5.8994999999999997</v>
      </c>
      <c r="H1000" s="20">
        <f>[42]GR!I23</f>
        <v>5.9702999999999999</v>
      </c>
      <c r="I1000" s="20">
        <f>[42]GR!J23</f>
        <v>5.3105000000000002</v>
      </c>
      <c r="J1000" s="20">
        <f>[42]GR!K23</f>
        <v>5.4071999999999996</v>
      </c>
      <c r="K1000" s="20">
        <f>[42]GR!L23</f>
        <v>5.6352000000000002</v>
      </c>
      <c r="L1000" s="20">
        <f>[42]GR!M23</f>
        <v>5.1936999999999998</v>
      </c>
      <c r="M1000" s="20">
        <f>[42]GR!N23</f>
        <v>5.3522999999999996</v>
      </c>
      <c r="N1000" s="20">
        <f>[42]GR!O23</f>
        <v>5.1071999999999997</v>
      </c>
      <c r="O1000" s="20">
        <f>[42]GR!P23</f>
        <v>4.9371999999999998</v>
      </c>
      <c r="P1000" s="20" t="e">
        <f>[42]GR!Q23</f>
        <v>#DIV/0!</v>
      </c>
    </row>
    <row r="1001" spans="1:18" ht="14.4" x14ac:dyDescent="0.3">
      <c r="A1001" s="25" t="s">
        <v>192</v>
      </c>
      <c r="B1001" s="25"/>
      <c r="C1001" s="16"/>
      <c r="D1001" s="24"/>
      <c r="E1001" s="24"/>
      <c r="F1001" s="24"/>
      <c r="G1001" s="24"/>
      <c r="H1001" s="24"/>
      <c r="I1001" s="24"/>
      <c r="J1001" s="24"/>
      <c r="K1001" s="24"/>
      <c r="L1001" s="24"/>
      <c r="M1001" s="24"/>
      <c r="N1001" s="24"/>
      <c r="O1001" s="24"/>
      <c r="P1001" s="24"/>
    </row>
    <row r="1002" spans="1:18" ht="14.4" x14ac:dyDescent="0.3">
      <c r="A1002" s="25" t="s">
        <v>70</v>
      </c>
      <c r="B1002" s="25"/>
      <c r="C1002" s="16" t="s">
        <v>19</v>
      </c>
      <c r="D1002" s="20">
        <f>7.4854+0.0661</f>
        <v>7.5514999999999999</v>
      </c>
      <c r="E1002" s="20">
        <f>7.4854-0.1814</f>
        <v>7.3040000000000003</v>
      </c>
      <c r="F1002" s="20">
        <f>7.4854-0.502</f>
        <v>6.9834000000000005</v>
      </c>
      <c r="G1002" s="20">
        <f>7.4854+0.1915</f>
        <v>7.6768999999999998</v>
      </c>
      <c r="H1002" s="20">
        <f>7.4854+0.2645</f>
        <v>7.7499000000000002</v>
      </c>
      <c r="I1002" s="20">
        <f>7.4854-0.3937</f>
        <v>7.0917000000000003</v>
      </c>
      <c r="J1002" s="20">
        <f>7.2779-0.169</f>
        <v>7.1089000000000002</v>
      </c>
      <c r="K1002" s="20">
        <f>7.2779+0.0535</f>
        <v>7.3313999999999995</v>
      </c>
      <c r="L1002" s="20">
        <f>7.2779-0.3892</f>
        <v>6.8887</v>
      </c>
      <c r="M1002" s="20">
        <f>7.2779-0.2292</f>
        <v>7.0487000000000002</v>
      </c>
      <c r="N1002" s="20">
        <f>7.2779-0.4748</f>
        <v>6.8030999999999997</v>
      </c>
      <c r="O1002" s="20">
        <f>7.2779-0.6445</f>
        <v>6.6334</v>
      </c>
      <c r="P1002" s="20"/>
    </row>
    <row r="1003" spans="1:18" ht="14.4" x14ac:dyDescent="0.3">
      <c r="A1003" s="25" t="s">
        <v>71</v>
      </c>
      <c r="B1003" s="25"/>
      <c r="C1003" s="16" t="s">
        <v>19</v>
      </c>
      <c r="D1003" s="20">
        <f>3.5461+0.0661</f>
        <v>3.6122000000000001</v>
      </c>
      <c r="E1003" s="20">
        <f>3.5461-0.1814</f>
        <v>3.3647</v>
      </c>
      <c r="F1003" s="20">
        <f>3.5461-0.502</f>
        <v>3.0441000000000003</v>
      </c>
      <c r="G1003" s="20">
        <f>3.5461+0.1915</f>
        <v>3.7376</v>
      </c>
      <c r="H1003" s="20">
        <f>3.5461+0.2645</f>
        <v>3.8106</v>
      </c>
      <c r="I1003" s="20">
        <f>3.5461-0.3937</f>
        <v>3.1524000000000001</v>
      </c>
      <c r="J1003" s="20">
        <f>3.5461-0.169</f>
        <v>3.3771</v>
      </c>
      <c r="K1003" s="20">
        <f>3.5461+0.0535</f>
        <v>3.5996000000000001</v>
      </c>
      <c r="L1003" s="20">
        <f>3.5461-0.3892</f>
        <v>3.1569000000000003</v>
      </c>
      <c r="M1003" s="20">
        <f>3.5461-0.2292</f>
        <v>3.3169</v>
      </c>
      <c r="N1003" s="20">
        <f>3.5461-0.4748</f>
        <v>3.0712999999999999</v>
      </c>
      <c r="O1003" s="20">
        <f>3.5461-0.6445</f>
        <v>2.9016000000000002</v>
      </c>
      <c r="P1003" s="20"/>
    </row>
    <row r="1004" spans="1:18" x14ac:dyDescent="0.3">
      <c r="A1004" s="62"/>
      <c r="B1004" s="62"/>
      <c r="C1004" s="63"/>
      <c r="D1004" s="62"/>
      <c r="E1004" s="62"/>
      <c r="F1004" s="62"/>
      <c r="G1004" s="62"/>
      <c r="H1004" s="62"/>
      <c r="I1004" s="62"/>
      <c r="J1004" s="62"/>
      <c r="K1004" s="62"/>
      <c r="L1004" s="62"/>
      <c r="M1004" s="62"/>
      <c r="N1004" s="62"/>
      <c r="O1004" s="62"/>
      <c r="P1004" s="62"/>
    </row>
    <row r="1005" spans="1:18" ht="14.4" x14ac:dyDescent="0.3">
      <c r="A1005" s="64" t="s">
        <v>196</v>
      </c>
      <c r="B1005" s="64"/>
      <c r="C1005" s="65"/>
      <c r="D1005" s="66"/>
      <c r="E1005" s="66"/>
      <c r="F1005" s="66"/>
      <c r="G1005" s="66"/>
      <c r="H1005" s="66"/>
      <c r="I1005" s="66"/>
      <c r="J1005" s="66"/>
      <c r="K1005" s="66"/>
      <c r="L1005" s="66"/>
      <c r="M1005" s="66"/>
      <c r="N1005" s="66"/>
      <c r="O1005" s="66"/>
      <c r="P1005" s="66"/>
    </row>
    <row r="1006" spans="1:18" ht="14.4" x14ac:dyDescent="0.3">
      <c r="A1006" s="64" t="s">
        <v>197</v>
      </c>
      <c r="B1006" s="64"/>
      <c r="C1006" s="65" t="s">
        <v>19</v>
      </c>
      <c r="D1006" s="67">
        <v>5.3239999999999998</v>
      </c>
      <c r="E1006" s="67">
        <v>5.0624000000000002</v>
      </c>
      <c r="F1006" s="67">
        <v>4.6849999999999996</v>
      </c>
      <c r="G1006" s="67">
        <v>5.3394000000000004</v>
      </c>
      <c r="H1006" s="67">
        <v>5.4069000000000003</v>
      </c>
      <c r="I1006" s="67">
        <v>4.7465000000000002</v>
      </c>
      <c r="J1006" s="67">
        <v>4.8692000000000002</v>
      </c>
      <c r="K1006" s="67">
        <v>5.0956000000000001</v>
      </c>
      <c r="L1006" s="67">
        <v>4.6845999999999997</v>
      </c>
      <c r="M1006" s="67">
        <v>4.8448722105695303</v>
      </c>
      <c r="N1006" s="67">
        <v>4.6238999999999999</v>
      </c>
      <c r="O1006" s="67"/>
      <c r="P1006" s="67"/>
      <c r="Q1006" s="68"/>
      <c r="R1006" s="68"/>
    </row>
    <row r="1007" spans="1:18" ht="14.4" x14ac:dyDescent="0.3">
      <c r="A1007" s="64" t="s">
        <v>75</v>
      </c>
      <c r="B1007" s="64"/>
      <c r="C1007" s="65" t="s">
        <v>19</v>
      </c>
      <c r="D1007" s="67">
        <v>4.9199000000000002</v>
      </c>
      <c r="E1007" s="67">
        <v>5.5842000000000001</v>
      </c>
      <c r="F1007" s="67">
        <v>5.1322999999999999</v>
      </c>
      <c r="G1007" s="67">
        <v>5.7904</v>
      </c>
      <c r="H1007" s="67">
        <v>5.6928000000000001</v>
      </c>
      <c r="I1007" s="67">
        <v>5.0857000000000001</v>
      </c>
      <c r="J1007" s="67">
        <v>5.5880000000000001</v>
      </c>
      <c r="K1007" s="67">
        <v>5.4391999999999996</v>
      </c>
      <c r="L1007" s="67">
        <v>5.0487000000000002</v>
      </c>
      <c r="M1007" s="67">
        <v>5.157770242619117</v>
      </c>
      <c r="N1007" s="67">
        <v>4.9545000000000003</v>
      </c>
      <c r="O1007" s="67"/>
      <c r="P1007" s="67"/>
      <c r="Q1007" s="68"/>
      <c r="R1007" s="68"/>
    </row>
    <row r="1008" spans="1:18" ht="14.4" x14ac:dyDescent="0.3">
      <c r="A1008" s="64" t="s">
        <v>198</v>
      </c>
      <c r="B1008" s="64"/>
      <c r="C1008" s="65" t="s">
        <v>19</v>
      </c>
      <c r="D1008" s="67">
        <v>5.4561999999999999</v>
      </c>
      <c r="E1008" s="67">
        <v>5.2851999999999997</v>
      </c>
      <c r="F1008" s="67">
        <v>4.92</v>
      </c>
      <c r="G1008" s="67">
        <v>5.6123000000000003</v>
      </c>
      <c r="H1008" s="67">
        <v>5.7076000000000002</v>
      </c>
      <c r="I1008" s="67">
        <v>5.0572999999999997</v>
      </c>
      <c r="J1008" s="67">
        <v>5.141</v>
      </c>
      <c r="K1008" s="67">
        <v>5.3606999999999996</v>
      </c>
      <c r="L1008" s="67">
        <v>4.9352999999999998</v>
      </c>
      <c r="M1008" s="67">
        <v>5.084810276270785</v>
      </c>
      <c r="N1008" s="67">
        <v>4.8688000000000002</v>
      </c>
      <c r="O1008" s="67"/>
      <c r="P1008" s="67"/>
      <c r="Q1008" s="68"/>
      <c r="R1008" s="68"/>
    </row>
    <row r="1009" spans="1:18" ht="14.4" x14ac:dyDescent="0.3">
      <c r="A1009" s="64" t="s">
        <v>199</v>
      </c>
      <c r="B1009" s="64"/>
      <c r="C1009" s="65" t="s">
        <v>19</v>
      </c>
      <c r="D1009" s="67">
        <v>5.5888999999999998</v>
      </c>
      <c r="E1009" s="67">
        <v>5.3226000000000004</v>
      </c>
      <c r="F1009" s="67">
        <v>4.992</v>
      </c>
      <c r="G1009" s="67">
        <v>5.7012</v>
      </c>
      <c r="H1009" s="67">
        <v>5.7187000000000001</v>
      </c>
      <c r="I1009" s="67">
        <v>5.1139000000000001</v>
      </c>
      <c r="J1009" s="67">
        <v>5.1749999999999998</v>
      </c>
      <c r="K1009" s="67">
        <v>5.3653000000000004</v>
      </c>
      <c r="L1009" s="67">
        <v>4.9813000000000001</v>
      </c>
      <c r="M1009" s="67">
        <v>5.1526944025989154</v>
      </c>
      <c r="N1009" s="67">
        <v>4.8868</v>
      </c>
      <c r="O1009" s="67"/>
      <c r="P1009" s="67"/>
      <c r="Q1009" s="68"/>
      <c r="R1009" s="68"/>
    </row>
    <row r="1010" spans="1:18" ht="14.4" x14ac:dyDescent="0.3">
      <c r="A1010" s="64" t="s">
        <v>200</v>
      </c>
      <c r="B1010" s="64"/>
      <c r="C1010" s="65" t="s">
        <v>19</v>
      </c>
      <c r="D1010" s="67">
        <v>5.4427000000000003</v>
      </c>
      <c r="E1010" s="67">
        <v>5.1935000000000002</v>
      </c>
      <c r="F1010" s="67">
        <v>4.8857999999999997</v>
      </c>
      <c r="G1010" s="67">
        <v>5.6174999999999997</v>
      </c>
      <c r="H1010" s="67">
        <v>5.6321000000000003</v>
      </c>
      <c r="I1010" s="67">
        <v>5.0292000000000003</v>
      </c>
      <c r="J1010" s="67">
        <v>5.1146000000000003</v>
      </c>
      <c r="K1010" s="67">
        <v>5.3289</v>
      </c>
      <c r="L1010" s="67">
        <v>4.9494999999999996</v>
      </c>
      <c r="M1010" s="67">
        <v>5.0867972642965471</v>
      </c>
      <c r="N1010" s="67">
        <v>4.8289999999999997</v>
      </c>
      <c r="O1010" s="67"/>
      <c r="P1010" s="67"/>
      <c r="Q1010" s="68"/>
      <c r="R1010" s="68"/>
    </row>
    <row r="1011" spans="1:18" ht="14.4" x14ac:dyDescent="0.3">
      <c r="A1011" s="64" t="s">
        <v>201</v>
      </c>
      <c r="B1011" s="64"/>
      <c r="C1011" s="65" t="s">
        <v>19</v>
      </c>
      <c r="D1011" s="67">
        <v>5.5785</v>
      </c>
      <c r="E1011" s="67">
        <v>5.1387999999999998</v>
      </c>
      <c r="F1011" s="67">
        <v>4.9741</v>
      </c>
      <c r="G1011" s="67">
        <v>5.6616999999999997</v>
      </c>
      <c r="H1011" s="67">
        <v>5.6745999999999999</v>
      </c>
      <c r="I1011" s="67">
        <v>5.0186000000000002</v>
      </c>
      <c r="J1011" s="67">
        <v>5.1010999999999997</v>
      </c>
      <c r="K1011" s="67">
        <v>5.3933</v>
      </c>
      <c r="L1011" s="67">
        <v>4.9028</v>
      </c>
      <c r="M1011" s="67">
        <v>5.047196154173367</v>
      </c>
      <c r="N1011" s="67">
        <v>4.7727000000000004</v>
      </c>
      <c r="O1011" s="67"/>
      <c r="P1011" s="67"/>
      <c r="Q1011" s="68"/>
      <c r="R1011" s="68"/>
    </row>
    <row r="1012" spans="1:18" x14ac:dyDescent="0.3">
      <c r="A1012" s="62"/>
      <c r="B1012" s="62"/>
      <c r="C1012" s="63"/>
      <c r="D1012" s="62"/>
      <c r="E1012" s="62"/>
      <c r="F1012" s="62"/>
      <c r="G1012" s="62"/>
      <c r="H1012" s="62"/>
      <c r="I1012" s="62"/>
      <c r="J1012" s="62"/>
      <c r="K1012" s="62"/>
      <c r="L1012" s="62"/>
      <c r="M1012" s="62"/>
      <c r="N1012" s="62"/>
      <c r="O1012" s="62"/>
      <c r="P1012" s="62"/>
    </row>
    <row r="1013" spans="1:18" x14ac:dyDescent="0.3">
      <c r="A1013" s="33" t="s">
        <v>228</v>
      </c>
      <c r="B1013" s="62"/>
      <c r="C1013" s="63"/>
      <c r="D1013" s="62"/>
      <c r="E1013" s="62"/>
      <c r="F1013" s="62"/>
      <c r="G1013" s="62"/>
      <c r="H1013" s="62"/>
      <c r="I1013" s="62"/>
      <c r="J1013" s="62"/>
      <c r="K1013" s="62"/>
      <c r="L1013" s="62"/>
      <c r="M1013" s="62"/>
      <c r="N1013" s="62"/>
      <c r="O1013" s="62"/>
      <c r="P1013" s="62"/>
    </row>
    <row r="1014" spans="1:18" x14ac:dyDescent="0.3">
      <c r="A1014" s="62"/>
      <c r="B1014" s="62"/>
      <c r="C1014" s="63"/>
      <c r="D1014" s="62"/>
      <c r="E1014" s="62"/>
      <c r="F1014" s="62"/>
      <c r="G1014" s="62"/>
      <c r="H1014" s="62"/>
      <c r="I1014" s="62"/>
      <c r="J1014" s="62"/>
      <c r="K1014" s="62"/>
      <c r="L1014" s="62"/>
      <c r="M1014" s="62"/>
      <c r="N1014" s="62"/>
      <c r="O1014" s="62"/>
      <c r="P1014" s="62"/>
    </row>
    <row r="1015" spans="1:18" ht="14.4" x14ac:dyDescent="0.3">
      <c r="A1015" s="61" t="s">
        <v>82</v>
      </c>
      <c r="B1015" s="62"/>
      <c r="C1015" s="63"/>
      <c r="D1015" s="62"/>
      <c r="E1015" s="62"/>
      <c r="F1015" s="62"/>
      <c r="G1015" s="62"/>
      <c r="H1015" s="62"/>
      <c r="I1015" s="62"/>
      <c r="J1015" s="62"/>
      <c r="K1015" s="62"/>
      <c r="L1015" s="62"/>
      <c r="M1015" s="62"/>
      <c r="N1015" s="62"/>
      <c r="O1015" s="62"/>
      <c r="P1015" s="62"/>
    </row>
    <row r="1016" spans="1:18" ht="14.4" x14ac:dyDescent="0.3">
      <c r="A1016" s="25" t="s">
        <v>83</v>
      </c>
      <c r="B1016" s="25"/>
      <c r="C1016" s="16" t="s">
        <v>19</v>
      </c>
      <c r="D1016" s="20">
        <v>1.2224999999999999</v>
      </c>
      <c r="E1016" s="20">
        <v>1.2224999999999999</v>
      </c>
      <c r="F1016" s="20">
        <v>1.2224999999999999</v>
      </c>
      <c r="G1016" s="20">
        <v>1.2224999999999999</v>
      </c>
      <c r="H1016" s="20">
        <v>1.2224999999999999</v>
      </c>
      <c r="I1016" s="20">
        <v>1.2224999999999999</v>
      </c>
      <c r="J1016" s="20">
        <v>1.1282000000000001</v>
      </c>
      <c r="K1016" s="20">
        <v>1.1282000000000001</v>
      </c>
      <c r="L1016" s="20">
        <v>1.1282000000000001</v>
      </c>
      <c r="M1016" s="20">
        <v>1.1282000000000001</v>
      </c>
      <c r="N1016" s="20">
        <v>1.1282000000000001</v>
      </c>
      <c r="O1016" s="20">
        <v>1.1282000000000001</v>
      </c>
      <c r="P1016" s="20">
        <v>1.1282000000000001</v>
      </c>
    </row>
    <row r="1017" spans="1:18" ht="14.4" x14ac:dyDescent="0.3">
      <c r="A1017" s="25" t="s">
        <v>84</v>
      </c>
      <c r="B1017" s="25"/>
      <c r="C1017" s="16" t="s">
        <v>19</v>
      </c>
      <c r="D1017" s="20">
        <v>1.5798000000000001</v>
      </c>
      <c r="E1017" s="20">
        <v>1.5798000000000001</v>
      </c>
      <c r="F1017" s="20">
        <v>1.5798000000000001</v>
      </c>
      <c r="G1017" s="20">
        <v>1.5798000000000001</v>
      </c>
      <c r="H1017" s="20">
        <v>1.5798000000000001</v>
      </c>
      <c r="I1017" s="20">
        <v>1.5798000000000001</v>
      </c>
      <c r="J1017" s="20">
        <v>1.4855</v>
      </c>
      <c r="K1017" s="20">
        <v>1.4855</v>
      </c>
      <c r="L1017" s="20">
        <v>1.4855</v>
      </c>
      <c r="M1017" s="20">
        <v>1.4855</v>
      </c>
      <c r="N1017" s="20">
        <v>1.4855</v>
      </c>
      <c r="O1017" s="20">
        <v>1.4855</v>
      </c>
      <c r="P1017" s="20">
        <v>1.4855</v>
      </c>
    </row>
    <row r="1018" spans="1:18" ht="14.4" x14ac:dyDescent="0.3">
      <c r="A1018" s="25" t="s">
        <v>85</v>
      </c>
      <c r="B1018" s="25"/>
      <c r="C1018" s="16" t="s">
        <v>19</v>
      </c>
      <c r="D1018" s="20">
        <v>1.917</v>
      </c>
      <c r="E1018" s="20">
        <v>1.917</v>
      </c>
      <c r="F1018" s="20">
        <v>1.917</v>
      </c>
      <c r="G1018" s="20">
        <v>1.917</v>
      </c>
      <c r="H1018" s="20">
        <v>1.917</v>
      </c>
      <c r="I1018" s="20">
        <v>1.917</v>
      </c>
      <c r="J1018" s="20">
        <v>1.8227</v>
      </c>
      <c r="K1018" s="20">
        <v>1.8227</v>
      </c>
      <c r="L1018" s="20">
        <v>1.8227</v>
      </c>
      <c r="M1018" s="20">
        <v>1.8227</v>
      </c>
      <c r="N1018" s="20">
        <v>1.8227</v>
      </c>
      <c r="O1018" s="20">
        <v>1.8227</v>
      </c>
      <c r="P1018" s="20">
        <v>1.8227</v>
      </c>
    </row>
    <row r="1019" spans="1:18" ht="14.4" x14ac:dyDescent="0.3">
      <c r="A1019" s="25" t="s">
        <v>86</v>
      </c>
      <c r="B1019" s="25"/>
      <c r="C1019" s="16" t="s">
        <v>19</v>
      </c>
      <c r="D1019" s="20">
        <v>2.5043000000000002</v>
      </c>
      <c r="E1019" s="20">
        <v>2.5043000000000002</v>
      </c>
      <c r="F1019" s="20">
        <v>2.5043000000000002</v>
      </c>
      <c r="G1019" s="20">
        <v>2.5043000000000002</v>
      </c>
      <c r="H1019" s="20">
        <v>2.5043000000000002</v>
      </c>
      <c r="I1019" s="20">
        <v>2.5043000000000002</v>
      </c>
      <c r="J1019" s="20">
        <v>2.41</v>
      </c>
      <c r="K1019" s="20">
        <v>2.41</v>
      </c>
      <c r="L1019" s="20">
        <v>2.41</v>
      </c>
      <c r="M1019" s="20">
        <v>2.41</v>
      </c>
      <c r="N1019" s="20">
        <v>2.41</v>
      </c>
      <c r="O1019" s="20">
        <v>2.41</v>
      </c>
      <c r="P1019" s="20">
        <v>2.41</v>
      </c>
    </row>
    <row r="1020" spans="1:18" x14ac:dyDescent="0.3">
      <c r="A1020" s="62"/>
      <c r="B1020" s="62"/>
      <c r="C1020" s="63"/>
      <c r="D1020" s="62"/>
      <c r="E1020" s="62"/>
      <c r="F1020" s="62"/>
      <c r="G1020" s="62"/>
      <c r="H1020" s="62"/>
      <c r="I1020" s="62"/>
      <c r="J1020" s="62"/>
      <c r="K1020" s="62"/>
      <c r="L1020" s="62"/>
      <c r="M1020" s="62"/>
      <c r="N1020" s="62"/>
      <c r="O1020" s="62"/>
      <c r="P1020" s="62"/>
    </row>
    <row r="1021" spans="1:18" ht="14.4" x14ac:dyDescent="0.3">
      <c r="A1021" s="61" t="s">
        <v>202</v>
      </c>
      <c r="B1021" s="62"/>
      <c r="C1021" s="63"/>
      <c r="D1021" s="62"/>
      <c r="E1021" s="62"/>
      <c r="F1021" s="62"/>
      <c r="G1021" s="62"/>
      <c r="H1021" s="62"/>
      <c r="I1021" s="62"/>
      <c r="J1021" s="62"/>
      <c r="K1021" s="62"/>
      <c r="L1021" s="62"/>
      <c r="M1021" s="62"/>
      <c r="N1021" s="62"/>
      <c r="O1021" s="62"/>
      <c r="P1021" s="62"/>
    </row>
    <row r="1022" spans="1:18" ht="14.4" x14ac:dyDescent="0.3">
      <c r="A1022" s="25" t="s">
        <v>68</v>
      </c>
      <c r="B1022" s="25"/>
      <c r="C1022" s="16"/>
      <c r="D1022" s="24"/>
      <c r="E1022" s="24"/>
      <c r="F1022" s="24"/>
      <c r="G1022" s="24"/>
      <c r="H1022" s="24"/>
      <c r="I1022" s="24"/>
      <c r="J1022" s="24"/>
      <c r="K1022" s="24"/>
      <c r="L1022" s="24"/>
      <c r="M1022" s="24"/>
      <c r="N1022" s="24"/>
      <c r="O1022" s="24"/>
      <c r="P1022" s="24"/>
    </row>
    <row r="1023" spans="1:18" ht="14.4" x14ac:dyDescent="0.3">
      <c r="A1023" s="25" t="s">
        <v>88</v>
      </c>
      <c r="B1023" s="25"/>
      <c r="C1023" s="16" t="s">
        <v>19</v>
      </c>
      <c r="D1023" s="20">
        <v>0.60429999999999995</v>
      </c>
      <c r="E1023" s="20">
        <v>0.60429999999999995</v>
      </c>
      <c r="F1023" s="20">
        <v>0.60429999999999995</v>
      </c>
      <c r="G1023" s="20">
        <v>0.60429999999999995</v>
      </c>
      <c r="H1023" s="20">
        <v>0.60429999999999995</v>
      </c>
      <c r="I1023" s="20">
        <v>0.60429999999999995</v>
      </c>
      <c r="J1023" s="20">
        <v>0.57299999999999995</v>
      </c>
      <c r="K1023" s="20">
        <v>0.57299999999999995</v>
      </c>
      <c r="L1023" s="20">
        <v>0.57299999999999995</v>
      </c>
      <c r="M1023" s="20">
        <v>0.57299999999999995</v>
      </c>
      <c r="N1023" s="20">
        <v>0.57299999999999995</v>
      </c>
      <c r="O1023" s="20">
        <v>0.57299999999999995</v>
      </c>
      <c r="P1023" s="20">
        <v>0.57299999999999995</v>
      </c>
    </row>
    <row r="1024" spans="1:18" ht="14.4" x14ac:dyDescent="0.3">
      <c r="A1024" s="25" t="s">
        <v>203</v>
      </c>
      <c r="B1024" s="25"/>
      <c r="C1024" s="16" t="s">
        <v>19</v>
      </c>
      <c r="D1024" s="20">
        <v>0</v>
      </c>
      <c r="E1024" s="20">
        <v>0</v>
      </c>
      <c r="F1024" s="20">
        <v>0</v>
      </c>
      <c r="G1024" s="20">
        <v>0</v>
      </c>
      <c r="H1024" s="20">
        <v>0</v>
      </c>
      <c r="I1024" s="20">
        <v>0</v>
      </c>
      <c r="J1024" s="20">
        <v>0</v>
      </c>
      <c r="K1024" s="20">
        <v>0</v>
      </c>
      <c r="L1024" s="20">
        <v>0</v>
      </c>
      <c r="M1024" s="20">
        <v>0</v>
      </c>
      <c r="N1024" s="20">
        <v>0</v>
      </c>
      <c r="O1024" s="20">
        <v>0</v>
      </c>
      <c r="P1024" s="20">
        <v>0</v>
      </c>
    </row>
    <row r="1025" spans="1:16" ht="14.4" x14ac:dyDescent="0.3">
      <c r="A1025" s="25" t="s">
        <v>192</v>
      </c>
      <c r="B1025" s="25"/>
      <c r="C1025" s="16"/>
      <c r="D1025" s="24"/>
      <c r="E1025" s="24"/>
      <c r="F1025" s="24"/>
      <c r="G1025" s="24"/>
      <c r="H1025" s="24"/>
      <c r="I1025" s="24"/>
      <c r="J1025" s="24"/>
      <c r="K1025" s="24"/>
      <c r="L1025" s="24"/>
      <c r="M1025" s="24"/>
      <c r="N1025" s="24"/>
      <c r="O1025" s="24"/>
      <c r="P1025" s="24"/>
    </row>
    <row r="1026" spans="1:16" ht="14.4" x14ac:dyDescent="0.3">
      <c r="A1026" s="25" t="s">
        <v>88</v>
      </c>
      <c r="B1026" s="25"/>
      <c r="C1026" s="16" t="s">
        <v>19</v>
      </c>
      <c r="D1026" s="20">
        <f t="shared" ref="D1026:P1026" si="70">D1023+0.01</f>
        <v>0.61429999999999996</v>
      </c>
      <c r="E1026" s="20">
        <f t="shared" si="70"/>
        <v>0.61429999999999996</v>
      </c>
      <c r="F1026" s="20">
        <f t="shared" si="70"/>
        <v>0.61429999999999996</v>
      </c>
      <c r="G1026" s="20">
        <f t="shared" si="70"/>
        <v>0.61429999999999996</v>
      </c>
      <c r="H1026" s="20">
        <f t="shared" si="70"/>
        <v>0.61429999999999996</v>
      </c>
      <c r="I1026" s="20">
        <f t="shared" si="70"/>
        <v>0.61429999999999996</v>
      </c>
      <c r="J1026" s="20">
        <f t="shared" si="70"/>
        <v>0.58299999999999996</v>
      </c>
      <c r="K1026" s="20">
        <f t="shared" si="70"/>
        <v>0.58299999999999996</v>
      </c>
      <c r="L1026" s="20">
        <f t="shared" si="70"/>
        <v>0.58299999999999996</v>
      </c>
      <c r="M1026" s="20">
        <f t="shared" si="70"/>
        <v>0.58299999999999996</v>
      </c>
      <c r="N1026" s="20">
        <f t="shared" si="70"/>
        <v>0.58299999999999996</v>
      </c>
      <c r="O1026" s="20">
        <f t="shared" si="70"/>
        <v>0.58299999999999996</v>
      </c>
      <c r="P1026" s="20">
        <f t="shared" si="70"/>
        <v>0.58299999999999996</v>
      </c>
    </row>
    <row r="1027" spans="1:16" ht="14.4" x14ac:dyDescent="0.3">
      <c r="A1027" s="25" t="s">
        <v>203</v>
      </c>
      <c r="B1027" s="25"/>
      <c r="C1027" s="16" t="s">
        <v>19</v>
      </c>
      <c r="D1027" s="20">
        <f t="shared" ref="D1027:P1027" si="71">D1025+0.01</f>
        <v>0.01</v>
      </c>
      <c r="E1027" s="20">
        <f t="shared" si="71"/>
        <v>0.01</v>
      </c>
      <c r="F1027" s="20">
        <f t="shared" si="71"/>
        <v>0.01</v>
      </c>
      <c r="G1027" s="20">
        <f t="shared" si="71"/>
        <v>0.01</v>
      </c>
      <c r="H1027" s="20">
        <f t="shared" si="71"/>
        <v>0.01</v>
      </c>
      <c r="I1027" s="20">
        <f t="shared" si="71"/>
        <v>0.01</v>
      </c>
      <c r="J1027" s="20">
        <f t="shared" si="71"/>
        <v>0.01</v>
      </c>
      <c r="K1027" s="20">
        <f t="shared" si="71"/>
        <v>0.01</v>
      </c>
      <c r="L1027" s="20">
        <f t="shared" si="71"/>
        <v>0.01</v>
      </c>
      <c r="M1027" s="20">
        <f t="shared" si="71"/>
        <v>0.01</v>
      </c>
      <c r="N1027" s="20">
        <f t="shared" si="71"/>
        <v>0.01</v>
      </c>
      <c r="O1027" s="20">
        <f t="shared" si="71"/>
        <v>0.01</v>
      </c>
      <c r="P1027" s="20">
        <f t="shared" si="71"/>
        <v>0.01</v>
      </c>
    </row>
    <row r="1028" spans="1:16" x14ac:dyDescent="0.3">
      <c r="A1028" s="62"/>
      <c r="B1028" s="62"/>
      <c r="C1028" s="63"/>
      <c r="D1028" s="62"/>
      <c r="E1028" s="62"/>
      <c r="F1028" s="62"/>
      <c r="G1028" s="62"/>
      <c r="H1028" s="62"/>
      <c r="I1028" s="62"/>
      <c r="J1028" s="62"/>
      <c r="K1028" s="62"/>
      <c r="L1028" s="62"/>
      <c r="M1028" s="62"/>
      <c r="N1028" s="62"/>
      <c r="O1028" s="62"/>
      <c r="P1028" s="62"/>
    </row>
    <row r="1029" spans="1:16" ht="14.4" x14ac:dyDescent="0.3">
      <c r="A1029" s="61" t="s">
        <v>90</v>
      </c>
      <c r="B1029" s="62"/>
      <c r="C1029" s="63"/>
      <c r="D1029" s="62"/>
      <c r="E1029" s="62"/>
      <c r="F1029" s="62"/>
      <c r="G1029" s="62"/>
      <c r="H1029" s="62"/>
      <c r="I1029" s="62"/>
      <c r="J1029" s="62"/>
      <c r="K1029" s="62"/>
      <c r="L1029" s="62"/>
      <c r="M1029" s="62"/>
      <c r="N1029" s="62"/>
      <c r="O1029" s="62"/>
      <c r="P1029" s="62"/>
    </row>
    <row r="1030" spans="1:16" ht="14.4" x14ac:dyDescent="0.3">
      <c r="A1030" s="25" t="s">
        <v>68</v>
      </c>
      <c r="B1030" s="25"/>
      <c r="C1030" s="16"/>
      <c r="D1030" s="24"/>
      <c r="E1030" s="24"/>
      <c r="F1030" s="24"/>
      <c r="G1030" s="24"/>
      <c r="H1030" s="24"/>
      <c r="I1030" s="24"/>
      <c r="J1030" s="24"/>
      <c r="K1030" s="24"/>
      <c r="L1030" s="24"/>
      <c r="M1030" s="24"/>
      <c r="N1030" s="24"/>
      <c r="O1030" s="24"/>
      <c r="P1030" s="24"/>
    </row>
    <row r="1031" spans="1:16" ht="14.4" x14ac:dyDescent="0.3">
      <c r="A1031" s="25" t="s">
        <v>204</v>
      </c>
      <c r="B1031" s="25"/>
      <c r="C1031" s="16"/>
      <c r="D1031" s="69">
        <v>19.88</v>
      </c>
      <c r="E1031" s="69">
        <v>19.88</v>
      </c>
      <c r="F1031" s="69">
        <v>19.88</v>
      </c>
      <c r="G1031" s="69">
        <v>19.88</v>
      </c>
      <c r="H1031" s="69">
        <v>19.88</v>
      </c>
      <c r="I1031" s="69">
        <v>19.88</v>
      </c>
      <c r="J1031" s="69">
        <v>18.850000000000001</v>
      </c>
      <c r="K1031" s="69">
        <v>18.850000000000001</v>
      </c>
      <c r="L1031" s="69">
        <v>18.850000000000001</v>
      </c>
      <c r="M1031" s="69">
        <v>18.850000000000001</v>
      </c>
      <c r="N1031" s="69">
        <v>18.850000000000001</v>
      </c>
      <c r="O1031" s="69">
        <v>18.850000000000001</v>
      </c>
      <c r="P1031" s="69">
        <v>18.850000000000001</v>
      </c>
    </row>
    <row r="1032" spans="1:16" ht="14.4" x14ac:dyDescent="0.3">
      <c r="A1032" s="25" t="s">
        <v>205</v>
      </c>
      <c r="B1032" s="25"/>
      <c r="C1032" s="16" t="s">
        <v>32</v>
      </c>
      <c r="D1032" s="69">
        <v>441.49</v>
      </c>
      <c r="E1032" s="69">
        <v>441.49</v>
      </c>
      <c r="F1032" s="69">
        <v>441.49</v>
      </c>
      <c r="G1032" s="69">
        <v>441.49</v>
      </c>
      <c r="H1032" s="69">
        <v>441.49</v>
      </c>
      <c r="I1032" s="69">
        <v>441.49</v>
      </c>
      <c r="J1032" s="69">
        <v>418.61</v>
      </c>
      <c r="K1032" s="69">
        <v>418.61</v>
      </c>
      <c r="L1032" s="69">
        <v>418.61</v>
      </c>
      <c r="M1032" s="69">
        <v>418.61</v>
      </c>
      <c r="N1032" s="69">
        <v>418.61</v>
      </c>
      <c r="O1032" s="69">
        <v>418.61</v>
      </c>
      <c r="P1032" s="69">
        <v>418.61</v>
      </c>
    </row>
    <row r="1033" spans="1:16" ht="14.4" x14ac:dyDescent="0.3">
      <c r="A1033" s="25" t="s">
        <v>206</v>
      </c>
      <c r="B1033" s="25"/>
      <c r="C1033" s="16" t="s">
        <v>32</v>
      </c>
      <c r="D1033" s="69">
        <v>1004.45</v>
      </c>
      <c r="E1033" s="69">
        <v>1004.45</v>
      </c>
      <c r="F1033" s="69">
        <v>1004.45</v>
      </c>
      <c r="G1033" s="69">
        <v>1004.45</v>
      </c>
      <c r="H1033" s="69">
        <v>1004.45</v>
      </c>
      <c r="I1033" s="69">
        <v>1004.45</v>
      </c>
      <c r="J1033" s="69">
        <v>952.39</v>
      </c>
      <c r="K1033" s="69">
        <v>952.39</v>
      </c>
      <c r="L1033" s="69">
        <v>952.39</v>
      </c>
      <c r="M1033" s="69">
        <v>952.39</v>
      </c>
      <c r="N1033" s="69">
        <v>952.39</v>
      </c>
      <c r="O1033" s="69">
        <v>952.39</v>
      </c>
      <c r="P1033" s="69">
        <v>952.39</v>
      </c>
    </row>
    <row r="1034" spans="1:16" ht="14.4" x14ac:dyDescent="0.3">
      <c r="A1034" s="25" t="s">
        <v>207</v>
      </c>
      <c r="B1034" s="25"/>
      <c r="C1034" s="16" t="s">
        <v>32</v>
      </c>
      <c r="D1034" s="69">
        <v>4166.09</v>
      </c>
      <c r="E1034" s="69">
        <v>4166.09</v>
      </c>
      <c r="F1034" s="69">
        <v>4166.09</v>
      </c>
      <c r="G1034" s="69">
        <v>4166.09</v>
      </c>
      <c r="H1034" s="69">
        <v>4166.09</v>
      </c>
      <c r="I1034" s="69">
        <v>4166.09</v>
      </c>
      <c r="J1034" s="69">
        <v>3950.15</v>
      </c>
      <c r="K1034" s="69">
        <v>3950.15</v>
      </c>
      <c r="L1034" s="69">
        <v>3950.15</v>
      </c>
      <c r="M1034" s="69">
        <v>3950.15</v>
      </c>
      <c r="N1034" s="69">
        <v>3950.15</v>
      </c>
      <c r="O1034" s="69">
        <v>3950.15</v>
      </c>
      <c r="P1034" s="69">
        <v>3950.15</v>
      </c>
    </row>
    <row r="1035" spans="1:16" ht="14.4" x14ac:dyDescent="0.3">
      <c r="A1035" s="25" t="s">
        <v>208</v>
      </c>
      <c r="B1035" s="25"/>
      <c r="C1035" s="16" t="s">
        <v>32</v>
      </c>
      <c r="D1035" s="69">
        <v>15124.68</v>
      </c>
      <c r="E1035" s="69">
        <v>15124.68</v>
      </c>
      <c r="F1035" s="69">
        <v>15124.68</v>
      </c>
      <c r="G1035" s="69">
        <v>15124.68</v>
      </c>
      <c r="H1035" s="69">
        <v>15124.68</v>
      </c>
      <c r="I1035" s="69">
        <v>15124.68</v>
      </c>
      <c r="J1035" s="69">
        <v>14340.72</v>
      </c>
      <c r="K1035" s="69">
        <v>14340.72</v>
      </c>
      <c r="L1035" s="69">
        <v>14340.72</v>
      </c>
      <c r="M1035" s="69">
        <v>14340.72</v>
      </c>
      <c r="N1035" s="69">
        <v>14340.72</v>
      </c>
      <c r="O1035" s="69">
        <v>14340.72</v>
      </c>
      <c r="P1035" s="69">
        <v>14340.72</v>
      </c>
    </row>
    <row r="1036" spans="1:16" ht="14.4" x14ac:dyDescent="0.3">
      <c r="A1036" s="25" t="s">
        <v>209</v>
      </c>
      <c r="B1036" s="25"/>
      <c r="C1036" s="16"/>
      <c r="D1036" s="24"/>
      <c r="E1036" s="24"/>
      <c r="F1036" s="24"/>
      <c r="G1036" s="24"/>
      <c r="H1036" s="24"/>
      <c r="I1036" s="24"/>
      <c r="J1036" s="24"/>
      <c r="K1036" s="24"/>
      <c r="L1036" s="24"/>
      <c r="M1036" s="24"/>
      <c r="N1036" s="24"/>
      <c r="O1036" s="24"/>
      <c r="P1036" s="24"/>
    </row>
    <row r="1037" spans="1:16" ht="14.4" x14ac:dyDescent="0.3">
      <c r="A1037" s="25" t="s">
        <v>204</v>
      </c>
      <c r="B1037" s="25"/>
      <c r="C1037" s="16"/>
      <c r="D1037" s="69">
        <f t="shared" ref="D1037:P1041" si="72">D1031*110%</f>
        <v>21.868000000000002</v>
      </c>
      <c r="E1037" s="69">
        <f t="shared" si="72"/>
        <v>21.868000000000002</v>
      </c>
      <c r="F1037" s="69">
        <f t="shared" si="72"/>
        <v>21.868000000000002</v>
      </c>
      <c r="G1037" s="69">
        <f t="shared" si="72"/>
        <v>21.868000000000002</v>
      </c>
      <c r="H1037" s="69">
        <f t="shared" si="72"/>
        <v>21.868000000000002</v>
      </c>
      <c r="I1037" s="69">
        <f t="shared" si="72"/>
        <v>21.868000000000002</v>
      </c>
      <c r="J1037" s="69">
        <f t="shared" si="72"/>
        <v>20.735000000000003</v>
      </c>
      <c r="K1037" s="69">
        <f t="shared" si="72"/>
        <v>20.735000000000003</v>
      </c>
      <c r="L1037" s="69">
        <f t="shared" si="72"/>
        <v>20.735000000000003</v>
      </c>
      <c r="M1037" s="69">
        <f t="shared" si="72"/>
        <v>20.735000000000003</v>
      </c>
      <c r="N1037" s="69">
        <f t="shared" si="72"/>
        <v>20.735000000000003</v>
      </c>
      <c r="O1037" s="69">
        <f t="shared" si="72"/>
        <v>20.735000000000003</v>
      </c>
      <c r="P1037" s="69">
        <f t="shared" si="72"/>
        <v>20.735000000000003</v>
      </c>
    </row>
    <row r="1038" spans="1:16" ht="14.4" x14ac:dyDescent="0.3">
      <c r="A1038" s="25" t="s">
        <v>205</v>
      </c>
      <c r="B1038" s="25"/>
      <c r="C1038" s="16" t="s">
        <v>32</v>
      </c>
      <c r="D1038" s="69">
        <f t="shared" si="72"/>
        <v>485.63900000000007</v>
      </c>
      <c r="E1038" s="69">
        <f t="shared" si="72"/>
        <v>485.63900000000007</v>
      </c>
      <c r="F1038" s="69">
        <f t="shared" si="72"/>
        <v>485.63900000000007</v>
      </c>
      <c r="G1038" s="69">
        <f t="shared" si="72"/>
        <v>485.63900000000007</v>
      </c>
      <c r="H1038" s="69">
        <f t="shared" si="72"/>
        <v>485.63900000000007</v>
      </c>
      <c r="I1038" s="69">
        <f t="shared" si="72"/>
        <v>485.63900000000007</v>
      </c>
      <c r="J1038" s="69">
        <f t="shared" si="72"/>
        <v>460.47100000000006</v>
      </c>
      <c r="K1038" s="69">
        <f t="shared" si="72"/>
        <v>460.47100000000006</v>
      </c>
      <c r="L1038" s="69">
        <f t="shared" si="72"/>
        <v>460.47100000000006</v>
      </c>
      <c r="M1038" s="69">
        <f t="shared" si="72"/>
        <v>460.47100000000006</v>
      </c>
      <c r="N1038" s="69">
        <f t="shared" si="72"/>
        <v>460.47100000000006</v>
      </c>
      <c r="O1038" s="69">
        <f t="shared" si="72"/>
        <v>460.47100000000006</v>
      </c>
      <c r="P1038" s="69">
        <f t="shared" si="72"/>
        <v>460.47100000000006</v>
      </c>
    </row>
    <row r="1039" spans="1:16" ht="14.4" x14ac:dyDescent="0.3">
      <c r="A1039" s="25" t="s">
        <v>206</v>
      </c>
      <c r="B1039" s="25"/>
      <c r="C1039" s="16" t="s">
        <v>32</v>
      </c>
      <c r="D1039" s="69">
        <f t="shared" si="72"/>
        <v>1104.8950000000002</v>
      </c>
      <c r="E1039" s="69">
        <f t="shared" si="72"/>
        <v>1104.8950000000002</v>
      </c>
      <c r="F1039" s="69">
        <f t="shared" si="72"/>
        <v>1104.8950000000002</v>
      </c>
      <c r="G1039" s="69">
        <f t="shared" si="72"/>
        <v>1104.8950000000002</v>
      </c>
      <c r="H1039" s="69">
        <f t="shared" si="72"/>
        <v>1104.8950000000002</v>
      </c>
      <c r="I1039" s="69">
        <f t="shared" si="72"/>
        <v>1104.8950000000002</v>
      </c>
      <c r="J1039" s="69">
        <f t="shared" si="72"/>
        <v>1047.6290000000001</v>
      </c>
      <c r="K1039" s="69">
        <f t="shared" si="72"/>
        <v>1047.6290000000001</v>
      </c>
      <c r="L1039" s="69">
        <f t="shared" si="72"/>
        <v>1047.6290000000001</v>
      </c>
      <c r="M1039" s="69">
        <f t="shared" si="72"/>
        <v>1047.6290000000001</v>
      </c>
      <c r="N1039" s="69">
        <f t="shared" si="72"/>
        <v>1047.6290000000001</v>
      </c>
      <c r="O1039" s="69">
        <f t="shared" si="72"/>
        <v>1047.6290000000001</v>
      </c>
      <c r="P1039" s="69">
        <f t="shared" si="72"/>
        <v>1047.6290000000001</v>
      </c>
    </row>
    <row r="1040" spans="1:16" ht="14.4" x14ac:dyDescent="0.3">
      <c r="A1040" s="25" t="s">
        <v>207</v>
      </c>
      <c r="B1040" s="25"/>
      <c r="C1040" s="16" t="s">
        <v>32</v>
      </c>
      <c r="D1040" s="69">
        <f t="shared" si="72"/>
        <v>4582.6990000000005</v>
      </c>
      <c r="E1040" s="69">
        <f t="shared" si="72"/>
        <v>4582.6990000000005</v>
      </c>
      <c r="F1040" s="69">
        <f t="shared" si="72"/>
        <v>4582.6990000000005</v>
      </c>
      <c r="G1040" s="69">
        <f t="shared" si="72"/>
        <v>4582.6990000000005</v>
      </c>
      <c r="H1040" s="69">
        <f t="shared" si="72"/>
        <v>4582.6990000000005</v>
      </c>
      <c r="I1040" s="69">
        <f t="shared" si="72"/>
        <v>4582.6990000000005</v>
      </c>
      <c r="J1040" s="69">
        <f t="shared" si="72"/>
        <v>4345.1650000000009</v>
      </c>
      <c r="K1040" s="69">
        <f t="shared" si="72"/>
        <v>4345.1650000000009</v>
      </c>
      <c r="L1040" s="69">
        <f t="shared" si="72"/>
        <v>4345.1650000000009</v>
      </c>
      <c r="M1040" s="69">
        <f t="shared" si="72"/>
        <v>4345.1650000000009</v>
      </c>
      <c r="N1040" s="69">
        <f t="shared" si="72"/>
        <v>4345.1650000000009</v>
      </c>
      <c r="O1040" s="69">
        <f t="shared" si="72"/>
        <v>4345.1650000000009</v>
      </c>
      <c r="P1040" s="69">
        <f t="shared" si="72"/>
        <v>4345.1650000000009</v>
      </c>
    </row>
    <row r="1041" spans="1:17" ht="14.4" x14ac:dyDescent="0.3">
      <c r="A1041" s="25" t="s">
        <v>208</v>
      </c>
      <c r="B1041" s="25"/>
      <c r="C1041" s="16" t="s">
        <v>32</v>
      </c>
      <c r="D1041" s="69">
        <f t="shared" si="72"/>
        <v>16637.148000000001</v>
      </c>
      <c r="E1041" s="69">
        <f t="shared" si="72"/>
        <v>16637.148000000001</v>
      </c>
      <c r="F1041" s="69">
        <f t="shared" si="72"/>
        <v>16637.148000000001</v>
      </c>
      <c r="G1041" s="69">
        <f t="shared" si="72"/>
        <v>16637.148000000001</v>
      </c>
      <c r="H1041" s="69">
        <f t="shared" si="72"/>
        <v>16637.148000000001</v>
      </c>
      <c r="I1041" s="69">
        <f t="shared" si="72"/>
        <v>16637.148000000001</v>
      </c>
      <c r="J1041" s="69">
        <f t="shared" si="72"/>
        <v>15774.792000000001</v>
      </c>
      <c r="K1041" s="69">
        <f t="shared" si="72"/>
        <v>15774.792000000001</v>
      </c>
      <c r="L1041" s="69">
        <f t="shared" si="72"/>
        <v>15774.792000000001</v>
      </c>
      <c r="M1041" s="69">
        <f t="shared" si="72"/>
        <v>15774.792000000001</v>
      </c>
      <c r="N1041" s="69">
        <f t="shared" si="72"/>
        <v>15774.792000000001</v>
      </c>
      <c r="O1041" s="69">
        <f t="shared" si="72"/>
        <v>15774.792000000001</v>
      </c>
      <c r="P1041" s="69">
        <f t="shared" si="72"/>
        <v>15774.792000000001</v>
      </c>
    </row>
    <row r="1042" spans="1:17" ht="14.4" x14ac:dyDescent="0.3">
      <c r="A1042" s="25"/>
      <c r="B1042" s="25"/>
      <c r="C1042" s="16"/>
      <c r="D1042" s="24"/>
      <c r="E1042" s="24"/>
      <c r="F1042" s="24"/>
      <c r="G1042" s="24"/>
      <c r="H1042" s="24"/>
      <c r="I1042" s="24"/>
      <c r="J1042" s="24"/>
      <c r="K1042" s="24"/>
      <c r="L1042" s="24"/>
      <c r="M1042" s="24"/>
      <c r="N1042" s="24"/>
      <c r="O1042" s="24"/>
      <c r="P1042" s="24"/>
    </row>
    <row r="1043" spans="1:17" s="13" customFormat="1" ht="14.4" x14ac:dyDescent="0.3">
      <c r="A1043" s="11" t="s">
        <v>3</v>
      </c>
      <c r="B1043" s="11"/>
      <c r="C1043" s="11" t="s">
        <v>4</v>
      </c>
      <c r="D1043" s="12" t="str">
        <f>D998</f>
        <v>JAN</v>
      </c>
      <c r="E1043" s="12" t="str">
        <f t="shared" ref="E1043:P1043" si="73">E998</f>
        <v>FEB</v>
      </c>
      <c r="F1043" s="12" t="str">
        <f t="shared" si="73"/>
        <v>MAR</v>
      </c>
      <c r="G1043" s="12" t="str">
        <f t="shared" si="73"/>
        <v>APR</v>
      </c>
      <c r="H1043" s="12" t="str">
        <f t="shared" si="73"/>
        <v>MAY</v>
      </c>
      <c r="I1043" s="12" t="str">
        <f t="shared" si="73"/>
        <v>JUN</v>
      </c>
      <c r="J1043" s="12" t="str">
        <f t="shared" si="73"/>
        <v>JUL</v>
      </c>
      <c r="K1043" s="12" t="str">
        <f t="shared" si="73"/>
        <v>AUG</v>
      </c>
      <c r="L1043" s="12" t="str">
        <f t="shared" si="73"/>
        <v>SEP</v>
      </c>
      <c r="M1043" s="12" t="str">
        <f t="shared" si="73"/>
        <v>OCT</v>
      </c>
      <c r="N1043" s="12" t="str">
        <f t="shared" si="73"/>
        <v>NOV</v>
      </c>
      <c r="O1043" s="12" t="str">
        <f t="shared" si="73"/>
        <v>DEC</v>
      </c>
      <c r="P1043" s="12" t="str">
        <f t="shared" si="73"/>
        <v>JAN</v>
      </c>
      <c r="Q1043" s="3"/>
    </row>
    <row r="1044" spans="1:17" ht="14.4" x14ac:dyDescent="0.3">
      <c r="A1044" s="61" t="s">
        <v>96</v>
      </c>
      <c r="B1044" s="62"/>
      <c r="C1044" s="63"/>
      <c r="D1044" s="12"/>
      <c r="E1044" s="12"/>
      <c r="F1044" s="12"/>
      <c r="G1044" s="12"/>
      <c r="H1044" s="12"/>
      <c r="I1044" s="12"/>
      <c r="J1044" s="12"/>
      <c r="K1044" s="12"/>
      <c r="L1044" s="12"/>
      <c r="M1044" s="12"/>
      <c r="N1044" s="12"/>
      <c r="O1044" s="12"/>
      <c r="P1044" s="12"/>
    </row>
    <row r="1045" spans="1:17" ht="14.4" x14ac:dyDescent="0.3">
      <c r="A1045" s="25" t="s">
        <v>68</v>
      </c>
      <c r="B1045" s="25"/>
      <c r="C1045" s="16"/>
      <c r="D1045" s="24"/>
      <c r="E1045" s="24"/>
      <c r="F1045" s="24"/>
      <c r="G1045" s="24"/>
      <c r="H1045" s="24"/>
      <c r="I1045" s="24"/>
      <c r="J1045" s="24"/>
      <c r="K1045" s="24"/>
      <c r="L1045" s="24"/>
      <c r="M1045" s="24"/>
      <c r="N1045" s="24"/>
      <c r="O1045" s="24"/>
      <c r="P1045" s="24"/>
    </row>
    <row r="1046" spans="1:17" ht="14.4" x14ac:dyDescent="0.3">
      <c r="A1046" s="25" t="s">
        <v>204</v>
      </c>
      <c r="B1046" s="25"/>
      <c r="C1046" s="16" t="s">
        <v>32</v>
      </c>
      <c r="D1046" s="69">
        <v>5</v>
      </c>
      <c r="E1046" s="69">
        <v>5</v>
      </c>
      <c r="F1046" s="69">
        <v>5</v>
      </c>
      <c r="G1046" s="69">
        <v>5</v>
      </c>
      <c r="H1046" s="69">
        <v>5</v>
      </c>
      <c r="I1046" s="69">
        <v>5</v>
      </c>
      <c r="J1046" s="69">
        <v>5</v>
      </c>
      <c r="K1046" s="69">
        <v>5</v>
      </c>
      <c r="L1046" s="69">
        <v>5</v>
      </c>
      <c r="M1046" s="69">
        <v>5</v>
      </c>
      <c r="N1046" s="69">
        <v>5</v>
      </c>
      <c r="O1046" s="69">
        <v>5</v>
      </c>
      <c r="P1046" s="69">
        <v>5</v>
      </c>
    </row>
    <row r="1047" spans="1:17" ht="14.4" x14ac:dyDescent="0.3">
      <c r="A1047" s="25" t="s">
        <v>205</v>
      </c>
      <c r="B1047" s="25"/>
      <c r="C1047" s="16" t="s">
        <v>32</v>
      </c>
      <c r="D1047" s="69">
        <v>430.62</v>
      </c>
      <c r="E1047" s="69">
        <v>430.62</v>
      </c>
      <c r="F1047" s="69">
        <v>430.62</v>
      </c>
      <c r="G1047" s="69">
        <v>430.62</v>
      </c>
      <c r="H1047" s="69">
        <v>430.62</v>
      </c>
      <c r="I1047" s="69">
        <v>430.62</v>
      </c>
      <c r="J1047" s="69">
        <v>408.3</v>
      </c>
      <c r="K1047" s="69">
        <v>408.3</v>
      </c>
      <c r="L1047" s="69">
        <v>408.3</v>
      </c>
      <c r="M1047" s="69">
        <v>408.3</v>
      </c>
      <c r="N1047" s="69">
        <v>408.3</v>
      </c>
      <c r="O1047" s="69">
        <v>408.3</v>
      </c>
      <c r="P1047" s="69">
        <v>408.3</v>
      </c>
    </row>
    <row r="1048" spans="1:17" ht="14.4" x14ac:dyDescent="0.3">
      <c r="A1048" s="25" t="s">
        <v>206</v>
      </c>
      <c r="B1048" s="25"/>
      <c r="C1048" s="16" t="s">
        <v>32</v>
      </c>
      <c r="D1048" s="69">
        <v>1009.53</v>
      </c>
      <c r="E1048" s="69">
        <v>1009.53</v>
      </c>
      <c r="F1048" s="69">
        <v>1009.53</v>
      </c>
      <c r="G1048" s="69">
        <v>1009.53</v>
      </c>
      <c r="H1048" s="69">
        <v>1009.53</v>
      </c>
      <c r="I1048" s="69">
        <v>1009.53</v>
      </c>
      <c r="J1048" s="69">
        <v>957.2</v>
      </c>
      <c r="K1048" s="69">
        <v>957.2</v>
      </c>
      <c r="L1048" s="69">
        <v>957.2</v>
      </c>
      <c r="M1048" s="69">
        <v>957.2</v>
      </c>
      <c r="N1048" s="69">
        <v>957.2</v>
      </c>
      <c r="O1048" s="69">
        <v>957.2</v>
      </c>
      <c r="P1048" s="69">
        <v>957.2</v>
      </c>
    </row>
    <row r="1049" spans="1:17" ht="14.4" x14ac:dyDescent="0.3">
      <c r="A1049" s="25" t="s">
        <v>207</v>
      </c>
      <c r="B1049" s="25"/>
      <c r="C1049" s="16" t="s">
        <v>32</v>
      </c>
      <c r="D1049" s="69">
        <v>4189.45</v>
      </c>
      <c r="E1049" s="69">
        <v>4189.45</v>
      </c>
      <c r="F1049" s="69">
        <v>4189.45</v>
      </c>
      <c r="G1049" s="69">
        <v>4189.45</v>
      </c>
      <c r="H1049" s="69">
        <v>4189.45</v>
      </c>
      <c r="I1049" s="69">
        <v>4189.45</v>
      </c>
      <c r="J1049" s="69">
        <v>3972.3</v>
      </c>
      <c r="K1049" s="69">
        <v>3972.3</v>
      </c>
      <c r="L1049" s="69">
        <v>3972.3</v>
      </c>
      <c r="M1049" s="69">
        <v>3972.3</v>
      </c>
      <c r="N1049" s="69">
        <v>3972.3</v>
      </c>
      <c r="O1049" s="69">
        <v>3972.3</v>
      </c>
      <c r="P1049" s="69">
        <v>3972.3</v>
      </c>
    </row>
    <row r="1050" spans="1:17" ht="14.4" x14ac:dyDescent="0.3">
      <c r="A1050" s="25" t="s">
        <v>208</v>
      </c>
      <c r="B1050" s="25"/>
      <c r="C1050" s="16" t="s">
        <v>32</v>
      </c>
      <c r="D1050" s="69">
        <v>14350.77</v>
      </c>
      <c r="E1050" s="69">
        <v>14350.77</v>
      </c>
      <c r="F1050" s="69">
        <v>14350.77</v>
      </c>
      <c r="G1050" s="69">
        <v>14350.77</v>
      </c>
      <c r="H1050" s="69">
        <v>14350.77</v>
      </c>
      <c r="I1050" s="69">
        <v>14350.77</v>
      </c>
      <c r="J1050" s="69">
        <v>13606.92</v>
      </c>
      <c r="K1050" s="69">
        <v>13606.92</v>
      </c>
      <c r="L1050" s="69">
        <v>13606.92</v>
      </c>
      <c r="M1050" s="69">
        <v>13606.92</v>
      </c>
      <c r="N1050" s="69">
        <v>13606.92</v>
      </c>
      <c r="O1050" s="69">
        <v>13606.92</v>
      </c>
      <c r="P1050" s="69">
        <v>13606.92</v>
      </c>
    </row>
    <row r="1051" spans="1:17" ht="14.4" x14ac:dyDescent="0.3">
      <c r="A1051" s="25" t="s">
        <v>209</v>
      </c>
      <c r="B1051" s="25"/>
      <c r="C1051" s="16"/>
      <c r="D1051" s="24"/>
      <c r="E1051" s="24"/>
      <c r="F1051" s="24"/>
      <c r="G1051" s="24"/>
      <c r="H1051" s="24"/>
      <c r="I1051" s="24"/>
      <c r="J1051" s="24"/>
      <c r="K1051" s="24"/>
      <c r="L1051" s="24"/>
      <c r="M1051" s="24"/>
      <c r="N1051" s="24"/>
      <c r="O1051" s="24"/>
      <c r="P1051" s="24"/>
    </row>
    <row r="1052" spans="1:17" ht="14.4" x14ac:dyDescent="0.3">
      <c r="A1052" s="25" t="s">
        <v>204</v>
      </c>
      <c r="B1052" s="25"/>
      <c r="C1052" s="16"/>
      <c r="D1052" s="69">
        <f t="shared" ref="D1052:P1056" si="74">D1046*110%</f>
        <v>5.5</v>
      </c>
      <c r="E1052" s="69">
        <f t="shared" si="74"/>
        <v>5.5</v>
      </c>
      <c r="F1052" s="69">
        <f t="shared" si="74"/>
        <v>5.5</v>
      </c>
      <c r="G1052" s="69">
        <f t="shared" si="74"/>
        <v>5.5</v>
      </c>
      <c r="H1052" s="69">
        <f t="shared" si="74"/>
        <v>5.5</v>
      </c>
      <c r="I1052" s="69">
        <f t="shared" si="74"/>
        <v>5.5</v>
      </c>
      <c r="J1052" s="69">
        <f t="shared" si="74"/>
        <v>5.5</v>
      </c>
      <c r="K1052" s="69">
        <f t="shared" si="74"/>
        <v>5.5</v>
      </c>
      <c r="L1052" s="69">
        <f t="shared" si="74"/>
        <v>5.5</v>
      </c>
      <c r="M1052" s="69">
        <f t="shared" si="74"/>
        <v>5.5</v>
      </c>
      <c r="N1052" s="69">
        <f t="shared" si="74"/>
        <v>5.5</v>
      </c>
      <c r="O1052" s="69">
        <f t="shared" si="74"/>
        <v>5.5</v>
      </c>
      <c r="P1052" s="69">
        <f t="shared" si="74"/>
        <v>5.5</v>
      </c>
    </row>
    <row r="1053" spans="1:17" ht="14.4" x14ac:dyDescent="0.3">
      <c r="A1053" s="25" t="s">
        <v>205</v>
      </c>
      <c r="B1053" s="25"/>
      <c r="C1053" s="16" t="s">
        <v>32</v>
      </c>
      <c r="D1053" s="69">
        <f t="shared" si="74"/>
        <v>473.68200000000002</v>
      </c>
      <c r="E1053" s="69">
        <f t="shared" si="74"/>
        <v>473.68200000000002</v>
      </c>
      <c r="F1053" s="69">
        <f t="shared" si="74"/>
        <v>473.68200000000002</v>
      </c>
      <c r="G1053" s="69">
        <f t="shared" si="74"/>
        <v>473.68200000000002</v>
      </c>
      <c r="H1053" s="69">
        <f t="shared" si="74"/>
        <v>473.68200000000002</v>
      </c>
      <c r="I1053" s="69">
        <f t="shared" si="74"/>
        <v>473.68200000000002</v>
      </c>
      <c r="J1053" s="69">
        <f t="shared" si="74"/>
        <v>449.13000000000005</v>
      </c>
      <c r="K1053" s="69">
        <f t="shared" si="74"/>
        <v>449.13000000000005</v>
      </c>
      <c r="L1053" s="69">
        <f t="shared" si="74"/>
        <v>449.13000000000005</v>
      </c>
      <c r="M1053" s="69">
        <f t="shared" si="74"/>
        <v>449.13000000000005</v>
      </c>
      <c r="N1053" s="69">
        <f t="shared" si="74"/>
        <v>449.13000000000005</v>
      </c>
      <c r="O1053" s="69">
        <f t="shared" si="74"/>
        <v>449.13000000000005</v>
      </c>
      <c r="P1053" s="69">
        <f t="shared" si="74"/>
        <v>449.13000000000005</v>
      </c>
    </row>
    <row r="1054" spans="1:17" ht="14.4" x14ac:dyDescent="0.3">
      <c r="A1054" s="25" t="s">
        <v>206</v>
      </c>
      <c r="B1054" s="25"/>
      <c r="C1054" s="16" t="s">
        <v>32</v>
      </c>
      <c r="D1054" s="69">
        <f t="shared" si="74"/>
        <v>1110.4829999999999</v>
      </c>
      <c r="E1054" s="69">
        <f t="shared" si="74"/>
        <v>1110.4829999999999</v>
      </c>
      <c r="F1054" s="69">
        <f t="shared" si="74"/>
        <v>1110.4829999999999</v>
      </c>
      <c r="G1054" s="69">
        <f t="shared" si="74"/>
        <v>1110.4829999999999</v>
      </c>
      <c r="H1054" s="69">
        <f t="shared" si="74"/>
        <v>1110.4829999999999</v>
      </c>
      <c r="I1054" s="69">
        <f t="shared" si="74"/>
        <v>1110.4829999999999</v>
      </c>
      <c r="J1054" s="69">
        <f t="shared" si="74"/>
        <v>1052.92</v>
      </c>
      <c r="K1054" s="69">
        <f t="shared" si="74"/>
        <v>1052.92</v>
      </c>
      <c r="L1054" s="69">
        <f t="shared" si="74"/>
        <v>1052.92</v>
      </c>
      <c r="M1054" s="69">
        <f t="shared" si="74"/>
        <v>1052.92</v>
      </c>
      <c r="N1054" s="69">
        <f t="shared" si="74"/>
        <v>1052.92</v>
      </c>
      <c r="O1054" s="69">
        <f t="shared" si="74"/>
        <v>1052.92</v>
      </c>
      <c r="P1054" s="69">
        <f t="shared" si="74"/>
        <v>1052.92</v>
      </c>
    </row>
    <row r="1055" spans="1:17" ht="14.4" x14ac:dyDescent="0.3">
      <c r="A1055" s="25" t="s">
        <v>207</v>
      </c>
      <c r="B1055" s="25"/>
      <c r="C1055" s="16" t="s">
        <v>32</v>
      </c>
      <c r="D1055" s="69">
        <f t="shared" si="74"/>
        <v>4608.3950000000004</v>
      </c>
      <c r="E1055" s="69">
        <f t="shared" si="74"/>
        <v>4608.3950000000004</v>
      </c>
      <c r="F1055" s="69">
        <f t="shared" si="74"/>
        <v>4608.3950000000004</v>
      </c>
      <c r="G1055" s="69">
        <f t="shared" si="74"/>
        <v>4608.3950000000004</v>
      </c>
      <c r="H1055" s="69">
        <f t="shared" si="74"/>
        <v>4608.3950000000004</v>
      </c>
      <c r="I1055" s="69">
        <f t="shared" si="74"/>
        <v>4608.3950000000004</v>
      </c>
      <c r="J1055" s="69">
        <f t="shared" si="74"/>
        <v>4369.5300000000007</v>
      </c>
      <c r="K1055" s="69">
        <f t="shared" si="74"/>
        <v>4369.5300000000007</v>
      </c>
      <c r="L1055" s="69">
        <f t="shared" si="74"/>
        <v>4369.5300000000007</v>
      </c>
      <c r="M1055" s="69">
        <f t="shared" si="74"/>
        <v>4369.5300000000007</v>
      </c>
      <c r="N1055" s="69">
        <f t="shared" si="74"/>
        <v>4369.5300000000007</v>
      </c>
      <c r="O1055" s="69">
        <f t="shared" si="74"/>
        <v>4369.5300000000007</v>
      </c>
      <c r="P1055" s="69">
        <f t="shared" si="74"/>
        <v>4369.5300000000007</v>
      </c>
    </row>
    <row r="1056" spans="1:17" ht="14.4" x14ac:dyDescent="0.3">
      <c r="A1056" s="25" t="s">
        <v>208</v>
      </c>
      <c r="B1056" s="25"/>
      <c r="C1056" s="16" t="s">
        <v>32</v>
      </c>
      <c r="D1056" s="69">
        <f t="shared" si="74"/>
        <v>15785.847000000002</v>
      </c>
      <c r="E1056" s="69">
        <f t="shared" si="74"/>
        <v>15785.847000000002</v>
      </c>
      <c r="F1056" s="69">
        <f t="shared" si="74"/>
        <v>15785.847000000002</v>
      </c>
      <c r="G1056" s="69">
        <f t="shared" si="74"/>
        <v>15785.847000000002</v>
      </c>
      <c r="H1056" s="69">
        <f t="shared" si="74"/>
        <v>15785.847000000002</v>
      </c>
      <c r="I1056" s="69">
        <f t="shared" si="74"/>
        <v>15785.847000000002</v>
      </c>
      <c r="J1056" s="69">
        <f t="shared" si="74"/>
        <v>14967.612000000001</v>
      </c>
      <c r="K1056" s="69">
        <f t="shared" si="74"/>
        <v>14967.612000000001</v>
      </c>
      <c r="L1056" s="69">
        <f t="shared" si="74"/>
        <v>14967.612000000001</v>
      </c>
      <c r="M1056" s="69">
        <f t="shared" si="74"/>
        <v>14967.612000000001</v>
      </c>
      <c r="N1056" s="69">
        <f t="shared" si="74"/>
        <v>14967.612000000001</v>
      </c>
      <c r="O1056" s="69">
        <f t="shared" si="74"/>
        <v>14967.612000000001</v>
      </c>
      <c r="P1056" s="69">
        <f t="shared" si="74"/>
        <v>14967.612000000001</v>
      </c>
    </row>
    <row r="1057" spans="1:16" ht="14.4" x14ac:dyDescent="0.3">
      <c r="A1057" s="25"/>
      <c r="B1057" s="25"/>
      <c r="C1057" s="16"/>
      <c r="D1057" s="24"/>
      <c r="E1057" s="24"/>
      <c r="F1057" s="24"/>
      <c r="G1057" s="24"/>
      <c r="H1057" s="24"/>
      <c r="I1057" s="24"/>
      <c r="J1057" s="24"/>
      <c r="K1057" s="24"/>
      <c r="L1057" s="24"/>
      <c r="M1057" s="24"/>
      <c r="N1057" s="24"/>
      <c r="O1057" s="24"/>
      <c r="P1057" s="24"/>
    </row>
    <row r="1058" spans="1:16" ht="14.4" x14ac:dyDescent="0.3">
      <c r="A1058" s="61" t="s">
        <v>97</v>
      </c>
      <c r="B1058" s="62"/>
      <c r="C1058" s="63"/>
      <c r="D1058" s="62"/>
      <c r="E1058" s="62"/>
      <c r="F1058" s="62"/>
      <c r="G1058" s="62"/>
      <c r="H1058" s="62"/>
      <c r="I1058" s="62"/>
      <c r="J1058" s="62"/>
      <c r="K1058" s="62"/>
      <c r="L1058" s="62"/>
      <c r="M1058" s="62"/>
      <c r="N1058" s="62"/>
      <c r="O1058" s="62"/>
      <c r="P1058" s="62"/>
    </row>
    <row r="1059" spans="1:16" ht="14.4" x14ac:dyDescent="0.3">
      <c r="A1059" s="25" t="s">
        <v>98</v>
      </c>
      <c r="B1059" s="25"/>
      <c r="C1059" s="16" t="s">
        <v>44</v>
      </c>
      <c r="D1059" s="70">
        <v>1</v>
      </c>
      <c r="E1059" s="70">
        <v>1</v>
      </c>
      <c r="F1059" s="70">
        <v>1</v>
      </c>
      <c r="G1059" s="70">
        <v>1</v>
      </c>
      <c r="H1059" s="70">
        <v>1</v>
      </c>
      <c r="I1059" s="70">
        <v>1</v>
      </c>
      <c r="J1059" s="70">
        <v>1</v>
      </c>
      <c r="K1059" s="70">
        <v>1</v>
      </c>
      <c r="L1059" s="70">
        <v>1</v>
      </c>
      <c r="M1059" s="70">
        <v>1</v>
      </c>
      <c r="N1059" s="70">
        <v>1</v>
      </c>
      <c r="O1059" s="70">
        <v>1</v>
      </c>
      <c r="P1059" s="70"/>
    </row>
    <row r="1060" spans="1:16" ht="14.4" x14ac:dyDescent="0.3">
      <c r="A1060" s="25" t="s">
        <v>99</v>
      </c>
      <c r="B1060" s="25"/>
      <c r="C1060" s="16" t="s">
        <v>44</v>
      </c>
      <c r="D1060" s="70">
        <v>0.5</v>
      </c>
      <c r="E1060" s="70">
        <v>0.5</v>
      </c>
      <c r="F1060" s="70">
        <v>0.5</v>
      </c>
      <c r="G1060" s="70">
        <v>0.5</v>
      </c>
      <c r="H1060" s="70">
        <v>0.5</v>
      </c>
      <c r="I1060" s="70">
        <v>0.5</v>
      </c>
      <c r="J1060" s="70">
        <v>0.5</v>
      </c>
      <c r="K1060" s="70">
        <v>0.5</v>
      </c>
      <c r="L1060" s="70">
        <v>0.5</v>
      </c>
      <c r="M1060" s="70">
        <v>0.5</v>
      </c>
      <c r="N1060" s="70">
        <v>0.5</v>
      </c>
      <c r="O1060" s="70">
        <v>0.5</v>
      </c>
      <c r="P1060" s="70"/>
    </row>
    <row r="1061" spans="1:16" ht="14.4" x14ac:dyDescent="0.3">
      <c r="A1061" s="25" t="s">
        <v>100</v>
      </c>
      <c r="B1061" s="25"/>
      <c r="C1061" s="16" t="s">
        <v>44</v>
      </c>
      <c r="D1061" s="70">
        <v>0.35</v>
      </c>
      <c r="E1061" s="70">
        <v>0.35</v>
      </c>
      <c r="F1061" s="70">
        <v>0.35</v>
      </c>
      <c r="G1061" s="70">
        <v>0.35</v>
      </c>
      <c r="H1061" s="70">
        <v>0.35</v>
      </c>
      <c r="I1061" s="70">
        <v>0.35</v>
      </c>
      <c r="J1061" s="70">
        <v>0.35</v>
      </c>
      <c r="K1061" s="70">
        <v>0.35</v>
      </c>
      <c r="L1061" s="70">
        <v>0.35</v>
      </c>
      <c r="M1061" s="70">
        <v>0.35</v>
      </c>
      <c r="N1061" s="70">
        <v>0.35</v>
      </c>
      <c r="O1061" s="70">
        <v>0.35</v>
      </c>
      <c r="P1061" s="70"/>
    </row>
    <row r="1062" spans="1:16" ht="14.4" x14ac:dyDescent="0.3">
      <c r="A1062" s="25" t="s">
        <v>101</v>
      </c>
      <c r="B1062" s="25"/>
      <c r="C1062" s="16" t="s">
        <v>44</v>
      </c>
      <c r="D1062" s="70">
        <v>0.2</v>
      </c>
      <c r="E1062" s="70">
        <v>0.2</v>
      </c>
      <c r="F1062" s="70">
        <v>0.2</v>
      </c>
      <c r="G1062" s="70">
        <v>0.2</v>
      </c>
      <c r="H1062" s="70">
        <v>0.2</v>
      </c>
      <c r="I1062" s="70">
        <v>0.2</v>
      </c>
      <c r="J1062" s="70">
        <v>0.2</v>
      </c>
      <c r="K1062" s="70">
        <v>0.2</v>
      </c>
      <c r="L1062" s="70">
        <v>0.2</v>
      </c>
      <c r="M1062" s="70">
        <v>0.2</v>
      </c>
      <c r="N1062" s="70">
        <v>0.2</v>
      </c>
      <c r="O1062" s="70">
        <v>0.2</v>
      </c>
      <c r="P1062" s="70"/>
    </row>
    <row r="1063" spans="1:16" x14ac:dyDescent="0.3">
      <c r="A1063" s="62"/>
      <c r="B1063" s="62"/>
      <c r="C1063" s="63"/>
      <c r="D1063" s="62"/>
      <c r="E1063" s="62"/>
      <c r="F1063" s="62"/>
      <c r="G1063" s="62"/>
      <c r="H1063" s="62"/>
      <c r="I1063" s="62"/>
      <c r="J1063" s="62"/>
      <c r="K1063" s="62"/>
      <c r="L1063" s="62"/>
      <c r="M1063" s="62"/>
      <c r="N1063" s="62"/>
      <c r="O1063" s="62"/>
      <c r="P1063" s="62"/>
    </row>
    <row r="1064" spans="1:16" ht="14.4" x14ac:dyDescent="0.3">
      <c r="A1064" s="61" t="s">
        <v>102</v>
      </c>
      <c r="B1064" s="62"/>
      <c r="C1064" s="63"/>
      <c r="D1064" s="62"/>
      <c r="E1064" s="62"/>
      <c r="F1064" s="62"/>
      <c r="G1064" s="62"/>
      <c r="H1064" s="62"/>
      <c r="I1064" s="62"/>
      <c r="J1064" s="62"/>
      <c r="K1064" s="62"/>
      <c r="L1064" s="62"/>
      <c r="M1064" s="62"/>
      <c r="N1064" s="62"/>
      <c r="O1064" s="62"/>
      <c r="P1064" s="62"/>
    </row>
    <row r="1065" spans="1:16" ht="14.4" x14ac:dyDescent="0.3">
      <c r="A1065" s="25" t="s">
        <v>103</v>
      </c>
      <c r="B1065" s="25" t="s">
        <v>104</v>
      </c>
      <c r="C1065" s="16" t="s">
        <v>19</v>
      </c>
      <c r="D1065" s="20" t="s">
        <v>104</v>
      </c>
      <c r="E1065" s="20" t="s">
        <v>104</v>
      </c>
      <c r="F1065" s="20" t="s">
        <v>104</v>
      </c>
      <c r="G1065" s="20" t="s">
        <v>104</v>
      </c>
      <c r="H1065" s="20" t="s">
        <v>104</v>
      </c>
      <c r="I1065" s="20" t="s">
        <v>104</v>
      </c>
      <c r="J1065" s="20" t="s">
        <v>104</v>
      </c>
      <c r="K1065" s="20" t="s">
        <v>104</v>
      </c>
      <c r="L1065" s="20" t="s">
        <v>104</v>
      </c>
      <c r="M1065" s="20" t="s">
        <v>104</v>
      </c>
      <c r="N1065" s="20" t="s">
        <v>104</v>
      </c>
      <c r="O1065" s="20" t="s">
        <v>104</v>
      </c>
      <c r="P1065" s="20"/>
    </row>
    <row r="1066" spans="1:16" ht="14.4" x14ac:dyDescent="0.3">
      <c r="A1066" s="25" t="s">
        <v>105</v>
      </c>
      <c r="B1066" s="25" t="s">
        <v>106</v>
      </c>
      <c r="C1066" s="16" t="s">
        <v>19</v>
      </c>
      <c r="D1066" s="20">
        <v>0.1</v>
      </c>
      <c r="E1066" s="20">
        <v>0.1</v>
      </c>
      <c r="F1066" s="20">
        <v>0.1</v>
      </c>
      <c r="G1066" s="20">
        <v>0.1</v>
      </c>
      <c r="H1066" s="20">
        <v>0.1</v>
      </c>
      <c r="I1066" s="20">
        <v>0.1</v>
      </c>
      <c r="J1066" s="20">
        <v>0.1</v>
      </c>
      <c r="K1066" s="20">
        <v>0.1</v>
      </c>
      <c r="L1066" s="20">
        <v>0.1</v>
      </c>
      <c r="M1066" s="20">
        <v>0.1</v>
      </c>
      <c r="N1066" s="20">
        <v>0.1</v>
      </c>
      <c r="O1066" s="20">
        <v>0.1</v>
      </c>
      <c r="P1066" s="20"/>
    </row>
    <row r="1067" spans="1:16" ht="14.4" x14ac:dyDescent="0.3">
      <c r="A1067" s="25" t="s">
        <v>107</v>
      </c>
      <c r="B1067" s="25" t="s">
        <v>108</v>
      </c>
      <c r="C1067" s="16" t="s">
        <v>19</v>
      </c>
      <c r="D1067" s="20">
        <v>0.2</v>
      </c>
      <c r="E1067" s="20">
        <v>0.2</v>
      </c>
      <c r="F1067" s="20">
        <v>0.2</v>
      </c>
      <c r="G1067" s="20">
        <v>0.2</v>
      </c>
      <c r="H1067" s="20">
        <v>0.2</v>
      </c>
      <c r="I1067" s="20">
        <v>0.2</v>
      </c>
      <c r="J1067" s="20">
        <v>0.2</v>
      </c>
      <c r="K1067" s="20">
        <v>0.2</v>
      </c>
      <c r="L1067" s="20">
        <v>0.2</v>
      </c>
      <c r="M1067" s="20">
        <v>0.2</v>
      </c>
      <c r="N1067" s="20">
        <v>0.2</v>
      </c>
      <c r="O1067" s="20">
        <v>0.2</v>
      </c>
      <c r="P1067" s="20"/>
    </row>
    <row r="1068" spans="1:16" ht="14.4" x14ac:dyDescent="0.3">
      <c r="A1068" s="25" t="s">
        <v>109</v>
      </c>
      <c r="B1068" s="25" t="s">
        <v>110</v>
      </c>
      <c r="C1068" s="16" t="s">
        <v>19</v>
      </c>
      <c r="D1068" s="20">
        <v>0.35</v>
      </c>
      <c r="E1068" s="20">
        <v>0.35</v>
      </c>
      <c r="F1068" s="20">
        <v>0.35</v>
      </c>
      <c r="G1068" s="20">
        <v>0.35</v>
      </c>
      <c r="H1068" s="20">
        <v>0.35</v>
      </c>
      <c r="I1068" s="20">
        <v>0.35</v>
      </c>
      <c r="J1068" s="20">
        <v>0.35</v>
      </c>
      <c r="K1068" s="20">
        <v>0.35</v>
      </c>
      <c r="L1068" s="20">
        <v>0.35</v>
      </c>
      <c r="M1068" s="20">
        <v>0.35</v>
      </c>
      <c r="N1068" s="20">
        <v>0.35</v>
      </c>
      <c r="O1068" s="20">
        <v>0.35</v>
      </c>
      <c r="P1068" s="20"/>
    </row>
    <row r="1069" spans="1:16" x14ac:dyDescent="0.3">
      <c r="A1069" s="71"/>
      <c r="B1069" s="71"/>
      <c r="C1069" s="72"/>
      <c r="D1069" s="71"/>
      <c r="E1069" s="71"/>
      <c r="F1069" s="71"/>
      <c r="G1069" s="71"/>
      <c r="H1069" s="71"/>
      <c r="I1069" s="71"/>
      <c r="J1069" s="71"/>
      <c r="K1069" s="71"/>
      <c r="L1069" s="71"/>
      <c r="M1069" s="71"/>
      <c r="N1069" s="71"/>
      <c r="O1069" s="71"/>
      <c r="P1069" s="71"/>
    </row>
    <row r="1070" spans="1:16" x14ac:dyDescent="0.3">
      <c r="A1070" s="33"/>
      <c r="B1070" s="71"/>
      <c r="C1070" s="72"/>
      <c r="D1070" s="71"/>
      <c r="E1070" s="71"/>
      <c r="F1070" s="71"/>
      <c r="G1070" s="71"/>
      <c r="H1070" s="71"/>
      <c r="I1070" s="71"/>
      <c r="J1070" s="71"/>
      <c r="K1070" s="71"/>
      <c r="L1070" s="71"/>
      <c r="M1070" s="71"/>
      <c r="N1070" s="71"/>
      <c r="O1070" s="71"/>
      <c r="P1070" s="71"/>
    </row>
    <row r="1072" spans="1:16" x14ac:dyDescent="0.3">
      <c r="A1072" s="33"/>
    </row>
  </sheetData>
  <printOptions horizontalCentered="1"/>
  <pageMargins left="0.2" right="0.2" top="0.2" bottom="0.4" header="0.5" footer="0.1"/>
  <pageSetup paperSize="14" scale="67" orientation="landscape" r:id="rId1"/>
  <headerFooter alignWithMargins="0">
    <oddFooter>&amp;C&amp;"Calibri,Regular"&amp;12GENERAL NOTE: All data used in the actual implemented rates were based on available information as of the time rates were computed.&amp;R&amp;"Calibri,Italic"&amp;8Actual Implemented RatesPage &amp;P of &amp;N</oddFooter>
  </headerFooter>
  <rowBreaks count="11" manualBreakCount="11">
    <brk id="55" max="14" man="1"/>
    <brk id="107" max="14" man="1"/>
    <brk id="158" max="14" man="1"/>
    <brk id="209" max="14" man="1"/>
    <brk id="740" max="14" man="1"/>
    <brk id="791" max="14" man="1"/>
    <brk id="842" max="14" man="1"/>
    <brk id="893" max="14" man="1"/>
    <brk id="944" max="14" man="1"/>
    <brk id="997" max="14" man="1"/>
    <brk id="1042" max="14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R1062"/>
  <sheetViews>
    <sheetView view="pageBreakPreview" zoomScale="110" zoomScaleNormal="85" zoomScaleSheetLayoutView="110" workbookViewId="0">
      <pane xSplit="1" topLeftCell="E1" activePane="topRight" state="frozen"/>
      <selection pane="topRight" activeCell="I1083" sqref="I1083"/>
    </sheetView>
  </sheetViews>
  <sheetFormatPr defaultColWidth="9.109375" defaultRowHeight="13.8" x14ac:dyDescent="0.3"/>
  <cols>
    <col min="1" max="1" width="39.109375" style="3" customWidth="1"/>
    <col min="2" max="2" width="1.109375" style="3" customWidth="1"/>
    <col min="3" max="3" width="14.5546875" style="32" customWidth="1"/>
    <col min="4" max="15" width="15.88671875" style="3" customWidth="1"/>
    <col min="16" max="16" width="15.88671875" style="3" hidden="1" customWidth="1"/>
    <col min="17" max="16384" width="9.109375" style="3"/>
  </cols>
  <sheetData>
    <row r="1" spans="1:16" ht="21" x14ac:dyDescent="0.4">
      <c r="A1" s="1" t="s">
        <v>0</v>
      </c>
      <c r="B1" s="1"/>
      <c r="C1" s="2"/>
    </row>
    <row r="2" spans="1:16" ht="21" x14ac:dyDescent="0.4">
      <c r="A2" s="4" t="s">
        <v>1</v>
      </c>
      <c r="B2" s="4"/>
      <c r="C2" s="5"/>
    </row>
    <row r="3" spans="1:16" ht="21" x14ac:dyDescent="0.4">
      <c r="A3" s="6" t="str">
        <f>'[43]Supplier &amp; Trans Data'!A3</f>
        <v>For January - December 2015 Billing</v>
      </c>
      <c r="B3" s="6"/>
      <c r="C3" s="7"/>
    </row>
    <row r="4" spans="1:16" ht="21" x14ac:dyDescent="0.4">
      <c r="A4" s="4"/>
      <c r="B4" s="4"/>
      <c r="C4" s="5"/>
    </row>
    <row r="5" spans="1:16" ht="21" x14ac:dyDescent="0.4">
      <c r="A5" s="8"/>
      <c r="B5" s="4"/>
      <c r="C5" s="5"/>
    </row>
    <row r="6" spans="1:16" ht="18" x14ac:dyDescent="0.35">
      <c r="A6" s="9" t="s">
        <v>2</v>
      </c>
      <c r="B6" s="9"/>
      <c r="C6" s="5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</row>
    <row r="7" spans="1:16" s="13" customFormat="1" ht="14.4" x14ac:dyDescent="0.3">
      <c r="A7" s="11" t="s">
        <v>3</v>
      </c>
      <c r="B7" s="11"/>
      <c r="C7" s="11" t="s">
        <v>4</v>
      </c>
      <c r="D7" s="12" t="s">
        <v>5</v>
      </c>
      <c r="E7" s="12" t="s">
        <v>6</v>
      </c>
      <c r="F7" s="12" t="s">
        <v>7</v>
      </c>
      <c r="G7" s="12" t="s">
        <v>8</v>
      </c>
      <c r="H7" s="12" t="s">
        <v>9</v>
      </c>
      <c r="I7" s="12" t="s">
        <v>10</v>
      </c>
      <c r="J7" s="12" t="s">
        <v>11</v>
      </c>
      <c r="K7" s="12" t="s">
        <v>12</v>
      </c>
      <c r="L7" s="12" t="s">
        <v>13</v>
      </c>
      <c r="M7" s="12" t="s">
        <v>14</v>
      </c>
      <c r="N7" s="12" t="s">
        <v>15</v>
      </c>
      <c r="O7" s="12" t="s">
        <v>16</v>
      </c>
      <c r="P7" s="12" t="s">
        <v>5</v>
      </c>
    </row>
    <row r="8" spans="1:16" ht="14.4" x14ac:dyDescent="0.3">
      <c r="A8" s="14" t="s">
        <v>17</v>
      </c>
      <c r="B8" s="15"/>
      <c r="C8" s="16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</row>
    <row r="9" spans="1:16" ht="14.4" x14ac:dyDescent="0.3">
      <c r="A9" s="18" t="s">
        <v>18</v>
      </c>
      <c r="B9" s="19"/>
      <c r="C9" s="16" t="s">
        <v>19</v>
      </c>
      <c r="D9" s="20">
        <f>D990</f>
        <v>4.7182000000000004</v>
      </c>
      <c r="E9" s="20">
        <f t="shared" ref="E9:P9" si="0">E990</f>
        <v>5.2384000000000004</v>
      </c>
      <c r="F9" s="20">
        <f t="shared" si="0"/>
        <v>5.2096999999999998</v>
      </c>
      <c r="G9" s="20">
        <f t="shared" si="0"/>
        <v>5.4120999999999997</v>
      </c>
      <c r="H9" s="20">
        <f t="shared" si="0"/>
        <v>4.8131000000000004</v>
      </c>
      <c r="I9" s="20">
        <f t="shared" si="0"/>
        <v>4.4555999999999996</v>
      </c>
      <c r="J9" s="20">
        <f t="shared" si="0"/>
        <v>4.7397999999999998</v>
      </c>
      <c r="K9" s="20">
        <f t="shared" si="0"/>
        <v>4.5526999999999997</v>
      </c>
      <c r="L9" s="20">
        <f t="shared" si="0"/>
        <v>4.1325000000000003</v>
      </c>
      <c r="M9" s="20">
        <f t="shared" si="0"/>
        <v>3.9954999999999998</v>
      </c>
      <c r="N9" s="20">
        <f t="shared" si="0"/>
        <v>4.0838999999999999</v>
      </c>
      <c r="O9" s="20">
        <f t="shared" si="0"/>
        <v>4.1299000000000001</v>
      </c>
      <c r="P9" s="20" t="e">
        <f t="shared" si="0"/>
        <v>#DIV/0!</v>
      </c>
    </row>
    <row r="10" spans="1:16" ht="14.4" hidden="1" x14ac:dyDescent="0.3">
      <c r="A10" s="18" t="s">
        <v>66</v>
      </c>
      <c r="B10" s="19"/>
      <c r="C10" s="16" t="s">
        <v>19</v>
      </c>
      <c r="D10" s="20">
        <v>0</v>
      </c>
      <c r="E10" s="20">
        <v>0</v>
      </c>
      <c r="F10" s="20">
        <v>0</v>
      </c>
      <c r="G10" s="20">
        <v>0</v>
      </c>
      <c r="H10" s="20">
        <v>0</v>
      </c>
      <c r="I10" s="20">
        <v>0</v>
      </c>
      <c r="J10" s="20">
        <v>0</v>
      </c>
      <c r="K10" s="20">
        <v>0</v>
      </c>
      <c r="L10" s="20">
        <v>0</v>
      </c>
      <c r="M10" s="20">
        <v>0</v>
      </c>
      <c r="N10" s="20">
        <v>0</v>
      </c>
      <c r="O10" s="20">
        <v>0</v>
      </c>
      <c r="P10" s="20">
        <v>0</v>
      </c>
    </row>
    <row r="11" spans="1:16" ht="14.4" x14ac:dyDescent="0.3">
      <c r="A11" s="14" t="s">
        <v>20</v>
      </c>
      <c r="B11" s="15"/>
      <c r="C11" s="16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</row>
    <row r="12" spans="1:16" ht="14.4" x14ac:dyDescent="0.3">
      <c r="A12" s="18" t="s">
        <v>21</v>
      </c>
      <c r="B12" s="19"/>
      <c r="C12" s="16" t="s">
        <v>19</v>
      </c>
      <c r="D12" s="20">
        <f>[43]TR!D54</f>
        <v>0.87209999999999999</v>
      </c>
      <c r="E12" s="20">
        <f>[43]TR!E54</f>
        <v>0.99280000000000002</v>
      </c>
      <c r="F12" s="20">
        <f>[43]TR!F54</f>
        <v>0.95730000000000004</v>
      </c>
      <c r="G12" s="20">
        <f>[43]TR!G54</f>
        <v>0.94030000000000002</v>
      </c>
      <c r="H12" s="20">
        <f>[43]TR!H54</f>
        <v>1.0031000000000001</v>
      </c>
      <c r="I12" s="20">
        <f>[43]TR!I54</f>
        <v>0.91620000000000001</v>
      </c>
      <c r="J12" s="20">
        <f>[43]TR!J54</f>
        <v>0.86509999999999998</v>
      </c>
      <c r="K12" s="20">
        <f>[43]TR!K54</f>
        <v>0.82050000000000001</v>
      </c>
      <c r="L12" s="20">
        <f>[43]TR!L54</f>
        <v>0.78580000000000005</v>
      </c>
      <c r="M12" s="20">
        <f>[43]TR!M54</f>
        <v>0.79759999999999998</v>
      </c>
      <c r="N12" s="20">
        <f>[43]TR!N54</f>
        <v>0.81559999999999999</v>
      </c>
      <c r="O12" s="20">
        <f>[43]TR!O54</f>
        <v>0.82440000000000002</v>
      </c>
      <c r="P12" s="20">
        <f>[43]TR!P54</f>
        <v>0</v>
      </c>
    </row>
    <row r="13" spans="1:16" ht="14.4" x14ac:dyDescent="0.3">
      <c r="A13" s="18" t="s">
        <v>22</v>
      </c>
      <c r="B13" s="19"/>
      <c r="C13" s="16" t="s">
        <v>23</v>
      </c>
      <c r="D13" s="20">
        <v>0</v>
      </c>
      <c r="E13" s="20">
        <v>0</v>
      </c>
      <c r="F13" s="20">
        <v>0</v>
      </c>
      <c r="G13" s="20">
        <v>0</v>
      </c>
      <c r="H13" s="20">
        <v>0</v>
      </c>
      <c r="I13" s="20">
        <v>0</v>
      </c>
      <c r="J13" s="20">
        <v>0</v>
      </c>
      <c r="K13" s="20">
        <v>0</v>
      </c>
      <c r="L13" s="20">
        <v>0</v>
      </c>
      <c r="M13" s="20">
        <v>0</v>
      </c>
      <c r="N13" s="20">
        <v>0</v>
      </c>
      <c r="O13" s="20">
        <v>0</v>
      </c>
      <c r="P13" s="20">
        <v>0</v>
      </c>
    </row>
    <row r="14" spans="1:16" ht="14.4" x14ac:dyDescent="0.3">
      <c r="A14" s="14" t="s">
        <v>24</v>
      </c>
      <c r="B14" s="15"/>
      <c r="C14" s="16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</row>
    <row r="15" spans="1:16" ht="14.4" x14ac:dyDescent="0.3">
      <c r="A15" s="18" t="s">
        <v>25</v>
      </c>
      <c r="B15" s="19"/>
      <c r="C15" s="16" t="s">
        <v>19</v>
      </c>
      <c r="D15" s="20">
        <f>[43]SLR!D68</f>
        <v>0.48820000000000002</v>
      </c>
      <c r="E15" s="20">
        <f>[43]SLR!E68</f>
        <v>0.55189999999999995</v>
      </c>
      <c r="F15" s="20">
        <f>[43]SLR!F68</f>
        <v>0.53859999999999997</v>
      </c>
      <c r="G15" s="20">
        <f>[43]SLR!G68</f>
        <v>0.55789999999999995</v>
      </c>
      <c r="H15" s="20">
        <f>[43]SLR!H68</f>
        <v>0.51959999999999995</v>
      </c>
      <c r="I15" s="20">
        <f>[43]SLR!I68</f>
        <v>0.4672</v>
      </c>
      <c r="J15" s="20">
        <f>[43]SLR!J68</f>
        <v>0.50139999999999996</v>
      </c>
      <c r="K15" s="20">
        <f>[43]SLR!K68</f>
        <v>0.49130000000000001</v>
      </c>
      <c r="L15" s="20">
        <f>[43]SLR!L68</f>
        <v>0.43269999999999997</v>
      </c>
      <c r="M15" s="20">
        <f>[43]SLR!M68</f>
        <v>0.42549999999999999</v>
      </c>
      <c r="N15" s="20">
        <f>[43]SLR!N68</f>
        <v>0.42930000000000001</v>
      </c>
      <c r="O15" s="20">
        <f>[43]SLR!O68</f>
        <v>0.43219999999999997</v>
      </c>
      <c r="P15" s="20">
        <f>[43]SLR!P68</f>
        <v>0</v>
      </c>
    </row>
    <row r="16" spans="1:16" ht="14.4" x14ac:dyDescent="0.3">
      <c r="A16" s="14" t="s">
        <v>26</v>
      </c>
      <c r="B16" s="14"/>
      <c r="C16" s="16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</row>
    <row r="17" spans="1:16" ht="14.4" x14ac:dyDescent="0.3">
      <c r="A17" s="18" t="s">
        <v>27</v>
      </c>
      <c r="B17" s="18"/>
      <c r="C17" s="16" t="s">
        <v>19</v>
      </c>
      <c r="D17" s="20">
        <v>2.2629999999999999</v>
      </c>
      <c r="E17" s="20">
        <v>2.2629999999999999</v>
      </c>
      <c r="F17" s="20">
        <v>2.2629999999999999</v>
      </c>
      <c r="G17" s="20">
        <v>2.2629999999999999</v>
      </c>
      <c r="H17" s="20">
        <v>2.2629999999999999</v>
      </c>
      <c r="I17" s="20">
        <v>2.2629999999999999</v>
      </c>
      <c r="J17" s="20">
        <v>2.0082</v>
      </c>
      <c r="K17" s="20">
        <v>2.0082</v>
      </c>
      <c r="L17" s="20">
        <v>2.0082</v>
      </c>
      <c r="M17" s="20">
        <v>2.0082</v>
      </c>
      <c r="N17" s="20">
        <v>2.0082</v>
      </c>
      <c r="O17" s="20">
        <v>2.0082</v>
      </c>
      <c r="P17" s="20">
        <v>2.0082</v>
      </c>
    </row>
    <row r="18" spans="1:16" ht="14.4" x14ac:dyDescent="0.3">
      <c r="A18" s="18" t="s">
        <v>28</v>
      </c>
      <c r="B18" s="18"/>
      <c r="C18" s="16" t="s">
        <v>23</v>
      </c>
      <c r="D18" s="23">
        <v>0</v>
      </c>
      <c r="E18" s="23">
        <v>0</v>
      </c>
      <c r="F18" s="23">
        <v>0</v>
      </c>
      <c r="G18" s="23">
        <v>0</v>
      </c>
      <c r="H18" s="23">
        <v>0</v>
      </c>
      <c r="I18" s="23">
        <v>0</v>
      </c>
      <c r="J18" s="23">
        <v>0</v>
      </c>
      <c r="K18" s="23">
        <v>0</v>
      </c>
      <c r="L18" s="23">
        <v>0</v>
      </c>
      <c r="M18" s="23">
        <v>0</v>
      </c>
      <c r="N18" s="23">
        <v>0</v>
      </c>
      <c r="O18" s="23">
        <v>0</v>
      </c>
      <c r="P18" s="23">
        <v>0</v>
      </c>
    </row>
    <row r="19" spans="1:16" s="5" customFormat="1" ht="14.4" x14ac:dyDescent="0.3">
      <c r="A19" s="14" t="s">
        <v>29</v>
      </c>
      <c r="B19" s="14"/>
      <c r="C19" s="16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</row>
    <row r="20" spans="1:16" ht="14.4" x14ac:dyDescent="0.3">
      <c r="A20" s="18" t="s">
        <v>30</v>
      </c>
      <c r="B20" s="18"/>
      <c r="C20" s="16" t="s">
        <v>19</v>
      </c>
      <c r="D20" s="20">
        <v>0.7319</v>
      </c>
      <c r="E20" s="20">
        <v>0.7319</v>
      </c>
      <c r="F20" s="20">
        <v>0.7319</v>
      </c>
      <c r="G20" s="20">
        <v>0.7319</v>
      </c>
      <c r="H20" s="20">
        <v>0.7319</v>
      </c>
      <c r="I20" s="20">
        <v>0.7319</v>
      </c>
      <c r="J20" s="20">
        <v>0.64949999999999997</v>
      </c>
      <c r="K20" s="20">
        <v>0.64949999999999997</v>
      </c>
      <c r="L20" s="20">
        <v>0.64949999999999997</v>
      </c>
      <c r="M20" s="20">
        <v>0.64949999999999997</v>
      </c>
      <c r="N20" s="20">
        <v>0.64949999999999997</v>
      </c>
      <c r="O20" s="20">
        <v>0.64949999999999997</v>
      </c>
      <c r="P20" s="20">
        <v>0.64949999999999997</v>
      </c>
    </row>
    <row r="21" spans="1:16" ht="14.4" x14ac:dyDescent="0.3">
      <c r="A21" s="18" t="s">
        <v>31</v>
      </c>
      <c r="B21" s="18"/>
      <c r="C21" s="16" t="s">
        <v>32</v>
      </c>
      <c r="D21" s="23">
        <v>0</v>
      </c>
      <c r="E21" s="23">
        <v>0</v>
      </c>
      <c r="F21" s="23">
        <v>0</v>
      </c>
      <c r="G21" s="23">
        <v>0</v>
      </c>
      <c r="H21" s="23">
        <v>0</v>
      </c>
      <c r="I21" s="23">
        <v>0</v>
      </c>
      <c r="J21" s="23">
        <v>0</v>
      </c>
      <c r="K21" s="23">
        <v>0</v>
      </c>
      <c r="L21" s="23">
        <v>0</v>
      </c>
      <c r="M21" s="23">
        <v>0</v>
      </c>
      <c r="N21" s="23">
        <v>0</v>
      </c>
      <c r="O21" s="23">
        <v>0</v>
      </c>
      <c r="P21" s="23">
        <v>0</v>
      </c>
    </row>
    <row r="22" spans="1:16" ht="14.4" x14ac:dyDescent="0.3">
      <c r="A22" s="14" t="s">
        <v>33</v>
      </c>
      <c r="B22" s="14"/>
      <c r="C22" s="16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</row>
    <row r="23" spans="1:16" ht="14.4" x14ac:dyDescent="0.3">
      <c r="A23" s="18" t="s">
        <v>34</v>
      </c>
      <c r="B23" s="18"/>
      <c r="C23" s="16" t="s">
        <v>19</v>
      </c>
      <c r="D23" s="20">
        <v>0</v>
      </c>
      <c r="E23" s="20">
        <v>0</v>
      </c>
      <c r="F23" s="20">
        <v>0</v>
      </c>
      <c r="G23" s="20">
        <v>0</v>
      </c>
      <c r="H23" s="20">
        <v>0</v>
      </c>
      <c r="I23" s="20">
        <v>0</v>
      </c>
      <c r="J23" s="20">
        <v>0</v>
      </c>
      <c r="K23" s="20">
        <v>0</v>
      </c>
      <c r="L23" s="20">
        <v>0</v>
      </c>
      <c r="M23" s="20">
        <v>0</v>
      </c>
      <c r="N23" s="20">
        <v>0</v>
      </c>
      <c r="O23" s="20">
        <v>0</v>
      </c>
      <c r="P23" s="20">
        <v>0</v>
      </c>
    </row>
    <row r="24" spans="1:16" ht="14.4" x14ac:dyDescent="0.3">
      <c r="A24" s="18" t="s">
        <v>35</v>
      </c>
      <c r="B24" s="18"/>
      <c r="C24" s="16" t="s">
        <v>36</v>
      </c>
      <c r="D24" s="23">
        <v>0</v>
      </c>
      <c r="E24" s="23">
        <v>0</v>
      </c>
      <c r="F24" s="23">
        <v>0</v>
      </c>
      <c r="G24" s="23">
        <v>0</v>
      </c>
      <c r="H24" s="23">
        <v>0</v>
      </c>
      <c r="I24" s="23">
        <v>0</v>
      </c>
      <c r="J24" s="23">
        <v>0</v>
      </c>
      <c r="K24" s="23">
        <v>0</v>
      </c>
      <c r="L24" s="23">
        <v>0</v>
      </c>
      <c r="M24" s="23">
        <v>0</v>
      </c>
      <c r="N24" s="23">
        <v>0</v>
      </c>
      <c r="O24" s="23">
        <v>0</v>
      </c>
      <c r="P24" s="23">
        <v>0</v>
      </c>
    </row>
    <row r="25" spans="1:16" ht="14.4" x14ac:dyDescent="0.3">
      <c r="A25" s="14" t="s">
        <v>37</v>
      </c>
      <c r="B25" s="14"/>
      <c r="C25" s="16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</row>
    <row r="26" spans="1:16" ht="14.4" x14ac:dyDescent="0.3">
      <c r="A26" s="25" t="s">
        <v>38</v>
      </c>
      <c r="B26" s="18"/>
      <c r="C26" s="16" t="s">
        <v>19</v>
      </c>
      <c r="D26" s="20">
        <f>[43]LD!E36</f>
        <v>0.1215</v>
      </c>
      <c r="E26" s="20">
        <f>[43]LD!F36</f>
        <v>0.14280000000000001</v>
      </c>
      <c r="F26" s="20">
        <f>[43]LD!G36</f>
        <v>0.1462</v>
      </c>
      <c r="G26" s="20">
        <f>[43]LD!H36</f>
        <v>0.15629999999999999</v>
      </c>
      <c r="H26" s="20">
        <f>[43]LD!I36</f>
        <v>0.1152</v>
      </c>
      <c r="I26" s="20">
        <f>[43]LD!J36</f>
        <v>9.3799999999999994E-2</v>
      </c>
      <c r="J26" s="20">
        <f>[43]LD!K36</f>
        <v>7.7499999999999999E-2</v>
      </c>
      <c r="K26" s="20">
        <f>[43]LD!L36</f>
        <v>9.3200000000000005E-2</v>
      </c>
      <c r="L26" s="20">
        <f>[43]LD!M36</f>
        <v>8.5099999999999995E-2</v>
      </c>
      <c r="M26" s="20">
        <f>[43]LD!N36</f>
        <v>8.0299999999999996E-2</v>
      </c>
      <c r="N26" s="20">
        <f>[43]LD!O36</f>
        <v>8.3699999999999997E-2</v>
      </c>
      <c r="O26" s="20">
        <f>[43]LD!P36</f>
        <v>8.1699999999999995E-2</v>
      </c>
      <c r="P26" s="20">
        <f>[43]LD!Q36</f>
        <v>0</v>
      </c>
    </row>
    <row r="27" spans="1:16" ht="14.4" x14ac:dyDescent="0.3">
      <c r="A27" s="25" t="s">
        <v>39</v>
      </c>
      <c r="B27" s="18"/>
      <c r="C27" s="16" t="s">
        <v>19</v>
      </c>
      <c r="D27" s="20">
        <v>0</v>
      </c>
      <c r="E27" s="20">
        <v>0</v>
      </c>
      <c r="F27" s="20">
        <v>0</v>
      </c>
      <c r="G27" s="20">
        <v>0</v>
      </c>
      <c r="H27" s="20">
        <v>0</v>
      </c>
      <c r="I27" s="20">
        <v>0</v>
      </c>
      <c r="J27" s="20">
        <v>0</v>
      </c>
      <c r="K27" s="20">
        <v>0</v>
      </c>
      <c r="L27" s="20">
        <v>0</v>
      </c>
      <c r="M27" s="20">
        <v>0</v>
      </c>
      <c r="N27" s="20">
        <v>0</v>
      </c>
      <c r="O27" s="20">
        <v>0</v>
      </c>
      <c r="P27" s="20">
        <v>0</v>
      </c>
    </row>
    <row r="28" spans="1:16" ht="14.4" x14ac:dyDescent="0.3">
      <c r="A28" s="26" t="s">
        <v>40</v>
      </c>
      <c r="B28" s="18"/>
      <c r="C28" s="16" t="s">
        <v>19</v>
      </c>
      <c r="D28" s="20">
        <f>'[43]SR CIT. SUBSIDY'!E95</f>
        <v>1E-4</v>
      </c>
      <c r="E28" s="20">
        <f>'[43]SR CIT. SUBSIDY'!F95</f>
        <v>1E-4</v>
      </c>
      <c r="F28" s="20">
        <f>'[43]SR CIT. SUBSIDY'!G95</f>
        <v>1E-4</v>
      </c>
      <c r="G28" s="20">
        <f>'[43]SR CIT. SUBSIDY'!H95</f>
        <v>1E-4</v>
      </c>
      <c r="H28" s="20">
        <f>'[43]SR CIT. SUBSIDY'!I95</f>
        <v>1E-4</v>
      </c>
      <c r="I28" s="20">
        <f>'[43]SR CIT. SUBSIDY'!J95</f>
        <v>1E-4</v>
      </c>
      <c r="J28" s="20">
        <f>'[43]SR CIT. SUBSIDY'!K95</f>
        <v>1E-4</v>
      </c>
      <c r="K28" s="20">
        <f>'[43]SR CIT. SUBSIDY'!L95</f>
        <v>1E-4</v>
      </c>
      <c r="L28" s="20">
        <f>'[43]SR CIT. SUBSIDY'!M95</f>
        <v>1E-4</v>
      </c>
      <c r="M28" s="20">
        <f>'[43]SR CIT. SUBSIDY'!N95</f>
        <v>1E-4</v>
      </c>
      <c r="N28" s="20">
        <f>'[43]SR CIT. SUBSIDY'!O95</f>
        <v>1E-4</v>
      </c>
      <c r="O28" s="20">
        <f>'[43]SR CIT. SUBSIDY'!P95</f>
        <v>1E-4</v>
      </c>
      <c r="P28" s="20">
        <f>'[43]SR CIT. SUBSIDY'!Q95</f>
        <v>0</v>
      </c>
    </row>
    <row r="29" spans="1:16" ht="14.4" x14ac:dyDescent="0.3">
      <c r="A29" s="26" t="s">
        <v>41</v>
      </c>
      <c r="B29" s="18"/>
      <c r="C29" s="16" t="s">
        <v>19</v>
      </c>
      <c r="D29" s="20">
        <v>0</v>
      </c>
      <c r="E29" s="20">
        <v>0</v>
      </c>
      <c r="F29" s="20">
        <v>0</v>
      </c>
      <c r="G29" s="20">
        <v>0</v>
      </c>
      <c r="H29" s="20">
        <v>0</v>
      </c>
      <c r="I29" s="20">
        <v>0</v>
      </c>
      <c r="J29" s="20">
        <v>0</v>
      </c>
      <c r="K29" s="20">
        <v>0</v>
      </c>
      <c r="L29" s="20">
        <v>0</v>
      </c>
      <c r="M29" s="20">
        <v>0</v>
      </c>
      <c r="N29" s="20">
        <v>0</v>
      </c>
      <c r="O29" s="20">
        <v>0</v>
      </c>
      <c r="P29" s="20">
        <v>0</v>
      </c>
    </row>
    <row r="30" spans="1:16" ht="14.4" hidden="1" x14ac:dyDescent="0.3">
      <c r="A30" s="154" t="s">
        <v>181</v>
      </c>
      <c r="B30" s="155"/>
      <c r="C30" s="16" t="s">
        <v>19</v>
      </c>
      <c r="D30" s="20">
        <v>0</v>
      </c>
      <c r="E30" s="20">
        <v>0</v>
      </c>
      <c r="F30" s="20">
        <v>0</v>
      </c>
      <c r="G30" s="20">
        <v>0</v>
      </c>
      <c r="H30" s="20">
        <v>0</v>
      </c>
      <c r="I30" s="20">
        <v>0</v>
      </c>
      <c r="J30" s="20">
        <v>0</v>
      </c>
      <c r="K30" s="20">
        <v>0</v>
      </c>
      <c r="L30" s="20">
        <v>0</v>
      </c>
      <c r="M30" s="20">
        <v>0</v>
      </c>
      <c r="N30" s="20">
        <v>0</v>
      </c>
      <c r="O30" s="20">
        <v>0</v>
      </c>
      <c r="P30" s="20">
        <v>0</v>
      </c>
    </row>
    <row r="31" spans="1:16" ht="16.2" hidden="1" x14ac:dyDescent="0.3">
      <c r="A31" s="154" t="s">
        <v>182</v>
      </c>
      <c r="B31" s="155"/>
      <c r="C31" s="16" t="s">
        <v>19</v>
      </c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</row>
    <row r="32" spans="1:16" ht="16.2" hidden="1" x14ac:dyDescent="0.3">
      <c r="A32" s="154" t="s">
        <v>182</v>
      </c>
      <c r="B32" s="156"/>
      <c r="C32" s="16" t="s">
        <v>19</v>
      </c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</row>
    <row r="33" spans="1:16" ht="14.4" x14ac:dyDescent="0.3">
      <c r="A33" s="14" t="s">
        <v>42</v>
      </c>
      <c r="B33" s="14"/>
      <c r="C33" s="16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</row>
    <row r="34" spans="1:16" ht="14.4" x14ac:dyDescent="0.3">
      <c r="A34" s="14" t="s">
        <v>43</v>
      </c>
      <c r="B34" s="14"/>
      <c r="C34" s="16" t="s">
        <v>44</v>
      </c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</row>
    <row r="35" spans="1:16" ht="14.4" hidden="1" x14ac:dyDescent="0.3">
      <c r="A35" s="14" t="s">
        <v>183</v>
      </c>
      <c r="B35" s="14"/>
      <c r="C35" s="16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</row>
    <row r="36" spans="1:16" ht="14.4" hidden="1" x14ac:dyDescent="0.3">
      <c r="A36" s="14" t="s">
        <v>184</v>
      </c>
      <c r="B36" s="14"/>
      <c r="C36" s="16" t="s">
        <v>19</v>
      </c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</row>
    <row r="37" spans="1:16" ht="14.4" x14ac:dyDescent="0.3">
      <c r="A37" s="14" t="s">
        <v>45</v>
      </c>
      <c r="B37" s="14"/>
      <c r="C37" s="16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</row>
    <row r="38" spans="1:16" ht="14.4" x14ac:dyDescent="0.3">
      <c r="A38" s="14" t="s">
        <v>46</v>
      </c>
      <c r="B38" s="14"/>
      <c r="C38" s="16" t="s">
        <v>19</v>
      </c>
      <c r="D38" s="20">
        <v>0</v>
      </c>
      <c r="E38" s="20">
        <v>0</v>
      </c>
      <c r="F38" s="20">
        <v>0</v>
      </c>
      <c r="G38" s="20">
        <v>0</v>
      </c>
      <c r="H38" s="20">
        <v>0</v>
      </c>
      <c r="I38" s="20">
        <v>0</v>
      </c>
      <c r="J38" s="20">
        <v>0</v>
      </c>
      <c r="K38" s="20">
        <v>0</v>
      </c>
      <c r="L38" s="20">
        <v>0</v>
      </c>
      <c r="M38" s="20">
        <v>0</v>
      </c>
      <c r="N38" s="20">
        <v>0</v>
      </c>
      <c r="O38" s="20">
        <v>0</v>
      </c>
      <c r="P38" s="20">
        <v>0</v>
      </c>
    </row>
    <row r="39" spans="1:16" ht="14.4" hidden="1" x14ac:dyDescent="0.3">
      <c r="A39" s="14" t="s">
        <v>185</v>
      </c>
      <c r="B39" s="14"/>
      <c r="C39" s="16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</row>
    <row r="40" spans="1:16" ht="14.4" hidden="1" x14ac:dyDescent="0.3">
      <c r="A40" s="14" t="s">
        <v>186</v>
      </c>
      <c r="B40" s="14"/>
      <c r="C40" s="16" t="s">
        <v>19</v>
      </c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</row>
    <row r="41" spans="1:16" ht="14.4" x14ac:dyDescent="0.3">
      <c r="A41" s="14" t="s">
        <v>47</v>
      </c>
      <c r="B41" s="14"/>
      <c r="C41" s="16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</row>
    <row r="42" spans="1:16" ht="14.4" x14ac:dyDescent="0.3">
      <c r="A42" s="18" t="s">
        <v>48</v>
      </c>
      <c r="B42" s="18"/>
      <c r="C42" s="16" t="s">
        <v>19</v>
      </c>
      <c r="D42" s="20">
        <v>0.15609999999999999</v>
      </c>
      <c r="E42" s="20">
        <v>0.15609999999999999</v>
      </c>
      <c r="F42" s="20">
        <v>0.15609999999999999</v>
      </c>
      <c r="G42" s="20">
        <v>0.15609999999999999</v>
      </c>
      <c r="H42" s="20">
        <v>0.15609999999999999</v>
      </c>
      <c r="I42" s="20">
        <v>0.15609999999999999</v>
      </c>
      <c r="J42" s="20">
        <v>0.15609999999999999</v>
      </c>
      <c r="K42" s="20">
        <v>0.15609999999999999</v>
      </c>
      <c r="L42" s="20">
        <v>0.15609999999999999</v>
      </c>
      <c r="M42" s="20">
        <v>0.15609999999999999</v>
      </c>
      <c r="N42" s="20">
        <v>0.15609999999999999</v>
      </c>
      <c r="O42" s="20">
        <v>0.15609999999999999</v>
      </c>
      <c r="P42" s="20">
        <v>0.15609999999999999</v>
      </c>
    </row>
    <row r="43" spans="1:16" ht="14.4" x14ac:dyDescent="0.3">
      <c r="A43" s="18" t="s">
        <v>49</v>
      </c>
      <c r="B43" s="18"/>
      <c r="C43" s="16" t="s">
        <v>19</v>
      </c>
      <c r="D43" s="20">
        <v>2.5000000000000001E-3</v>
      </c>
      <c r="E43" s="20">
        <v>2.5000000000000001E-3</v>
      </c>
      <c r="F43" s="20">
        <v>2.5000000000000001E-3</v>
      </c>
      <c r="G43" s="20">
        <v>2.5000000000000001E-3</v>
      </c>
      <c r="H43" s="20">
        <v>2.5000000000000001E-3</v>
      </c>
      <c r="I43" s="20">
        <v>2.5000000000000001E-3</v>
      </c>
      <c r="J43" s="20">
        <v>2.5000000000000001E-3</v>
      </c>
      <c r="K43" s="20">
        <v>2.5000000000000001E-3</v>
      </c>
      <c r="L43" s="20">
        <v>2.5000000000000001E-3</v>
      </c>
      <c r="M43" s="20">
        <v>2.5000000000000001E-3</v>
      </c>
      <c r="N43" s="20">
        <v>2.5000000000000001E-3</v>
      </c>
      <c r="O43" s="20">
        <v>2.5000000000000001E-3</v>
      </c>
      <c r="P43" s="20">
        <v>2.5000000000000001E-3</v>
      </c>
    </row>
    <row r="44" spans="1:16" ht="14.4" x14ac:dyDescent="0.3">
      <c r="A44" s="18" t="s">
        <v>50</v>
      </c>
      <c r="B44" s="18"/>
      <c r="C44" s="16" t="s">
        <v>19</v>
      </c>
      <c r="D44" s="20">
        <v>0.1938</v>
      </c>
      <c r="E44" s="20">
        <v>0.1938</v>
      </c>
      <c r="F44" s="20">
        <v>0.1938</v>
      </c>
      <c r="G44" s="20">
        <v>0.1938</v>
      </c>
      <c r="H44" s="20">
        <v>0.1938</v>
      </c>
      <c r="I44" s="20">
        <v>0.1938</v>
      </c>
      <c r="J44" s="20">
        <v>0.1938</v>
      </c>
      <c r="K44" s="20">
        <v>0.1938</v>
      </c>
      <c r="L44" s="20">
        <v>0.1938</v>
      </c>
      <c r="M44" s="20">
        <v>0.1938</v>
      </c>
      <c r="N44" s="20">
        <v>0.1938</v>
      </c>
      <c r="O44" s="20">
        <v>0.1938</v>
      </c>
      <c r="P44" s="20">
        <v>0.1938</v>
      </c>
    </row>
    <row r="45" spans="1:16" ht="14.4" x14ac:dyDescent="0.3">
      <c r="A45" s="14" t="s">
        <v>51</v>
      </c>
      <c r="B45" s="14"/>
      <c r="C45" s="16" t="s">
        <v>19</v>
      </c>
      <c r="D45" s="20">
        <v>0</v>
      </c>
      <c r="E45" s="20">
        <v>4.0599999999999997E-2</v>
      </c>
      <c r="F45" s="20">
        <v>4.0599999999999997E-2</v>
      </c>
      <c r="G45" s="20">
        <v>4.0599999999999997E-2</v>
      </c>
      <c r="H45" s="20">
        <v>4.0599999999999997E-2</v>
      </c>
      <c r="I45" s="20">
        <v>4.0599999999999997E-2</v>
      </c>
      <c r="J45" s="20">
        <v>4.0599999999999997E-2</v>
      </c>
      <c r="K45" s="20">
        <v>4.0599999999999997E-2</v>
      </c>
      <c r="L45" s="20">
        <v>4.0599999999999997E-2</v>
      </c>
      <c r="M45" s="20">
        <v>4.0599999999999997E-2</v>
      </c>
      <c r="N45" s="20">
        <v>4.0599999999999997E-2</v>
      </c>
      <c r="O45" s="20">
        <v>4.0599999999999997E-2</v>
      </c>
      <c r="P45" s="20">
        <v>4.0599999999999997E-2</v>
      </c>
    </row>
    <row r="46" spans="1:16" ht="14.4" x14ac:dyDescent="0.3">
      <c r="A46" s="14" t="s">
        <v>52</v>
      </c>
      <c r="B46" s="14"/>
      <c r="C46" s="29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</row>
    <row r="47" spans="1:16" ht="14.4" x14ac:dyDescent="0.3">
      <c r="A47" s="18" t="s">
        <v>53</v>
      </c>
      <c r="B47" s="18"/>
      <c r="C47" s="16" t="s">
        <v>44</v>
      </c>
      <c r="D47" s="30">
        <f>'[43]DU VAT'!D19</f>
        <v>0.1154</v>
      </c>
      <c r="E47" s="30">
        <f>'[43]DU VAT'!E19</f>
        <v>0.1143</v>
      </c>
      <c r="F47" s="30">
        <f>'[43]DU VAT'!F19</f>
        <v>0.11269999999999999</v>
      </c>
      <c r="G47" s="30">
        <f>'[43]DU VAT'!G19</f>
        <v>0.11459999999999999</v>
      </c>
      <c r="H47" s="30">
        <f>'[43]DU VAT'!H19</f>
        <v>0.1134</v>
      </c>
      <c r="I47" s="30">
        <f>'[43]DU VAT'!I19</f>
        <v>0.11219999999999999</v>
      </c>
      <c r="J47" s="30">
        <f>'[43]DU VAT'!J19</f>
        <v>0.1079</v>
      </c>
      <c r="K47" s="30">
        <f>'[43]DU VAT'!K19</f>
        <v>0.10639999999999999</v>
      </c>
      <c r="L47" s="30">
        <f>'[43]DU VAT'!L19</f>
        <v>0.1089</v>
      </c>
      <c r="M47" s="30">
        <f>'[43]DU VAT'!M19</f>
        <v>0.1143</v>
      </c>
      <c r="N47" s="30">
        <f>'[43]DU VAT'!N19</f>
        <v>0.1145</v>
      </c>
      <c r="O47" s="30">
        <f>'[43]DU VAT'!O19</f>
        <v>0.11310000000000001</v>
      </c>
      <c r="P47" s="30" t="e">
        <f>'[43]DU VAT'!P19</f>
        <v>#DIV/0!</v>
      </c>
    </row>
    <row r="48" spans="1:16" ht="14.4" x14ac:dyDescent="0.3">
      <c r="A48" s="18" t="s">
        <v>54</v>
      </c>
      <c r="B48" s="18"/>
      <c r="C48" s="16" t="s">
        <v>44</v>
      </c>
      <c r="D48" s="30">
        <f>'[43]DU VAT'!D27</f>
        <v>3.3E-3</v>
      </c>
      <c r="E48" s="30">
        <f>'[43]DU VAT'!E27</f>
        <v>3.5999999999999999E-3</v>
      </c>
      <c r="F48" s="30">
        <f>'[43]DU VAT'!F27</f>
        <v>5.5999999999999999E-3</v>
      </c>
      <c r="G48" s="30">
        <f>'[43]DU VAT'!G27</f>
        <v>1.0699999999999999E-2</v>
      </c>
      <c r="H48" s="30">
        <f>'[43]DU VAT'!H27</f>
        <v>2.8400000000000002E-2</v>
      </c>
      <c r="I48" s="30">
        <f>'[43]DU VAT'!I27</f>
        <v>2.7400000000000001E-2</v>
      </c>
      <c r="J48" s="30">
        <f>'[43]DU VAT'!J27</f>
        <v>2.18E-2</v>
      </c>
      <c r="K48" s="30">
        <f>'[43]DU VAT'!K27</f>
        <v>8.9999999999999993E-3</v>
      </c>
      <c r="L48" s="30">
        <f>'[43]DU VAT'!L27</f>
        <v>8.3999999999999995E-3</v>
      </c>
      <c r="M48" s="30">
        <f>'[43]DU VAT'!M27</f>
        <v>6.1999999999999998E-3</v>
      </c>
      <c r="N48" s="30">
        <f>'[43]DU VAT'!N27</f>
        <v>4.7000000000000002E-3</v>
      </c>
      <c r="O48" s="30">
        <f>'[43]DU VAT'!O27</f>
        <v>6.1999999999999998E-3</v>
      </c>
      <c r="P48" s="30">
        <f>'[43]DU VAT'!P27</f>
        <v>-3.0300000000000001E-2</v>
      </c>
    </row>
    <row r="49" spans="1:16" ht="14.4" x14ac:dyDescent="0.3">
      <c r="A49" s="18" t="s">
        <v>55</v>
      </c>
      <c r="B49" s="18"/>
      <c r="C49" s="16" t="s">
        <v>44</v>
      </c>
      <c r="D49" s="30">
        <f>'[43]DU VAT'!D35</f>
        <v>9.8100000000000007E-2</v>
      </c>
      <c r="E49" s="30">
        <f>'[43]DU VAT'!E35</f>
        <v>9.64E-2</v>
      </c>
      <c r="F49" s="30">
        <f>'[43]DU VAT'!F35</f>
        <v>9.69E-2</v>
      </c>
      <c r="G49" s="30">
        <f>'[43]DU VAT'!G35</f>
        <v>9.9299999999999999E-2</v>
      </c>
      <c r="H49" s="30">
        <f>'[43]DU VAT'!H35</f>
        <v>9.9099999999999994E-2</v>
      </c>
      <c r="I49" s="30">
        <f>'[43]DU VAT'!I35</f>
        <v>9.8500000000000004E-2</v>
      </c>
      <c r="J49" s="30">
        <f>'[43]DU VAT'!J35</f>
        <v>9.5299999999999996E-2</v>
      </c>
      <c r="K49" s="30">
        <f>'[43]DU VAT'!K35</f>
        <v>9.1800000000000007E-2</v>
      </c>
      <c r="L49" s="30">
        <f>'[43]DU VAT'!L35</f>
        <v>9.3399999999999997E-2</v>
      </c>
      <c r="M49" s="30">
        <f>'[43]DU VAT'!M35</f>
        <v>9.7199999999999995E-2</v>
      </c>
      <c r="N49" s="30">
        <f>'[43]DU VAT'!N35</f>
        <v>9.6799999999999997E-2</v>
      </c>
      <c r="O49" s="30">
        <f>'[43]DU VAT'!O35</f>
        <v>9.6199999999999994E-2</v>
      </c>
      <c r="P49" s="30" t="e">
        <f>'[43]DU VAT'!P35</f>
        <v>#DIV/0!</v>
      </c>
    </row>
    <row r="50" spans="1:16" ht="14.4" hidden="1" x14ac:dyDescent="0.3">
      <c r="A50" s="18" t="s">
        <v>187</v>
      </c>
      <c r="B50" s="18"/>
      <c r="C50" s="16" t="s">
        <v>44</v>
      </c>
      <c r="D50" s="27">
        <v>0</v>
      </c>
      <c r="E50" s="27">
        <v>0</v>
      </c>
      <c r="F50" s="27">
        <v>0</v>
      </c>
      <c r="G50" s="27">
        <v>0</v>
      </c>
      <c r="H50" s="27">
        <v>0</v>
      </c>
      <c r="I50" s="27">
        <v>0</v>
      </c>
      <c r="J50" s="27">
        <v>0</v>
      </c>
      <c r="K50" s="27">
        <v>0</v>
      </c>
      <c r="L50" s="27">
        <v>0</v>
      </c>
      <c r="M50" s="27">
        <v>0</v>
      </c>
      <c r="N50" s="27">
        <v>0</v>
      </c>
      <c r="O50" s="27">
        <v>0</v>
      </c>
      <c r="P50" s="27">
        <v>0</v>
      </c>
    </row>
    <row r="51" spans="1:16" ht="14.4" x14ac:dyDescent="0.3">
      <c r="A51" s="18" t="s">
        <v>56</v>
      </c>
      <c r="B51" s="18"/>
      <c r="C51" s="16" t="s">
        <v>44</v>
      </c>
      <c r="D51" s="30">
        <v>0.12</v>
      </c>
      <c r="E51" s="30">
        <v>0.12</v>
      </c>
      <c r="F51" s="30">
        <v>0.12</v>
      </c>
      <c r="G51" s="30">
        <v>0.12</v>
      </c>
      <c r="H51" s="30">
        <v>0.12</v>
      </c>
      <c r="I51" s="30">
        <v>0.12</v>
      </c>
      <c r="J51" s="30">
        <v>0.12</v>
      </c>
      <c r="K51" s="30">
        <v>0.12</v>
      </c>
      <c r="L51" s="30">
        <v>0.12</v>
      </c>
      <c r="M51" s="30">
        <v>0.12</v>
      </c>
      <c r="N51" s="30">
        <v>0.12</v>
      </c>
      <c r="O51" s="30">
        <v>0.12</v>
      </c>
      <c r="P51" s="30">
        <v>0.12</v>
      </c>
    </row>
    <row r="52" spans="1:16" ht="14.4" x14ac:dyDescent="0.3">
      <c r="A52" s="18" t="s">
        <v>57</v>
      </c>
      <c r="B52" s="18"/>
      <c r="C52" s="16" t="s">
        <v>44</v>
      </c>
      <c r="D52" s="30">
        <v>0.12</v>
      </c>
      <c r="E52" s="30">
        <v>0.12</v>
      </c>
      <c r="F52" s="30">
        <v>0.12</v>
      </c>
      <c r="G52" s="30">
        <v>0.12</v>
      </c>
      <c r="H52" s="30">
        <v>0.12</v>
      </c>
      <c r="I52" s="30">
        <v>0.12</v>
      </c>
      <c r="J52" s="30">
        <v>0.12</v>
      </c>
      <c r="K52" s="30">
        <v>0.12</v>
      </c>
      <c r="L52" s="30">
        <v>0.12</v>
      </c>
      <c r="M52" s="30">
        <v>0.12</v>
      </c>
      <c r="N52" s="30">
        <v>0.12</v>
      </c>
      <c r="O52" s="30">
        <v>0.12</v>
      </c>
      <c r="P52" s="30">
        <v>0.12</v>
      </c>
    </row>
    <row r="53" spans="1:16" s="5" customFormat="1" x14ac:dyDescent="0.3">
      <c r="A53" s="31"/>
      <c r="B53" s="31"/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</row>
    <row r="54" spans="1:16" x14ac:dyDescent="0.3">
      <c r="A54" s="3" t="s">
        <v>58</v>
      </c>
    </row>
    <row r="55" spans="1:16" x14ac:dyDescent="0.3">
      <c r="A55" s="33"/>
    </row>
    <row r="56" spans="1:16" ht="18" x14ac:dyDescent="0.35">
      <c r="A56" s="9" t="str">
        <f>'[43]Statistical data'!A218</f>
        <v xml:space="preserve">Residential </v>
      </c>
      <c r="B56" s="9"/>
      <c r="C56" s="5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</row>
    <row r="57" spans="1:16" s="13" customFormat="1" ht="14.4" x14ac:dyDescent="0.3">
      <c r="A57" s="11" t="s">
        <v>3</v>
      </c>
      <c r="B57" s="11"/>
      <c r="C57" s="11" t="s">
        <v>4</v>
      </c>
      <c r="D57" s="12" t="str">
        <f t="shared" ref="D57:P57" si="1">D7</f>
        <v>JAN</v>
      </c>
      <c r="E57" s="12" t="str">
        <f t="shared" si="1"/>
        <v>FEB</v>
      </c>
      <c r="F57" s="12" t="str">
        <f t="shared" si="1"/>
        <v>MAR</v>
      </c>
      <c r="G57" s="12" t="str">
        <f t="shared" si="1"/>
        <v>APR</v>
      </c>
      <c r="H57" s="12" t="str">
        <f t="shared" si="1"/>
        <v>MAY</v>
      </c>
      <c r="I57" s="12" t="str">
        <f t="shared" si="1"/>
        <v>JUN</v>
      </c>
      <c r="J57" s="12" t="str">
        <f t="shared" si="1"/>
        <v>JUL</v>
      </c>
      <c r="K57" s="12" t="str">
        <f t="shared" si="1"/>
        <v>AUG</v>
      </c>
      <c r="L57" s="12" t="str">
        <f t="shared" si="1"/>
        <v>SEP</v>
      </c>
      <c r="M57" s="12" t="str">
        <f t="shared" si="1"/>
        <v>OCT</v>
      </c>
      <c r="N57" s="12" t="str">
        <f t="shared" si="1"/>
        <v>NOV</v>
      </c>
      <c r="O57" s="12" t="str">
        <f t="shared" si="1"/>
        <v>DEC</v>
      </c>
      <c r="P57" s="12" t="str">
        <f t="shared" si="1"/>
        <v>JAN</v>
      </c>
    </row>
    <row r="58" spans="1:16" ht="14.4" x14ac:dyDescent="0.3">
      <c r="A58" s="34" t="s">
        <v>17</v>
      </c>
      <c r="B58" s="35"/>
      <c r="C58" s="36"/>
      <c r="D58" s="37"/>
      <c r="E58" s="37"/>
      <c r="F58" s="37"/>
      <c r="G58" s="37"/>
      <c r="H58" s="37"/>
      <c r="I58" s="37"/>
      <c r="J58" s="37"/>
      <c r="K58" s="37"/>
      <c r="L58" s="37"/>
      <c r="M58" s="37"/>
      <c r="N58" s="37"/>
      <c r="O58" s="37"/>
      <c r="P58" s="37"/>
    </row>
    <row r="59" spans="1:16" ht="14.4" x14ac:dyDescent="0.3">
      <c r="A59" s="38" t="s">
        <v>18</v>
      </c>
      <c r="B59" s="39"/>
      <c r="C59" s="36" t="s">
        <v>19</v>
      </c>
      <c r="D59" s="40" t="s">
        <v>59</v>
      </c>
      <c r="E59" s="40" t="s">
        <v>59</v>
      </c>
      <c r="F59" s="40" t="s">
        <v>59</v>
      </c>
      <c r="G59" s="40" t="s">
        <v>59</v>
      </c>
      <c r="H59" s="40" t="s">
        <v>59</v>
      </c>
      <c r="I59" s="40" t="s">
        <v>59</v>
      </c>
      <c r="J59" s="40" t="s">
        <v>59</v>
      </c>
      <c r="K59" s="40" t="s">
        <v>59</v>
      </c>
      <c r="L59" s="40" t="s">
        <v>59</v>
      </c>
      <c r="M59" s="40" t="s">
        <v>59</v>
      </c>
      <c r="N59" s="40" t="s">
        <v>59</v>
      </c>
      <c r="O59" s="40" t="s">
        <v>59</v>
      </c>
      <c r="P59" s="40" t="s">
        <v>59</v>
      </c>
    </row>
    <row r="60" spans="1:16" ht="14.4" hidden="1" x14ac:dyDescent="0.3">
      <c r="A60" s="38" t="s">
        <v>66</v>
      </c>
      <c r="B60" s="39"/>
      <c r="C60" s="36" t="s">
        <v>19</v>
      </c>
      <c r="D60" s="20">
        <v>0</v>
      </c>
      <c r="E60" s="20">
        <v>0</v>
      </c>
      <c r="F60" s="20">
        <v>0</v>
      </c>
      <c r="G60" s="20">
        <v>0</v>
      </c>
      <c r="H60" s="20">
        <v>0</v>
      </c>
      <c r="I60" s="20">
        <v>0</v>
      </c>
      <c r="J60" s="20">
        <v>0</v>
      </c>
      <c r="K60" s="20">
        <v>0</v>
      </c>
      <c r="L60" s="20">
        <v>0</v>
      </c>
      <c r="M60" s="20">
        <v>0</v>
      </c>
      <c r="N60" s="20">
        <v>0</v>
      </c>
      <c r="O60" s="20">
        <v>0</v>
      </c>
      <c r="P60" s="20">
        <v>0</v>
      </c>
    </row>
    <row r="61" spans="1:16" ht="14.4" x14ac:dyDescent="0.3">
      <c r="A61" s="34" t="s">
        <v>20</v>
      </c>
      <c r="B61" s="35"/>
      <c r="C61" s="36"/>
      <c r="D61" s="41"/>
      <c r="E61" s="41"/>
      <c r="F61" s="41"/>
      <c r="G61" s="41"/>
      <c r="H61" s="41"/>
      <c r="I61" s="41"/>
      <c r="J61" s="41"/>
      <c r="K61" s="41"/>
      <c r="L61" s="41"/>
      <c r="M61" s="41"/>
      <c r="N61" s="41"/>
      <c r="O61" s="41"/>
      <c r="P61" s="41"/>
    </row>
    <row r="62" spans="1:16" ht="14.4" x14ac:dyDescent="0.3">
      <c r="A62" s="38" t="s">
        <v>21</v>
      </c>
      <c r="B62" s="39"/>
      <c r="C62" s="36" t="s">
        <v>19</v>
      </c>
      <c r="D62" s="42">
        <f>[43]TR!D55</f>
        <v>0.86499999999999999</v>
      </c>
      <c r="E62" s="42">
        <f>[43]TR!E55</f>
        <v>0.99150000000000005</v>
      </c>
      <c r="F62" s="42">
        <f>[43]TR!F55</f>
        <v>0.94650000000000001</v>
      </c>
      <c r="G62" s="42">
        <f>[43]TR!G55</f>
        <v>0.93859999999999999</v>
      </c>
      <c r="H62" s="42">
        <f>[43]TR!H55</f>
        <v>0.99029999999999996</v>
      </c>
      <c r="I62" s="42">
        <f>[43]TR!I55</f>
        <v>0.90310000000000001</v>
      </c>
      <c r="J62" s="42">
        <f>[43]TR!J55</f>
        <v>0.85160000000000002</v>
      </c>
      <c r="K62" s="42">
        <f>[43]TR!K55</f>
        <v>0.81059999999999999</v>
      </c>
      <c r="L62" s="42">
        <f>[43]TR!L55</f>
        <v>0.77400000000000002</v>
      </c>
      <c r="M62" s="42">
        <f>[43]TR!M55</f>
        <v>0.78649999999999998</v>
      </c>
      <c r="N62" s="42">
        <f>[43]TR!N55</f>
        <v>0.80579999999999996</v>
      </c>
      <c r="O62" s="42">
        <f>[43]TR!O55</f>
        <v>0.81279999999999997</v>
      </c>
      <c r="P62" s="42">
        <f>[43]TR!P55</f>
        <v>0</v>
      </c>
    </row>
    <row r="63" spans="1:16" ht="14.4" x14ac:dyDescent="0.3">
      <c r="A63" s="38" t="s">
        <v>22</v>
      </c>
      <c r="B63" s="39"/>
      <c r="C63" s="36" t="s">
        <v>23</v>
      </c>
      <c r="D63" s="43">
        <v>0</v>
      </c>
      <c r="E63" s="43">
        <v>0</v>
      </c>
      <c r="F63" s="43">
        <v>0</v>
      </c>
      <c r="G63" s="43">
        <v>0</v>
      </c>
      <c r="H63" s="43">
        <v>0</v>
      </c>
      <c r="I63" s="43">
        <v>0</v>
      </c>
      <c r="J63" s="43">
        <v>0</v>
      </c>
      <c r="K63" s="43">
        <v>0</v>
      </c>
      <c r="L63" s="43">
        <v>0</v>
      </c>
      <c r="M63" s="43">
        <v>0</v>
      </c>
      <c r="N63" s="43">
        <v>0</v>
      </c>
      <c r="O63" s="43">
        <v>0</v>
      </c>
      <c r="P63" s="43">
        <v>0</v>
      </c>
    </row>
    <row r="64" spans="1:16" ht="14.4" x14ac:dyDescent="0.3">
      <c r="A64" s="34" t="s">
        <v>24</v>
      </c>
      <c r="B64" s="35"/>
      <c r="C64" s="36"/>
      <c r="D64" s="41"/>
      <c r="E64" s="41"/>
      <c r="F64" s="41"/>
      <c r="G64" s="41"/>
      <c r="H64" s="41"/>
      <c r="I64" s="41"/>
      <c r="J64" s="41"/>
      <c r="K64" s="41"/>
      <c r="L64" s="41"/>
      <c r="M64" s="41"/>
      <c r="N64" s="41"/>
      <c r="O64" s="41"/>
      <c r="P64" s="41"/>
    </row>
    <row r="65" spans="1:16" ht="14.4" x14ac:dyDescent="0.3">
      <c r="A65" s="38" t="s">
        <v>25</v>
      </c>
      <c r="B65" s="39"/>
      <c r="C65" s="36" t="s">
        <v>19</v>
      </c>
      <c r="D65" s="42">
        <f t="shared" ref="D65:P65" si="2">D15</f>
        <v>0.48820000000000002</v>
      </c>
      <c r="E65" s="42">
        <f t="shared" si="2"/>
        <v>0.55189999999999995</v>
      </c>
      <c r="F65" s="42">
        <f t="shared" si="2"/>
        <v>0.53859999999999997</v>
      </c>
      <c r="G65" s="42">
        <f t="shared" si="2"/>
        <v>0.55789999999999995</v>
      </c>
      <c r="H65" s="42">
        <f t="shared" si="2"/>
        <v>0.51959999999999995</v>
      </c>
      <c r="I65" s="42">
        <f t="shared" si="2"/>
        <v>0.4672</v>
      </c>
      <c r="J65" s="42">
        <f t="shared" si="2"/>
        <v>0.50139999999999996</v>
      </c>
      <c r="K65" s="42">
        <f t="shared" si="2"/>
        <v>0.49130000000000001</v>
      </c>
      <c r="L65" s="42">
        <f t="shared" si="2"/>
        <v>0.43269999999999997</v>
      </c>
      <c r="M65" s="42">
        <f t="shared" si="2"/>
        <v>0.42549999999999999</v>
      </c>
      <c r="N65" s="42">
        <f t="shared" si="2"/>
        <v>0.42930000000000001</v>
      </c>
      <c r="O65" s="42">
        <f t="shared" si="2"/>
        <v>0.43219999999999997</v>
      </c>
      <c r="P65" s="42">
        <f t="shared" si="2"/>
        <v>0</v>
      </c>
    </row>
    <row r="66" spans="1:16" ht="14.4" x14ac:dyDescent="0.3">
      <c r="A66" s="34" t="s">
        <v>26</v>
      </c>
      <c r="B66" s="34"/>
      <c r="C66" s="36"/>
      <c r="D66" s="44"/>
      <c r="E66" s="44"/>
      <c r="F66" s="44"/>
      <c r="G66" s="44"/>
      <c r="H66" s="44"/>
      <c r="I66" s="44"/>
      <c r="J66" s="44"/>
      <c r="K66" s="44"/>
      <c r="L66" s="44"/>
      <c r="M66" s="44"/>
      <c r="N66" s="44"/>
      <c r="O66" s="44"/>
      <c r="P66" s="44"/>
    </row>
    <row r="67" spans="1:16" ht="14.4" x14ac:dyDescent="0.3">
      <c r="A67" s="38" t="s">
        <v>27</v>
      </c>
      <c r="B67" s="38"/>
      <c r="C67" s="36" t="s">
        <v>19</v>
      </c>
      <c r="D67" s="40" t="s">
        <v>60</v>
      </c>
      <c r="E67" s="40" t="s">
        <v>60</v>
      </c>
      <c r="F67" s="40" t="s">
        <v>60</v>
      </c>
      <c r="G67" s="40" t="s">
        <v>60</v>
      </c>
      <c r="H67" s="40" t="s">
        <v>60</v>
      </c>
      <c r="I67" s="40" t="s">
        <v>60</v>
      </c>
      <c r="J67" s="40" t="s">
        <v>60</v>
      </c>
      <c r="K67" s="40" t="s">
        <v>60</v>
      </c>
      <c r="L67" s="40" t="s">
        <v>60</v>
      </c>
      <c r="M67" s="40" t="s">
        <v>60</v>
      </c>
      <c r="N67" s="40" t="s">
        <v>60</v>
      </c>
      <c r="O67" s="40" t="s">
        <v>60</v>
      </c>
      <c r="P67" s="40" t="s">
        <v>60</v>
      </c>
    </row>
    <row r="68" spans="1:16" ht="14.4" x14ac:dyDescent="0.3">
      <c r="A68" s="38" t="s">
        <v>28</v>
      </c>
      <c r="B68" s="38"/>
      <c r="C68" s="36" t="s">
        <v>23</v>
      </c>
      <c r="D68" s="43">
        <v>0</v>
      </c>
      <c r="E68" s="43">
        <v>0</v>
      </c>
      <c r="F68" s="43">
        <v>0</v>
      </c>
      <c r="G68" s="43">
        <v>0</v>
      </c>
      <c r="H68" s="43">
        <v>0</v>
      </c>
      <c r="I68" s="43">
        <v>0</v>
      </c>
      <c r="J68" s="43">
        <v>0</v>
      </c>
      <c r="K68" s="43">
        <v>0</v>
      </c>
      <c r="L68" s="43">
        <v>0</v>
      </c>
      <c r="M68" s="43">
        <v>0</v>
      </c>
      <c r="N68" s="43">
        <v>0</v>
      </c>
      <c r="O68" s="43">
        <v>0</v>
      </c>
      <c r="P68" s="43">
        <v>0</v>
      </c>
    </row>
    <row r="69" spans="1:16" ht="14.4" x14ac:dyDescent="0.3">
      <c r="A69" s="34" t="s">
        <v>29</v>
      </c>
      <c r="B69" s="34"/>
      <c r="C69" s="36"/>
      <c r="D69" s="45"/>
      <c r="E69" s="45"/>
      <c r="F69" s="45"/>
      <c r="G69" s="45"/>
      <c r="H69" s="45"/>
      <c r="I69" s="45"/>
      <c r="J69" s="45"/>
      <c r="K69" s="45"/>
      <c r="L69" s="45"/>
      <c r="M69" s="45"/>
      <c r="N69" s="45"/>
      <c r="O69" s="45"/>
      <c r="P69" s="45"/>
    </row>
    <row r="70" spans="1:16" ht="14.4" x14ac:dyDescent="0.3">
      <c r="A70" s="38" t="s">
        <v>30</v>
      </c>
      <c r="B70" s="38"/>
      <c r="C70" s="36" t="s">
        <v>19</v>
      </c>
      <c r="D70" s="40" t="s">
        <v>61</v>
      </c>
      <c r="E70" s="40" t="s">
        <v>61</v>
      </c>
      <c r="F70" s="40" t="s">
        <v>61</v>
      </c>
      <c r="G70" s="40" t="s">
        <v>61</v>
      </c>
      <c r="H70" s="40" t="s">
        <v>61</v>
      </c>
      <c r="I70" s="40" t="s">
        <v>61</v>
      </c>
      <c r="J70" s="40" t="s">
        <v>61</v>
      </c>
      <c r="K70" s="40" t="s">
        <v>61</v>
      </c>
      <c r="L70" s="40" t="s">
        <v>61</v>
      </c>
      <c r="M70" s="40" t="s">
        <v>61</v>
      </c>
      <c r="N70" s="40" t="s">
        <v>61</v>
      </c>
      <c r="O70" s="40" t="s">
        <v>61</v>
      </c>
      <c r="P70" s="40" t="s">
        <v>61</v>
      </c>
    </row>
    <row r="71" spans="1:16" ht="14.4" x14ac:dyDescent="0.3">
      <c r="A71" s="38" t="s">
        <v>31</v>
      </c>
      <c r="B71" s="38"/>
      <c r="C71" s="36" t="s">
        <v>32</v>
      </c>
      <c r="D71" s="40" t="s">
        <v>62</v>
      </c>
      <c r="E71" s="40" t="s">
        <v>62</v>
      </c>
      <c r="F71" s="40" t="s">
        <v>62</v>
      </c>
      <c r="G71" s="40" t="s">
        <v>62</v>
      </c>
      <c r="H71" s="40" t="s">
        <v>62</v>
      </c>
      <c r="I71" s="40" t="s">
        <v>62</v>
      </c>
      <c r="J71" s="40" t="s">
        <v>62</v>
      </c>
      <c r="K71" s="40" t="s">
        <v>62</v>
      </c>
      <c r="L71" s="40" t="s">
        <v>62</v>
      </c>
      <c r="M71" s="40" t="s">
        <v>62</v>
      </c>
      <c r="N71" s="40" t="s">
        <v>62</v>
      </c>
      <c r="O71" s="40" t="s">
        <v>62</v>
      </c>
      <c r="P71" s="40" t="s">
        <v>62</v>
      </c>
    </row>
    <row r="72" spans="1:16" ht="14.4" x14ac:dyDescent="0.3">
      <c r="A72" s="34" t="s">
        <v>33</v>
      </c>
      <c r="B72" s="34"/>
      <c r="C72" s="36"/>
      <c r="D72" s="45"/>
      <c r="E72" s="45"/>
      <c r="F72" s="45"/>
      <c r="G72" s="45"/>
      <c r="H72" s="45"/>
      <c r="I72" s="45"/>
      <c r="J72" s="45"/>
      <c r="K72" s="45"/>
      <c r="L72" s="45"/>
      <c r="M72" s="45"/>
      <c r="N72" s="45"/>
      <c r="O72" s="45"/>
      <c r="P72" s="45"/>
    </row>
    <row r="73" spans="1:16" ht="14.4" x14ac:dyDescent="0.3">
      <c r="A73" s="38" t="s">
        <v>34</v>
      </c>
      <c r="B73" s="38"/>
      <c r="C73" s="36" t="s">
        <v>19</v>
      </c>
      <c r="D73" s="42">
        <v>0.38400000000000001</v>
      </c>
      <c r="E73" s="42">
        <v>0.38400000000000001</v>
      </c>
      <c r="F73" s="42">
        <v>0.38400000000000001</v>
      </c>
      <c r="G73" s="42">
        <v>0.38400000000000001</v>
      </c>
      <c r="H73" s="42">
        <v>0.38400000000000001</v>
      </c>
      <c r="I73" s="42">
        <v>0.38400000000000001</v>
      </c>
      <c r="J73" s="42">
        <v>0.3377</v>
      </c>
      <c r="K73" s="42">
        <v>0.3377</v>
      </c>
      <c r="L73" s="42">
        <v>0.3377</v>
      </c>
      <c r="M73" s="42">
        <v>0.3377</v>
      </c>
      <c r="N73" s="42">
        <v>0.3377</v>
      </c>
      <c r="O73" s="42">
        <v>0.3377</v>
      </c>
      <c r="P73" s="42">
        <v>0.3377</v>
      </c>
    </row>
    <row r="74" spans="1:16" ht="14.4" x14ac:dyDescent="0.3">
      <c r="A74" s="38" t="s">
        <v>35</v>
      </c>
      <c r="B74" s="38"/>
      <c r="C74" s="36" t="s">
        <v>36</v>
      </c>
      <c r="D74" s="40" t="s">
        <v>63</v>
      </c>
      <c r="E74" s="40" t="s">
        <v>63</v>
      </c>
      <c r="F74" s="40" t="s">
        <v>63</v>
      </c>
      <c r="G74" s="40" t="s">
        <v>63</v>
      </c>
      <c r="H74" s="40" t="s">
        <v>63</v>
      </c>
      <c r="I74" s="40" t="s">
        <v>63</v>
      </c>
      <c r="J74" s="40" t="s">
        <v>63</v>
      </c>
      <c r="K74" s="40" t="s">
        <v>63</v>
      </c>
      <c r="L74" s="40" t="s">
        <v>63</v>
      </c>
      <c r="M74" s="40" t="s">
        <v>63</v>
      </c>
      <c r="N74" s="40" t="s">
        <v>63</v>
      </c>
      <c r="O74" s="40" t="s">
        <v>63</v>
      </c>
      <c r="P74" s="40" t="s">
        <v>63</v>
      </c>
    </row>
    <row r="75" spans="1:16" ht="14.4" x14ac:dyDescent="0.3">
      <c r="A75" s="34" t="s">
        <v>37</v>
      </c>
      <c r="B75" s="34"/>
      <c r="C75" s="36"/>
      <c r="D75" s="45"/>
      <c r="E75" s="45"/>
      <c r="F75" s="45"/>
      <c r="G75" s="45"/>
      <c r="H75" s="45"/>
      <c r="I75" s="45"/>
      <c r="J75" s="45"/>
      <c r="K75" s="45"/>
      <c r="L75" s="45"/>
      <c r="M75" s="45"/>
      <c r="N75" s="45"/>
      <c r="O75" s="45"/>
      <c r="P75" s="45"/>
    </row>
    <row r="76" spans="1:16" ht="14.4" x14ac:dyDescent="0.3">
      <c r="A76" s="46" t="s">
        <v>38</v>
      </c>
      <c r="B76" s="38"/>
      <c r="C76" s="36" t="s">
        <v>19</v>
      </c>
      <c r="D76" s="42">
        <f t="shared" ref="D76:P76" si="3">D26</f>
        <v>0.1215</v>
      </c>
      <c r="E76" s="42">
        <f t="shared" si="3"/>
        <v>0.14280000000000001</v>
      </c>
      <c r="F76" s="42">
        <f t="shared" si="3"/>
        <v>0.1462</v>
      </c>
      <c r="G76" s="42">
        <f t="shared" si="3"/>
        <v>0.15629999999999999</v>
      </c>
      <c r="H76" s="42">
        <f t="shared" si="3"/>
        <v>0.1152</v>
      </c>
      <c r="I76" s="42">
        <f t="shared" si="3"/>
        <v>9.3799999999999994E-2</v>
      </c>
      <c r="J76" s="42">
        <f t="shared" si="3"/>
        <v>7.7499999999999999E-2</v>
      </c>
      <c r="K76" s="42">
        <f t="shared" si="3"/>
        <v>9.3200000000000005E-2</v>
      </c>
      <c r="L76" s="42">
        <f t="shared" si="3"/>
        <v>8.5099999999999995E-2</v>
      </c>
      <c r="M76" s="42">
        <f t="shared" si="3"/>
        <v>8.0299999999999996E-2</v>
      </c>
      <c r="N76" s="42">
        <f t="shared" si="3"/>
        <v>8.3699999999999997E-2</v>
      </c>
      <c r="O76" s="42">
        <f t="shared" si="3"/>
        <v>8.1699999999999995E-2</v>
      </c>
      <c r="P76" s="42">
        <f t="shared" si="3"/>
        <v>0</v>
      </c>
    </row>
    <row r="77" spans="1:16" ht="14.4" x14ac:dyDescent="0.3">
      <c r="A77" s="46" t="s">
        <v>39</v>
      </c>
      <c r="B77" s="38"/>
      <c r="C77" s="36" t="s">
        <v>19</v>
      </c>
      <c r="D77" s="40" t="s">
        <v>64</v>
      </c>
      <c r="E77" s="40" t="s">
        <v>64</v>
      </c>
      <c r="F77" s="40" t="s">
        <v>64</v>
      </c>
      <c r="G77" s="40" t="s">
        <v>64</v>
      </c>
      <c r="H77" s="40" t="s">
        <v>64</v>
      </c>
      <c r="I77" s="40" t="s">
        <v>64</v>
      </c>
      <c r="J77" s="40" t="s">
        <v>64</v>
      </c>
      <c r="K77" s="40" t="s">
        <v>64</v>
      </c>
      <c r="L77" s="40" t="s">
        <v>64</v>
      </c>
      <c r="M77" s="40" t="s">
        <v>64</v>
      </c>
      <c r="N77" s="40" t="s">
        <v>64</v>
      </c>
      <c r="O77" s="40" t="s">
        <v>64</v>
      </c>
      <c r="P77" s="40" t="s">
        <v>64</v>
      </c>
    </row>
    <row r="78" spans="1:16" ht="14.4" x14ac:dyDescent="0.3">
      <c r="A78" s="47" t="s">
        <v>40</v>
      </c>
      <c r="B78" s="38"/>
      <c r="C78" s="36" t="s">
        <v>19</v>
      </c>
      <c r="D78" s="42">
        <f t="shared" ref="D78:P80" si="4">D28</f>
        <v>1E-4</v>
      </c>
      <c r="E78" s="42">
        <f t="shared" si="4"/>
        <v>1E-4</v>
      </c>
      <c r="F78" s="42">
        <f t="shared" si="4"/>
        <v>1E-4</v>
      </c>
      <c r="G78" s="42">
        <f t="shared" si="4"/>
        <v>1E-4</v>
      </c>
      <c r="H78" s="42">
        <f t="shared" si="4"/>
        <v>1E-4</v>
      </c>
      <c r="I78" s="42">
        <f t="shared" si="4"/>
        <v>1E-4</v>
      </c>
      <c r="J78" s="42">
        <f t="shared" si="4"/>
        <v>1E-4</v>
      </c>
      <c r="K78" s="42">
        <f t="shared" si="4"/>
        <v>1E-4</v>
      </c>
      <c r="L78" s="42">
        <f t="shared" si="4"/>
        <v>1E-4</v>
      </c>
      <c r="M78" s="42">
        <f t="shared" si="4"/>
        <v>1E-4</v>
      </c>
      <c r="N78" s="42">
        <f t="shared" si="4"/>
        <v>1E-4</v>
      </c>
      <c r="O78" s="42">
        <f t="shared" si="4"/>
        <v>1E-4</v>
      </c>
      <c r="P78" s="42">
        <f t="shared" si="4"/>
        <v>0</v>
      </c>
    </row>
    <row r="79" spans="1:16" ht="14.4" x14ac:dyDescent="0.3">
      <c r="A79" s="47" t="s">
        <v>41</v>
      </c>
      <c r="B79" s="38"/>
      <c r="C79" s="36" t="s">
        <v>19</v>
      </c>
      <c r="D79" s="42">
        <f t="shared" si="4"/>
        <v>0</v>
      </c>
      <c r="E79" s="42">
        <f t="shared" si="4"/>
        <v>0</v>
      </c>
      <c r="F79" s="42">
        <f t="shared" si="4"/>
        <v>0</v>
      </c>
      <c r="G79" s="42">
        <f t="shared" si="4"/>
        <v>0</v>
      </c>
      <c r="H79" s="42">
        <f t="shared" si="4"/>
        <v>0</v>
      </c>
      <c r="I79" s="42">
        <f t="shared" si="4"/>
        <v>0</v>
      </c>
      <c r="J79" s="42">
        <f t="shared" si="4"/>
        <v>0</v>
      </c>
      <c r="K79" s="42">
        <f t="shared" si="4"/>
        <v>0</v>
      </c>
      <c r="L79" s="42">
        <f t="shared" si="4"/>
        <v>0</v>
      </c>
      <c r="M79" s="42">
        <f t="shared" si="4"/>
        <v>0</v>
      </c>
      <c r="N79" s="42">
        <f t="shared" si="4"/>
        <v>0</v>
      </c>
      <c r="O79" s="42">
        <f t="shared" si="4"/>
        <v>0</v>
      </c>
      <c r="P79" s="42">
        <f t="shared" si="4"/>
        <v>0</v>
      </c>
    </row>
    <row r="80" spans="1:16" ht="14.4" hidden="1" x14ac:dyDescent="0.3">
      <c r="A80" s="157" t="s">
        <v>181</v>
      </c>
      <c r="B80" s="158"/>
      <c r="C80" s="36" t="s">
        <v>19</v>
      </c>
      <c r="D80" s="42">
        <f t="shared" si="4"/>
        <v>0</v>
      </c>
      <c r="E80" s="42">
        <f t="shared" si="4"/>
        <v>0</v>
      </c>
      <c r="F80" s="42">
        <f t="shared" si="4"/>
        <v>0</v>
      </c>
      <c r="G80" s="42">
        <f t="shared" si="4"/>
        <v>0</v>
      </c>
      <c r="H80" s="42">
        <f t="shared" si="4"/>
        <v>0</v>
      </c>
      <c r="I80" s="42">
        <f t="shared" si="4"/>
        <v>0</v>
      </c>
      <c r="J80" s="42">
        <f t="shared" si="4"/>
        <v>0</v>
      </c>
      <c r="K80" s="42">
        <f t="shared" si="4"/>
        <v>0</v>
      </c>
      <c r="L80" s="42">
        <f t="shared" si="4"/>
        <v>0</v>
      </c>
      <c r="M80" s="42">
        <f t="shared" si="4"/>
        <v>0</v>
      </c>
      <c r="N80" s="42">
        <f t="shared" si="4"/>
        <v>0</v>
      </c>
      <c r="O80" s="42">
        <f t="shared" si="4"/>
        <v>0</v>
      </c>
      <c r="P80" s="42">
        <f t="shared" si="4"/>
        <v>0</v>
      </c>
    </row>
    <row r="81" spans="1:16" ht="16.2" hidden="1" x14ac:dyDescent="0.3">
      <c r="A81" s="157" t="s">
        <v>182</v>
      </c>
      <c r="B81" s="158"/>
      <c r="C81" s="36" t="s">
        <v>19</v>
      </c>
      <c r="D81" s="42"/>
      <c r="E81" s="42"/>
      <c r="F81" s="42"/>
      <c r="G81" s="42"/>
      <c r="H81" s="42"/>
      <c r="I81" s="42"/>
      <c r="J81" s="42"/>
      <c r="K81" s="42"/>
      <c r="L81" s="42"/>
      <c r="M81" s="42"/>
      <c r="N81" s="42"/>
      <c r="O81" s="42"/>
      <c r="P81" s="42"/>
    </row>
    <row r="82" spans="1:16" ht="16.2" hidden="1" x14ac:dyDescent="0.3">
      <c r="A82" s="157" t="s">
        <v>182</v>
      </c>
      <c r="B82" s="159"/>
      <c r="C82" s="36" t="s">
        <v>19</v>
      </c>
      <c r="D82" s="42"/>
      <c r="E82" s="42"/>
      <c r="F82" s="42"/>
      <c r="G82" s="42"/>
      <c r="H82" s="42"/>
      <c r="I82" s="42"/>
      <c r="J82" s="42"/>
      <c r="K82" s="42"/>
      <c r="L82" s="42"/>
      <c r="M82" s="42"/>
      <c r="N82" s="42"/>
      <c r="O82" s="42"/>
      <c r="P82" s="42"/>
    </row>
    <row r="83" spans="1:16" ht="14.4" x14ac:dyDescent="0.3">
      <c r="A83" s="34" t="s">
        <v>42</v>
      </c>
      <c r="B83" s="34"/>
      <c r="C83" s="36"/>
      <c r="D83" s="45"/>
      <c r="E83" s="45"/>
      <c r="F83" s="45"/>
      <c r="G83" s="45"/>
      <c r="H83" s="45"/>
      <c r="I83" s="45"/>
      <c r="J83" s="45"/>
      <c r="K83" s="45"/>
      <c r="L83" s="45"/>
      <c r="M83" s="45"/>
      <c r="N83" s="45"/>
      <c r="O83" s="45"/>
      <c r="P83" s="45"/>
    </row>
    <row r="84" spans="1:16" ht="14.4" x14ac:dyDescent="0.3">
      <c r="A84" s="34" t="s">
        <v>43</v>
      </c>
      <c r="B84" s="34"/>
      <c r="C84" s="36" t="s">
        <v>44</v>
      </c>
      <c r="D84" s="48"/>
      <c r="E84" s="48"/>
      <c r="F84" s="48"/>
      <c r="G84" s="48"/>
      <c r="H84" s="48"/>
      <c r="I84" s="48"/>
      <c r="J84" s="48"/>
      <c r="K84" s="48"/>
      <c r="L84" s="48"/>
      <c r="M84" s="48"/>
      <c r="N84" s="48"/>
      <c r="O84" s="48"/>
      <c r="P84" s="48"/>
    </row>
    <row r="85" spans="1:16" ht="14.4" hidden="1" x14ac:dyDescent="0.3">
      <c r="A85" s="34" t="s">
        <v>183</v>
      </c>
      <c r="B85" s="34"/>
      <c r="C85" s="36"/>
      <c r="D85" s="49"/>
      <c r="E85" s="49"/>
      <c r="F85" s="49"/>
      <c r="G85" s="49"/>
      <c r="H85" s="49"/>
      <c r="I85" s="49"/>
      <c r="J85" s="49"/>
      <c r="K85" s="49"/>
      <c r="L85" s="49"/>
      <c r="M85" s="49"/>
      <c r="N85" s="49"/>
      <c r="O85" s="49"/>
      <c r="P85" s="49"/>
    </row>
    <row r="86" spans="1:16" ht="14.4" hidden="1" x14ac:dyDescent="0.3">
      <c r="A86" s="34" t="s">
        <v>184</v>
      </c>
      <c r="B86" s="34"/>
      <c r="C86" s="36" t="s">
        <v>19</v>
      </c>
      <c r="D86" s="42"/>
      <c r="E86" s="42"/>
      <c r="F86" s="42"/>
      <c r="G86" s="42"/>
      <c r="H86" s="42"/>
      <c r="I86" s="42"/>
      <c r="J86" s="42"/>
      <c r="K86" s="42"/>
      <c r="L86" s="42"/>
      <c r="M86" s="42"/>
      <c r="N86" s="42"/>
      <c r="O86" s="42"/>
      <c r="P86" s="42"/>
    </row>
    <row r="87" spans="1:16" ht="14.4" x14ac:dyDescent="0.3">
      <c r="A87" s="34" t="s">
        <v>45</v>
      </c>
      <c r="B87" s="34"/>
      <c r="C87" s="36"/>
      <c r="D87" s="49"/>
      <c r="E87" s="49"/>
      <c r="F87" s="49"/>
      <c r="G87" s="49"/>
      <c r="H87" s="49"/>
      <c r="I87" s="49"/>
      <c r="J87" s="49"/>
      <c r="K87" s="49"/>
      <c r="L87" s="49"/>
      <c r="M87" s="49"/>
      <c r="N87" s="49"/>
      <c r="O87" s="49"/>
      <c r="P87" s="49"/>
    </row>
    <row r="88" spans="1:16" ht="14.4" x14ac:dyDescent="0.3">
      <c r="A88" s="34" t="s">
        <v>46</v>
      </c>
      <c r="B88" s="34"/>
      <c r="C88" s="36" t="s">
        <v>19</v>
      </c>
      <c r="D88" s="40" t="s">
        <v>65</v>
      </c>
      <c r="E88" s="40" t="s">
        <v>65</v>
      </c>
      <c r="F88" s="40" t="s">
        <v>65</v>
      </c>
      <c r="G88" s="40" t="s">
        <v>65</v>
      </c>
      <c r="H88" s="40" t="s">
        <v>65</v>
      </c>
      <c r="I88" s="40" t="s">
        <v>65</v>
      </c>
      <c r="J88" s="40" t="s">
        <v>65</v>
      </c>
      <c r="K88" s="40" t="s">
        <v>65</v>
      </c>
      <c r="L88" s="40" t="s">
        <v>65</v>
      </c>
      <c r="M88" s="40" t="s">
        <v>65</v>
      </c>
      <c r="N88" s="40" t="s">
        <v>65</v>
      </c>
      <c r="O88" s="40" t="s">
        <v>65</v>
      </c>
      <c r="P88" s="40" t="s">
        <v>65</v>
      </c>
    </row>
    <row r="89" spans="1:16" ht="14.4" hidden="1" x14ac:dyDescent="0.3">
      <c r="A89" s="34" t="s">
        <v>185</v>
      </c>
      <c r="B89" s="34"/>
      <c r="C89" s="36"/>
      <c r="D89" s="49"/>
      <c r="E89" s="49"/>
      <c r="F89" s="49"/>
      <c r="G89" s="49"/>
      <c r="H89" s="49"/>
      <c r="I89" s="49"/>
      <c r="J89" s="49"/>
      <c r="K89" s="49"/>
      <c r="L89" s="49"/>
      <c r="M89" s="49"/>
      <c r="N89" s="49"/>
      <c r="O89" s="49"/>
      <c r="P89" s="49"/>
    </row>
    <row r="90" spans="1:16" ht="14.4" hidden="1" x14ac:dyDescent="0.3">
      <c r="A90" s="34" t="s">
        <v>186</v>
      </c>
      <c r="B90" s="34"/>
      <c r="C90" s="36" t="s">
        <v>19</v>
      </c>
      <c r="D90" s="42"/>
      <c r="E90" s="42"/>
      <c r="F90" s="42"/>
      <c r="G90" s="42"/>
      <c r="H90" s="42"/>
      <c r="I90" s="42"/>
      <c r="J90" s="42"/>
      <c r="K90" s="42"/>
      <c r="L90" s="42"/>
      <c r="M90" s="42"/>
      <c r="N90" s="42"/>
      <c r="O90" s="42"/>
      <c r="P90" s="42"/>
    </row>
    <row r="91" spans="1:16" ht="14.4" x14ac:dyDescent="0.3">
      <c r="A91" s="34" t="s">
        <v>47</v>
      </c>
      <c r="B91" s="34"/>
      <c r="C91" s="36"/>
      <c r="D91" s="45"/>
      <c r="E91" s="45"/>
      <c r="F91" s="45"/>
      <c r="G91" s="45"/>
      <c r="H91" s="45"/>
      <c r="I91" s="45"/>
      <c r="J91" s="45"/>
      <c r="K91" s="45"/>
      <c r="L91" s="45"/>
      <c r="M91" s="45"/>
      <c r="N91" s="45"/>
      <c r="O91" s="45"/>
      <c r="P91" s="45"/>
    </row>
    <row r="92" spans="1:16" ht="14.4" x14ac:dyDescent="0.3">
      <c r="A92" s="38" t="s">
        <v>48</v>
      </c>
      <c r="B92" s="38"/>
      <c r="C92" s="36" t="s">
        <v>19</v>
      </c>
      <c r="D92" s="42">
        <f t="shared" ref="D92:P94" si="5">D42</f>
        <v>0.15609999999999999</v>
      </c>
      <c r="E92" s="42">
        <f t="shared" si="5"/>
        <v>0.15609999999999999</v>
      </c>
      <c r="F92" s="42">
        <f t="shared" si="5"/>
        <v>0.15609999999999999</v>
      </c>
      <c r="G92" s="42">
        <f t="shared" si="5"/>
        <v>0.15609999999999999</v>
      </c>
      <c r="H92" s="42">
        <f t="shared" si="5"/>
        <v>0.15609999999999999</v>
      </c>
      <c r="I92" s="42">
        <f t="shared" si="5"/>
        <v>0.15609999999999999</v>
      </c>
      <c r="J92" s="42">
        <f t="shared" si="5"/>
        <v>0.15609999999999999</v>
      </c>
      <c r="K92" s="42">
        <f t="shared" si="5"/>
        <v>0.15609999999999999</v>
      </c>
      <c r="L92" s="42">
        <f t="shared" si="5"/>
        <v>0.15609999999999999</v>
      </c>
      <c r="M92" s="42">
        <f t="shared" si="5"/>
        <v>0.15609999999999999</v>
      </c>
      <c r="N92" s="42">
        <f t="shared" si="5"/>
        <v>0.15609999999999999</v>
      </c>
      <c r="O92" s="42">
        <f t="shared" si="5"/>
        <v>0.15609999999999999</v>
      </c>
      <c r="P92" s="42">
        <f t="shared" si="5"/>
        <v>0.15609999999999999</v>
      </c>
    </row>
    <row r="93" spans="1:16" ht="14.4" x14ac:dyDescent="0.3">
      <c r="A93" s="38" t="s">
        <v>49</v>
      </c>
      <c r="B93" s="38"/>
      <c r="C93" s="36" t="s">
        <v>19</v>
      </c>
      <c r="D93" s="42">
        <f t="shared" si="5"/>
        <v>2.5000000000000001E-3</v>
      </c>
      <c r="E93" s="42">
        <f t="shared" si="5"/>
        <v>2.5000000000000001E-3</v>
      </c>
      <c r="F93" s="42">
        <f t="shared" si="5"/>
        <v>2.5000000000000001E-3</v>
      </c>
      <c r="G93" s="42">
        <f t="shared" si="5"/>
        <v>2.5000000000000001E-3</v>
      </c>
      <c r="H93" s="42">
        <f t="shared" si="5"/>
        <v>2.5000000000000001E-3</v>
      </c>
      <c r="I93" s="42">
        <f t="shared" si="5"/>
        <v>2.5000000000000001E-3</v>
      </c>
      <c r="J93" s="42">
        <f t="shared" si="5"/>
        <v>2.5000000000000001E-3</v>
      </c>
      <c r="K93" s="42">
        <f t="shared" si="5"/>
        <v>2.5000000000000001E-3</v>
      </c>
      <c r="L93" s="42">
        <f t="shared" si="5"/>
        <v>2.5000000000000001E-3</v>
      </c>
      <c r="M93" s="42">
        <f t="shared" si="5"/>
        <v>2.5000000000000001E-3</v>
      </c>
      <c r="N93" s="42">
        <f t="shared" si="5"/>
        <v>2.5000000000000001E-3</v>
      </c>
      <c r="O93" s="42">
        <f t="shared" si="5"/>
        <v>2.5000000000000001E-3</v>
      </c>
      <c r="P93" s="42">
        <f t="shared" si="5"/>
        <v>2.5000000000000001E-3</v>
      </c>
    </row>
    <row r="94" spans="1:16" ht="14.4" x14ac:dyDescent="0.3">
      <c r="A94" s="18" t="s">
        <v>50</v>
      </c>
      <c r="B94" s="18"/>
      <c r="C94" s="36" t="s">
        <v>19</v>
      </c>
      <c r="D94" s="42">
        <f t="shared" si="5"/>
        <v>0.1938</v>
      </c>
      <c r="E94" s="42">
        <f t="shared" si="5"/>
        <v>0.1938</v>
      </c>
      <c r="F94" s="42">
        <f t="shared" si="5"/>
        <v>0.1938</v>
      </c>
      <c r="G94" s="42">
        <f t="shared" si="5"/>
        <v>0.1938</v>
      </c>
      <c r="H94" s="42">
        <f t="shared" si="5"/>
        <v>0.1938</v>
      </c>
      <c r="I94" s="42">
        <f t="shared" si="5"/>
        <v>0.1938</v>
      </c>
      <c r="J94" s="42">
        <f t="shared" si="5"/>
        <v>0.1938</v>
      </c>
      <c r="K94" s="42">
        <f t="shared" si="5"/>
        <v>0.1938</v>
      </c>
      <c r="L94" s="42">
        <f t="shared" si="5"/>
        <v>0.1938</v>
      </c>
      <c r="M94" s="42">
        <f t="shared" si="5"/>
        <v>0.1938</v>
      </c>
      <c r="N94" s="42">
        <f t="shared" si="5"/>
        <v>0.1938</v>
      </c>
      <c r="O94" s="42">
        <f t="shared" si="5"/>
        <v>0.1938</v>
      </c>
      <c r="P94" s="42">
        <f t="shared" si="5"/>
        <v>0.1938</v>
      </c>
    </row>
    <row r="95" spans="1:16" ht="14.4" x14ac:dyDescent="0.3">
      <c r="A95" s="14" t="s">
        <v>51</v>
      </c>
      <c r="B95" s="14"/>
      <c r="C95" s="16" t="s">
        <v>19</v>
      </c>
      <c r="D95" s="20">
        <v>0</v>
      </c>
      <c r="E95" s="20">
        <v>4.0599999999999997E-2</v>
      </c>
      <c r="F95" s="20">
        <v>4.0599999999999997E-2</v>
      </c>
      <c r="G95" s="20">
        <v>4.0599999999999997E-2</v>
      </c>
      <c r="H95" s="20">
        <v>4.0599999999999997E-2</v>
      </c>
      <c r="I95" s="20">
        <v>4.0599999999999997E-2</v>
      </c>
      <c r="J95" s="20">
        <v>4.0599999999999997E-2</v>
      </c>
      <c r="K95" s="20">
        <v>4.0599999999999997E-2</v>
      </c>
      <c r="L95" s="20">
        <v>4.0599999999999997E-2</v>
      </c>
      <c r="M95" s="20">
        <v>4.0599999999999997E-2</v>
      </c>
      <c r="N95" s="20">
        <v>4.0599999999999997E-2</v>
      </c>
      <c r="O95" s="20">
        <v>4.0599999999999997E-2</v>
      </c>
      <c r="P95" s="20">
        <v>4.0599999999999997E-2</v>
      </c>
    </row>
    <row r="96" spans="1:16" ht="14.4" x14ac:dyDescent="0.3">
      <c r="A96" s="34" t="s">
        <v>52</v>
      </c>
      <c r="B96" s="34"/>
      <c r="C96" s="50"/>
      <c r="D96" s="44"/>
      <c r="E96" s="44"/>
      <c r="F96" s="44"/>
      <c r="G96" s="44"/>
      <c r="H96" s="44"/>
      <c r="I96" s="44"/>
      <c r="J96" s="44"/>
      <c r="K96" s="44"/>
      <c r="L96" s="44"/>
      <c r="M96" s="44"/>
      <c r="N96" s="44"/>
      <c r="O96" s="44"/>
      <c r="P96" s="44"/>
    </row>
    <row r="97" spans="1:16" ht="14.4" x14ac:dyDescent="0.3">
      <c r="A97" s="38" t="s">
        <v>53</v>
      </c>
      <c r="B97" s="38"/>
      <c r="C97" s="36" t="s">
        <v>44</v>
      </c>
      <c r="D97" s="51">
        <f t="shared" ref="D97:P102" si="6">D47</f>
        <v>0.1154</v>
      </c>
      <c r="E97" s="51">
        <f t="shared" si="6"/>
        <v>0.1143</v>
      </c>
      <c r="F97" s="51">
        <f t="shared" si="6"/>
        <v>0.11269999999999999</v>
      </c>
      <c r="G97" s="51">
        <f t="shared" si="6"/>
        <v>0.11459999999999999</v>
      </c>
      <c r="H97" s="51">
        <f t="shared" si="6"/>
        <v>0.1134</v>
      </c>
      <c r="I97" s="51">
        <f t="shared" si="6"/>
        <v>0.11219999999999999</v>
      </c>
      <c r="J97" s="51">
        <f t="shared" si="6"/>
        <v>0.1079</v>
      </c>
      <c r="K97" s="51">
        <f t="shared" si="6"/>
        <v>0.10639999999999999</v>
      </c>
      <c r="L97" s="51">
        <f t="shared" si="6"/>
        <v>0.1089</v>
      </c>
      <c r="M97" s="51">
        <f t="shared" si="6"/>
        <v>0.1143</v>
      </c>
      <c r="N97" s="51">
        <f t="shared" si="6"/>
        <v>0.1145</v>
      </c>
      <c r="O97" s="51">
        <f t="shared" si="6"/>
        <v>0.11310000000000001</v>
      </c>
      <c r="P97" s="51" t="e">
        <f t="shared" si="6"/>
        <v>#DIV/0!</v>
      </c>
    </row>
    <row r="98" spans="1:16" ht="14.4" x14ac:dyDescent="0.3">
      <c r="A98" s="38" t="s">
        <v>54</v>
      </c>
      <c r="B98" s="38"/>
      <c r="C98" s="36" t="s">
        <v>44</v>
      </c>
      <c r="D98" s="51">
        <f t="shared" si="6"/>
        <v>3.3E-3</v>
      </c>
      <c r="E98" s="51">
        <f t="shared" si="6"/>
        <v>3.5999999999999999E-3</v>
      </c>
      <c r="F98" s="51">
        <f t="shared" si="6"/>
        <v>5.5999999999999999E-3</v>
      </c>
      <c r="G98" s="51">
        <f t="shared" si="6"/>
        <v>1.0699999999999999E-2</v>
      </c>
      <c r="H98" s="51">
        <f t="shared" si="6"/>
        <v>2.8400000000000002E-2</v>
      </c>
      <c r="I98" s="51">
        <f t="shared" si="6"/>
        <v>2.7400000000000001E-2</v>
      </c>
      <c r="J98" s="51">
        <f t="shared" si="6"/>
        <v>2.18E-2</v>
      </c>
      <c r="K98" s="51">
        <f t="shared" si="6"/>
        <v>8.9999999999999993E-3</v>
      </c>
      <c r="L98" s="51">
        <f t="shared" si="6"/>
        <v>8.3999999999999995E-3</v>
      </c>
      <c r="M98" s="51">
        <f t="shared" si="6"/>
        <v>6.1999999999999998E-3</v>
      </c>
      <c r="N98" s="51">
        <f t="shared" si="6"/>
        <v>4.7000000000000002E-3</v>
      </c>
      <c r="O98" s="51">
        <f t="shared" si="6"/>
        <v>6.1999999999999998E-3</v>
      </c>
      <c r="P98" s="51">
        <f t="shared" si="6"/>
        <v>-3.0300000000000001E-2</v>
      </c>
    </row>
    <row r="99" spans="1:16" ht="14.4" x14ac:dyDescent="0.3">
      <c r="A99" s="38" t="s">
        <v>55</v>
      </c>
      <c r="B99" s="38"/>
      <c r="C99" s="36" t="s">
        <v>44</v>
      </c>
      <c r="D99" s="51">
        <f t="shared" si="6"/>
        <v>9.8100000000000007E-2</v>
      </c>
      <c r="E99" s="51">
        <f t="shared" si="6"/>
        <v>9.64E-2</v>
      </c>
      <c r="F99" s="51">
        <f t="shared" si="6"/>
        <v>9.69E-2</v>
      </c>
      <c r="G99" s="51">
        <f t="shared" si="6"/>
        <v>9.9299999999999999E-2</v>
      </c>
      <c r="H99" s="51">
        <f t="shared" si="6"/>
        <v>9.9099999999999994E-2</v>
      </c>
      <c r="I99" s="51">
        <f t="shared" si="6"/>
        <v>9.8500000000000004E-2</v>
      </c>
      <c r="J99" s="51">
        <f t="shared" si="6"/>
        <v>9.5299999999999996E-2</v>
      </c>
      <c r="K99" s="51">
        <f t="shared" si="6"/>
        <v>9.1800000000000007E-2</v>
      </c>
      <c r="L99" s="51">
        <f t="shared" si="6"/>
        <v>9.3399999999999997E-2</v>
      </c>
      <c r="M99" s="51">
        <f t="shared" si="6"/>
        <v>9.7199999999999995E-2</v>
      </c>
      <c r="N99" s="51">
        <f t="shared" si="6"/>
        <v>9.6799999999999997E-2</v>
      </c>
      <c r="O99" s="51">
        <f t="shared" si="6"/>
        <v>9.6199999999999994E-2</v>
      </c>
      <c r="P99" s="51" t="e">
        <f t="shared" si="6"/>
        <v>#DIV/0!</v>
      </c>
    </row>
    <row r="100" spans="1:16" ht="14.4" hidden="1" x14ac:dyDescent="0.3">
      <c r="A100" s="38" t="s">
        <v>187</v>
      </c>
      <c r="B100" s="38"/>
      <c r="C100" s="36" t="s">
        <v>44</v>
      </c>
      <c r="D100" s="51">
        <f t="shared" si="6"/>
        <v>0</v>
      </c>
      <c r="E100" s="51">
        <f t="shared" si="6"/>
        <v>0</v>
      </c>
      <c r="F100" s="51">
        <f t="shared" si="6"/>
        <v>0</v>
      </c>
      <c r="G100" s="51">
        <f t="shared" si="6"/>
        <v>0</v>
      </c>
      <c r="H100" s="51">
        <f t="shared" si="6"/>
        <v>0</v>
      </c>
      <c r="I100" s="51">
        <f t="shared" si="6"/>
        <v>0</v>
      </c>
      <c r="J100" s="51">
        <f t="shared" si="6"/>
        <v>0</v>
      </c>
      <c r="K100" s="51">
        <f t="shared" si="6"/>
        <v>0</v>
      </c>
      <c r="L100" s="51">
        <f t="shared" si="6"/>
        <v>0</v>
      </c>
      <c r="M100" s="51">
        <f t="shared" si="6"/>
        <v>0</v>
      </c>
      <c r="N100" s="51">
        <f t="shared" si="6"/>
        <v>0</v>
      </c>
      <c r="O100" s="51">
        <f t="shared" si="6"/>
        <v>0</v>
      </c>
      <c r="P100" s="51">
        <f t="shared" si="6"/>
        <v>0</v>
      </c>
    </row>
    <row r="101" spans="1:16" ht="14.4" x14ac:dyDescent="0.3">
      <c r="A101" s="38" t="s">
        <v>56</v>
      </c>
      <c r="B101" s="38"/>
      <c r="C101" s="36" t="s">
        <v>44</v>
      </c>
      <c r="D101" s="51">
        <f>D51</f>
        <v>0.12</v>
      </c>
      <c r="E101" s="51">
        <f t="shared" si="6"/>
        <v>0.12</v>
      </c>
      <c r="F101" s="51">
        <f t="shared" si="6"/>
        <v>0.12</v>
      </c>
      <c r="G101" s="51">
        <f t="shared" si="6"/>
        <v>0.12</v>
      </c>
      <c r="H101" s="51">
        <f t="shared" si="6"/>
        <v>0.12</v>
      </c>
      <c r="I101" s="51">
        <f t="shared" si="6"/>
        <v>0.12</v>
      </c>
      <c r="J101" s="51">
        <f t="shared" si="6"/>
        <v>0.12</v>
      </c>
      <c r="K101" s="51">
        <f t="shared" si="6"/>
        <v>0.12</v>
      </c>
      <c r="L101" s="51">
        <f t="shared" si="6"/>
        <v>0.12</v>
      </c>
      <c r="M101" s="51">
        <f t="shared" si="6"/>
        <v>0.12</v>
      </c>
      <c r="N101" s="51">
        <f t="shared" si="6"/>
        <v>0.12</v>
      </c>
      <c r="O101" s="51">
        <f t="shared" si="6"/>
        <v>0.12</v>
      </c>
      <c r="P101" s="51">
        <f t="shared" si="6"/>
        <v>0.12</v>
      </c>
    </row>
    <row r="102" spans="1:16" ht="14.4" x14ac:dyDescent="0.3">
      <c r="A102" s="38" t="s">
        <v>57</v>
      </c>
      <c r="B102" s="38"/>
      <c r="C102" s="36" t="s">
        <v>44</v>
      </c>
      <c r="D102" s="51">
        <f>D52</f>
        <v>0.12</v>
      </c>
      <c r="E102" s="51">
        <f t="shared" si="6"/>
        <v>0.12</v>
      </c>
      <c r="F102" s="51">
        <f t="shared" si="6"/>
        <v>0.12</v>
      </c>
      <c r="G102" s="51">
        <f t="shared" si="6"/>
        <v>0.12</v>
      </c>
      <c r="H102" s="51">
        <f t="shared" si="6"/>
        <v>0.12</v>
      </c>
      <c r="I102" s="51">
        <f t="shared" si="6"/>
        <v>0.12</v>
      </c>
      <c r="J102" s="51">
        <f t="shared" si="6"/>
        <v>0.12</v>
      </c>
      <c r="K102" s="51">
        <f t="shared" si="6"/>
        <v>0.12</v>
      </c>
      <c r="L102" s="51">
        <f t="shared" si="6"/>
        <v>0.12</v>
      </c>
      <c r="M102" s="51">
        <f t="shared" si="6"/>
        <v>0.12</v>
      </c>
      <c r="N102" s="51">
        <f t="shared" si="6"/>
        <v>0.12</v>
      </c>
      <c r="O102" s="51">
        <f t="shared" si="6"/>
        <v>0.12</v>
      </c>
      <c r="P102" s="51">
        <f t="shared" si="6"/>
        <v>0.12</v>
      </c>
    </row>
    <row r="104" spans="1:16" x14ac:dyDescent="0.3">
      <c r="A104" s="3" t="s">
        <v>58</v>
      </c>
    </row>
    <row r="105" spans="1:16" x14ac:dyDescent="0.3">
      <c r="A105" s="33"/>
    </row>
    <row r="106" spans="1:16" ht="18" x14ac:dyDescent="0.35">
      <c r="A106" s="9" t="str">
        <f>'[43]Statistical data'!A221</f>
        <v>General Service A</v>
      </c>
      <c r="B106" s="9"/>
      <c r="C106" s="5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</row>
    <row r="107" spans="1:16" s="13" customFormat="1" ht="14.4" x14ac:dyDescent="0.3">
      <c r="A107" s="11" t="s">
        <v>3</v>
      </c>
      <c r="B107" s="11"/>
      <c r="C107" s="11" t="s">
        <v>4</v>
      </c>
      <c r="D107" s="12" t="str">
        <f t="shared" ref="D107:P107" si="7">D57</f>
        <v>JAN</v>
      </c>
      <c r="E107" s="12" t="str">
        <f t="shared" si="7"/>
        <v>FEB</v>
      </c>
      <c r="F107" s="12" t="str">
        <f t="shared" si="7"/>
        <v>MAR</v>
      </c>
      <c r="G107" s="12" t="str">
        <f t="shared" si="7"/>
        <v>APR</v>
      </c>
      <c r="H107" s="12" t="str">
        <f t="shared" si="7"/>
        <v>MAY</v>
      </c>
      <c r="I107" s="12" t="str">
        <f t="shared" si="7"/>
        <v>JUN</v>
      </c>
      <c r="J107" s="12" t="str">
        <f t="shared" si="7"/>
        <v>JUL</v>
      </c>
      <c r="K107" s="12" t="str">
        <f t="shared" si="7"/>
        <v>AUG</v>
      </c>
      <c r="L107" s="12" t="str">
        <f t="shared" si="7"/>
        <v>SEP</v>
      </c>
      <c r="M107" s="12" t="str">
        <f t="shared" si="7"/>
        <v>OCT</v>
      </c>
      <c r="N107" s="12" t="str">
        <f t="shared" si="7"/>
        <v>NOV</v>
      </c>
      <c r="O107" s="12" t="str">
        <f t="shared" si="7"/>
        <v>DEC</v>
      </c>
      <c r="P107" s="12" t="str">
        <f t="shared" si="7"/>
        <v>JAN</v>
      </c>
    </row>
    <row r="108" spans="1:16" ht="14.4" x14ac:dyDescent="0.3">
      <c r="A108" s="14" t="s">
        <v>17</v>
      </c>
      <c r="B108" s="15"/>
      <c r="C108" s="16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</row>
    <row r="109" spans="1:16" ht="14.4" x14ac:dyDescent="0.3">
      <c r="A109" s="18" t="s">
        <v>18</v>
      </c>
      <c r="B109" s="19"/>
      <c r="C109" s="16" t="s">
        <v>19</v>
      </c>
      <c r="D109" s="42">
        <f>[43]GR!D24</f>
        <v>4.7182000000000004</v>
      </c>
      <c r="E109" s="42">
        <f>[43]GR!E24</f>
        <v>5.2384000000000004</v>
      </c>
      <c r="F109" s="42">
        <f>[43]GR!F24</f>
        <v>5.2096999999999998</v>
      </c>
      <c r="G109" s="42">
        <f>[43]GR!G24</f>
        <v>5.4120999999999997</v>
      </c>
      <c r="H109" s="42">
        <f>[43]GR!H24</f>
        <v>4.8131000000000004</v>
      </c>
      <c r="I109" s="42">
        <f>[43]GR!I24</f>
        <v>4.4555999999999996</v>
      </c>
      <c r="J109" s="42">
        <f>[43]GR!J24</f>
        <v>4.7397999999999998</v>
      </c>
      <c r="K109" s="42">
        <f>[43]GR!K24</f>
        <v>4.5526999999999997</v>
      </c>
      <c r="L109" s="42">
        <f>[43]GR!L24</f>
        <v>4.1325000000000003</v>
      </c>
      <c r="M109" s="42">
        <f>[43]GR!M24</f>
        <v>3.9954999999999998</v>
      </c>
      <c r="N109" s="42">
        <f>[43]GR!N24</f>
        <v>4.0838999999999999</v>
      </c>
      <c r="O109" s="42">
        <f>[43]GR!O24</f>
        <v>4.1299000000000001</v>
      </c>
      <c r="P109" s="42" t="e">
        <f>[43]GR!P24</f>
        <v>#DIV/0!</v>
      </c>
    </row>
    <row r="110" spans="1:16" ht="14.4" hidden="1" x14ac:dyDescent="0.3">
      <c r="A110" s="18" t="s">
        <v>66</v>
      </c>
      <c r="B110" s="19"/>
      <c r="C110" s="16" t="s">
        <v>19</v>
      </c>
      <c r="D110" s="20">
        <v>0</v>
      </c>
      <c r="E110" s="20">
        <v>0</v>
      </c>
      <c r="F110" s="20">
        <v>0</v>
      </c>
      <c r="G110" s="20">
        <v>0</v>
      </c>
      <c r="H110" s="20">
        <v>0</v>
      </c>
      <c r="I110" s="20">
        <v>0</v>
      </c>
      <c r="J110" s="20">
        <v>0</v>
      </c>
      <c r="K110" s="20">
        <v>0</v>
      </c>
      <c r="L110" s="20">
        <v>0</v>
      </c>
      <c r="M110" s="20">
        <v>0</v>
      </c>
      <c r="N110" s="20">
        <v>0</v>
      </c>
      <c r="O110" s="20">
        <v>0</v>
      </c>
      <c r="P110" s="20">
        <v>0</v>
      </c>
    </row>
    <row r="111" spans="1:16" ht="14.4" x14ac:dyDescent="0.3">
      <c r="A111" s="14" t="s">
        <v>20</v>
      </c>
      <c r="B111" s="15"/>
      <c r="C111" s="16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</row>
    <row r="112" spans="1:16" ht="14.4" x14ac:dyDescent="0.3">
      <c r="A112" s="18" t="s">
        <v>21</v>
      </c>
      <c r="B112" s="19"/>
      <c r="C112" s="16" t="s">
        <v>19</v>
      </c>
      <c r="D112" s="20">
        <f>D62</f>
        <v>0.86499999999999999</v>
      </c>
      <c r="E112" s="20">
        <f t="shared" ref="E112:P113" si="8">E62</f>
        <v>0.99150000000000005</v>
      </c>
      <c r="F112" s="20">
        <f t="shared" si="8"/>
        <v>0.94650000000000001</v>
      </c>
      <c r="G112" s="20">
        <f t="shared" si="8"/>
        <v>0.93859999999999999</v>
      </c>
      <c r="H112" s="20">
        <f t="shared" si="8"/>
        <v>0.99029999999999996</v>
      </c>
      <c r="I112" s="20">
        <f t="shared" si="8"/>
        <v>0.90310000000000001</v>
      </c>
      <c r="J112" s="20">
        <f t="shared" si="8"/>
        <v>0.85160000000000002</v>
      </c>
      <c r="K112" s="20">
        <f t="shared" si="8"/>
        <v>0.81059999999999999</v>
      </c>
      <c r="L112" s="20">
        <f t="shared" si="8"/>
        <v>0.77400000000000002</v>
      </c>
      <c r="M112" s="20">
        <f t="shared" si="8"/>
        <v>0.78649999999999998</v>
      </c>
      <c r="N112" s="20">
        <f t="shared" si="8"/>
        <v>0.80579999999999996</v>
      </c>
      <c r="O112" s="20">
        <f t="shared" si="8"/>
        <v>0.81279999999999997</v>
      </c>
      <c r="P112" s="20">
        <f t="shared" si="8"/>
        <v>0</v>
      </c>
    </row>
    <row r="113" spans="1:16" ht="14.4" x14ac:dyDescent="0.3">
      <c r="A113" s="18" t="s">
        <v>22</v>
      </c>
      <c r="B113" s="19"/>
      <c r="C113" s="16" t="s">
        <v>23</v>
      </c>
      <c r="D113" s="23">
        <f>D63</f>
        <v>0</v>
      </c>
      <c r="E113" s="23">
        <f t="shared" si="8"/>
        <v>0</v>
      </c>
      <c r="F113" s="23">
        <f t="shared" si="8"/>
        <v>0</v>
      </c>
      <c r="G113" s="23">
        <f t="shared" si="8"/>
        <v>0</v>
      </c>
      <c r="H113" s="23">
        <f t="shared" si="8"/>
        <v>0</v>
      </c>
      <c r="I113" s="23">
        <f t="shared" si="8"/>
        <v>0</v>
      </c>
      <c r="J113" s="23">
        <f t="shared" si="8"/>
        <v>0</v>
      </c>
      <c r="K113" s="23">
        <f t="shared" si="8"/>
        <v>0</v>
      </c>
      <c r="L113" s="23">
        <f t="shared" si="8"/>
        <v>0</v>
      </c>
      <c r="M113" s="23">
        <f t="shared" si="8"/>
        <v>0</v>
      </c>
      <c r="N113" s="23">
        <f t="shared" si="8"/>
        <v>0</v>
      </c>
      <c r="O113" s="23">
        <f t="shared" si="8"/>
        <v>0</v>
      </c>
      <c r="P113" s="23">
        <f t="shared" si="8"/>
        <v>0</v>
      </c>
    </row>
    <row r="114" spans="1:16" ht="14.4" x14ac:dyDescent="0.3">
      <c r="A114" s="14" t="s">
        <v>24</v>
      </c>
      <c r="B114" s="15"/>
      <c r="C114" s="16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</row>
    <row r="115" spans="1:16" ht="14.4" x14ac:dyDescent="0.3">
      <c r="A115" s="18" t="s">
        <v>25</v>
      </c>
      <c r="B115" s="19"/>
      <c r="C115" s="16" t="s">
        <v>19</v>
      </c>
      <c r="D115" s="20">
        <f>D65</f>
        <v>0.48820000000000002</v>
      </c>
      <c r="E115" s="20">
        <f t="shared" ref="E115:P115" si="9">E65</f>
        <v>0.55189999999999995</v>
      </c>
      <c r="F115" s="20">
        <f t="shared" si="9"/>
        <v>0.53859999999999997</v>
      </c>
      <c r="G115" s="20">
        <f t="shared" si="9"/>
        <v>0.55789999999999995</v>
      </c>
      <c r="H115" s="20">
        <f t="shared" si="9"/>
        <v>0.51959999999999995</v>
      </c>
      <c r="I115" s="20">
        <f t="shared" si="9"/>
        <v>0.4672</v>
      </c>
      <c r="J115" s="20">
        <f t="shared" si="9"/>
        <v>0.50139999999999996</v>
      </c>
      <c r="K115" s="20">
        <f t="shared" si="9"/>
        <v>0.49130000000000001</v>
      </c>
      <c r="L115" s="20">
        <f t="shared" si="9"/>
        <v>0.43269999999999997</v>
      </c>
      <c r="M115" s="20">
        <f t="shared" si="9"/>
        <v>0.42549999999999999</v>
      </c>
      <c r="N115" s="20">
        <f t="shared" si="9"/>
        <v>0.42930000000000001</v>
      </c>
      <c r="O115" s="20">
        <f t="shared" si="9"/>
        <v>0.43219999999999997</v>
      </c>
      <c r="P115" s="20">
        <f t="shared" si="9"/>
        <v>0</v>
      </c>
    </row>
    <row r="116" spans="1:16" ht="14.4" x14ac:dyDescent="0.3">
      <c r="A116" s="14" t="s">
        <v>26</v>
      </c>
      <c r="B116" s="14"/>
      <c r="C116" s="16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</row>
    <row r="117" spans="1:16" ht="14.4" x14ac:dyDescent="0.3">
      <c r="A117" s="18" t="s">
        <v>27</v>
      </c>
      <c r="B117" s="18"/>
      <c r="C117" s="16" t="s">
        <v>19</v>
      </c>
      <c r="D117" s="52" t="str">
        <f>D67</f>
        <v>See Schedule 2</v>
      </c>
      <c r="E117" s="52" t="str">
        <f t="shared" ref="E117:P118" si="10">E67</f>
        <v>See Schedule 2</v>
      </c>
      <c r="F117" s="52" t="str">
        <f t="shared" si="10"/>
        <v>See Schedule 2</v>
      </c>
      <c r="G117" s="52" t="str">
        <f t="shared" si="10"/>
        <v>See Schedule 2</v>
      </c>
      <c r="H117" s="52" t="str">
        <f t="shared" si="10"/>
        <v>See Schedule 2</v>
      </c>
      <c r="I117" s="52" t="str">
        <f t="shared" si="10"/>
        <v>See Schedule 2</v>
      </c>
      <c r="J117" s="52" t="str">
        <f t="shared" si="10"/>
        <v>See Schedule 2</v>
      </c>
      <c r="K117" s="52" t="str">
        <f t="shared" si="10"/>
        <v>See Schedule 2</v>
      </c>
      <c r="L117" s="52" t="str">
        <f t="shared" si="10"/>
        <v>See Schedule 2</v>
      </c>
      <c r="M117" s="52" t="str">
        <f t="shared" si="10"/>
        <v>See Schedule 2</v>
      </c>
      <c r="N117" s="52" t="str">
        <f t="shared" si="10"/>
        <v>See Schedule 2</v>
      </c>
      <c r="O117" s="52" t="str">
        <f t="shared" si="10"/>
        <v>See Schedule 2</v>
      </c>
      <c r="P117" s="52" t="str">
        <f t="shared" si="10"/>
        <v>See Schedule 2</v>
      </c>
    </row>
    <row r="118" spans="1:16" ht="14.4" x14ac:dyDescent="0.3">
      <c r="A118" s="18" t="s">
        <v>28</v>
      </c>
      <c r="B118" s="18"/>
      <c r="C118" s="16" t="s">
        <v>23</v>
      </c>
      <c r="D118" s="23">
        <f>D68</f>
        <v>0</v>
      </c>
      <c r="E118" s="23">
        <f t="shared" si="10"/>
        <v>0</v>
      </c>
      <c r="F118" s="23">
        <f t="shared" si="10"/>
        <v>0</v>
      </c>
      <c r="G118" s="23">
        <f t="shared" si="10"/>
        <v>0</v>
      </c>
      <c r="H118" s="23">
        <f t="shared" si="10"/>
        <v>0</v>
      </c>
      <c r="I118" s="23">
        <f t="shared" si="10"/>
        <v>0</v>
      </c>
      <c r="J118" s="23">
        <f t="shared" si="10"/>
        <v>0</v>
      </c>
      <c r="K118" s="23">
        <f t="shared" si="10"/>
        <v>0</v>
      </c>
      <c r="L118" s="23">
        <f t="shared" si="10"/>
        <v>0</v>
      </c>
      <c r="M118" s="23">
        <f t="shared" si="10"/>
        <v>0</v>
      </c>
      <c r="N118" s="23">
        <f t="shared" si="10"/>
        <v>0</v>
      </c>
      <c r="O118" s="23">
        <f t="shared" si="10"/>
        <v>0</v>
      </c>
      <c r="P118" s="23">
        <f t="shared" si="10"/>
        <v>0</v>
      </c>
    </row>
    <row r="119" spans="1:16" ht="14.4" x14ac:dyDescent="0.3">
      <c r="A119" s="14" t="s">
        <v>29</v>
      </c>
      <c r="B119" s="14"/>
      <c r="C119" s="16"/>
      <c r="D119" s="24"/>
      <c r="E119" s="24"/>
      <c r="F119" s="24"/>
      <c r="G119" s="24"/>
      <c r="H119" s="24"/>
      <c r="I119" s="24"/>
      <c r="J119" s="24"/>
      <c r="K119" s="24"/>
      <c r="L119" s="24"/>
      <c r="M119" s="24"/>
      <c r="N119" s="24"/>
      <c r="O119" s="24"/>
      <c r="P119" s="24"/>
    </row>
    <row r="120" spans="1:16" ht="14.4" x14ac:dyDescent="0.3">
      <c r="A120" s="18" t="s">
        <v>30</v>
      </c>
      <c r="B120" s="18"/>
      <c r="C120" s="16" t="s">
        <v>19</v>
      </c>
      <c r="D120" s="20">
        <v>0.57299999999999995</v>
      </c>
      <c r="E120" s="20">
        <v>0.57299999999999995</v>
      </c>
      <c r="F120" s="20">
        <v>0.57299999999999995</v>
      </c>
      <c r="G120" s="20">
        <v>0.57299999999999995</v>
      </c>
      <c r="H120" s="20">
        <v>0.57299999999999995</v>
      </c>
      <c r="I120" s="20">
        <v>0.57299999999999995</v>
      </c>
      <c r="J120" s="20">
        <v>0.50849999999999995</v>
      </c>
      <c r="K120" s="20">
        <v>0.50849999999999995</v>
      </c>
      <c r="L120" s="20">
        <v>0.50849999999999995</v>
      </c>
      <c r="M120" s="20">
        <v>0.50849999999999995</v>
      </c>
      <c r="N120" s="20">
        <v>0.50849999999999995</v>
      </c>
      <c r="O120" s="20">
        <v>0.50849999999999995</v>
      </c>
      <c r="P120" s="20">
        <v>0.50849999999999995</v>
      </c>
    </row>
    <row r="121" spans="1:16" ht="14.4" x14ac:dyDescent="0.3">
      <c r="A121" s="18" t="s">
        <v>31</v>
      </c>
      <c r="B121" s="18"/>
      <c r="C121" s="16" t="s">
        <v>32</v>
      </c>
      <c r="D121" s="23">
        <v>18.850000000000001</v>
      </c>
      <c r="E121" s="23">
        <v>18.850000000000001</v>
      </c>
      <c r="F121" s="23">
        <v>18.850000000000001</v>
      </c>
      <c r="G121" s="23">
        <v>18.850000000000001</v>
      </c>
      <c r="H121" s="23">
        <v>18.850000000000001</v>
      </c>
      <c r="I121" s="23">
        <v>18.850000000000001</v>
      </c>
      <c r="J121" s="23">
        <v>16.73</v>
      </c>
      <c r="K121" s="23">
        <v>16.73</v>
      </c>
      <c r="L121" s="23">
        <v>16.73</v>
      </c>
      <c r="M121" s="23">
        <v>16.73</v>
      </c>
      <c r="N121" s="23">
        <v>16.73</v>
      </c>
      <c r="O121" s="23">
        <v>16.73</v>
      </c>
      <c r="P121" s="23">
        <v>16.73</v>
      </c>
    </row>
    <row r="122" spans="1:16" ht="14.4" x14ac:dyDescent="0.3">
      <c r="A122" s="14" t="s">
        <v>33</v>
      </c>
      <c r="B122" s="14"/>
      <c r="C122" s="16"/>
      <c r="D122" s="24"/>
      <c r="E122" s="24"/>
      <c r="F122" s="24"/>
      <c r="G122" s="24"/>
      <c r="H122" s="24"/>
      <c r="I122" s="24"/>
      <c r="J122" s="24"/>
      <c r="K122" s="24"/>
      <c r="L122" s="24"/>
      <c r="M122" s="24"/>
      <c r="N122" s="24"/>
      <c r="O122" s="24"/>
      <c r="P122" s="24"/>
    </row>
    <row r="123" spans="1:16" ht="14.4" x14ac:dyDescent="0.3">
      <c r="A123" s="18" t="s">
        <v>34</v>
      </c>
      <c r="B123" s="18"/>
      <c r="C123" s="16" t="s">
        <v>19</v>
      </c>
      <c r="D123" s="20">
        <v>0.38400000000000001</v>
      </c>
      <c r="E123" s="20">
        <v>0.38400000000000001</v>
      </c>
      <c r="F123" s="20">
        <v>0.38400000000000001</v>
      </c>
      <c r="G123" s="20">
        <v>0.38400000000000001</v>
      </c>
      <c r="H123" s="20">
        <v>0.38400000000000001</v>
      </c>
      <c r="I123" s="20">
        <v>0.38400000000000001</v>
      </c>
      <c r="J123" s="20">
        <v>0.3377</v>
      </c>
      <c r="K123" s="20">
        <v>0.3377</v>
      </c>
      <c r="L123" s="20">
        <v>0.3377</v>
      </c>
      <c r="M123" s="20">
        <v>0.3377</v>
      </c>
      <c r="N123" s="20">
        <v>0.3377</v>
      </c>
      <c r="O123" s="20">
        <v>0.3377</v>
      </c>
      <c r="P123" s="20">
        <v>0.3377</v>
      </c>
    </row>
    <row r="124" spans="1:16" ht="14.4" x14ac:dyDescent="0.3">
      <c r="A124" s="18" t="s">
        <v>35</v>
      </c>
      <c r="B124" s="18"/>
      <c r="C124" s="16" t="s">
        <v>36</v>
      </c>
      <c r="D124" s="23">
        <v>5</v>
      </c>
      <c r="E124" s="23">
        <v>5</v>
      </c>
      <c r="F124" s="23">
        <v>5</v>
      </c>
      <c r="G124" s="23">
        <v>5</v>
      </c>
      <c r="H124" s="23">
        <v>5</v>
      </c>
      <c r="I124" s="23">
        <v>5</v>
      </c>
      <c r="J124" s="23">
        <v>5</v>
      </c>
      <c r="K124" s="23">
        <v>5</v>
      </c>
      <c r="L124" s="23">
        <v>5</v>
      </c>
      <c r="M124" s="23">
        <v>5</v>
      </c>
      <c r="N124" s="23">
        <v>5</v>
      </c>
      <c r="O124" s="23">
        <v>5</v>
      </c>
      <c r="P124" s="23">
        <v>5</v>
      </c>
    </row>
    <row r="125" spans="1:16" ht="14.4" x14ac:dyDescent="0.3">
      <c r="A125" s="14" t="s">
        <v>37</v>
      </c>
      <c r="B125" s="14"/>
      <c r="C125" s="16"/>
      <c r="D125" s="24"/>
      <c r="E125" s="24"/>
      <c r="F125" s="24"/>
      <c r="G125" s="24"/>
      <c r="H125" s="24"/>
      <c r="I125" s="24"/>
      <c r="J125" s="24"/>
      <c r="K125" s="24"/>
      <c r="L125" s="24"/>
      <c r="M125" s="24"/>
      <c r="N125" s="24"/>
      <c r="O125" s="24"/>
      <c r="P125" s="24"/>
    </row>
    <row r="126" spans="1:16" ht="14.4" x14ac:dyDescent="0.3">
      <c r="A126" s="25" t="s">
        <v>38</v>
      </c>
      <c r="B126" s="18"/>
      <c r="C126" s="16" t="s">
        <v>19</v>
      </c>
      <c r="D126" s="20">
        <f>D76</f>
        <v>0.1215</v>
      </c>
      <c r="E126" s="20">
        <f t="shared" ref="E126:P126" si="11">E76</f>
        <v>0.14280000000000001</v>
      </c>
      <c r="F126" s="20">
        <f t="shared" si="11"/>
        <v>0.1462</v>
      </c>
      <c r="G126" s="20">
        <f t="shared" si="11"/>
        <v>0.15629999999999999</v>
      </c>
      <c r="H126" s="20">
        <f t="shared" si="11"/>
        <v>0.1152</v>
      </c>
      <c r="I126" s="20">
        <f t="shared" si="11"/>
        <v>9.3799999999999994E-2</v>
      </c>
      <c r="J126" s="20">
        <f t="shared" si="11"/>
        <v>7.7499999999999999E-2</v>
      </c>
      <c r="K126" s="20">
        <f t="shared" si="11"/>
        <v>9.3200000000000005E-2</v>
      </c>
      <c r="L126" s="20">
        <f t="shared" si="11"/>
        <v>8.5099999999999995E-2</v>
      </c>
      <c r="M126" s="20">
        <f t="shared" si="11"/>
        <v>8.0299999999999996E-2</v>
      </c>
      <c r="N126" s="20">
        <f t="shared" si="11"/>
        <v>8.3699999999999997E-2</v>
      </c>
      <c r="O126" s="20">
        <f t="shared" si="11"/>
        <v>8.1699999999999995E-2</v>
      </c>
      <c r="P126" s="20">
        <f t="shared" si="11"/>
        <v>0</v>
      </c>
    </row>
    <row r="127" spans="1:16" ht="14.4" x14ac:dyDescent="0.3">
      <c r="A127" s="25" t="s">
        <v>39</v>
      </c>
      <c r="B127" s="18"/>
      <c r="C127" s="16" t="s">
        <v>19</v>
      </c>
      <c r="D127" s="20">
        <v>0</v>
      </c>
      <c r="E127" s="20">
        <v>0</v>
      </c>
      <c r="F127" s="20">
        <v>0</v>
      </c>
      <c r="G127" s="20">
        <v>0</v>
      </c>
      <c r="H127" s="20">
        <v>0</v>
      </c>
      <c r="I127" s="20">
        <v>0</v>
      </c>
      <c r="J127" s="20">
        <v>0</v>
      </c>
      <c r="K127" s="20">
        <v>0</v>
      </c>
      <c r="L127" s="20">
        <v>0</v>
      </c>
      <c r="M127" s="20">
        <v>0</v>
      </c>
      <c r="N127" s="20">
        <v>0</v>
      </c>
      <c r="O127" s="20">
        <v>0</v>
      </c>
      <c r="P127" s="20">
        <v>0</v>
      </c>
    </row>
    <row r="128" spans="1:16" ht="14.4" x14ac:dyDescent="0.3">
      <c r="A128" s="26" t="s">
        <v>40</v>
      </c>
      <c r="B128" s="18"/>
      <c r="C128" s="16" t="s">
        <v>19</v>
      </c>
      <c r="D128" s="20">
        <f>D78</f>
        <v>1E-4</v>
      </c>
      <c r="E128" s="20">
        <f t="shared" ref="E128:P130" si="12">E78</f>
        <v>1E-4</v>
      </c>
      <c r="F128" s="20">
        <f t="shared" si="12"/>
        <v>1E-4</v>
      </c>
      <c r="G128" s="20">
        <f t="shared" si="12"/>
        <v>1E-4</v>
      </c>
      <c r="H128" s="20">
        <f t="shared" si="12"/>
        <v>1E-4</v>
      </c>
      <c r="I128" s="20">
        <f t="shared" si="12"/>
        <v>1E-4</v>
      </c>
      <c r="J128" s="20">
        <f t="shared" si="12"/>
        <v>1E-4</v>
      </c>
      <c r="K128" s="20">
        <f t="shared" si="12"/>
        <v>1E-4</v>
      </c>
      <c r="L128" s="20">
        <f t="shared" si="12"/>
        <v>1E-4</v>
      </c>
      <c r="M128" s="20">
        <f t="shared" si="12"/>
        <v>1E-4</v>
      </c>
      <c r="N128" s="20">
        <f t="shared" si="12"/>
        <v>1E-4</v>
      </c>
      <c r="O128" s="20">
        <f t="shared" si="12"/>
        <v>1E-4</v>
      </c>
      <c r="P128" s="20">
        <f t="shared" si="12"/>
        <v>0</v>
      </c>
    </row>
    <row r="129" spans="1:16" ht="14.4" x14ac:dyDescent="0.3">
      <c r="A129" s="26" t="s">
        <v>41</v>
      </c>
      <c r="B129" s="18"/>
      <c r="C129" s="16" t="s">
        <v>19</v>
      </c>
      <c r="D129" s="20">
        <f>D79</f>
        <v>0</v>
      </c>
      <c r="E129" s="20">
        <f t="shared" si="12"/>
        <v>0</v>
      </c>
      <c r="F129" s="20">
        <f t="shared" si="12"/>
        <v>0</v>
      </c>
      <c r="G129" s="20">
        <f t="shared" si="12"/>
        <v>0</v>
      </c>
      <c r="H129" s="20">
        <f t="shared" si="12"/>
        <v>0</v>
      </c>
      <c r="I129" s="20">
        <f t="shared" si="12"/>
        <v>0</v>
      </c>
      <c r="J129" s="20">
        <f t="shared" si="12"/>
        <v>0</v>
      </c>
      <c r="K129" s="20">
        <f t="shared" si="12"/>
        <v>0</v>
      </c>
      <c r="L129" s="20">
        <f t="shared" si="12"/>
        <v>0</v>
      </c>
      <c r="M129" s="20">
        <f t="shared" si="12"/>
        <v>0</v>
      </c>
      <c r="N129" s="20">
        <f t="shared" si="12"/>
        <v>0</v>
      </c>
      <c r="O129" s="20">
        <f t="shared" si="12"/>
        <v>0</v>
      </c>
      <c r="P129" s="20">
        <f t="shared" si="12"/>
        <v>0</v>
      </c>
    </row>
    <row r="130" spans="1:16" ht="14.4" hidden="1" x14ac:dyDescent="0.3">
      <c r="A130" s="154" t="s">
        <v>181</v>
      </c>
      <c r="B130" s="155"/>
      <c r="C130" s="16" t="s">
        <v>19</v>
      </c>
      <c r="D130" s="20">
        <f>D80</f>
        <v>0</v>
      </c>
      <c r="E130" s="20">
        <f t="shared" si="12"/>
        <v>0</v>
      </c>
      <c r="F130" s="20">
        <f t="shared" si="12"/>
        <v>0</v>
      </c>
      <c r="G130" s="20">
        <f t="shared" si="12"/>
        <v>0</v>
      </c>
      <c r="H130" s="20">
        <f t="shared" si="12"/>
        <v>0</v>
      </c>
      <c r="I130" s="20">
        <f t="shared" si="12"/>
        <v>0</v>
      </c>
      <c r="J130" s="20">
        <f t="shared" si="12"/>
        <v>0</v>
      </c>
      <c r="K130" s="20">
        <f t="shared" si="12"/>
        <v>0</v>
      </c>
      <c r="L130" s="20">
        <f t="shared" si="12"/>
        <v>0</v>
      </c>
      <c r="M130" s="20">
        <f t="shared" si="12"/>
        <v>0</v>
      </c>
      <c r="N130" s="20">
        <f t="shared" si="12"/>
        <v>0</v>
      </c>
      <c r="O130" s="20">
        <f t="shared" si="12"/>
        <v>0</v>
      </c>
      <c r="P130" s="20">
        <f t="shared" si="12"/>
        <v>0</v>
      </c>
    </row>
    <row r="131" spans="1:16" ht="16.2" hidden="1" x14ac:dyDescent="0.3">
      <c r="A131" s="154" t="s">
        <v>182</v>
      </c>
      <c r="B131" s="155"/>
      <c r="C131" s="16" t="s">
        <v>19</v>
      </c>
      <c r="D131" s="20">
        <v>0</v>
      </c>
      <c r="E131" s="20">
        <v>0</v>
      </c>
      <c r="F131" s="20">
        <v>0</v>
      </c>
      <c r="G131" s="20">
        <v>0</v>
      </c>
      <c r="H131" s="20">
        <v>0</v>
      </c>
      <c r="I131" s="20">
        <v>0</v>
      </c>
      <c r="J131" s="20">
        <v>0</v>
      </c>
      <c r="K131" s="20">
        <v>0</v>
      </c>
      <c r="L131" s="20">
        <v>0</v>
      </c>
      <c r="M131" s="20">
        <v>0</v>
      </c>
      <c r="N131" s="20">
        <v>0</v>
      </c>
      <c r="O131" s="20">
        <v>0</v>
      </c>
      <c r="P131" s="20">
        <v>0</v>
      </c>
    </row>
    <row r="132" spans="1:16" ht="16.2" hidden="1" x14ac:dyDescent="0.3">
      <c r="A132" s="154" t="s">
        <v>182</v>
      </c>
      <c r="B132" s="156"/>
      <c r="C132" s="16" t="s">
        <v>19</v>
      </c>
      <c r="D132" s="20">
        <v>0</v>
      </c>
      <c r="E132" s="20">
        <v>0</v>
      </c>
      <c r="F132" s="20">
        <v>0</v>
      </c>
      <c r="G132" s="20">
        <v>0</v>
      </c>
      <c r="H132" s="20">
        <v>0</v>
      </c>
      <c r="I132" s="20">
        <v>0</v>
      </c>
      <c r="J132" s="20">
        <v>0</v>
      </c>
      <c r="K132" s="20">
        <v>0</v>
      </c>
      <c r="L132" s="20">
        <v>0</v>
      </c>
      <c r="M132" s="20">
        <v>0</v>
      </c>
      <c r="N132" s="20">
        <v>0</v>
      </c>
      <c r="O132" s="20">
        <v>0</v>
      </c>
      <c r="P132" s="20">
        <v>0</v>
      </c>
    </row>
    <row r="133" spans="1:16" ht="14.4" x14ac:dyDescent="0.3">
      <c r="A133" s="14" t="s">
        <v>42</v>
      </c>
      <c r="B133" s="14"/>
      <c r="C133" s="16"/>
      <c r="D133" s="24"/>
      <c r="E133" s="24"/>
      <c r="F133" s="24"/>
      <c r="G133" s="24"/>
      <c r="H133" s="24"/>
      <c r="I133" s="24"/>
      <c r="J133" s="24"/>
      <c r="K133" s="24"/>
      <c r="L133" s="24"/>
      <c r="M133" s="24"/>
      <c r="N133" s="24"/>
      <c r="O133" s="24"/>
      <c r="P133" s="24"/>
    </row>
    <row r="134" spans="1:16" ht="14.4" x14ac:dyDescent="0.3">
      <c r="A134" s="14" t="s">
        <v>43</v>
      </c>
      <c r="B134" s="14"/>
      <c r="C134" s="16" t="s">
        <v>44</v>
      </c>
      <c r="D134" s="27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</row>
    <row r="135" spans="1:16" ht="14.4" hidden="1" x14ac:dyDescent="0.3">
      <c r="A135" s="14" t="s">
        <v>183</v>
      </c>
      <c r="B135" s="14"/>
      <c r="C135" s="16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</row>
    <row r="136" spans="1:16" ht="14.4" hidden="1" x14ac:dyDescent="0.3">
      <c r="A136" s="14" t="s">
        <v>184</v>
      </c>
      <c r="B136" s="14"/>
      <c r="C136" s="16" t="s">
        <v>19</v>
      </c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</row>
    <row r="137" spans="1:16" ht="14.4" x14ac:dyDescent="0.3">
      <c r="A137" s="14" t="s">
        <v>45</v>
      </c>
      <c r="B137" s="14"/>
      <c r="C137" s="16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</row>
    <row r="138" spans="1:16" ht="14.4" x14ac:dyDescent="0.3">
      <c r="A138" s="14" t="s">
        <v>46</v>
      </c>
      <c r="B138" s="14"/>
      <c r="C138" s="16" t="s">
        <v>19</v>
      </c>
      <c r="D138" s="20">
        <v>0</v>
      </c>
      <c r="E138" s="20">
        <v>0</v>
      </c>
      <c r="F138" s="20">
        <v>0</v>
      </c>
      <c r="G138" s="20">
        <v>0</v>
      </c>
      <c r="H138" s="20">
        <v>0</v>
      </c>
      <c r="I138" s="20">
        <v>0</v>
      </c>
      <c r="J138" s="20">
        <v>0</v>
      </c>
      <c r="K138" s="20">
        <v>0</v>
      </c>
      <c r="L138" s="20">
        <v>0</v>
      </c>
      <c r="M138" s="20">
        <v>0</v>
      </c>
      <c r="N138" s="20">
        <v>0</v>
      </c>
      <c r="O138" s="20">
        <v>0</v>
      </c>
      <c r="P138" s="20">
        <v>0</v>
      </c>
    </row>
    <row r="139" spans="1:16" ht="14.4" hidden="1" x14ac:dyDescent="0.3">
      <c r="A139" s="14" t="s">
        <v>185</v>
      </c>
      <c r="B139" s="14"/>
      <c r="C139" s="16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</row>
    <row r="140" spans="1:16" ht="14.4" hidden="1" x14ac:dyDescent="0.3">
      <c r="A140" s="14" t="s">
        <v>186</v>
      </c>
      <c r="B140" s="14"/>
      <c r="C140" s="16" t="s">
        <v>19</v>
      </c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</row>
    <row r="141" spans="1:16" ht="14.4" x14ac:dyDescent="0.3">
      <c r="A141" s="14" t="s">
        <v>47</v>
      </c>
      <c r="B141" s="14"/>
      <c r="C141" s="16"/>
      <c r="D141" s="24"/>
      <c r="E141" s="24"/>
      <c r="F141" s="24"/>
      <c r="G141" s="24"/>
      <c r="H141" s="24"/>
      <c r="I141" s="24"/>
      <c r="J141" s="24"/>
      <c r="K141" s="24"/>
      <c r="L141" s="24"/>
      <c r="M141" s="24"/>
      <c r="N141" s="24"/>
      <c r="O141" s="24"/>
      <c r="P141" s="24"/>
    </row>
    <row r="142" spans="1:16" ht="14.4" x14ac:dyDescent="0.3">
      <c r="A142" s="18" t="s">
        <v>48</v>
      </c>
      <c r="B142" s="18"/>
      <c r="C142" s="16" t="s">
        <v>19</v>
      </c>
      <c r="D142" s="20">
        <f>D92</f>
        <v>0.15609999999999999</v>
      </c>
      <c r="E142" s="20">
        <f t="shared" ref="E142:P144" si="13">E92</f>
        <v>0.15609999999999999</v>
      </c>
      <c r="F142" s="20">
        <f t="shared" si="13"/>
        <v>0.15609999999999999</v>
      </c>
      <c r="G142" s="20">
        <f t="shared" si="13"/>
        <v>0.15609999999999999</v>
      </c>
      <c r="H142" s="20">
        <f t="shared" si="13"/>
        <v>0.15609999999999999</v>
      </c>
      <c r="I142" s="20">
        <f t="shared" si="13"/>
        <v>0.15609999999999999</v>
      </c>
      <c r="J142" s="20">
        <f t="shared" si="13"/>
        <v>0.15609999999999999</v>
      </c>
      <c r="K142" s="20">
        <f t="shared" si="13"/>
        <v>0.15609999999999999</v>
      </c>
      <c r="L142" s="20">
        <f t="shared" si="13"/>
        <v>0.15609999999999999</v>
      </c>
      <c r="M142" s="20">
        <f t="shared" si="13"/>
        <v>0.15609999999999999</v>
      </c>
      <c r="N142" s="20">
        <f t="shared" si="13"/>
        <v>0.15609999999999999</v>
      </c>
      <c r="O142" s="20">
        <f t="shared" si="13"/>
        <v>0.15609999999999999</v>
      </c>
      <c r="P142" s="20">
        <f t="shared" si="13"/>
        <v>0.15609999999999999</v>
      </c>
    </row>
    <row r="143" spans="1:16" ht="14.4" x14ac:dyDescent="0.3">
      <c r="A143" s="18" t="s">
        <v>49</v>
      </c>
      <c r="B143" s="18"/>
      <c r="C143" s="16" t="s">
        <v>19</v>
      </c>
      <c r="D143" s="20">
        <f>D93</f>
        <v>2.5000000000000001E-3</v>
      </c>
      <c r="E143" s="20">
        <f t="shared" si="13"/>
        <v>2.5000000000000001E-3</v>
      </c>
      <c r="F143" s="20">
        <f t="shared" si="13"/>
        <v>2.5000000000000001E-3</v>
      </c>
      <c r="G143" s="20">
        <f t="shared" si="13"/>
        <v>2.5000000000000001E-3</v>
      </c>
      <c r="H143" s="20">
        <f t="shared" si="13"/>
        <v>2.5000000000000001E-3</v>
      </c>
      <c r="I143" s="20">
        <f t="shared" si="13"/>
        <v>2.5000000000000001E-3</v>
      </c>
      <c r="J143" s="20">
        <f t="shared" si="13"/>
        <v>2.5000000000000001E-3</v>
      </c>
      <c r="K143" s="20">
        <f t="shared" si="13"/>
        <v>2.5000000000000001E-3</v>
      </c>
      <c r="L143" s="20">
        <f t="shared" si="13"/>
        <v>2.5000000000000001E-3</v>
      </c>
      <c r="M143" s="20">
        <f t="shared" si="13"/>
        <v>2.5000000000000001E-3</v>
      </c>
      <c r="N143" s="20">
        <f t="shared" si="13"/>
        <v>2.5000000000000001E-3</v>
      </c>
      <c r="O143" s="20">
        <f t="shared" si="13"/>
        <v>2.5000000000000001E-3</v>
      </c>
      <c r="P143" s="20">
        <f t="shared" si="13"/>
        <v>2.5000000000000001E-3</v>
      </c>
    </row>
    <row r="144" spans="1:16" ht="14.4" x14ac:dyDescent="0.3">
      <c r="A144" s="18" t="s">
        <v>50</v>
      </c>
      <c r="B144" s="18"/>
      <c r="C144" s="16" t="s">
        <v>19</v>
      </c>
      <c r="D144" s="20">
        <f>D94</f>
        <v>0.1938</v>
      </c>
      <c r="E144" s="20">
        <f t="shared" si="13"/>
        <v>0.1938</v>
      </c>
      <c r="F144" s="20">
        <f t="shared" si="13"/>
        <v>0.1938</v>
      </c>
      <c r="G144" s="20">
        <f t="shared" si="13"/>
        <v>0.1938</v>
      </c>
      <c r="H144" s="20">
        <f t="shared" si="13"/>
        <v>0.1938</v>
      </c>
      <c r="I144" s="20">
        <f t="shared" si="13"/>
        <v>0.1938</v>
      </c>
      <c r="J144" s="20">
        <f t="shared" si="13"/>
        <v>0.1938</v>
      </c>
      <c r="K144" s="20">
        <f t="shared" si="13"/>
        <v>0.1938</v>
      </c>
      <c r="L144" s="20">
        <f t="shared" si="13"/>
        <v>0.1938</v>
      </c>
      <c r="M144" s="20">
        <f t="shared" si="13"/>
        <v>0.1938</v>
      </c>
      <c r="N144" s="20">
        <f t="shared" si="13"/>
        <v>0.1938</v>
      </c>
      <c r="O144" s="20">
        <f t="shared" si="13"/>
        <v>0.1938</v>
      </c>
      <c r="P144" s="20">
        <f t="shared" si="13"/>
        <v>0.1938</v>
      </c>
    </row>
    <row r="145" spans="1:16" ht="14.4" x14ac:dyDescent="0.3">
      <c r="A145" s="14" t="s">
        <v>51</v>
      </c>
      <c r="B145" s="14"/>
      <c r="C145" s="16" t="s">
        <v>19</v>
      </c>
      <c r="D145" s="20">
        <v>0</v>
      </c>
      <c r="E145" s="20">
        <v>4.0599999999999997E-2</v>
      </c>
      <c r="F145" s="20">
        <v>4.0599999999999997E-2</v>
      </c>
      <c r="G145" s="20">
        <v>4.0599999999999997E-2</v>
      </c>
      <c r="H145" s="20">
        <v>4.0599999999999997E-2</v>
      </c>
      <c r="I145" s="20">
        <v>4.0599999999999997E-2</v>
      </c>
      <c r="J145" s="20">
        <v>4.0599999999999997E-2</v>
      </c>
      <c r="K145" s="20">
        <v>4.0599999999999997E-2</v>
      </c>
      <c r="L145" s="20">
        <v>4.0599999999999997E-2</v>
      </c>
      <c r="M145" s="20">
        <v>4.0599999999999997E-2</v>
      </c>
      <c r="N145" s="20">
        <v>4.0599999999999997E-2</v>
      </c>
      <c r="O145" s="20">
        <v>4.0599999999999997E-2</v>
      </c>
      <c r="P145" s="20">
        <v>4.0599999999999997E-2</v>
      </c>
    </row>
    <row r="146" spans="1:16" ht="14.4" x14ac:dyDescent="0.3">
      <c r="A146" s="14" t="s">
        <v>52</v>
      </c>
      <c r="B146" s="14"/>
      <c r="C146" s="29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</row>
    <row r="147" spans="1:16" ht="14.4" x14ac:dyDescent="0.3">
      <c r="A147" s="18" t="s">
        <v>53</v>
      </c>
      <c r="B147" s="18"/>
      <c r="C147" s="16" t="s">
        <v>44</v>
      </c>
      <c r="D147" s="27">
        <f>D97</f>
        <v>0.1154</v>
      </c>
      <c r="E147" s="27">
        <f t="shared" ref="E147:P149" si="14">E97</f>
        <v>0.1143</v>
      </c>
      <c r="F147" s="27">
        <f t="shared" si="14"/>
        <v>0.11269999999999999</v>
      </c>
      <c r="G147" s="27">
        <f t="shared" si="14"/>
        <v>0.11459999999999999</v>
      </c>
      <c r="H147" s="27">
        <f t="shared" si="14"/>
        <v>0.1134</v>
      </c>
      <c r="I147" s="27">
        <f t="shared" si="14"/>
        <v>0.11219999999999999</v>
      </c>
      <c r="J147" s="27">
        <f t="shared" si="14"/>
        <v>0.1079</v>
      </c>
      <c r="K147" s="27">
        <f t="shared" si="14"/>
        <v>0.10639999999999999</v>
      </c>
      <c r="L147" s="27">
        <f t="shared" si="14"/>
        <v>0.1089</v>
      </c>
      <c r="M147" s="27">
        <f t="shared" si="14"/>
        <v>0.1143</v>
      </c>
      <c r="N147" s="27">
        <f t="shared" si="14"/>
        <v>0.1145</v>
      </c>
      <c r="O147" s="27">
        <f t="shared" si="14"/>
        <v>0.11310000000000001</v>
      </c>
      <c r="P147" s="27" t="e">
        <f t="shared" si="14"/>
        <v>#DIV/0!</v>
      </c>
    </row>
    <row r="148" spans="1:16" ht="14.4" x14ac:dyDescent="0.3">
      <c r="A148" s="18" t="s">
        <v>54</v>
      </c>
      <c r="B148" s="18"/>
      <c r="C148" s="16" t="s">
        <v>44</v>
      </c>
      <c r="D148" s="27">
        <f>D98</f>
        <v>3.3E-3</v>
      </c>
      <c r="E148" s="27">
        <f t="shared" si="14"/>
        <v>3.5999999999999999E-3</v>
      </c>
      <c r="F148" s="27">
        <f t="shared" si="14"/>
        <v>5.5999999999999999E-3</v>
      </c>
      <c r="G148" s="27">
        <f t="shared" si="14"/>
        <v>1.0699999999999999E-2</v>
      </c>
      <c r="H148" s="27">
        <f t="shared" si="14"/>
        <v>2.8400000000000002E-2</v>
      </c>
      <c r="I148" s="27">
        <f t="shared" si="14"/>
        <v>2.7400000000000001E-2</v>
      </c>
      <c r="J148" s="27">
        <f t="shared" si="14"/>
        <v>2.18E-2</v>
      </c>
      <c r="K148" s="27">
        <f t="shared" si="14"/>
        <v>8.9999999999999993E-3</v>
      </c>
      <c r="L148" s="27">
        <f t="shared" si="14"/>
        <v>8.3999999999999995E-3</v>
      </c>
      <c r="M148" s="27">
        <f t="shared" si="14"/>
        <v>6.1999999999999998E-3</v>
      </c>
      <c r="N148" s="27">
        <f t="shared" si="14"/>
        <v>4.7000000000000002E-3</v>
      </c>
      <c r="O148" s="27">
        <f t="shared" si="14"/>
        <v>6.1999999999999998E-3</v>
      </c>
      <c r="P148" s="27">
        <f t="shared" si="14"/>
        <v>-3.0300000000000001E-2</v>
      </c>
    </row>
    <row r="149" spans="1:16" ht="14.4" x14ac:dyDescent="0.3">
      <c r="A149" s="18" t="s">
        <v>55</v>
      </c>
      <c r="B149" s="18"/>
      <c r="C149" s="16" t="s">
        <v>44</v>
      </c>
      <c r="D149" s="27">
        <f>D99</f>
        <v>9.8100000000000007E-2</v>
      </c>
      <c r="E149" s="27">
        <f t="shared" si="14"/>
        <v>9.64E-2</v>
      </c>
      <c r="F149" s="27">
        <f t="shared" si="14"/>
        <v>9.69E-2</v>
      </c>
      <c r="G149" s="27">
        <f t="shared" si="14"/>
        <v>9.9299999999999999E-2</v>
      </c>
      <c r="H149" s="27">
        <f t="shared" si="14"/>
        <v>9.9099999999999994E-2</v>
      </c>
      <c r="I149" s="27">
        <f t="shared" si="14"/>
        <v>9.8500000000000004E-2</v>
      </c>
      <c r="J149" s="27">
        <f t="shared" si="14"/>
        <v>9.5299999999999996E-2</v>
      </c>
      <c r="K149" s="27">
        <f t="shared" si="14"/>
        <v>9.1800000000000007E-2</v>
      </c>
      <c r="L149" s="27">
        <f t="shared" si="14"/>
        <v>9.3399999999999997E-2</v>
      </c>
      <c r="M149" s="27">
        <f t="shared" si="14"/>
        <v>9.7199999999999995E-2</v>
      </c>
      <c r="N149" s="27">
        <f t="shared" si="14"/>
        <v>9.6799999999999997E-2</v>
      </c>
      <c r="O149" s="27">
        <f t="shared" si="14"/>
        <v>9.6199999999999994E-2</v>
      </c>
      <c r="P149" s="27" t="e">
        <f t="shared" si="14"/>
        <v>#DIV/0!</v>
      </c>
    </row>
    <row r="150" spans="1:16" ht="14.4" hidden="1" x14ac:dyDescent="0.3">
      <c r="A150" s="18" t="s">
        <v>187</v>
      </c>
      <c r="B150" s="18"/>
      <c r="C150" s="16" t="s">
        <v>44</v>
      </c>
      <c r="D150" s="27">
        <v>0</v>
      </c>
      <c r="E150" s="27">
        <v>0</v>
      </c>
      <c r="F150" s="27">
        <v>0</v>
      </c>
      <c r="G150" s="27">
        <v>0</v>
      </c>
      <c r="H150" s="27">
        <v>0</v>
      </c>
      <c r="I150" s="27">
        <v>0</v>
      </c>
      <c r="J150" s="27">
        <v>0</v>
      </c>
      <c r="K150" s="27">
        <v>0</v>
      </c>
      <c r="L150" s="27">
        <v>0</v>
      </c>
      <c r="M150" s="27">
        <v>0</v>
      </c>
      <c r="N150" s="27">
        <v>0</v>
      </c>
      <c r="O150" s="27">
        <v>0</v>
      </c>
      <c r="P150" s="27">
        <v>0</v>
      </c>
    </row>
    <row r="151" spans="1:16" ht="14.4" x14ac:dyDescent="0.3">
      <c r="A151" s="18" t="s">
        <v>56</v>
      </c>
      <c r="B151" s="18"/>
      <c r="C151" s="16" t="s">
        <v>44</v>
      </c>
      <c r="D151" s="27">
        <f>D101</f>
        <v>0.12</v>
      </c>
      <c r="E151" s="27">
        <f t="shared" ref="E151:P152" si="15">E101</f>
        <v>0.12</v>
      </c>
      <c r="F151" s="27">
        <f t="shared" si="15"/>
        <v>0.12</v>
      </c>
      <c r="G151" s="27">
        <f t="shared" si="15"/>
        <v>0.12</v>
      </c>
      <c r="H151" s="27">
        <f t="shared" si="15"/>
        <v>0.12</v>
      </c>
      <c r="I151" s="27">
        <f t="shared" si="15"/>
        <v>0.12</v>
      </c>
      <c r="J151" s="27">
        <f t="shared" si="15"/>
        <v>0.12</v>
      </c>
      <c r="K151" s="27">
        <f t="shared" si="15"/>
        <v>0.12</v>
      </c>
      <c r="L151" s="27">
        <f t="shared" si="15"/>
        <v>0.12</v>
      </c>
      <c r="M151" s="27">
        <f t="shared" si="15"/>
        <v>0.12</v>
      </c>
      <c r="N151" s="27">
        <f t="shared" si="15"/>
        <v>0.12</v>
      </c>
      <c r="O151" s="27">
        <f t="shared" si="15"/>
        <v>0.12</v>
      </c>
      <c r="P151" s="27">
        <f t="shared" si="15"/>
        <v>0.12</v>
      </c>
    </row>
    <row r="152" spans="1:16" ht="14.4" x14ac:dyDescent="0.3">
      <c r="A152" s="18" t="s">
        <v>57</v>
      </c>
      <c r="B152" s="18"/>
      <c r="C152" s="16" t="s">
        <v>44</v>
      </c>
      <c r="D152" s="27">
        <f>D102</f>
        <v>0.12</v>
      </c>
      <c r="E152" s="27">
        <f t="shared" si="15"/>
        <v>0.12</v>
      </c>
      <c r="F152" s="27">
        <f t="shared" si="15"/>
        <v>0.12</v>
      </c>
      <c r="G152" s="27">
        <f t="shared" si="15"/>
        <v>0.12</v>
      </c>
      <c r="H152" s="27">
        <f t="shared" si="15"/>
        <v>0.12</v>
      </c>
      <c r="I152" s="27">
        <f t="shared" si="15"/>
        <v>0.12</v>
      </c>
      <c r="J152" s="27">
        <f t="shared" si="15"/>
        <v>0.12</v>
      </c>
      <c r="K152" s="27">
        <f t="shared" si="15"/>
        <v>0.12</v>
      </c>
      <c r="L152" s="27">
        <f t="shared" si="15"/>
        <v>0.12</v>
      </c>
      <c r="M152" s="27">
        <f t="shared" si="15"/>
        <v>0.12</v>
      </c>
      <c r="N152" s="27">
        <f t="shared" si="15"/>
        <v>0.12</v>
      </c>
      <c r="O152" s="27">
        <f t="shared" si="15"/>
        <v>0.12</v>
      </c>
      <c r="P152" s="27">
        <f t="shared" si="15"/>
        <v>0.12</v>
      </c>
    </row>
    <row r="154" spans="1:16" x14ac:dyDescent="0.3">
      <c r="A154" s="3" t="s">
        <v>58</v>
      </c>
    </row>
    <row r="155" spans="1:16" x14ac:dyDescent="0.3">
      <c r="A155" s="33"/>
    </row>
    <row r="156" spans="1:16" ht="18" x14ac:dyDescent="0.35">
      <c r="A156" s="9" t="str">
        <f>'[43]Statistical data'!A222</f>
        <v>GHMSCI</v>
      </c>
      <c r="B156" s="9"/>
      <c r="C156" s="5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</row>
    <row r="157" spans="1:16" s="13" customFormat="1" ht="14.4" x14ac:dyDescent="0.3">
      <c r="A157" s="11" t="s">
        <v>3</v>
      </c>
      <c r="B157" s="11"/>
      <c r="C157" s="11" t="s">
        <v>4</v>
      </c>
      <c r="D157" s="12" t="str">
        <f t="shared" ref="D157:P157" si="16">D107</f>
        <v>JAN</v>
      </c>
      <c r="E157" s="12" t="str">
        <f t="shared" si="16"/>
        <v>FEB</v>
      </c>
      <c r="F157" s="12" t="str">
        <f t="shared" si="16"/>
        <v>MAR</v>
      </c>
      <c r="G157" s="12" t="str">
        <f t="shared" si="16"/>
        <v>APR</v>
      </c>
      <c r="H157" s="12" t="str">
        <f t="shared" si="16"/>
        <v>MAY</v>
      </c>
      <c r="I157" s="12" t="str">
        <f t="shared" si="16"/>
        <v>JUN</v>
      </c>
      <c r="J157" s="12" t="str">
        <f t="shared" si="16"/>
        <v>JUL</v>
      </c>
      <c r="K157" s="12" t="str">
        <f t="shared" si="16"/>
        <v>AUG</v>
      </c>
      <c r="L157" s="12" t="str">
        <f t="shared" si="16"/>
        <v>SEP</v>
      </c>
      <c r="M157" s="12" t="str">
        <f t="shared" si="16"/>
        <v>OCT</v>
      </c>
      <c r="N157" s="12" t="str">
        <f t="shared" si="16"/>
        <v>NOV</v>
      </c>
      <c r="O157" s="12" t="str">
        <f t="shared" si="16"/>
        <v>DEC</v>
      </c>
      <c r="P157" s="12" t="str">
        <f t="shared" si="16"/>
        <v>JAN</v>
      </c>
    </row>
    <row r="158" spans="1:16" ht="14.4" x14ac:dyDescent="0.3">
      <c r="A158" s="14" t="s">
        <v>17</v>
      </c>
      <c r="B158" s="15"/>
      <c r="C158" s="16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</row>
    <row r="159" spans="1:16" ht="14.4" x14ac:dyDescent="0.3">
      <c r="A159" s="18" t="s">
        <v>18</v>
      </c>
      <c r="B159" s="19"/>
      <c r="C159" s="16" t="s">
        <v>19</v>
      </c>
      <c r="D159" s="20">
        <f t="shared" ref="D159:O159" si="17">D990</f>
        <v>4.7182000000000004</v>
      </c>
      <c r="E159" s="20">
        <f t="shared" si="17"/>
        <v>5.2384000000000004</v>
      </c>
      <c r="F159" s="20">
        <f t="shared" si="17"/>
        <v>5.2096999999999998</v>
      </c>
      <c r="G159" s="20">
        <f t="shared" si="17"/>
        <v>5.4120999999999997</v>
      </c>
      <c r="H159" s="20">
        <f t="shared" si="17"/>
        <v>4.8131000000000004</v>
      </c>
      <c r="I159" s="20">
        <f t="shared" si="17"/>
        <v>4.4555999999999996</v>
      </c>
      <c r="J159" s="20">
        <f t="shared" si="17"/>
        <v>4.7397999999999998</v>
      </c>
      <c r="K159" s="20">
        <f t="shared" si="17"/>
        <v>4.5526999999999997</v>
      </c>
      <c r="L159" s="20">
        <f t="shared" si="17"/>
        <v>4.1325000000000003</v>
      </c>
      <c r="M159" s="20">
        <f t="shared" si="17"/>
        <v>3.9954999999999998</v>
      </c>
      <c r="N159" s="20">
        <f t="shared" si="17"/>
        <v>4.0838999999999999</v>
      </c>
      <c r="O159" s="20">
        <f t="shared" si="17"/>
        <v>4.1299000000000001</v>
      </c>
      <c r="P159" s="20" t="e">
        <f>P990</f>
        <v>#DIV/0!</v>
      </c>
    </row>
    <row r="160" spans="1:16" ht="14.4" hidden="1" x14ac:dyDescent="0.3">
      <c r="A160" s="18" t="s">
        <v>66</v>
      </c>
      <c r="B160" s="19"/>
      <c r="C160" s="16" t="s">
        <v>19</v>
      </c>
      <c r="D160" s="20">
        <v>12</v>
      </c>
      <c r="E160" s="20">
        <v>12</v>
      </c>
      <c r="F160" s="20">
        <v>12</v>
      </c>
      <c r="G160" s="20">
        <v>12</v>
      </c>
      <c r="H160" s="20">
        <v>12</v>
      </c>
      <c r="I160" s="20">
        <v>12</v>
      </c>
      <c r="J160" s="20">
        <v>12</v>
      </c>
      <c r="K160" s="20">
        <v>12</v>
      </c>
      <c r="L160" s="20">
        <v>12</v>
      </c>
      <c r="M160" s="20">
        <v>12</v>
      </c>
      <c r="N160" s="20">
        <v>12</v>
      </c>
      <c r="O160" s="20">
        <v>12</v>
      </c>
      <c r="P160" s="20">
        <v>12</v>
      </c>
    </row>
    <row r="161" spans="1:16" ht="14.4" x14ac:dyDescent="0.3">
      <c r="A161" s="14" t="s">
        <v>20</v>
      </c>
      <c r="B161" s="15"/>
      <c r="C161" s="16"/>
      <c r="D161" s="53"/>
      <c r="E161" s="53"/>
      <c r="F161" s="53"/>
      <c r="G161" s="53"/>
      <c r="H161" s="53"/>
      <c r="I161" s="53"/>
      <c r="J161" s="53"/>
      <c r="K161" s="53"/>
      <c r="L161" s="53"/>
      <c r="M161" s="53"/>
      <c r="N161" s="53"/>
      <c r="O161" s="53"/>
      <c r="P161" s="53"/>
    </row>
    <row r="162" spans="1:16" ht="14.4" x14ac:dyDescent="0.3">
      <c r="A162" s="18" t="s">
        <v>21</v>
      </c>
      <c r="B162" s="19"/>
      <c r="C162" s="16" t="s">
        <v>19</v>
      </c>
      <c r="D162" s="20">
        <f>[43]TR!D57</f>
        <v>1.0029999999999999</v>
      </c>
      <c r="E162" s="20">
        <f>[43]TR!E57</f>
        <v>1.2031000000000001</v>
      </c>
      <c r="F162" s="20">
        <f>[43]TR!F57</f>
        <v>1.0041</v>
      </c>
      <c r="G162" s="20">
        <f>[43]TR!G57</f>
        <v>1.1276999999999999</v>
      </c>
      <c r="H162" s="20">
        <f>[43]TR!H57</f>
        <v>1.1304000000000001</v>
      </c>
      <c r="I162" s="20">
        <f>[43]TR!I57</f>
        <v>1.0215000000000001</v>
      </c>
      <c r="J162" s="20">
        <f>[43]TR!J57</f>
        <v>0.92669999999999997</v>
      </c>
      <c r="K162" s="20">
        <f>[43]TR!K57</f>
        <v>0.94299999999999995</v>
      </c>
      <c r="L162" s="20">
        <f>[43]TR!L57</f>
        <v>0.88119999999999998</v>
      </c>
      <c r="M162" s="20">
        <f>[43]TR!M57</f>
        <v>0.8669</v>
      </c>
      <c r="N162" s="20">
        <f>[43]TR!N57</f>
        <v>0.92689999999999995</v>
      </c>
      <c r="O162" s="20">
        <f>[43]TR!O57</f>
        <v>0.8921</v>
      </c>
      <c r="P162" s="20">
        <f>[43]TR!P57</f>
        <v>0</v>
      </c>
    </row>
    <row r="163" spans="1:16" ht="14.4" x14ac:dyDescent="0.3">
      <c r="A163" s="18" t="s">
        <v>22</v>
      </c>
      <c r="B163" s="19"/>
      <c r="C163" s="16" t="s">
        <v>23</v>
      </c>
      <c r="D163" s="23">
        <v>0</v>
      </c>
      <c r="E163" s="23">
        <v>0</v>
      </c>
      <c r="F163" s="23">
        <v>0</v>
      </c>
      <c r="G163" s="23">
        <v>0</v>
      </c>
      <c r="H163" s="23">
        <v>0</v>
      </c>
      <c r="I163" s="23">
        <v>0</v>
      </c>
      <c r="J163" s="23">
        <v>0</v>
      </c>
      <c r="K163" s="23">
        <v>0</v>
      </c>
      <c r="L163" s="23">
        <v>0</v>
      </c>
      <c r="M163" s="23">
        <v>0</v>
      </c>
      <c r="N163" s="23">
        <v>0</v>
      </c>
      <c r="O163" s="23">
        <v>0</v>
      </c>
      <c r="P163" s="23">
        <v>0</v>
      </c>
    </row>
    <row r="164" spans="1:16" ht="14.4" x14ac:dyDescent="0.3">
      <c r="A164" s="14" t="s">
        <v>24</v>
      </c>
      <c r="B164" s="15"/>
      <c r="C164" s="16"/>
      <c r="D164" s="53"/>
      <c r="E164" s="53"/>
      <c r="F164" s="53"/>
      <c r="G164" s="53"/>
      <c r="H164" s="53"/>
      <c r="I164" s="53"/>
      <c r="J164" s="53"/>
      <c r="K164" s="53"/>
      <c r="L164" s="53"/>
      <c r="M164" s="53"/>
      <c r="N164" s="53"/>
      <c r="O164" s="53"/>
      <c r="P164" s="53"/>
    </row>
    <row r="165" spans="1:16" ht="14.4" x14ac:dyDescent="0.3">
      <c r="A165" s="18" t="s">
        <v>25</v>
      </c>
      <c r="B165" s="19"/>
      <c r="C165" s="16" t="s">
        <v>19</v>
      </c>
      <c r="D165" s="20">
        <f t="shared" ref="D165:O165" si="18">D115</f>
        <v>0.48820000000000002</v>
      </c>
      <c r="E165" s="20">
        <f t="shared" si="18"/>
        <v>0.55189999999999995</v>
      </c>
      <c r="F165" s="20">
        <f t="shared" si="18"/>
        <v>0.53859999999999997</v>
      </c>
      <c r="G165" s="20">
        <f t="shared" si="18"/>
        <v>0.55789999999999995</v>
      </c>
      <c r="H165" s="20">
        <f t="shared" si="18"/>
        <v>0.51959999999999995</v>
      </c>
      <c r="I165" s="20">
        <f t="shared" si="18"/>
        <v>0.4672</v>
      </c>
      <c r="J165" s="20">
        <f t="shared" si="18"/>
        <v>0.50139999999999996</v>
      </c>
      <c r="K165" s="20">
        <f t="shared" si="18"/>
        <v>0.49130000000000001</v>
      </c>
      <c r="L165" s="20">
        <f t="shared" si="18"/>
        <v>0.43269999999999997</v>
      </c>
      <c r="M165" s="20">
        <f t="shared" si="18"/>
        <v>0.42549999999999999</v>
      </c>
      <c r="N165" s="20">
        <f t="shared" si="18"/>
        <v>0.42930000000000001</v>
      </c>
      <c r="O165" s="20">
        <f t="shared" si="18"/>
        <v>0.43219999999999997</v>
      </c>
      <c r="P165" s="20">
        <f>P115</f>
        <v>0</v>
      </c>
    </row>
    <row r="166" spans="1:16" ht="14.4" x14ac:dyDescent="0.3">
      <c r="A166" s="14" t="s">
        <v>26</v>
      </c>
      <c r="B166" s="14"/>
      <c r="C166" s="16"/>
      <c r="D166" s="54"/>
      <c r="E166" s="54"/>
      <c r="F166" s="54"/>
      <c r="G166" s="54"/>
      <c r="H166" s="54"/>
      <c r="I166" s="54"/>
      <c r="J166" s="54"/>
      <c r="K166" s="54"/>
      <c r="L166" s="54"/>
      <c r="M166" s="54"/>
      <c r="N166" s="54"/>
      <c r="O166" s="54"/>
      <c r="P166" s="54"/>
    </row>
    <row r="167" spans="1:16" ht="14.4" x14ac:dyDescent="0.3">
      <c r="A167" s="18" t="s">
        <v>27</v>
      </c>
      <c r="B167" s="18"/>
      <c r="C167" s="16" t="s">
        <v>19</v>
      </c>
      <c r="D167" s="20">
        <v>0.97670000000000001</v>
      </c>
      <c r="E167" s="20">
        <v>0.97670000000000001</v>
      </c>
      <c r="F167" s="20">
        <v>0.97670000000000001</v>
      </c>
      <c r="G167" s="20">
        <v>0.97670000000000001</v>
      </c>
      <c r="H167" s="20">
        <v>0.97670000000000001</v>
      </c>
      <c r="I167" s="20">
        <v>0.97670000000000001</v>
      </c>
      <c r="J167" s="20">
        <v>0.86670000000000003</v>
      </c>
      <c r="K167" s="20">
        <v>0.86670000000000003</v>
      </c>
      <c r="L167" s="20">
        <v>0.86670000000000003</v>
      </c>
      <c r="M167" s="20">
        <v>0.86670000000000003</v>
      </c>
      <c r="N167" s="20">
        <v>0.86670000000000003</v>
      </c>
      <c r="O167" s="20">
        <v>0.86670000000000003</v>
      </c>
      <c r="P167" s="20">
        <v>0.86670000000000003</v>
      </c>
    </row>
    <row r="168" spans="1:16" ht="14.4" x14ac:dyDescent="0.3">
      <c r="A168" s="18" t="s">
        <v>28</v>
      </c>
      <c r="B168" s="18"/>
      <c r="C168" s="16" t="s">
        <v>23</v>
      </c>
      <c r="D168" s="23">
        <v>0</v>
      </c>
      <c r="E168" s="23">
        <v>0</v>
      </c>
      <c r="F168" s="23">
        <v>0</v>
      </c>
      <c r="G168" s="23">
        <v>0</v>
      </c>
      <c r="H168" s="23">
        <v>0</v>
      </c>
      <c r="I168" s="23">
        <v>0</v>
      </c>
      <c r="J168" s="23">
        <v>0</v>
      </c>
      <c r="K168" s="23">
        <v>0</v>
      </c>
      <c r="L168" s="23">
        <v>0</v>
      </c>
      <c r="M168" s="23">
        <v>0</v>
      </c>
      <c r="N168" s="23">
        <v>0</v>
      </c>
      <c r="O168" s="23">
        <v>0</v>
      </c>
      <c r="P168" s="23">
        <v>0</v>
      </c>
    </row>
    <row r="169" spans="1:16" ht="14.4" x14ac:dyDescent="0.3">
      <c r="A169" s="14" t="s">
        <v>29</v>
      </c>
      <c r="B169" s="14"/>
      <c r="C169" s="16"/>
      <c r="D169" s="24"/>
      <c r="E169" s="24"/>
      <c r="F169" s="24"/>
      <c r="G169" s="24"/>
      <c r="H169" s="24"/>
      <c r="I169" s="24"/>
      <c r="J169" s="24"/>
      <c r="K169" s="24"/>
      <c r="L169" s="24"/>
      <c r="M169" s="24"/>
      <c r="N169" s="24"/>
      <c r="O169" s="24"/>
      <c r="P169" s="24"/>
    </row>
    <row r="170" spans="1:16" ht="14.4" x14ac:dyDescent="0.3">
      <c r="A170" s="18" t="s">
        <v>30</v>
      </c>
      <c r="B170" s="18"/>
      <c r="C170" s="16" t="s">
        <v>19</v>
      </c>
      <c r="D170" s="20">
        <v>0</v>
      </c>
      <c r="E170" s="20">
        <v>0</v>
      </c>
      <c r="F170" s="20">
        <v>0</v>
      </c>
      <c r="G170" s="20">
        <v>0</v>
      </c>
      <c r="H170" s="20">
        <v>0</v>
      </c>
      <c r="I170" s="20">
        <v>0</v>
      </c>
      <c r="J170" s="20">
        <v>0</v>
      </c>
      <c r="K170" s="20">
        <v>0</v>
      </c>
      <c r="L170" s="20">
        <v>0</v>
      </c>
      <c r="M170" s="20">
        <v>0</v>
      </c>
      <c r="N170" s="20">
        <v>0</v>
      </c>
      <c r="O170" s="20">
        <v>0</v>
      </c>
      <c r="P170" s="20">
        <v>0</v>
      </c>
    </row>
    <row r="171" spans="1:16" ht="14.4" x14ac:dyDescent="0.3">
      <c r="A171" s="18" t="s">
        <v>31</v>
      </c>
      <c r="B171" s="18"/>
      <c r="C171" s="16" t="s">
        <v>32</v>
      </c>
      <c r="D171" s="23">
        <v>313.93</v>
      </c>
      <c r="E171" s="23">
        <v>313.93</v>
      </c>
      <c r="F171" s="23">
        <v>313.93</v>
      </c>
      <c r="G171" s="23">
        <v>313.93</v>
      </c>
      <c r="H171" s="23">
        <v>313.93</v>
      </c>
      <c r="I171" s="23">
        <v>313.93</v>
      </c>
      <c r="J171" s="23">
        <v>278.58999999999997</v>
      </c>
      <c r="K171" s="23">
        <v>278.58999999999997</v>
      </c>
      <c r="L171" s="23">
        <v>278.58999999999997</v>
      </c>
      <c r="M171" s="23">
        <v>278.58999999999997</v>
      </c>
      <c r="N171" s="23">
        <v>278.58999999999997</v>
      </c>
      <c r="O171" s="23">
        <v>278.58999999999997</v>
      </c>
      <c r="P171" s="23">
        <v>278.58999999999997</v>
      </c>
    </row>
    <row r="172" spans="1:16" ht="14.4" x14ac:dyDescent="0.3">
      <c r="A172" s="14" t="s">
        <v>33</v>
      </c>
      <c r="B172" s="14"/>
      <c r="C172" s="16"/>
      <c r="D172" s="24"/>
      <c r="E172" s="24"/>
      <c r="F172" s="24"/>
      <c r="G172" s="24"/>
      <c r="H172" s="24"/>
      <c r="I172" s="24"/>
      <c r="J172" s="24"/>
      <c r="K172" s="24"/>
      <c r="L172" s="24"/>
      <c r="M172" s="24"/>
      <c r="N172" s="24"/>
      <c r="O172" s="24"/>
      <c r="P172" s="24"/>
    </row>
    <row r="173" spans="1:16" ht="14.4" x14ac:dyDescent="0.3">
      <c r="A173" s="18" t="s">
        <v>34</v>
      </c>
      <c r="B173" s="18"/>
      <c r="C173" s="16" t="s">
        <v>19</v>
      </c>
      <c r="D173" s="20">
        <v>0</v>
      </c>
      <c r="E173" s="20">
        <v>0</v>
      </c>
      <c r="F173" s="20">
        <v>0</v>
      </c>
      <c r="G173" s="20">
        <v>0</v>
      </c>
      <c r="H173" s="20">
        <v>0</v>
      </c>
      <c r="I173" s="20">
        <v>0</v>
      </c>
      <c r="J173" s="20">
        <v>0</v>
      </c>
      <c r="K173" s="20">
        <v>0</v>
      </c>
      <c r="L173" s="20">
        <v>0</v>
      </c>
      <c r="M173" s="20">
        <v>0</v>
      </c>
      <c r="N173" s="20">
        <v>0</v>
      </c>
      <c r="O173" s="20">
        <v>0</v>
      </c>
      <c r="P173" s="20">
        <v>0</v>
      </c>
    </row>
    <row r="174" spans="1:16" ht="14.4" x14ac:dyDescent="0.3">
      <c r="A174" s="18" t="s">
        <v>35</v>
      </c>
      <c r="B174" s="18"/>
      <c r="C174" s="16" t="s">
        <v>36</v>
      </c>
      <c r="D174" s="23">
        <v>313.77999999999997</v>
      </c>
      <c r="E174" s="23">
        <v>313.77999999999997</v>
      </c>
      <c r="F174" s="23">
        <v>313.77999999999997</v>
      </c>
      <c r="G174" s="23">
        <v>313.77999999999997</v>
      </c>
      <c r="H174" s="23">
        <v>313.77999999999997</v>
      </c>
      <c r="I174" s="23">
        <v>313.77999999999997</v>
      </c>
      <c r="J174" s="23">
        <v>278.45999999999998</v>
      </c>
      <c r="K174" s="23">
        <v>278.45999999999998</v>
      </c>
      <c r="L174" s="23">
        <v>278.45999999999998</v>
      </c>
      <c r="M174" s="23">
        <v>278.45999999999998</v>
      </c>
      <c r="N174" s="23">
        <v>278.45999999999998</v>
      </c>
      <c r="O174" s="23">
        <v>278.45999999999998</v>
      </c>
      <c r="P174" s="23">
        <v>278.45999999999998</v>
      </c>
    </row>
    <row r="175" spans="1:16" ht="14.4" x14ac:dyDescent="0.3">
      <c r="A175" s="14" t="s">
        <v>37</v>
      </c>
      <c r="B175" s="14"/>
      <c r="C175" s="16"/>
      <c r="D175" s="24"/>
      <c r="E175" s="24"/>
      <c r="F175" s="24"/>
      <c r="G175" s="24"/>
      <c r="H175" s="24"/>
      <c r="I175" s="24"/>
      <c r="J175" s="24"/>
      <c r="K175" s="24"/>
      <c r="L175" s="24"/>
      <c r="M175" s="24"/>
      <c r="N175" s="24"/>
      <c r="O175" s="24"/>
      <c r="P175" s="24"/>
    </row>
    <row r="176" spans="1:16" ht="14.4" x14ac:dyDescent="0.3">
      <c r="A176" s="25" t="s">
        <v>38</v>
      </c>
      <c r="B176" s="18"/>
      <c r="C176" s="16" t="s">
        <v>19</v>
      </c>
      <c r="D176" s="20">
        <f t="shared" ref="D176:O176" si="19">D126</f>
        <v>0.1215</v>
      </c>
      <c r="E176" s="20">
        <f t="shared" si="19"/>
        <v>0.14280000000000001</v>
      </c>
      <c r="F176" s="20">
        <f t="shared" si="19"/>
        <v>0.1462</v>
      </c>
      <c r="G176" s="20">
        <f t="shared" si="19"/>
        <v>0.15629999999999999</v>
      </c>
      <c r="H176" s="20">
        <f t="shared" si="19"/>
        <v>0.1152</v>
      </c>
      <c r="I176" s="20">
        <f t="shared" si="19"/>
        <v>9.3799999999999994E-2</v>
      </c>
      <c r="J176" s="20">
        <f t="shared" si="19"/>
        <v>7.7499999999999999E-2</v>
      </c>
      <c r="K176" s="20">
        <f t="shared" si="19"/>
        <v>9.3200000000000005E-2</v>
      </c>
      <c r="L176" s="20">
        <f t="shared" si="19"/>
        <v>8.5099999999999995E-2</v>
      </c>
      <c r="M176" s="20">
        <f t="shared" si="19"/>
        <v>8.0299999999999996E-2</v>
      </c>
      <c r="N176" s="20">
        <f t="shared" si="19"/>
        <v>8.3699999999999997E-2</v>
      </c>
      <c r="O176" s="20">
        <f t="shared" si="19"/>
        <v>8.1699999999999995E-2</v>
      </c>
      <c r="P176" s="20">
        <f>P126</f>
        <v>0</v>
      </c>
    </row>
    <row r="177" spans="1:16" ht="14.4" x14ac:dyDescent="0.3">
      <c r="A177" s="25" t="s">
        <v>39</v>
      </c>
      <c r="B177" s="18"/>
      <c r="C177" s="16" t="s">
        <v>19</v>
      </c>
      <c r="D177" s="20">
        <v>0</v>
      </c>
      <c r="E177" s="20">
        <v>0</v>
      </c>
      <c r="F177" s="20">
        <v>0</v>
      </c>
      <c r="G177" s="20">
        <v>0</v>
      </c>
      <c r="H177" s="20">
        <v>0</v>
      </c>
      <c r="I177" s="20">
        <v>0</v>
      </c>
      <c r="J177" s="20">
        <v>0</v>
      </c>
      <c r="K177" s="20">
        <v>0</v>
      </c>
      <c r="L177" s="20">
        <v>0</v>
      </c>
      <c r="M177" s="20">
        <v>0</v>
      </c>
      <c r="N177" s="20">
        <v>0</v>
      </c>
      <c r="O177" s="20">
        <v>0</v>
      </c>
      <c r="P177" s="20">
        <v>0</v>
      </c>
    </row>
    <row r="178" spans="1:16" ht="14.4" x14ac:dyDescent="0.3">
      <c r="A178" s="26" t="s">
        <v>40</v>
      </c>
      <c r="B178" s="18"/>
      <c r="C178" s="16" t="s">
        <v>19</v>
      </c>
      <c r="D178" s="20">
        <f t="shared" ref="D178:O180" si="20">D128</f>
        <v>1E-4</v>
      </c>
      <c r="E178" s="20">
        <f t="shared" si="20"/>
        <v>1E-4</v>
      </c>
      <c r="F178" s="20">
        <f t="shared" si="20"/>
        <v>1E-4</v>
      </c>
      <c r="G178" s="20">
        <f t="shared" si="20"/>
        <v>1E-4</v>
      </c>
      <c r="H178" s="20">
        <f t="shared" si="20"/>
        <v>1E-4</v>
      </c>
      <c r="I178" s="20">
        <f t="shared" si="20"/>
        <v>1E-4</v>
      </c>
      <c r="J178" s="20">
        <f t="shared" si="20"/>
        <v>1E-4</v>
      </c>
      <c r="K178" s="20">
        <f t="shared" si="20"/>
        <v>1E-4</v>
      </c>
      <c r="L178" s="20">
        <f t="shared" si="20"/>
        <v>1E-4</v>
      </c>
      <c r="M178" s="20">
        <f t="shared" si="20"/>
        <v>1E-4</v>
      </c>
      <c r="N178" s="20">
        <f t="shared" si="20"/>
        <v>1E-4</v>
      </c>
      <c r="O178" s="20">
        <f t="shared" si="20"/>
        <v>1E-4</v>
      </c>
      <c r="P178" s="20">
        <f>P128</f>
        <v>0</v>
      </c>
    </row>
    <row r="179" spans="1:16" ht="14.4" x14ac:dyDescent="0.3">
      <c r="A179" s="26" t="s">
        <v>41</v>
      </c>
      <c r="B179" s="18"/>
      <c r="C179" s="16" t="s">
        <v>19</v>
      </c>
      <c r="D179" s="20">
        <f t="shared" si="20"/>
        <v>0</v>
      </c>
      <c r="E179" s="20">
        <f t="shared" si="20"/>
        <v>0</v>
      </c>
      <c r="F179" s="20">
        <f t="shared" si="20"/>
        <v>0</v>
      </c>
      <c r="G179" s="20">
        <f t="shared" si="20"/>
        <v>0</v>
      </c>
      <c r="H179" s="20">
        <f t="shared" si="20"/>
        <v>0</v>
      </c>
      <c r="I179" s="20">
        <f t="shared" si="20"/>
        <v>0</v>
      </c>
      <c r="J179" s="20">
        <f t="shared" si="20"/>
        <v>0</v>
      </c>
      <c r="K179" s="20">
        <f t="shared" si="20"/>
        <v>0</v>
      </c>
      <c r="L179" s="20">
        <f t="shared" si="20"/>
        <v>0</v>
      </c>
      <c r="M179" s="20">
        <f t="shared" si="20"/>
        <v>0</v>
      </c>
      <c r="N179" s="20">
        <f t="shared" si="20"/>
        <v>0</v>
      </c>
      <c r="O179" s="20">
        <f t="shared" si="20"/>
        <v>0</v>
      </c>
      <c r="P179" s="20">
        <f>P129</f>
        <v>0</v>
      </c>
    </row>
    <row r="180" spans="1:16" ht="14.4" hidden="1" x14ac:dyDescent="0.3">
      <c r="A180" s="154" t="s">
        <v>181</v>
      </c>
      <c r="B180" s="155"/>
      <c r="C180" s="16" t="s">
        <v>19</v>
      </c>
      <c r="D180" s="20">
        <f t="shared" si="20"/>
        <v>0</v>
      </c>
      <c r="E180" s="20">
        <f t="shared" si="20"/>
        <v>0</v>
      </c>
      <c r="F180" s="20">
        <f t="shared" si="20"/>
        <v>0</v>
      </c>
      <c r="G180" s="20">
        <f t="shared" si="20"/>
        <v>0</v>
      </c>
      <c r="H180" s="20">
        <f t="shared" si="20"/>
        <v>0</v>
      </c>
      <c r="I180" s="20">
        <f t="shared" si="20"/>
        <v>0</v>
      </c>
      <c r="J180" s="20">
        <f t="shared" si="20"/>
        <v>0</v>
      </c>
      <c r="K180" s="20">
        <f t="shared" si="20"/>
        <v>0</v>
      </c>
      <c r="L180" s="20">
        <f t="shared" si="20"/>
        <v>0</v>
      </c>
      <c r="M180" s="20">
        <f t="shared" si="20"/>
        <v>0</v>
      </c>
      <c r="N180" s="20">
        <f t="shared" si="20"/>
        <v>0</v>
      </c>
      <c r="O180" s="20">
        <f t="shared" si="20"/>
        <v>0</v>
      </c>
      <c r="P180" s="20">
        <f>P130</f>
        <v>0</v>
      </c>
    </row>
    <row r="181" spans="1:16" ht="16.2" hidden="1" x14ac:dyDescent="0.3">
      <c r="A181" s="154" t="s">
        <v>182</v>
      </c>
      <c r="B181" s="155"/>
      <c r="C181" s="16" t="s">
        <v>19</v>
      </c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</row>
    <row r="182" spans="1:16" ht="16.2" hidden="1" x14ac:dyDescent="0.3">
      <c r="A182" s="154" t="s">
        <v>182</v>
      </c>
      <c r="B182" s="156"/>
      <c r="C182" s="16" t="s">
        <v>19</v>
      </c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</row>
    <row r="183" spans="1:16" ht="14.4" x14ac:dyDescent="0.3">
      <c r="A183" s="14" t="s">
        <v>42</v>
      </c>
      <c r="B183" s="14"/>
      <c r="C183" s="16"/>
      <c r="D183" s="24"/>
      <c r="E183" s="24"/>
      <c r="F183" s="24"/>
      <c r="G183" s="24"/>
      <c r="H183" s="24"/>
      <c r="I183" s="24"/>
      <c r="J183" s="24"/>
      <c r="K183" s="24"/>
      <c r="L183" s="24"/>
      <c r="M183" s="24"/>
      <c r="N183" s="24"/>
      <c r="O183" s="24"/>
      <c r="P183" s="24"/>
    </row>
    <row r="184" spans="1:16" ht="14.4" x14ac:dyDescent="0.3">
      <c r="A184" s="14" t="s">
        <v>43</v>
      </c>
      <c r="B184" s="14"/>
      <c r="C184" s="16" t="s">
        <v>44</v>
      </c>
      <c r="D184" s="27"/>
      <c r="E184" s="27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</row>
    <row r="185" spans="1:16" ht="14.4" hidden="1" x14ac:dyDescent="0.3">
      <c r="A185" s="14" t="s">
        <v>183</v>
      </c>
      <c r="B185" s="14"/>
      <c r="C185" s="16"/>
      <c r="D185" s="28"/>
      <c r="E185" s="28"/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P185" s="28"/>
    </row>
    <row r="186" spans="1:16" ht="14.4" hidden="1" x14ac:dyDescent="0.3">
      <c r="A186" s="14" t="s">
        <v>184</v>
      </c>
      <c r="B186" s="14"/>
      <c r="C186" s="16" t="s">
        <v>19</v>
      </c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</row>
    <row r="187" spans="1:16" ht="14.4" x14ac:dyDescent="0.3">
      <c r="A187" s="14" t="s">
        <v>45</v>
      </c>
      <c r="B187" s="14"/>
      <c r="C187" s="16"/>
      <c r="D187" s="28"/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8"/>
    </row>
    <row r="188" spans="1:16" ht="14.4" x14ac:dyDescent="0.3">
      <c r="A188" s="14" t="s">
        <v>46</v>
      </c>
      <c r="B188" s="14"/>
      <c r="C188" s="16" t="s">
        <v>19</v>
      </c>
      <c r="D188" s="20">
        <v>0</v>
      </c>
      <c r="E188" s="20">
        <v>0</v>
      </c>
      <c r="F188" s="20">
        <v>0</v>
      </c>
      <c r="G188" s="20">
        <v>0</v>
      </c>
      <c r="H188" s="20">
        <v>0</v>
      </c>
      <c r="I188" s="20">
        <v>0</v>
      </c>
      <c r="J188" s="20">
        <v>0</v>
      </c>
      <c r="K188" s="20">
        <v>0</v>
      </c>
      <c r="L188" s="20">
        <v>0</v>
      </c>
      <c r="M188" s="20">
        <v>0</v>
      </c>
      <c r="N188" s="20">
        <v>0</v>
      </c>
      <c r="O188" s="20">
        <v>0</v>
      </c>
      <c r="P188" s="20">
        <v>0</v>
      </c>
    </row>
    <row r="189" spans="1:16" ht="14.4" hidden="1" x14ac:dyDescent="0.3">
      <c r="A189" s="14" t="s">
        <v>185</v>
      </c>
      <c r="B189" s="14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</row>
    <row r="190" spans="1:16" ht="14.4" hidden="1" x14ac:dyDescent="0.3">
      <c r="A190" s="14" t="s">
        <v>186</v>
      </c>
      <c r="B190" s="14"/>
      <c r="C190" s="16" t="s">
        <v>19</v>
      </c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</row>
    <row r="191" spans="1:16" ht="14.4" x14ac:dyDescent="0.3">
      <c r="A191" s="14" t="s">
        <v>47</v>
      </c>
      <c r="B191" s="14"/>
      <c r="C191" s="16"/>
      <c r="D191" s="24"/>
      <c r="E191" s="24"/>
      <c r="F191" s="24"/>
      <c r="G191" s="24"/>
      <c r="H191" s="24"/>
      <c r="I191" s="24"/>
      <c r="J191" s="24"/>
      <c r="K191" s="24"/>
      <c r="L191" s="24"/>
      <c r="M191" s="24"/>
      <c r="N191" s="24"/>
      <c r="O191" s="24"/>
      <c r="P191" s="24"/>
    </row>
    <row r="192" spans="1:16" ht="14.4" x14ac:dyDescent="0.3">
      <c r="A192" s="18" t="s">
        <v>48</v>
      </c>
      <c r="B192" s="18"/>
      <c r="C192" s="16" t="s">
        <v>19</v>
      </c>
      <c r="D192" s="20">
        <f t="shared" ref="D192:P194" si="21">D142</f>
        <v>0.15609999999999999</v>
      </c>
      <c r="E192" s="20">
        <f t="shared" si="21"/>
        <v>0.15609999999999999</v>
      </c>
      <c r="F192" s="20">
        <f t="shared" si="21"/>
        <v>0.15609999999999999</v>
      </c>
      <c r="G192" s="20">
        <f t="shared" si="21"/>
        <v>0.15609999999999999</v>
      </c>
      <c r="H192" s="20">
        <f t="shared" si="21"/>
        <v>0.15609999999999999</v>
      </c>
      <c r="I192" s="20">
        <f t="shared" si="21"/>
        <v>0.15609999999999999</v>
      </c>
      <c r="J192" s="20">
        <f t="shared" si="21"/>
        <v>0.15609999999999999</v>
      </c>
      <c r="K192" s="20">
        <f t="shared" si="21"/>
        <v>0.15609999999999999</v>
      </c>
      <c r="L192" s="20">
        <f t="shared" si="21"/>
        <v>0.15609999999999999</v>
      </c>
      <c r="M192" s="20">
        <f t="shared" si="21"/>
        <v>0.15609999999999999</v>
      </c>
      <c r="N192" s="20">
        <f t="shared" si="21"/>
        <v>0.15609999999999999</v>
      </c>
      <c r="O192" s="20">
        <f t="shared" si="21"/>
        <v>0.15609999999999999</v>
      </c>
      <c r="P192" s="20">
        <f t="shared" si="21"/>
        <v>0.15609999999999999</v>
      </c>
    </row>
    <row r="193" spans="1:16" ht="14.4" x14ac:dyDescent="0.3">
      <c r="A193" s="18" t="s">
        <v>49</v>
      </c>
      <c r="B193" s="18"/>
      <c r="C193" s="16" t="s">
        <v>19</v>
      </c>
      <c r="D193" s="20">
        <f>D143</f>
        <v>2.5000000000000001E-3</v>
      </c>
      <c r="E193" s="20">
        <f t="shared" si="21"/>
        <v>2.5000000000000001E-3</v>
      </c>
      <c r="F193" s="20">
        <f t="shared" si="21"/>
        <v>2.5000000000000001E-3</v>
      </c>
      <c r="G193" s="20">
        <f t="shared" si="21"/>
        <v>2.5000000000000001E-3</v>
      </c>
      <c r="H193" s="20">
        <f t="shared" si="21"/>
        <v>2.5000000000000001E-3</v>
      </c>
      <c r="I193" s="20">
        <f t="shared" si="21"/>
        <v>2.5000000000000001E-3</v>
      </c>
      <c r="J193" s="20">
        <f t="shared" si="21"/>
        <v>2.5000000000000001E-3</v>
      </c>
      <c r="K193" s="20">
        <f t="shared" si="21"/>
        <v>2.5000000000000001E-3</v>
      </c>
      <c r="L193" s="20">
        <f t="shared" si="21"/>
        <v>2.5000000000000001E-3</v>
      </c>
      <c r="M193" s="20">
        <f t="shared" si="21"/>
        <v>2.5000000000000001E-3</v>
      </c>
      <c r="N193" s="20">
        <f t="shared" si="21"/>
        <v>2.5000000000000001E-3</v>
      </c>
      <c r="O193" s="20">
        <f t="shared" si="21"/>
        <v>2.5000000000000001E-3</v>
      </c>
      <c r="P193" s="20">
        <f t="shared" si="21"/>
        <v>2.5000000000000001E-3</v>
      </c>
    </row>
    <row r="194" spans="1:16" ht="14.4" x14ac:dyDescent="0.3">
      <c r="A194" s="18" t="s">
        <v>50</v>
      </c>
      <c r="B194" s="18"/>
      <c r="C194" s="16" t="s">
        <v>19</v>
      </c>
      <c r="D194" s="20">
        <f>D144</f>
        <v>0.1938</v>
      </c>
      <c r="E194" s="20">
        <f t="shared" si="21"/>
        <v>0.1938</v>
      </c>
      <c r="F194" s="20">
        <f t="shared" si="21"/>
        <v>0.1938</v>
      </c>
      <c r="G194" s="20">
        <f t="shared" si="21"/>
        <v>0.1938</v>
      </c>
      <c r="H194" s="20">
        <f t="shared" si="21"/>
        <v>0.1938</v>
      </c>
      <c r="I194" s="20">
        <f t="shared" si="21"/>
        <v>0.1938</v>
      </c>
      <c r="J194" s="20">
        <f t="shared" si="21"/>
        <v>0.1938</v>
      </c>
      <c r="K194" s="20">
        <f t="shared" si="21"/>
        <v>0.1938</v>
      </c>
      <c r="L194" s="20">
        <f t="shared" si="21"/>
        <v>0.1938</v>
      </c>
      <c r="M194" s="20">
        <f t="shared" si="21"/>
        <v>0.1938</v>
      </c>
      <c r="N194" s="20">
        <f t="shared" si="21"/>
        <v>0.1938</v>
      </c>
      <c r="O194" s="20">
        <f t="shared" si="21"/>
        <v>0.1938</v>
      </c>
      <c r="P194" s="20">
        <f t="shared" si="21"/>
        <v>0.1938</v>
      </c>
    </row>
    <row r="195" spans="1:16" ht="14.4" x14ac:dyDescent="0.3">
      <c r="A195" s="14" t="s">
        <v>51</v>
      </c>
      <c r="B195" s="14"/>
      <c r="C195" s="16" t="s">
        <v>19</v>
      </c>
      <c r="D195" s="20">
        <v>0</v>
      </c>
      <c r="E195" s="20">
        <v>4.0599999999999997E-2</v>
      </c>
      <c r="F195" s="20">
        <v>4.0599999999999997E-2</v>
      </c>
      <c r="G195" s="20">
        <v>4.0599999999999997E-2</v>
      </c>
      <c r="H195" s="20">
        <v>4.0599999999999997E-2</v>
      </c>
      <c r="I195" s="20">
        <v>4.0599999999999997E-2</v>
      </c>
      <c r="J195" s="20">
        <v>4.0599999999999997E-2</v>
      </c>
      <c r="K195" s="20">
        <v>4.0599999999999997E-2</v>
      </c>
      <c r="L195" s="20">
        <v>4.0599999999999997E-2</v>
      </c>
      <c r="M195" s="20">
        <v>4.0599999999999997E-2</v>
      </c>
      <c r="N195" s="20">
        <v>4.0599999999999997E-2</v>
      </c>
      <c r="O195" s="20">
        <v>4.0599999999999997E-2</v>
      </c>
      <c r="P195" s="20">
        <v>4.0599999999999997E-2</v>
      </c>
    </row>
    <row r="196" spans="1:16" ht="14.4" x14ac:dyDescent="0.3">
      <c r="A196" s="14" t="s">
        <v>52</v>
      </c>
      <c r="B196" s="14"/>
      <c r="C196" s="29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</row>
    <row r="197" spans="1:16" ht="14.4" x14ac:dyDescent="0.3">
      <c r="A197" s="18" t="s">
        <v>53</v>
      </c>
      <c r="B197" s="18"/>
      <c r="C197" s="16" t="s">
        <v>44</v>
      </c>
      <c r="D197" s="30">
        <f t="shared" ref="D197:O199" si="22">D147</f>
        <v>0.1154</v>
      </c>
      <c r="E197" s="30">
        <f t="shared" si="22"/>
        <v>0.1143</v>
      </c>
      <c r="F197" s="30">
        <f t="shared" si="22"/>
        <v>0.11269999999999999</v>
      </c>
      <c r="G197" s="30">
        <f t="shared" si="22"/>
        <v>0.11459999999999999</v>
      </c>
      <c r="H197" s="30">
        <f t="shared" si="22"/>
        <v>0.1134</v>
      </c>
      <c r="I197" s="30">
        <f t="shared" si="22"/>
        <v>0.11219999999999999</v>
      </c>
      <c r="J197" s="30">
        <f t="shared" si="22"/>
        <v>0.1079</v>
      </c>
      <c r="K197" s="30">
        <f t="shared" si="22"/>
        <v>0.10639999999999999</v>
      </c>
      <c r="L197" s="30">
        <f t="shared" si="22"/>
        <v>0.1089</v>
      </c>
      <c r="M197" s="30">
        <f t="shared" si="22"/>
        <v>0.1143</v>
      </c>
      <c r="N197" s="30">
        <f t="shared" si="22"/>
        <v>0.1145</v>
      </c>
      <c r="O197" s="30">
        <f t="shared" si="22"/>
        <v>0.11310000000000001</v>
      </c>
      <c r="P197" s="30" t="e">
        <f>P147</f>
        <v>#DIV/0!</v>
      </c>
    </row>
    <row r="198" spans="1:16" ht="14.4" x14ac:dyDescent="0.3">
      <c r="A198" s="18" t="s">
        <v>54</v>
      </c>
      <c r="B198" s="18"/>
      <c r="C198" s="16" t="s">
        <v>44</v>
      </c>
      <c r="D198" s="30">
        <f t="shared" si="22"/>
        <v>3.3E-3</v>
      </c>
      <c r="E198" s="30">
        <f t="shared" si="22"/>
        <v>3.5999999999999999E-3</v>
      </c>
      <c r="F198" s="30">
        <f t="shared" si="22"/>
        <v>5.5999999999999999E-3</v>
      </c>
      <c r="G198" s="30">
        <f t="shared" si="22"/>
        <v>1.0699999999999999E-2</v>
      </c>
      <c r="H198" s="30">
        <f t="shared" si="22"/>
        <v>2.8400000000000002E-2</v>
      </c>
      <c r="I198" s="30">
        <f t="shared" si="22"/>
        <v>2.7400000000000001E-2</v>
      </c>
      <c r="J198" s="30">
        <f t="shared" si="22"/>
        <v>2.18E-2</v>
      </c>
      <c r="K198" s="30">
        <f t="shared" si="22"/>
        <v>8.9999999999999993E-3</v>
      </c>
      <c r="L198" s="30">
        <f t="shared" si="22"/>
        <v>8.3999999999999995E-3</v>
      </c>
      <c r="M198" s="30">
        <f t="shared" si="22"/>
        <v>6.1999999999999998E-3</v>
      </c>
      <c r="N198" s="30">
        <f t="shared" si="22"/>
        <v>4.7000000000000002E-3</v>
      </c>
      <c r="O198" s="30">
        <f t="shared" si="22"/>
        <v>6.1999999999999998E-3</v>
      </c>
      <c r="P198" s="30">
        <f>P148</f>
        <v>-3.0300000000000001E-2</v>
      </c>
    </row>
    <row r="199" spans="1:16" ht="14.4" x14ac:dyDescent="0.3">
      <c r="A199" s="18" t="s">
        <v>55</v>
      </c>
      <c r="B199" s="18"/>
      <c r="C199" s="16" t="s">
        <v>44</v>
      </c>
      <c r="D199" s="30">
        <f t="shared" si="22"/>
        <v>9.8100000000000007E-2</v>
      </c>
      <c r="E199" s="30">
        <f t="shared" si="22"/>
        <v>9.64E-2</v>
      </c>
      <c r="F199" s="30">
        <f t="shared" si="22"/>
        <v>9.69E-2</v>
      </c>
      <c r="G199" s="30">
        <f t="shared" si="22"/>
        <v>9.9299999999999999E-2</v>
      </c>
      <c r="H199" s="30">
        <f t="shared" si="22"/>
        <v>9.9099999999999994E-2</v>
      </c>
      <c r="I199" s="30">
        <f t="shared" si="22"/>
        <v>9.8500000000000004E-2</v>
      </c>
      <c r="J199" s="30">
        <f t="shared" si="22"/>
        <v>9.5299999999999996E-2</v>
      </c>
      <c r="K199" s="30">
        <f t="shared" si="22"/>
        <v>9.1800000000000007E-2</v>
      </c>
      <c r="L199" s="30">
        <f t="shared" si="22"/>
        <v>9.3399999999999997E-2</v>
      </c>
      <c r="M199" s="30">
        <f t="shared" si="22"/>
        <v>9.7199999999999995E-2</v>
      </c>
      <c r="N199" s="30">
        <f t="shared" si="22"/>
        <v>9.6799999999999997E-2</v>
      </c>
      <c r="O199" s="30">
        <f t="shared" si="22"/>
        <v>9.6199999999999994E-2</v>
      </c>
      <c r="P199" s="30" t="e">
        <f>P149</f>
        <v>#DIV/0!</v>
      </c>
    </row>
    <row r="200" spans="1:16" ht="14.4" hidden="1" x14ac:dyDescent="0.3">
      <c r="A200" s="18" t="s">
        <v>187</v>
      </c>
      <c r="B200" s="18"/>
      <c r="C200" s="16" t="s">
        <v>44</v>
      </c>
      <c r="D200" s="27">
        <v>12</v>
      </c>
      <c r="E200" s="27">
        <v>12</v>
      </c>
      <c r="F200" s="27">
        <v>12</v>
      </c>
      <c r="G200" s="27">
        <v>12</v>
      </c>
      <c r="H200" s="27">
        <v>12</v>
      </c>
      <c r="I200" s="27">
        <v>12</v>
      </c>
      <c r="J200" s="27">
        <v>12</v>
      </c>
      <c r="K200" s="27">
        <v>12</v>
      </c>
      <c r="L200" s="27">
        <v>12</v>
      </c>
      <c r="M200" s="27">
        <v>12</v>
      </c>
      <c r="N200" s="27">
        <v>12</v>
      </c>
      <c r="O200" s="27">
        <v>12</v>
      </c>
      <c r="P200" s="27">
        <v>12</v>
      </c>
    </row>
    <row r="201" spans="1:16" ht="14.4" x14ac:dyDescent="0.3">
      <c r="A201" s="18" t="s">
        <v>56</v>
      </c>
      <c r="B201" s="18"/>
      <c r="C201" s="16" t="s">
        <v>44</v>
      </c>
      <c r="D201" s="30">
        <f t="shared" ref="D201:P202" si="23">D151</f>
        <v>0.12</v>
      </c>
      <c r="E201" s="30">
        <f t="shared" si="23"/>
        <v>0.12</v>
      </c>
      <c r="F201" s="30">
        <f t="shared" si="23"/>
        <v>0.12</v>
      </c>
      <c r="G201" s="30">
        <f t="shared" si="23"/>
        <v>0.12</v>
      </c>
      <c r="H201" s="30">
        <f t="shared" si="23"/>
        <v>0.12</v>
      </c>
      <c r="I201" s="30">
        <f t="shared" si="23"/>
        <v>0.12</v>
      </c>
      <c r="J201" s="30">
        <f t="shared" si="23"/>
        <v>0.12</v>
      </c>
      <c r="K201" s="30">
        <f t="shared" si="23"/>
        <v>0.12</v>
      </c>
      <c r="L201" s="30">
        <f t="shared" si="23"/>
        <v>0.12</v>
      </c>
      <c r="M201" s="30">
        <f t="shared" si="23"/>
        <v>0.12</v>
      </c>
      <c r="N201" s="30">
        <f t="shared" si="23"/>
        <v>0.12</v>
      </c>
      <c r="O201" s="30">
        <f t="shared" si="23"/>
        <v>0.12</v>
      </c>
      <c r="P201" s="30">
        <f t="shared" si="23"/>
        <v>0.12</v>
      </c>
    </row>
    <row r="202" spans="1:16" ht="14.4" x14ac:dyDescent="0.3">
      <c r="A202" s="18" t="s">
        <v>57</v>
      </c>
      <c r="B202" s="18"/>
      <c r="C202" s="16" t="s">
        <v>44</v>
      </c>
      <c r="D202" s="30">
        <f t="shared" si="23"/>
        <v>0.12</v>
      </c>
      <c r="E202" s="30">
        <f t="shared" si="23"/>
        <v>0.12</v>
      </c>
      <c r="F202" s="30">
        <f t="shared" si="23"/>
        <v>0.12</v>
      </c>
      <c r="G202" s="30">
        <f t="shared" si="23"/>
        <v>0.12</v>
      </c>
      <c r="H202" s="30">
        <f t="shared" si="23"/>
        <v>0.12</v>
      </c>
      <c r="I202" s="30">
        <f t="shared" si="23"/>
        <v>0.12</v>
      </c>
      <c r="J202" s="30">
        <f t="shared" si="23"/>
        <v>0.12</v>
      </c>
      <c r="K202" s="30">
        <f t="shared" si="23"/>
        <v>0.12</v>
      </c>
      <c r="L202" s="30">
        <f t="shared" si="23"/>
        <v>0.12</v>
      </c>
      <c r="M202" s="30">
        <f t="shared" si="23"/>
        <v>0.12</v>
      </c>
      <c r="N202" s="30">
        <f t="shared" si="23"/>
        <v>0.12</v>
      </c>
      <c r="O202" s="30">
        <f t="shared" si="23"/>
        <v>0.12</v>
      </c>
      <c r="P202" s="30">
        <f t="shared" si="23"/>
        <v>0.12</v>
      </c>
    </row>
    <row r="203" spans="1:16" s="5" customFormat="1" ht="14.4" x14ac:dyDescent="0.3">
      <c r="A203" s="55"/>
      <c r="B203" s="55"/>
      <c r="C203" s="56"/>
      <c r="D203" s="57"/>
      <c r="E203" s="57"/>
      <c r="F203" s="57"/>
      <c r="G203" s="57"/>
      <c r="H203" s="57"/>
      <c r="I203" s="57"/>
      <c r="J203" s="57"/>
      <c r="K203" s="57"/>
      <c r="L203" s="57"/>
      <c r="M203" s="57"/>
      <c r="N203" s="57"/>
      <c r="O203" s="57"/>
      <c r="P203" s="57"/>
    </row>
    <row r="204" spans="1:16" x14ac:dyDescent="0.3">
      <c r="A204" s="3" t="s">
        <v>58</v>
      </c>
    </row>
    <row r="205" spans="1:16" x14ac:dyDescent="0.3">
      <c r="A205" s="33"/>
    </row>
    <row r="206" spans="1:16" ht="18" hidden="1" x14ac:dyDescent="0.35">
      <c r="A206" s="9" t="str">
        <f>'[43]Statistical data'!A223</f>
        <v>Customer Class3</v>
      </c>
      <c r="B206" s="9"/>
      <c r="C206" s="5" t="s">
        <v>190</v>
      </c>
      <c r="D206" s="160"/>
      <c r="E206" s="160"/>
      <c r="F206" s="160"/>
      <c r="G206" s="160"/>
      <c r="H206" s="160"/>
      <c r="I206" s="160"/>
      <c r="J206" s="160"/>
      <c r="K206" s="160"/>
      <c r="L206" s="160"/>
      <c r="M206" s="160"/>
      <c r="N206" s="160"/>
      <c r="O206" s="160"/>
      <c r="P206" s="160"/>
    </row>
    <row r="207" spans="1:16" ht="31.5" hidden="1" customHeight="1" x14ac:dyDescent="0.3">
      <c r="A207" s="161" t="s">
        <v>3</v>
      </c>
      <c r="B207" s="161"/>
      <c r="C207" s="161" t="s">
        <v>4</v>
      </c>
      <c r="D207" s="161" t="s">
        <v>15</v>
      </c>
      <c r="E207" s="161" t="s">
        <v>15</v>
      </c>
      <c r="F207" s="161" t="s">
        <v>15</v>
      </c>
      <c r="G207" s="161" t="s">
        <v>15</v>
      </c>
      <c r="H207" s="161" t="s">
        <v>15</v>
      </c>
      <c r="I207" s="161" t="s">
        <v>15</v>
      </c>
      <c r="J207" s="161" t="s">
        <v>15</v>
      </c>
      <c r="K207" s="161" t="s">
        <v>15</v>
      </c>
      <c r="L207" s="161" t="s">
        <v>15</v>
      </c>
      <c r="M207" s="161" t="s">
        <v>15</v>
      </c>
      <c r="N207" s="161" t="s">
        <v>15</v>
      </c>
      <c r="O207" s="161" t="s">
        <v>15</v>
      </c>
      <c r="P207" s="161" t="s">
        <v>15</v>
      </c>
    </row>
    <row r="208" spans="1:16" ht="14.4" hidden="1" x14ac:dyDescent="0.3">
      <c r="A208" s="162" t="s">
        <v>17</v>
      </c>
      <c r="B208" s="163"/>
      <c r="C208" s="56"/>
      <c r="D208" s="164"/>
      <c r="E208" s="164"/>
      <c r="F208" s="164"/>
      <c r="G208" s="164"/>
      <c r="H208" s="164"/>
      <c r="I208" s="164"/>
      <c r="J208" s="164"/>
      <c r="K208" s="164"/>
      <c r="L208" s="164"/>
      <c r="M208" s="164"/>
      <c r="N208" s="164"/>
      <c r="O208" s="164"/>
      <c r="P208" s="164"/>
    </row>
    <row r="209" spans="1:16" ht="14.4" hidden="1" x14ac:dyDescent="0.3">
      <c r="A209" s="55" t="s">
        <v>18</v>
      </c>
      <c r="B209" s="165"/>
      <c r="C209" s="56" t="s">
        <v>19</v>
      </c>
      <c r="D209" s="166"/>
      <c r="E209" s="166"/>
      <c r="F209" s="166"/>
      <c r="G209" s="166"/>
      <c r="H209" s="166"/>
      <c r="I209" s="166"/>
      <c r="J209" s="166"/>
      <c r="K209" s="166"/>
      <c r="L209" s="166"/>
      <c r="M209" s="166"/>
      <c r="N209" s="166"/>
      <c r="O209" s="166"/>
      <c r="P209" s="166"/>
    </row>
    <row r="210" spans="1:16" ht="14.4" hidden="1" x14ac:dyDescent="0.3">
      <c r="A210" s="55" t="s">
        <v>66</v>
      </c>
      <c r="B210" s="165"/>
      <c r="C210" s="56" t="s">
        <v>19</v>
      </c>
      <c r="D210" s="166"/>
      <c r="E210" s="166"/>
      <c r="F210" s="166"/>
      <c r="G210" s="166"/>
      <c r="H210" s="166"/>
      <c r="I210" s="166"/>
      <c r="J210" s="166"/>
      <c r="K210" s="166"/>
      <c r="L210" s="166"/>
      <c r="M210" s="166"/>
      <c r="N210" s="166"/>
      <c r="O210" s="166"/>
      <c r="P210" s="166"/>
    </row>
    <row r="211" spans="1:16" ht="14.4" hidden="1" x14ac:dyDescent="0.3">
      <c r="A211" s="162" t="s">
        <v>20</v>
      </c>
      <c r="B211" s="163"/>
      <c r="C211" s="56"/>
      <c r="D211" s="168"/>
      <c r="E211" s="168"/>
      <c r="F211" s="168"/>
      <c r="G211" s="168"/>
      <c r="H211" s="168"/>
      <c r="I211" s="168"/>
      <c r="J211" s="168"/>
      <c r="K211" s="168"/>
      <c r="L211" s="168"/>
      <c r="M211" s="168"/>
      <c r="N211" s="168"/>
      <c r="O211" s="168"/>
      <c r="P211" s="168"/>
    </row>
    <row r="212" spans="1:16" ht="14.4" hidden="1" x14ac:dyDescent="0.3">
      <c r="A212" s="55" t="s">
        <v>21</v>
      </c>
      <c r="B212" s="165"/>
      <c r="C212" s="56" t="s">
        <v>19</v>
      </c>
      <c r="D212" s="166"/>
      <c r="E212" s="166"/>
      <c r="F212" s="166"/>
      <c r="G212" s="166"/>
      <c r="H212" s="166"/>
      <c r="I212" s="166"/>
      <c r="J212" s="166"/>
      <c r="K212" s="166"/>
      <c r="L212" s="166"/>
      <c r="M212" s="166"/>
      <c r="N212" s="166"/>
      <c r="O212" s="166"/>
      <c r="P212" s="166"/>
    </row>
    <row r="213" spans="1:16" ht="14.4" hidden="1" x14ac:dyDescent="0.3">
      <c r="A213" s="55" t="s">
        <v>22</v>
      </c>
      <c r="B213" s="165"/>
      <c r="C213" s="56" t="s">
        <v>23</v>
      </c>
      <c r="D213" s="166"/>
      <c r="E213" s="166"/>
      <c r="F213" s="166"/>
      <c r="G213" s="166"/>
      <c r="H213" s="166"/>
      <c r="I213" s="166"/>
      <c r="J213" s="166"/>
      <c r="K213" s="166"/>
      <c r="L213" s="166"/>
      <c r="M213" s="166"/>
      <c r="N213" s="166"/>
      <c r="O213" s="166"/>
      <c r="P213" s="166"/>
    </row>
    <row r="214" spans="1:16" ht="14.4" hidden="1" x14ac:dyDescent="0.3">
      <c r="A214" s="162" t="s">
        <v>24</v>
      </c>
      <c r="B214" s="163"/>
      <c r="C214" s="56"/>
      <c r="D214" s="168"/>
      <c r="E214" s="168"/>
      <c r="F214" s="168"/>
      <c r="G214" s="168"/>
      <c r="H214" s="168"/>
      <c r="I214" s="168"/>
      <c r="J214" s="168"/>
      <c r="K214" s="168"/>
      <c r="L214" s="168"/>
      <c r="M214" s="168"/>
      <c r="N214" s="168"/>
      <c r="O214" s="168"/>
      <c r="P214" s="168"/>
    </row>
    <row r="215" spans="1:16" ht="14.4" hidden="1" x14ac:dyDescent="0.3">
      <c r="A215" s="55" t="s">
        <v>25</v>
      </c>
      <c r="B215" s="165"/>
      <c r="C215" s="56" t="s">
        <v>19</v>
      </c>
      <c r="D215" s="166"/>
      <c r="E215" s="166"/>
      <c r="F215" s="166"/>
      <c r="G215" s="166"/>
      <c r="H215" s="166"/>
      <c r="I215" s="166"/>
      <c r="J215" s="166"/>
      <c r="K215" s="166"/>
      <c r="L215" s="166"/>
      <c r="M215" s="166"/>
      <c r="N215" s="166"/>
      <c r="O215" s="166"/>
      <c r="P215" s="166"/>
    </row>
    <row r="216" spans="1:16" ht="14.4" hidden="1" x14ac:dyDescent="0.3">
      <c r="A216" s="162" t="s">
        <v>26</v>
      </c>
      <c r="B216" s="162"/>
      <c r="C216" s="56"/>
      <c r="D216" s="170"/>
      <c r="E216" s="170"/>
      <c r="F216" s="170"/>
      <c r="G216" s="170"/>
      <c r="H216" s="170"/>
      <c r="I216" s="170"/>
      <c r="J216" s="170"/>
      <c r="K216" s="170"/>
      <c r="L216" s="170"/>
      <c r="M216" s="170"/>
      <c r="N216" s="170"/>
      <c r="O216" s="170"/>
      <c r="P216" s="170"/>
    </row>
    <row r="217" spans="1:16" ht="14.4" hidden="1" x14ac:dyDescent="0.3">
      <c r="A217" s="55" t="s">
        <v>27</v>
      </c>
      <c r="B217" s="55"/>
      <c r="C217" s="56" t="s">
        <v>19</v>
      </c>
      <c r="D217" s="167"/>
      <c r="E217" s="167"/>
      <c r="F217" s="167"/>
      <c r="G217" s="167"/>
      <c r="H217" s="167"/>
      <c r="I217" s="167"/>
      <c r="J217" s="167"/>
      <c r="K217" s="167"/>
      <c r="L217" s="167"/>
      <c r="M217" s="167"/>
      <c r="N217" s="167"/>
      <c r="O217" s="167"/>
      <c r="P217" s="167"/>
    </row>
    <row r="218" spans="1:16" ht="14.4" hidden="1" x14ac:dyDescent="0.3">
      <c r="A218" s="55" t="s">
        <v>28</v>
      </c>
      <c r="B218" s="55"/>
      <c r="C218" s="56" t="s">
        <v>23</v>
      </c>
      <c r="D218" s="167"/>
      <c r="E218" s="167"/>
      <c r="F218" s="167"/>
      <c r="G218" s="167"/>
      <c r="H218" s="167"/>
      <c r="I218" s="167"/>
      <c r="J218" s="167"/>
      <c r="K218" s="167"/>
      <c r="L218" s="167"/>
      <c r="M218" s="167"/>
      <c r="N218" s="167"/>
      <c r="O218" s="167"/>
      <c r="P218" s="167"/>
    </row>
    <row r="219" spans="1:16" ht="14.4" hidden="1" x14ac:dyDescent="0.3">
      <c r="A219" s="162" t="s">
        <v>29</v>
      </c>
      <c r="B219" s="162"/>
      <c r="C219" s="56"/>
      <c r="D219" s="171"/>
      <c r="E219" s="171"/>
      <c r="F219" s="171"/>
      <c r="G219" s="171"/>
      <c r="H219" s="171"/>
      <c r="I219" s="171"/>
      <c r="J219" s="171"/>
      <c r="K219" s="171"/>
      <c r="L219" s="171"/>
      <c r="M219" s="171"/>
      <c r="N219" s="171"/>
      <c r="O219" s="171"/>
      <c r="P219" s="171"/>
    </row>
    <row r="220" spans="1:16" ht="14.4" hidden="1" x14ac:dyDescent="0.3">
      <c r="A220" s="55" t="s">
        <v>30</v>
      </c>
      <c r="B220" s="55"/>
      <c r="C220" s="56" t="s">
        <v>19</v>
      </c>
      <c r="D220" s="167"/>
      <c r="E220" s="167"/>
      <c r="F220" s="167"/>
      <c r="G220" s="167"/>
      <c r="H220" s="167"/>
      <c r="I220" s="167"/>
      <c r="J220" s="167"/>
      <c r="K220" s="167"/>
      <c r="L220" s="167"/>
      <c r="M220" s="167"/>
      <c r="N220" s="167"/>
      <c r="O220" s="167"/>
      <c r="P220" s="167"/>
    </row>
    <row r="221" spans="1:16" ht="14.4" hidden="1" x14ac:dyDescent="0.3">
      <c r="A221" s="55" t="s">
        <v>31</v>
      </c>
      <c r="B221" s="55"/>
      <c r="C221" s="56" t="s">
        <v>32</v>
      </c>
      <c r="D221" s="167"/>
      <c r="E221" s="167"/>
      <c r="F221" s="167"/>
      <c r="G221" s="167"/>
      <c r="H221" s="167"/>
      <c r="I221" s="167"/>
      <c r="J221" s="167"/>
      <c r="K221" s="167"/>
      <c r="L221" s="167"/>
      <c r="M221" s="167"/>
      <c r="N221" s="167"/>
      <c r="O221" s="167"/>
      <c r="P221" s="167"/>
    </row>
    <row r="222" spans="1:16" ht="14.4" hidden="1" x14ac:dyDescent="0.3">
      <c r="A222" s="162" t="s">
        <v>33</v>
      </c>
      <c r="B222" s="162"/>
      <c r="C222" s="56"/>
      <c r="D222" s="171"/>
      <c r="E222" s="171"/>
      <c r="F222" s="171"/>
      <c r="G222" s="171"/>
      <c r="H222" s="171"/>
      <c r="I222" s="171"/>
      <c r="J222" s="171"/>
      <c r="K222" s="171"/>
      <c r="L222" s="171"/>
      <c r="M222" s="171"/>
      <c r="N222" s="171"/>
      <c r="O222" s="171"/>
      <c r="P222" s="171"/>
    </row>
    <row r="223" spans="1:16" ht="14.4" hidden="1" x14ac:dyDescent="0.3">
      <c r="A223" s="55" t="s">
        <v>34</v>
      </c>
      <c r="B223" s="55"/>
      <c r="C223" s="56" t="s">
        <v>19</v>
      </c>
      <c r="D223" s="167"/>
      <c r="E223" s="167"/>
      <c r="F223" s="167"/>
      <c r="G223" s="167"/>
      <c r="H223" s="167"/>
      <c r="I223" s="167"/>
      <c r="J223" s="167"/>
      <c r="K223" s="167"/>
      <c r="L223" s="167"/>
      <c r="M223" s="167"/>
      <c r="N223" s="167"/>
      <c r="O223" s="167"/>
      <c r="P223" s="167"/>
    </row>
    <row r="224" spans="1:16" ht="14.4" hidden="1" x14ac:dyDescent="0.3">
      <c r="A224" s="55" t="s">
        <v>35</v>
      </c>
      <c r="B224" s="55"/>
      <c r="C224" s="56" t="s">
        <v>36</v>
      </c>
      <c r="D224" s="167"/>
      <c r="E224" s="167"/>
      <c r="F224" s="167"/>
      <c r="G224" s="167"/>
      <c r="H224" s="167"/>
      <c r="I224" s="167"/>
      <c r="J224" s="167"/>
      <c r="K224" s="167"/>
      <c r="L224" s="167"/>
      <c r="M224" s="167"/>
      <c r="N224" s="167"/>
      <c r="O224" s="167"/>
      <c r="P224" s="167"/>
    </row>
    <row r="225" spans="1:16" ht="14.4" hidden="1" x14ac:dyDescent="0.3">
      <c r="A225" s="162" t="s">
        <v>37</v>
      </c>
      <c r="B225" s="162"/>
      <c r="C225" s="56"/>
      <c r="D225" s="171"/>
      <c r="E225" s="171"/>
      <c r="F225" s="171"/>
      <c r="G225" s="171"/>
      <c r="H225" s="171"/>
      <c r="I225" s="171"/>
      <c r="J225" s="171"/>
      <c r="K225" s="171"/>
      <c r="L225" s="171"/>
      <c r="M225" s="171"/>
      <c r="N225" s="171"/>
      <c r="O225" s="171"/>
      <c r="P225" s="171"/>
    </row>
    <row r="226" spans="1:16" ht="14.4" hidden="1" x14ac:dyDescent="0.3">
      <c r="A226" s="172" t="s">
        <v>38</v>
      </c>
      <c r="B226" s="55"/>
      <c r="C226" s="56" t="s">
        <v>19</v>
      </c>
      <c r="D226" s="167"/>
      <c r="E226" s="167"/>
      <c r="F226" s="167"/>
      <c r="G226" s="167"/>
      <c r="H226" s="167"/>
      <c r="I226" s="167"/>
      <c r="J226" s="167"/>
      <c r="K226" s="167"/>
      <c r="L226" s="167"/>
      <c r="M226" s="167"/>
      <c r="N226" s="167"/>
      <c r="O226" s="167"/>
      <c r="P226" s="167"/>
    </row>
    <row r="227" spans="1:16" ht="14.4" hidden="1" x14ac:dyDescent="0.3">
      <c r="A227" s="172" t="s">
        <v>39</v>
      </c>
      <c r="B227" s="55"/>
      <c r="C227" s="56" t="s">
        <v>19</v>
      </c>
      <c r="D227" s="167"/>
      <c r="E227" s="167"/>
      <c r="F227" s="167"/>
      <c r="G227" s="167"/>
      <c r="H227" s="167"/>
      <c r="I227" s="167"/>
      <c r="J227" s="167"/>
      <c r="K227" s="167"/>
      <c r="L227" s="167"/>
      <c r="M227" s="167"/>
      <c r="N227" s="167"/>
      <c r="O227" s="167"/>
      <c r="P227" s="167"/>
    </row>
    <row r="228" spans="1:16" ht="14.4" hidden="1" x14ac:dyDescent="0.3">
      <c r="A228" s="172" t="s">
        <v>180</v>
      </c>
      <c r="B228" s="55"/>
      <c r="C228" s="56" t="s">
        <v>19</v>
      </c>
      <c r="D228" s="167"/>
      <c r="E228" s="167"/>
      <c r="F228" s="167"/>
      <c r="G228" s="167"/>
      <c r="H228" s="167"/>
      <c r="I228" s="167"/>
      <c r="J228" s="167"/>
      <c r="K228" s="167"/>
      <c r="L228" s="167"/>
      <c r="M228" s="167"/>
      <c r="N228" s="167"/>
      <c r="O228" s="167"/>
      <c r="P228" s="167"/>
    </row>
    <row r="229" spans="1:16" ht="14.4" hidden="1" x14ac:dyDescent="0.3">
      <c r="A229" s="173" t="s">
        <v>40</v>
      </c>
      <c r="B229" s="55"/>
      <c r="C229" s="56" t="s">
        <v>19</v>
      </c>
      <c r="D229" s="167"/>
      <c r="E229" s="167"/>
      <c r="F229" s="167"/>
      <c r="G229" s="167"/>
      <c r="H229" s="167"/>
      <c r="I229" s="167"/>
      <c r="J229" s="167"/>
      <c r="K229" s="167"/>
      <c r="L229" s="167"/>
      <c r="M229" s="167"/>
      <c r="N229" s="167"/>
      <c r="O229" s="167"/>
      <c r="P229" s="167"/>
    </row>
    <row r="230" spans="1:16" ht="14.4" hidden="1" x14ac:dyDescent="0.3">
      <c r="A230" s="173" t="s">
        <v>41</v>
      </c>
      <c r="B230" s="55"/>
      <c r="C230" s="56" t="s">
        <v>19</v>
      </c>
      <c r="D230" s="167"/>
      <c r="E230" s="167"/>
      <c r="F230" s="167"/>
      <c r="G230" s="167"/>
      <c r="H230" s="167"/>
      <c r="I230" s="167"/>
      <c r="J230" s="167"/>
      <c r="K230" s="167"/>
      <c r="L230" s="167"/>
      <c r="M230" s="167"/>
      <c r="N230" s="167"/>
      <c r="O230" s="167"/>
      <c r="P230" s="167"/>
    </row>
    <row r="231" spans="1:16" ht="16.2" hidden="1" x14ac:dyDescent="0.3">
      <c r="A231" s="174" t="s">
        <v>182</v>
      </c>
      <c r="B231" s="175"/>
      <c r="C231" s="56" t="s">
        <v>19</v>
      </c>
      <c r="D231" s="167"/>
      <c r="E231" s="167"/>
      <c r="F231" s="167"/>
      <c r="G231" s="167"/>
      <c r="H231" s="167"/>
      <c r="I231" s="167"/>
      <c r="J231" s="167"/>
      <c r="K231" s="167"/>
      <c r="L231" s="167"/>
      <c r="M231" s="167"/>
      <c r="N231" s="167"/>
      <c r="O231" s="167"/>
      <c r="P231" s="167"/>
    </row>
    <row r="232" spans="1:16" ht="16.2" hidden="1" x14ac:dyDescent="0.3">
      <c r="A232" s="174" t="s">
        <v>182</v>
      </c>
      <c r="B232" s="175"/>
      <c r="C232" s="56" t="s">
        <v>19</v>
      </c>
      <c r="D232" s="167"/>
      <c r="E232" s="167"/>
      <c r="F232" s="167"/>
      <c r="G232" s="167"/>
      <c r="H232" s="167"/>
      <c r="I232" s="167"/>
      <c r="J232" s="167"/>
      <c r="K232" s="167"/>
      <c r="L232" s="167"/>
      <c r="M232" s="167"/>
      <c r="N232" s="167"/>
      <c r="O232" s="167"/>
      <c r="P232" s="167"/>
    </row>
    <row r="233" spans="1:16" ht="16.2" hidden="1" x14ac:dyDescent="0.3">
      <c r="A233" s="174" t="s">
        <v>182</v>
      </c>
      <c r="B233" s="176"/>
      <c r="C233" s="56" t="s">
        <v>19</v>
      </c>
      <c r="D233" s="167"/>
      <c r="E233" s="167"/>
      <c r="F233" s="167"/>
      <c r="G233" s="167"/>
      <c r="H233" s="167"/>
      <c r="I233" s="167"/>
      <c r="J233" s="167"/>
      <c r="K233" s="167"/>
      <c r="L233" s="167"/>
      <c r="M233" s="167"/>
      <c r="N233" s="167"/>
      <c r="O233" s="167"/>
      <c r="P233" s="167"/>
    </row>
    <row r="234" spans="1:16" ht="14.4" hidden="1" x14ac:dyDescent="0.3">
      <c r="A234" s="162" t="s">
        <v>42</v>
      </c>
      <c r="B234" s="162"/>
      <c r="C234" s="56"/>
      <c r="D234" s="171"/>
      <c r="E234" s="171"/>
      <c r="F234" s="171"/>
      <c r="G234" s="171"/>
      <c r="H234" s="171"/>
      <c r="I234" s="171"/>
      <c r="J234" s="171"/>
      <c r="K234" s="171"/>
      <c r="L234" s="171"/>
      <c r="M234" s="171"/>
      <c r="N234" s="171"/>
      <c r="O234" s="171"/>
      <c r="P234" s="171"/>
    </row>
    <row r="235" spans="1:16" ht="14.4" hidden="1" x14ac:dyDescent="0.3">
      <c r="A235" s="162" t="s">
        <v>191</v>
      </c>
      <c r="B235" s="162"/>
      <c r="C235" s="56" t="s">
        <v>44</v>
      </c>
      <c r="D235" s="177"/>
      <c r="E235" s="177"/>
      <c r="F235" s="177"/>
      <c r="G235" s="177"/>
      <c r="H235" s="177"/>
      <c r="I235" s="177"/>
      <c r="J235" s="177"/>
      <c r="K235" s="177"/>
      <c r="L235" s="177"/>
      <c r="M235" s="177"/>
      <c r="N235" s="177"/>
      <c r="O235" s="177"/>
      <c r="P235" s="177"/>
    </row>
    <row r="236" spans="1:16" ht="14.4" hidden="1" x14ac:dyDescent="0.3">
      <c r="A236" s="162" t="s">
        <v>183</v>
      </c>
      <c r="B236" s="162"/>
      <c r="C236" s="56"/>
      <c r="D236" s="178"/>
      <c r="E236" s="178"/>
      <c r="F236" s="178"/>
      <c r="G236" s="178"/>
      <c r="H236" s="178"/>
      <c r="I236" s="178"/>
      <c r="J236" s="178"/>
      <c r="K236" s="178"/>
      <c r="L236" s="178"/>
      <c r="M236" s="178"/>
      <c r="N236" s="178"/>
      <c r="O236" s="178"/>
      <c r="P236" s="178"/>
    </row>
    <row r="237" spans="1:16" ht="14.4" hidden="1" x14ac:dyDescent="0.3">
      <c r="A237" s="162" t="s">
        <v>184</v>
      </c>
      <c r="B237" s="162"/>
      <c r="C237" s="56" t="s">
        <v>19</v>
      </c>
      <c r="D237" s="167"/>
      <c r="E237" s="167"/>
      <c r="F237" s="167"/>
      <c r="G237" s="167"/>
      <c r="H237" s="167"/>
      <c r="I237" s="167"/>
      <c r="J237" s="167"/>
      <c r="K237" s="167"/>
      <c r="L237" s="167"/>
      <c r="M237" s="167"/>
      <c r="N237" s="167"/>
      <c r="O237" s="167"/>
      <c r="P237" s="167"/>
    </row>
    <row r="238" spans="1:16" ht="14.4" hidden="1" x14ac:dyDescent="0.3">
      <c r="A238" s="162" t="s">
        <v>45</v>
      </c>
      <c r="B238" s="162"/>
      <c r="C238" s="56"/>
      <c r="D238" s="178"/>
      <c r="E238" s="178"/>
      <c r="F238" s="178"/>
      <c r="G238" s="178"/>
      <c r="H238" s="178"/>
      <c r="I238" s="178"/>
      <c r="J238" s="178"/>
      <c r="K238" s="178"/>
      <c r="L238" s="178"/>
      <c r="M238" s="178"/>
      <c r="N238" s="178"/>
      <c r="O238" s="178"/>
      <c r="P238" s="178"/>
    </row>
    <row r="239" spans="1:16" ht="14.4" hidden="1" x14ac:dyDescent="0.3">
      <c r="A239" s="162" t="s">
        <v>46</v>
      </c>
      <c r="B239" s="162"/>
      <c r="C239" s="56" t="s">
        <v>19</v>
      </c>
      <c r="D239" s="167"/>
      <c r="E239" s="167"/>
      <c r="F239" s="167"/>
      <c r="G239" s="167"/>
      <c r="H239" s="167"/>
      <c r="I239" s="167"/>
      <c r="J239" s="167"/>
      <c r="K239" s="167"/>
      <c r="L239" s="167"/>
      <c r="M239" s="167"/>
      <c r="N239" s="167"/>
      <c r="O239" s="167"/>
      <c r="P239" s="167"/>
    </row>
    <row r="240" spans="1:16" ht="14.4" hidden="1" x14ac:dyDescent="0.3">
      <c r="A240" s="162" t="s">
        <v>185</v>
      </c>
      <c r="B240" s="162"/>
      <c r="C240" s="56"/>
      <c r="D240" s="56"/>
      <c r="E240" s="56"/>
      <c r="F240" s="56"/>
      <c r="G240" s="56"/>
      <c r="H240" s="56"/>
      <c r="I240" s="56"/>
      <c r="J240" s="56"/>
      <c r="K240" s="56"/>
      <c r="L240" s="56"/>
      <c r="M240" s="56"/>
      <c r="N240" s="56"/>
      <c r="O240" s="56"/>
      <c r="P240" s="56"/>
    </row>
    <row r="241" spans="1:16" ht="14.4" hidden="1" x14ac:dyDescent="0.3">
      <c r="A241" s="162" t="s">
        <v>186</v>
      </c>
      <c r="B241" s="162"/>
      <c r="C241" s="56" t="s">
        <v>19</v>
      </c>
      <c r="D241" s="167"/>
      <c r="E241" s="167"/>
      <c r="F241" s="167"/>
      <c r="G241" s="167"/>
      <c r="H241" s="167"/>
      <c r="I241" s="167"/>
      <c r="J241" s="167"/>
      <c r="K241" s="167"/>
      <c r="L241" s="167"/>
      <c r="M241" s="167"/>
      <c r="N241" s="167"/>
      <c r="O241" s="167"/>
      <c r="P241" s="167"/>
    </row>
    <row r="242" spans="1:16" ht="14.4" hidden="1" x14ac:dyDescent="0.3">
      <c r="A242" s="162" t="s">
        <v>47</v>
      </c>
      <c r="B242" s="162"/>
      <c r="C242" s="56"/>
      <c r="D242" s="171"/>
      <c r="E242" s="171"/>
      <c r="F242" s="171"/>
      <c r="G242" s="171"/>
      <c r="H242" s="171"/>
      <c r="I242" s="171"/>
      <c r="J242" s="171"/>
      <c r="K242" s="171"/>
      <c r="L242" s="171"/>
      <c r="M242" s="171"/>
      <c r="N242" s="171"/>
      <c r="O242" s="171"/>
      <c r="P242" s="171"/>
    </row>
    <row r="243" spans="1:16" ht="14.4" hidden="1" x14ac:dyDescent="0.3">
      <c r="A243" s="55" t="s">
        <v>48</v>
      </c>
      <c r="B243" s="55"/>
      <c r="C243" s="56" t="s">
        <v>19</v>
      </c>
      <c r="D243" s="167"/>
      <c r="E243" s="167"/>
      <c r="F243" s="167"/>
      <c r="G243" s="167"/>
      <c r="H243" s="167"/>
      <c r="I243" s="167"/>
      <c r="J243" s="167"/>
      <c r="K243" s="167"/>
      <c r="L243" s="167"/>
      <c r="M243" s="167"/>
      <c r="N243" s="167"/>
      <c r="O243" s="167"/>
      <c r="P243" s="167"/>
    </row>
    <row r="244" spans="1:16" ht="14.4" hidden="1" x14ac:dyDescent="0.3">
      <c r="A244" s="55" t="s">
        <v>49</v>
      </c>
      <c r="B244" s="55"/>
      <c r="C244" s="56" t="s">
        <v>19</v>
      </c>
      <c r="D244" s="167"/>
      <c r="E244" s="167"/>
      <c r="F244" s="167"/>
      <c r="G244" s="167"/>
      <c r="H244" s="167"/>
      <c r="I244" s="167"/>
      <c r="J244" s="167"/>
      <c r="K244" s="167"/>
      <c r="L244" s="167"/>
      <c r="M244" s="167"/>
      <c r="N244" s="167"/>
      <c r="O244" s="167"/>
      <c r="P244" s="167"/>
    </row>
    <row r="245" spans="1:16" ht="14.4" hidden="1" x14ac:dyDescent="0.3">
      <c r="A245" s="162" t="s">
        <v>52</v>
      </c>
      <c r="B245" s="162"/>
      <c r="C245" s="179"/>
      <c r="D245" s="170"/>
      <c r="E245" s="170"/>
      <c r="F245" s="170"/>
      <c r="G245" s="170"/>
      <c r="H245" s="170"/>
      <c r="I245" s="170"/>
      <c r="J245" s="170"/>
      <c r="K245" s="170"/>
      <c r="L245" s="170"/>
      <c r="M245" s="170"/>
      <c r="N245" s="170"/>
      <c r="O245" s="170"/>
      <c r="P245" s="170"/>
    </row>
    <row r="246" spans="1:16" ht="14.4" hidden="1" x14ac:dyDescent="0.3">
      <c r="A246" s="55" t="s">
        <v>53</v>
      </c>
      <c r="B246" s="55"/>
      <c r="C246" s="56" t="s">
        <v>44</v>
      </c>
      <c r="D246" s="167"/>
      <c r="E246" s="167"/>
      <c r="F246" s="167"/>
      <c r="G246" s="167"/>
      <c r="H246" s="167"/>
      <c r="I246" s="167"/>
      <c r="J246" s="167"/>
      <c r="K246" s="167"/>
      <c r="L246" s="167"/>
      <c r="M246" s="167"/>
      <c r="N246" s="167"/>
      <c r="O246" s="167"/>
      <c r="P246" s="167"/>
    </row>
    <row r="247" spans="1:16" ht="14.4" hidden="1" x14ac:dyDescent="0.3">
      <c r="A247" s="55" t="s">
        <v>54</v>
      </c>
      <c r="B247" s="55"/>
      <c r="C247" s="56" t="s">
        <v>44</v>
      </c>
      <c r="D247" s="167"/>
      <c r="E247" s="167"/>
      <c r="F247" s="167"/>
      <c r="G247" s="167"/>
      <c r="H247" s="167"/>
      <c r="I247" s="167"/>
      <c r="J247" s="167"/>
      <c r="K247" s="167"/>
      <c r="L247" s="167"/>
      <c r="M247" s="167"/>
      <c r="N247" s="167"/>
      <c r="O247" s="167"/>
      <c r="P247" s="167"/>
    </row>
    <row r="248" spans="1:16" ht="14.4" hidden="1" x14ac:dyDescent="0.3">
      <c r="A248" s="55" t="s">
        <v>55</v>
      </c>
      <c r="B248" s="55"/>
      <c r="C248" s="56" t="s">
        <v>44</v>
      </c>
      <c r="D248" s="167"/>
      <c r="E248" s="167"/>
      <c r="F248" s="167"/>
      <c r="G248" s="167"/>
      <c r="H248" s="167"/>
      <c r="I248" s="167"/>
      <c r="J248" s="167"/>
      <c r="K248" s="167"/>
      <c r="L248" s="167"/>
      <c r="M248" s="167"/>
      <c r="N248" s="167"/>
      <c r="O248" s="167"/>
      <c r="P248" s="167"/>
    </row>
    <row r="249" spans="1:16" ht="14.4" hidden="1" x14ac:dyDescent="0.3">
      <c r="A249" s="55" t="s">
        <v>187</v>
      </c>
      <c r="B249" s="55"/>
      <c r="C249" s="56" t="s">
        <v>44</v>
      </c>
      <c r="D249" s="167"/>
      <c r="E249" s="167"/>
      <c r="F249" s="167"/>
      <c r="G249" s="167"/>
      <c r="H249" s="167"/>
      <c r="I249" s="167"/>
      <c r="J249" s="167"/>
      <c r="K249" s="167"/>
      <c r="L249" s="167"/>
      <c r="M249" s="167"/>
      <c r="N249" s="167"/>
      <c r="O249" s="167"/>
      <c r="P249" s="167"/>
    </row>
    <row r="250" spans="1:16" ht="14.4" hidden="1" x14ac:dyDescent="0.3">
      <c r="A250" s="55" t="s">
        <v>188</v>
      </c>
      <c r="B250" s="55"/>
      <c r="C250" s="56" t="s">
        <v>44</v>
      </c>
      <c r="D250" s="167"/>
      <c r="E250" s="167"/>
      <c r="F250" s="167"/>
      <c r="G250" s="167"/>
      <c r="H250" s="167"/>
      <c r="I250" s="167"/>
      <c r="J250" s="167"/>
      <c r="K250" s="167"/>
      <c r="L250" s="167"/>
      <c r="M250" s="167"/>
      <c r="N250" s="167"/>
      <c r="O250" s="167"/>
      <c r="P250" s="167"/>
    </row>
    <row r="251" spans="1:16" ht="14.4" hidden="1" x14ac:dyDescent="0.3">
      <c r="A251" s="55" t="s">
        <v>56</v>
      </c>
      <c r="B251" s="55"/>
      <c r="C251" s="56" t="s">
        <v>44</v>
      </c>
      <c r="D251" s="180"/>
      <c r="E251" s="180"/>
      <c r="F251" s="180"/>
      <c r="G251" s="180"/>
      <c r="H251" s="180"/>
      <c r="I251" s="180"/>
      <c r="J251" s="180"/>
      <c r="K251" s="180"/>
      <c r="L251" s="180"/>
      <c r="M251" s="180"/>
      <c r="N251" s="180"/>
      <c r="O251" s="180"/>
      <c r="P251" s="180"/>
    </row>
    <row r="252" spans="1:16" ht="14.4" hidden="1" x14ac:dyDescent="0.3">
      <c r="A252" s="55" t="s">
        <v>57</v>
      </c>
      <c r="B252" s="55"/>
      <c r="C252" s="56" t="s">
        <v>44</v>
      </c>
      <c r="D252" s="180"/>
      <c r="E252" s="180"/>
      <c r="F252" s="180"/>
      <c r="G252" s="180"/>
      <c r="H252" s="180"/>
      <c r="I252" s="180"/>
      <c r="J252" s="180"/>
      <c r="K252" s="180"/>
      <c r="L252" s="180"/>
      <c r="M252" s="180"/>
      <c r="N252" s="180"/>
      <c r="O252" s="180"/>
      <c r="P252" s="180"/>
    </row>
    <row r="253" spans="1:16" hidden="1" x14ac:dyDescent="0.3"/>
    <row r="254" spans="1:16" ht="18" hidden="1" x14ac:dyDescent="0.35">
      <c r="A254" s="9" t="str">
        <f>'[43]Statistical data'!A224</f>
        <v>Customer Class4</v>
      </c>
      <c r="B254" s="9"/>
      <c r="C254" s="5" t="s">
        <v>190</v>
      </c>
      <c r="D254" s="160"/>
      <c r="E254" s="160"/>
      <c r="F254" s="160"/>
      <c r="G254" s="160"/>
      <c r="H254" s="160"/>
      <c r="I254" s="160"/>
      <c r="J254" s="160"/>
      <c r="K254" s="160"/>
      <c r="L254" s="160"/>
      <c r="M254" s="160"/>
      <c r="N254" s="160"/>
      <c r="O254" s="160"/>
      <c r="P254" s="160"/>
    </row>
    <row r="255" spans="1:16" ht="14.4" hidden="1" x14ac:dyDescent="0.3">
      <c r="A255" s="161" t="s">
        <v>3</v>
      </c>
      <c r="B255" s="161"/>
      <c r="C255" s="161" t="s">
        <v>4</v>
      </c>
      <c r="D255" s="161" t="s">
        <v>15</v>
      </c>
      <c r="E255" s="161" t="s">
        <v>15</v>
      </c>
      <c r="F255" s="161" t="s">
        <v>15</v>
      </c>
      <c r="G255" s="161" t="s">
        <v>15</v>
      </c>
      <c r="H255" s="161" t="s">
        <v>15</v>
      </c>
      <c r="I255" s="161" t="s">
        <v>15</v>
      </c>
      <c r="J255" s="161" t="s">
        <v>15</v>
      </c>
      <c r="K255" s="161" t="s">
        <v>15</v>
      </c>
      <c r="L255" s="161" t="s">
        <v>15</v>
      </c>
      <c r="M255" s="161" t="s">
        <v>15</v>
      </c>
      <c r="N255" s="161" t="s">
        <v>15</v>
      </c>
      <c r="O255" s="161" t="s">
        <v>15</v>
      </c>
      <c r="P255" s="161" t="s">
        <v>15</v>
      </c>
    </row>
    <row r="256" spans="1:16" ht="14.4" hidden="1" x14ac:dyDescent="0.3">
      <c r="A256" s="162" t="s">
        <v>17</v>
      </c>
      <c r="B256" s="163"/>
      <c r="C256" s="56"/>
      <c r="D256" s="164"/>
      <c r="E256" s="164"/>
      <c r="F256" s="164"/>
      <c r="G256" s="164"/>
      <c r="H256" s="164"/>
      <c r="I256" s="164"/>
      <c r="J256" s="164"/>
      <c r="K256" s="164"/>
      <c r="L256" s="164"/>
      <c r="M256" s="164"/>
      <c r="N256" s="164"/>
      <c r="O256" s="164"/>
      <c r="P256" s="164"/>
    </row>
    <row r="257" spans="1:16" ht="14.4" hidden="1" x14ac:dyDescent="0.3">
      <c r="A257" s="55" t="s">
        <v>18</v>
      </c>
      <c r="B257" s="165"/>
      <c r="C257" s="56" t="s">
        <v>19</v>
      </c>
      <c r="D257" s="166"/>
      <c r="E257" s="166"/>
      <c r="F257" s="166"/>
      <c r="G257" s="166"/>
      <c r="H257" s="166"/>
      <c r="I257" s="166"/>
      <c r="J257" s="166"/>
      <c r="K257" s="166"/>
      <c r="L257" s="166"/>
      <c r="M257" s="166"/>
      <c r="N257" s="166"/>
      <c r="O257" s="166"/>
      <c r="P257" s="166"/>
    </row>
    <row r="258" spans="1:16" ht="14.4" hidden="1" x14ac:dyDescent="0.3">
      <c r="A258" s="55" t="s">
        <v>66</v>
      </c>
      <c r="B258" s="165"/>
      <c r="C258" s="56" t="s">
        <v>19</v>
      </c>
      <c r="D258" s="166"/>
      <c r="E258" s="166"/>
      <c r="F258" s="166"/>
      <c r="G258" s="166"/>
      <c r="H258" s="166"/>
      <c r="I258" s="166"/>
      <c r="J258" s="166"/>
      <c r="K258" s="166"/>
      <c r="L258" s="166"/>
      <c r="M258" s="166"/>
      <c r="N258" s="166"/>
      <c r="O258" s="166"/>
      <c r="P258" s="166"/>
    </row>
    <row r="259" spans="1:16" ht="14.4" hidden="1" x14ac:dyDescent="0.3">
      <c r="A259" s="162" t="s">
        <v>20</v>
      </c>
      <c r="B259" s="163"/>
      <c r="C259" s="56"/>
      <c r="D259" s="168"/>
      <c r="E259" s="168"/>
      <c r="F259" s="168"/>
      <c r="G259" s="168"/>
      <c r="H259" s="168"/>
      <c r="I259" s="168"/>
      <c r="J259" s="168"/>
      <c r="K259" s="168"/>
      <c r="L259" s="168"/>
      <c r="M259" s="168"/>
      <c r="N259" s="168"/>
      <c r="O259" s="168"/>
      <c r="P259" s="168"/>
    </row>
    <row r="260" spans="1:16" ht="14.4" hidden="1" x14ac:dyDescent="0.3">
      <c r="A260" s="55" t="s">
        <v>21</v>
      </c>
      <c r="B260" s="165"/>
      <c r="C260" s="56" t="s">
        <v>19</v>
      </c>
      <c r="D260" s="166"/>
      <c r="E260" s="166"/>
      <c r="F260" s="166"/>
      <c r="G260" s="166"/>
      <c r="H260" s="166"/>
      <c r="I260" s="166"/>
      <c r="J260" s="166"/>
      <c r="K260" s="166"/>
      <c r="L260" s="166"/>
      <c r="M260" s="166"/>
      <c r="N260" s="166"/>
      <c r="O260" s="166"/>
      <c r="P260" s="166"/>
    </row>
    <row r="261" spans="1:16" ht="14.4" hidden="1" x14ac:dyDescent="0.3">
      <c r="A261" s="55" t="s">
        <v>22</v>
      </c>
      <c r="B261" s="165"/>
      <c r="C261" s="56" t="s">
        <v>23</v>
      </c>
      <c r="D261" s="166"/>
      <c r="E261" s="166"/>
      <c r="F261" s="166"/>
      <c r="G261" s="166"/>
      <c r="H261" s="166"/>
      <c r="I261" s="166"/>
      <c r="J261" s="166"/>
      <c r="K261" s="166"/>
      <c r="L261" s="166"/>
      <c r="M261" s="166"/>
      <c r="N261" s="166"/>
      <c r="O261" s="166"/>
      <c r="P261" s="166"/>
    </row>
    <row r="262" spans="1:16" ht="14.4" hidden="1" x14ac:dyDescent="0.3">
      <c r="A262" s="162" t="s">
        <v>24</v>
      </c>
      <c r="B262" s="163"/>
      <c r="C262" s="56"/>
      <c r="D262" s="168"/>
      <c r="E262" s="168"/>
      <c r="F262" s="168"/>
      <c r="G262" s="168"/>
      <c r="H262" s="168"/>
      <c r="I262" s="168"/>
      <c r="J262" s="168"/>
      <c r="K262" s="168"/>
      <c r="L262" s="168"/>
      <c r="M262" s="168"/>
      <c r="N262" s="168"/>
      <c r="O262" s="168"/>
      <c r="P262" s="168"/>
    </row>
    <row r="263" spans="1:16" ht="14.4" hidden="1" x14ac:dyDescent="0.3">
      <c r="A263" s="55" t="s">
        <v>25</v>
      </c>
      <c r="B263" s="165"/>
      <c r="C263" s="56" t="s">
        <v>19</v>
      </c>
      <c r="D263" s="166"/>
      <c r="E263" s="166"/>
      <c r="F263" s="166"/>
      <c r="G263" s="166"/>
      <c r="H263" s="166"/>
      <c r="I263" s="166"/>
      <c r="J263" s="166"/>
      <c r="K263" s="166"/>
      <c r="L263" s="166"/>
      <c r="M263" s="166"/>
      <c r="N263" s="166"/>
      <c r="O263" s="166"/>
      <c r="P263" s="166"/>
    </row>
    <row r="264" spans="1:16" ht="14.4" hidden="1" x14ac:dyDescent="0.3">
      <c r="A264" s="162" t="s">
        <v>26</v>
      </c>
      <c r="B264" s="162"/>
      <c r="C264" s="56"/>
      <c r="D264" s="170"/>
      <c r="E264" s="170"/>
      <c r="F264" s="170"/>
      <c r="G264" s="170"/>
      <c r="H264" s="170"/>
      <c r="I264" s="170"/>
      <c r="J264" s="170"/>
      <c r="K264" s="170"/>
      <c r="L264" s="170"/>
      <c r="M264" s="170"/>
      <c r="N264" s="170"/>
      <c r="O264" s="170"/>
      <c r="P264" s="170"/>
    </row>
    <row r="265" spans="1:16" ht="14.4" hidden="1" x14ac:dyDescent="0.3">
      <c r="A265" s="55" t="s">
        <v>27</v>
      </c>
      <c r="B265" s="55"/>
      <c r="C265" s="56" t="s">
        <v>19</v>
      </c>
      <c r="D265" s="167"/>
      <c r="E265" s="167"/>
      <c r="F265" s="167"/>
      <c r="G265" s="167"/>
      <c r="H265" s="167"/>
      <c r="I265" s="167"/>
      <c r="J265" s="167"/>
      <c r="K265" s="167"/>
      <c r="L265" s="167"/>
      <c r="M265" s="167"/>
      <c r="N265" s="167"/>
      <c r="O265" s="167"/>
      <c r="P265" s="167"/>
    </row>
    <row r="266" spans="1:16" ht="14.4" hidden="1" x14ac:dyDescent="0.3">
      <c r="A266" s="55" t="s">
        <v>28</v>
      </c>
      <c r="B266" s="55"/>
      <c r="C266" s="56" t="s">
        <v>23</v>
      </c>
      <c r="D266" s="167"/>
      <c r="E266" s="167"/>
      <c r="F266" s="167"/>
      <c r="G266" s="167"/>
      <c r="H266" s="167"/>
      <c r="I266" s="167"/>
      <c r="J266" s="167"/>
      <c r="K266" s="167"/>
      <c r="L266" s="167"/>
      <c r="M266" s="167"/>
      <c r="N266" s="167"/>
      <c r="O266" s="167"/>
      <c r="P266" s="167"/>
    </row>
    <row r="267" spans="1:16" ht="14.4" hidden="1" x14ac:dyDescent="0.3">
      <c r="A267" s="162" t="s">
        <v>29</v>
      </c>
      <c r="B267" s="162"/>
      <c r="C267" s="56"/>
      <c r="D267" s="171"/>
      <c r="E267" s="171"/>
      <c r="F267" s="171"/>
      <c r="G267" s="171"/>
      <c r="H267" s="171"/>
      <c r="I267" s="171"/>
      <c r="J267" s="171"/>
      <c r="K267" s="171"/>
      <c r="L267" s="171"/>
      <c r="M267" s="171"/>
      <c r="N267" s="171"/>
      <c r="O267" s="171"/>
      <c r="P267" s="171"/>
    </row>
    <row r="268" spans="1:16" ht="14.4" hidden="1" x14ac:dyDescent="0.3">
      <c r="A268" s="55" t="s">
        <v>30</v>
      </c>
      <c r="B268" s="55"/>
      <c r="C268" s="56" t="s">
        <v>19</v>
      </c>
      <c r="D268" s="167"/>
      <c r="E268" s="167"/>
      <c r="F268" s="167"/>
      <c r="G268" s="167"/>
      <c r="H268" s="167"/>
      <c r="I268" s="167"/>
      <c r="J268" s="167"/>
      <c r="K268" s="167"/>
      <c r="L268" s="167"/>
      <c r="M268" s="167"/>
      <c r="N268" s="167"/>
      <c r="O268" s="167"/>
      <c r="P268" s="167"/>
    </row>
    <row r="269" spans="1:16" ht="14.4" hidden="1" x14ac:dyDescent="0.3">
      <c r="A269" s="55" t="s">
        <v>31</v>
      </c>
      <c r="B269" s="55"/>
      <c r="C269" s="56" t="s">
        <v>32</v>
      </c>
      <c r="D269" s="167"/>
      <c r="E269" s="167"/>
      <c r="F269" s="167"/>
      <c r="G269" s="167"/>
      <c r="H269" s="167"/>
      <c r="I269" s="167"/>
      <c r="J269" s="167"/>
      <c r="K269" s="167"/>
      <c r="L269" s="167"/>
      <c r="M269" s="167"/>
      <c r="N269" s="167"/>
      <c r="O269" s="167"/>
      <c r="P269" s="167"/>
    </row>
    <row r="270" spans="1:16" ht="14.4" hidden="1" x14ac:dyDescent="0.3">
      <c r="A270" s="162" t="s">
        <v>33</v>
      </c>
      <c r="B270" s="162"/>
      <c r="C270" s="56"/>
      <c r="D270" s="171"/>
      <c r="E270" s="171"/>
      <c r="F270" s="171"/>
      <c r="G270" s="171"/>
      <c r="H270" s="171"/>
      <c r="I270" s="171"/>
      <c r="J270" s="171"/>
      <c r="K270" s="171"/>
      <c r="L270" s="171"/>
      <c r="M270" s="171"/>
      <c r="N270" s="171"/>
      <c r="O270" s="171"/>
      <c r="P270" s="171"/>
    </row>
    <row r="271" spans="1:16" ht="14.4" hidden="1" x14ac:dyDescent="0.3">
      <c r="A271" s="55" t="s">
        <v>34</v>
      </c>
      <c r="B271" s="55"/>
      <c r="C271" s="56" t="s">
        <v>19</v>
      </c>
      <c r="D271" s="167"/>
      <c r="E271" s="167"/>
      <c r="F271" s="167"/>
      <c r="G271" s="167"/>
      <c r="H271" s="167"/>
      <c r="I271" s="167"/>
      <c r="J271" s="167"/>
      <c r="K271" s="167"/>
      <c r="L271" s="167"/>
      <c r="M271" s="167"/>
      <c r="N271" s="167"/>
      <c r="O271" s="167"/>
      <c r="P271" s="167"/>
    </row>
    <row r="272" spans="1:16" ht="14.4" hidden="1" x14ac:dyDescent="0.3">
      <c r="A272" s="55" t="s">
        <v>35</v>
      </c>
      <c r="B272" s="55"/>
      <c r="C272" s="56" t="s">
        <v>36</v>
      </c>
      <c r="D272" s="167"/>
      <c r="E272" s="167"/>
      <c r="F272" s="167"/>
      <c r="G272" s="167"/>
      <c r="H272" s="167"/>
      <c r="I272" s="167"/>
      <c r="J272" s="167"/>
      <c r="K272" s="167"/>
      <c r="L272" s="167"/>
      <c r="M272" s="167"/>
      <c r="N272" s="167"/>
      <c r="O272" s="167"/>
      <c r="P272" s="167"/>
    </row>
    <row r="273" spans="1:16" ht="14.4" hidden="1" x14ac:dyDescent="0.3">
      <c r="A273" s="162" t="s">
        <v>37</v>
      </c>
      <c r="B273" s="162"/>
      <c r="C273" s="56"/>
      <c r="D273" s="171"/>
      <c r="E273" s="171"/>
      <c r="F273" s="171"/>
      <c r="G273" s="171"/>
      <c r="H273" s="171"/>
      <c r="I273" s="171"/>
      <c r="J273" s="171"/>
      <c r="K273" s="171"/>
      <c r="L273" s="171"/>
      <c r="M273" s="171"/>
      <c r="N273" s="171"/>
      <c r="O273" s="171"/>
      <c r="P273" s="171"/>
    </row>
    <row r="274" spans="1:16" ht="14.4" hidden="1" x14ac:dyDescent="0.3">
      <c r="A274" s="172" t="s">
        <v>38</v>
      </c>
      <c r="B274" s="55"/>
      <c r="C274" s="56" t="s">
        <v>19</v>
      </c>
      <c r="D274" s="167"/>
      <c r="E274" s="167"/>
      <c r="F274" s="167"/>
      <c r="G274" s="167"/>
      <c r="H274" s="167"/>
      <c r="I274" s="167"/>
      <c r="J274" s="167"/>
      <c r="K274" s="167"/>
      <c r="L274" s="167"/>
      <c r="M274" s="167"/>
      <c r="N274" s="167"/>
      <c r="O274" s="167"/>
      <c r="P274" s="167"/>
    </row>
    <row r="275" spans="1:16" ht="14.4" hidden="1" x14ac:dyDescent="0.3">
      <c r="A275" s="172" t="s">
        <v>39</v>
      </c>
      <c r="B275" s="55"/>
      <c r="C275" s="56" t="s">
        <v>19</v>
      </c>
      <c r="D275" s="167"/>
      <c r="E275" s="167"/>
      <c r="F275" s="167"/>
      <c r="G275" s="167"/>
      <c r="H275" s="167"/>
      <c r="I275" s="167"/>
      <c r="J275" s="167"/>
      <c r="K275" s="167"/>
      <c r="L275" s="167"/>
      <c r="M275" s="167"/>
      <c r="N275" s="167"/>
      <c r="O275" s="167"/>
      <c r="P275" s="167"/>
    </row>
    <row r="276" spans="1:16" ht="14.4" hidden="1" x14ac:dyDescent="0.3">
      <c r="A276" s="172" t="s">
        <v>180</v>
      </c>
      <c r="B276" s="55"/>
      <c r="C276" s="56" t="s">
        <v>19</v>
      </c>
      <c r="D276" s="167"/>
      <c r="E276" s="167"/>
      <c r="F276" s="167"/>
      <c r="G276" s="167"/>
      <c r="H276" s="167"/>
      <c r="I276" s="167"/>
      <c r="J276" s="167"/>
      <c r="K276" s="167"/>
      <c r="L276" s="167"/>
      <c r="M276" s="167"/>
      <c r="N276" s="167"/>
      <c r="O276" s="167"/>
      <c r="P276" s="167"/>
    </row>
    <row r="277" spans="1:16" ht="14.4" hidden="1" x14ac:dyDescent="0.3">
      <c r="A277" s="173" t="s">
        <v>40</v>
      </c>
      <c r="B277" s="55"/>
      <c r="C277" s="56" t="s">
        <v>19</v>
      </c>
      <c r="D277" s="167"/>
      <c r="E277" s="167"/>
      <c r="F277" s="167"/>
      <c r="G277" s="167"/>
      <c r="H277" s="167"/>
      <c r="I277" s="167"/>
      <c r="J277" s="167"/>
      <c r="K277" s="167"/>
      <c r="L277" s="167"/>
      <c r="M277" s="167"/>
      <c r="N277" s="167"/>
      <c r="O277" s="167"/>
      <c r="P277" s="167"/>
    </row>
    <row r="278" spans="1:16" ht="14.4" hidden="1" x14ac:dyDescent="0.3">
      <c r="A278" s="173" t="s">
        <v>41</v>
      </c>
      <c r="B278" s="55"/>
      <c r="C278" s="56" t="s">
        <v>19</v>
      </c>
      <c r="D278" s="167"/>
      <c r="E278" s="167"/>
      <c r="F278" s="167"/>
      <c r="G278" s="167"/>
      <c r="H278" s="167"/>
      <c r="I278" s="167"/>
      <c r="J278" s="167"/>
      <c r="K278" s="167"/>
      <c r="L278" s="167"/>
      <c r="M278" s="167"/>
      <c r="N278" s="167"/>
      <c r="O278" s="167"/>
      <c r="P278" s="167"/>
    </row>
    <row r="279" spans="1:16" ht="16.2" hidden="1" x14ac:dyDescent="0.3">
      <c r="A279" s="174" t="s">
        <v>182</v>
      </c>
      <c r="B279" s="175"/>
      <c r="C279" s="56" t="s">
        <v>19</v>
      </c>
      <c r="D279" s="167"/>
      <c r="E279" s="167"/>
      <c r="F279" s="167"/>
      <c r="G279" s="167"/>
      <c r="H279" s="167"/>
      <c r="I279" s="167"/>
      <c r="J279" s="167"/>
      <c r="K279" s="167"/>
      <c r="L279" s="167"/>
      <c r="M279" s="167"/>
      <c r="N279" s="167"/>
      <c r="O279" s="167"/>
      <c r="P279" s="167"/>
    </row>
    <row r="280" spans="1:16" ht="16.2" hidden="1" x14ac:dyDescent="0.3">
      <c r="A280" s="174" t="s">
        <v>182</v>
      </c>
      <c r="B280" s="175"/>
      <c r="C280" s="56" t="s">
        <v>19</v>
      </c>
      <c r="D280" s="167"/>
      <c r="E280" s="167"/>
      <c r="F280" s="167"/>
      <c r="G280" s="167"/>
      <c r="H280" s="167"/>
      <c r="I280" s="167"/>
      <c r="J280" s="167"/>
      <c r="K280" s="167"/>
      <c r="L280" s="167"/>
      <c r="M280" s="167"/>
      <c r="N280" s="167"/>
      <c r="O280" s="167"/>
      <c r="P280" s="167"/>
    </row>
    <row r="281" spans="1:16" ht="16.2" hidden="1" x14ac:dyDescent="0.3">
      <c r="A281" s="174" t="s">
        <v>182</v>
      </c>
      <c r="B281" s="176"/>
      <c r="C281" s="56" t="s">
        <v>19</v>
      </c>
      <c r="D281" s="167"/>
      <c r="E281" s="167"/>
      <c r="F281" s="167"/>
      <c r="G281" s="167"/>
      <c r="H281" s="167"/>
      <c r="I281" s="167"/>
      <c r="J281" s="167"/>
      <c r="K281" s="167"/>
      <c r="L281" s="167"/>
      <c r="M281" s="167"/>
      <c r="N281" s="167"/>
      <c r="O281" s="167"/>
      <c r="P281" s="167"/>
    </row>
    <row r="282" spans="1:16" ht="14.4" hidden="1" x14ac:dyDescent="0.3">
      <c r="A282" s="162" t="s">
        <v>42</v>
      </c>
      <c r="B282" s="162"/>
      <c r="C282" s="56"/>
      <c r="D282" s="171"/>
      <c r="E282" s="171"/>
      <c r="F282" s="171"/>
      <c r="G282" s="171"/>
      <c r="H282" s="171"/>
      <c r="I282" s="171"/>
      <c r="J282" s="171"/>
      <c r="K282" s="171"/>
      <c r="L282" s="171"/>
      <c r="M282" s="171"/>
      <c r="N282" s="171"/>
      <c r="O282" s="171"/>
      <c r="P282" s="171"/>
    </row>
    <row r="283" spans="1:16" ht="14.4" hidden="1" x14ac:dyDescent="0.3">
      <c r="A283" s="162" t="s">
        <v>191</v>
      </c>
      <c r="B283" s="162"/>
      <c r="C283" s="56" t="s">
        <v>44</v>
      </c>
      <c r="D283" s="177"/>
      <c r="E283" s="177"/>
      <c r="F283" s="177"/>
      <c r="G283" s="177"/>
      <c r="H283" s="177"/>
      <c r="I283" s="177"/>
      <c r="J283" s="177"/>
      <c r="K283" s="177"/>
      <c r="L283" s="177"/>
      <c r="M283" s="177"/>
      <c r="N283" s="177"/>
      <c r="O283" s="177"/>
      <c r="P283" s="177"/>
    </row>
    <row r="284" spans="1:16" ht="14.4" hidden="1" x14ac:dyDescent="0.3">
      <c r="A284" s="162" t="s">
        <v>183</v>
      </c>
      <c r="B284" s="162"/>
      <c r="C284" s="56"/>
      <c r="D284" s="178"/>
      <c r="E284" s="178"/>
      <c r="F284" s="178"/>
      <c r="G284" s="178"/>
      <c r="H284" s="178"/>
      <c r="I284" s="178"/>
      <c r="J284" s="178"/>
      <c r="K284" s="178"/>
      <c r="L284" s="178"/>
      <c r="M284" s="178"/>
      <c r="N284" s="178"/>
      <c r="O284" s="178"/>
      <c r="P284" s="178"/>
    </row>
    <row r="285" spans="1:16" ht="14.4" hidden="1" x14ac:dyDescent="0.3">
      <c r="A285" s="162" t="s">
        <v>184</v>
      </c>
      <c r="B285" s="162"/>
      <c r="C285" s="56" t="s">
        <v>19</v>
      </c>
      <c r="D285" s="167"/>
      <c r="E285" s="167"/>
      <c r="F285" s="167"/>
      <c r="G285" s="167"/>
      <c r="H285" s="167"/>
      <c r="I285" s="167"/>
      <c r="J285" s="167"/>
      <c r="K285" s="167"/>
      <c r="L285" s="167"/>
      <c r="M285" s="167"/>
      <c r="N285" s="167"/>
      <c r="O285" s="167"/>
      <c r="P285" s="167"/>
    </row>
    <row r="286" spans="1:16" ht="14.4" hidden="1" x14ac:dyDescent="0.3">
      <c r="A286" s="162" t="s">
        <v>45</v>
      </c>
      <c r="B286" s="162"/>
      <c r="C286" s="56"/>
      <c r="D286" s="178"/>
      <c r="E286" s="178"/>
      <c r="F286" s="178"/>
      <c r="G286" s="178"/>
      <c r="H286" s="178"/>
      <c r="I286" s="178"/>
      <c r="J286" s="178"/>
      <c r="K286" s="178"/>
      <c r="L286" s="178"/>
      <c r="M286" s="178"/>
      <c r="N286" s="178"/>
      <c r="O286" s="178"/>
      <c r="P286" s="178"/>
    </row>
    <row r="287" spans="1:16" ht="14.4" hidden="1" x14ac:dyDescent="0.3">
      <c r="A287" s="162" t="s">
        <v>46</v>
      </c>
      <c r="B287" s="162"/>
      <c r="C287" s="56" t="s">
        <v>19</v>
      </c>
      <c r="D287" s="167"/>
      <c r="E287" s="167"/>
      <c r="F287" s="167"/>
      <c r="G287" s="167"/>
      <c r="H287" s="167"/>
      <c r="I287" s="167"/>
      <c r="J287" s="167"/>
      <c r="K287" s="167"/>
      <c r="L287" s="167"/>
      <c r="M287" s="167"/>
      <c r="N287" s="167"/>
      <c r="O287" s="167"/>
      <c r="P287" s="167"/>
    </row>
    <row r="288" spans="1:16" ht="14.4" hidden="1" x14ac:dyDescent="0.3">
      <c r="A288" s="162" t="s">
        <v>185</v>
      </c>
      <c r="B288" s="162"/>
      <c r="C288" s="56"/>
      <c r="D288" s="178"/>
      <c r="E288" s="178"/>
      <c r="F288" s="178"/>
      <c r="G288" s="178"/>
      <c r="H288" s="178"/>
      <c r="I288" s="178"/>
      <c r="J288" s="178"/>
      <c r="K288" s="178"/>
      <c r="L288" s="178"/>
      <c r="M288" s="178"/>
      <c r="N288" s="178"/>
      <c r="O288" s="178"/>
      <c r="P288" s="178"/>
    </row>
    <row r="289" spans="1:16" ht="14.4" hidden="1" x14ac:dyDescent="0.3">
      <c r="A289" s="162" t="s">
        <v>186</v>
      </c>
      <c r="B289" s="162"/>
      <c r="C289" s="56" t="s">
        <v>19</v>
      </c>
      <c r="D289" s="167"/>
      <c r="E289" s="167"/>
      <c r="F289" s="167"/>
      <c r="G289" s="167"/>
      <c r="H289" s="167"/>
      <c r="I289" s="167"/>
      <c r="J289" s="167"/>
      <c r="K289" s="167"/>
      <c r="L289" s="167"/>
      <c r="M289" s="167"/>
      <c r="N289" s="167"/>
      <c r="O289" s="167"/>
      <c r="P289" s="167"/>
    </row>
    <row r="290" spans="1:16" ht="14.4" hidden="1" x14ac:dyDescent="0.3">
      <c r="A290" s="162" t="s">
        <v>47</v>
      </c>
      <c r="B290" s="162"/>
      <c r="C290" s="56"/>
      <c r="D290" s="171"/>
      <c r="E290" s="171"/>
      <c r="F290" s="171"/>
      <c r="G290" s="171"/>
      <c r="H290" s="171"/>
      <c r="I290" s="171"/>
      <c r="J290" s="171"/>
      <c r="K290" s="171"/>
      <c r="L290" s="171"/>
      <c r="M290" s="171"/>
      <c r="N290" s="171"/>
      <c r="O290" s="171"/>
      <c r="P290" s="171"/>
    </row>
    <row r="291" spans="1:16" ht="14.4" hidden="1" x14ac:dyDescent="0.3">
      <c r="A291" s="55" t="s">
        <v>48</v>
      </c>
      <c r="B291" s="55"/>
      <c r="C291" s="56" t="s">
        <v>19</v>
      </c>
      <c r="D291" s="167"/>
      <c r="E291" s="167"/>
      <c r="F291" s="167"/>
      <c r="G291" s="167"/>
      <c r="H291" s="167"/>
      <c r="I291" s="167"/>
      <c r="J291" s="167"/>
      <c r="K291" s="167"/>
      <c r="L291" s="167"/>
      <c r="M291" s="167"/>
      <c r="N291" s="167"/>
      <c r="O291" s="167"/>
      <c r="P291" s="167"/>
    </row>
    <row r="292" spans="1:16" ht="14.4" hidden="1" x14ac:dyDescent="0.3">
      <c r="A292" s="55" t="s">
        <v>49</v>
      </c>
      <c r="B292" s="55"/>
      <c r="C292" s="56" t="s">
        <v>19</v>
      </c>
      <c r="D292" s="167"/>
      <c r="E292" s="167"/>
      <c r="F292" s="167"/>
      <c r="G292" s="167"/>
      <c r="H292" s="167"/>
      <c r="I292" s="167"/>
      <c r="J292" s="167"/>
      <c r="K292" s="167"/>
      <c r="L292" s="167"/>
      <c r="M292" s="167"/>
      <c r="N292" s="167"/>
      <c r="O292" s="167"/>
      <c r="P292" s="167"/>
    </row>
    <row r="293" spans="1:16" ht="14.4" hidden="1" x14ac:dyDescent="0.3">
      <c r="A293" s="162" t="s">
        <v>52</v>
      </c>
      <c r="B293" s="162"/>
      <c r="C293" s="179"/>
      <c r="D293" s="170"/>
      <c r="E293" s="170"/>
      <c r="F293" s="170"/>
      <c r="G293" s="170"/>
      <c r="H293" s="170"/>
      <c r="I293" s="170"/>
      <c r="J293" s="170"/>
      <c r="K293" s="170"/>
      <c r="L293" s="170"/>
      <c r="M293" s="170"/>
      <c r="N293" s="170"/>
      <c r="O293" s="170"/>
      <c r="P293" s="170"/>
    </row>
    <row r="294" spans="1:16" ht="14.4" hidden="1" x14ac:dyDescent="0.3">
      <c r="A294" s="55" t="s">
        <v>53</v>
      </c>
      <c r="B294" s="55"/>
      <c r="C294" s="56" t="s">
        <v>44</v>
      </c>
      <c r="D294" s="167"/>
      <c r="E294" s="167"/>
      <c r="F294" s="167"/>
      <c r="G294" s="167"/>
      <c r="H294" s="167"/>
      <c r="I294" s="167"/>
      <c r="J294" s="167"/>
      <c r="K294" s="167"/>
      <c r="L294" s="167"/>
      <c r="M294" s="167"/>
      <c r="N294" s="167"/>
      <c r="O294" s="167"/>
      <c r="P294" s="167"/>
    </row>
    <row r="295" spans="1:16" ht="14.4" hidden="1" x14ac:dyDescent="0.3">
      <c r="A295" s="55" t="s">
        <v>54</v>
      </c>
      <c r="B295" s="55"/>
      <c r="C295" s="56" t="s">
        <v>44</v>
      </c>
      <c r="D295" s="167"/>
      <c r="E295" s="167"/>
      <c r="F295" s="167"/>
      <c r="G295" s="167"/>
      <c r="H295" s="167"/>
      <c r="I295" s="167"/>
      <c r="J295" s="167"/>
      <c r="K295" s="167"/>
      <c r="L295" s="167"/>
      <c r="M295" s="167"/>
      <c r="N295" s="167"/>
      <c r="O295" s="167"/>
      <c r="P295" s="167"/>
    </row>
    <row r="296" spans="1:16" ht="14.4" hidden="1" x14ac:dyDescent="0.3">
      <c r="A296" s="55" t="s">
        <v>55</v>
      </c>
      <c r="B296" s="55"/>
      <c r="C296" s="56" t="s">
        <v>44</v>
      </c>
      <c r="D296" s="167"/>
      <c r="E296" s="167"/>
      <c r="F296" s="167"/>
      <c r="G296" s="167"/>
      <c r="H296" s="167"/>
      <c r="I296" s="167"/>
      <c r="J296" s="167"/>
      <c r="K296" s="167"/>
      <c r="L296" s="167"/>
      <c r="M296" s="167"/>
      <c r="N296" s="167"/>
      <c r="O296" s="167"/>
      <c r="P296" s="167"/>
    </row>
    <row r="297" spans="1:16" ht="14.4" hidden="1" x14ac:dyDescent="0.3">
      <c r="A297" s="55" t="s">
        <v>187</v>
      </c>
      <c r="B297" s="55"/>
      <c r="C297" s="56" t="s">
        <v>44</v>
      </c>
      <c r="D297" s="167"/>
      <c r="E297" s="167"/>
      <c r="F297" s="167"/>
      <c r="G297" s="167"/>
      <c r="H297" s="167"/>
      <c r="I297" s="167"/>
      <c r="J297" s="167"/>
      <c r="K297" s="167"/>
      <c r="L297" s="167"/>
      <c r="M297" s="167"/>
      <c r="N297" s="167"/>
      <c r="O297" s="167"/>
      <c r="P297" s="167"/>
    </row>
    <row r="298" spans="1:16" ht="14.4" hidden="1" x14ac:dyDescent="0.3">
      <c r="A298" s="55" t="s">
        <v>188</v>
      </c>
      <c r="B298" s="55"/>
      <c r="C298" s="56" t="s">
        <v>44</v>
      </c>
      <c r="D298" s="167"/>
      <c r="E298" s="167"/>
      <c r="F298" s="167"/>
      <c r="G298" s="167"/>
      <c r="H298" s="167"/>
      <c r="I298" s="167"/>
      <c r="J298" s="167"/>
      <c r="K298" s="167"/>
      <c r="L298" s="167"/>
      <c r="M298" s="167"/>
      <c r="N298" s="167"/>
      <c r="O298" s="167"/>
      <c r="P298" s="167"/>
    </row>
    <row r="299" spans="1:16" ht="14.4" hidden="1" x14ac:dyDescent="0.3">
      <c r="A299" s="55" t="s">
        <v>56</v>
      </c>
      <c r="B299" s="55"/>
      <c r="C299" s="56" t="s">
        <v>44</v>
      </c>
      <c r="D299" s="180"/>
      <c r="E299" s="180"/>
      <c r="F299" s="180"/>
      <c r="G299" s="180"/>
      <c r="H299" s="180"/>
      <c r="I299" s="180"/>
      <c r="J299" s="180"/>
      <c r="K299" s="180"/>
      <c r="L299" s="180"/>
      <c r="M299" s="180"/>
      <c r="N299" s="180"/>
      <c r="O299" s="180"/>
      <c r="P299" s="180"/>
    </row>
    <row r="300" spans="1:16" ht="14.4" hidden="1" x14ac:dyDescent="0.3">
      <c r="A300" s="55" t="s">
        <v>57</v>
      </c>
      <c r="B300" s="55"/>
      <c r="C300" s="56" t="s">
        <v>44</v>
      </c>
      <c r="D300" s="180"/>
      <c r="E300" s="180"/>
      <c r="F300" s="180"/>
      <c r="G300" s="180"/>
      <c r="H300" s="180"/>
      <c r="I300" s="180"/>
      <c r="J300" s="180"/>
      <c r="K300" s="180"/>
      <c r="L300" s="180"/>
      <c r="M300" s="180"/>
      <c r="N300" s="180"/>
      <c r="O300" s="180"/>
      <c r="P300" s="180"/>
    </row>
    <row r="301" spans="1:16" hidden="1" x14ac:dyDescent="0.3"/>
    <row r="302" spans="1:16" ht="18" hidden="1" x14ac:dyDescent="0.35">
      <c r="A302" s="9" t="str">
        <f>'[43]Statistical data'!A225</f>
        <v>Customer Class5</v>
      </c>
      <c r="B302" s="9"/>
      <c r="C302" s="5" t="s">
        <v>190</v>
      </c>
      <c r="D302" s="160"/>
      <c r="E302" s="160"/>
      <c r="F302" s="160"/>
      <c r="G302" s="160"/>
      <c r="H302" s="160"/>
      <c r="I302" s="160"/>
      <c r="J302" s="160"/>
      <c r="K302" s="160"/>
      <c r="L302" s="160"/>
      <c r="M302" s="160"/>
      <c r="N302" s="160"/>
      <c r="O302" s="160"/>
      <c r="P302" s="160"/>
    </row>
    <row r="303" spans="1:16" ht="14.4" hidden="1" x14ac:dyDescent="0.3">
      <c r="A303" s="161" t="s">
        <v>3</v>
      </c>
      <c r="B303" s="161"/>
      <c r="C303" s="161" t="s">
        <v>4</v>
      </c>
      <c r="D303" s="161" t="s">
        <v>15</v>
      </c>
      <c r="E303" s="161" t="s">
        <v>15</v>
      </c>
      <c r="F303" s="161" t="s">
        <v>15</v>
      </c>
      <c r="G303" s="161" t="s">
        <v>15</v>
      </c>
      <c r="H303" s="161" t="s">
        <v>15</v>
      </c>
      <c r="I303" s="161" t="s">
        <v>15</v>
      </c>
      <c r="J303" s="161" t="s">
        <v>15</v>
      </c>
      <c r="K303" s="161" t="s">
        <v>15</v>
      </c>
      <c r="L303" s="161" t="s">
        <v>15</v>
      </c>
      <c r="M303" s="161" t="s">
        <v>15</v>
      </c>
      <c r="N303" s="161" t="s">
        <v>15</v>
      </c>
      <c r="O303" s="161" t="s">
        <v>15</v>
      </c>
      <c r="P303" s="161" t="s">
        <v>15</v>
      </c>
    </row>
    <row r="304" spans="1:16" ht="14.4" hidden="1" x14ac:dyDescent="0.3">
      <c r="A304" s="162" t="s">
        <v>17</v>
      </c>
      <c r="B304" s="163"/>
      <c r="C304" s="56"/>
      <c r="D304" s="164"/>
      <c r="E304" s="164"/>
      <c r="F304" s="164"/>
      <c r="G304" s="164"/>
      <c r="H304" s="164"/>
      <c r="I304" s="164"/>
      <c r="J304" s="164"/>
      <c r="K304" s="164"/>
      <c r="L304" s="164"/>
      <c r="M304" s="164"/>
      <c r="N304" s="164"/>
      <c r="O304" s="164"/>
      <c r="P304" s="164"/>
    </row>
    <row r="305" spans="1:16" ht="14.4" hidden="1" x14ac:dyDescent="0.3">
      <c r="A305" s="55" t="s">
        <v>18</v>
      </c>
      <c r="B305" s="165"/>
      <c r="C305" s="56" t="s">
        <v>19</v>
      </c>
      <c r="D305" s="166"/>
      <c r="E305" s="166"/>
      <c r="F305" s="166"/>
      <c r="G305" s="166"/>
      <c r="H305" s="166"/>
      <c r="I305" s="166"/>
      <c r="J305" s="166"/>
      <c r="K305" s="166"/>
      <c r="L305" s="166"/>
      <c r="M305" s="166"/>
      <c r="N305" s="166"/>
      <c r="O305" s="166"/>
      <c r="P305" s="166"/>
    </row>
    <row r="306" spans="1:16" ht="14.4" hidden="1" x14ac:dyDescent="0.3">
      <c r="A306" s="55" t="s">
        <v>66</v>
      </c>
      <c r="B306" s="165"/>
      <c r="C306" s="56" t="s">
        <v>19</v>
      </c>
      <c r="D306" s="166"/>
      <c r="E306" s="166"/>
      <c r="F306" s="166"/>
      <c r="G306" s="166"/>
      <c r="H306" s="166"/>
      <c r="I306" s="166"/>
      <c r="J306" s="166"/>
      <c r="K306" s="166"/>
      <c r="L306" s="166"/>
      <c r="M306" s="166"/>
      <c r="N306" s="166"/>
      <c r="O306" s="166"/>
      <c r="P306" s="166"/>
    </row>
    <row r="307" spans="1:16" ht="14.4" hidden="1" x14ac:dyDescent="0.3">
      <c r="A307" s="162" t="s">
        <v>20</v>
      </c>
      <c r="B307" s="163"/>
      <c r="C307" s="56"/>
      <c r="D307" s="168"/>
      <c r="E307" s="168"/>
      <c r="F307" s="168"/>
      <c r="G307" s="168"/>
      <c r="H307" s="168"/>
      <c r="I307" s="168"/>
      <c r="J307" s="168"/>
      <c r="K307" s="168"/>
      <c r="L307" s="168"/>
      <c r="M307" s="168"/>
      <c r="N307" s="168"/>
      <c r="O307" s="168"/>
      <c r="P307" s="168"/>
    </row>
    <row r="308" spans="1:16" ht="14.4" hidden="1" x14ac:dyDescent="0.3">
      <c r="A308" s="55" t="s">
        <v>21</v>
      </c>
      <c r="B308" s="165"/>
      <c r="C308" s="56" t="s">
        <v>19</v>
      </c>
      <c r="D308" s="166"/>
      <c r="E308" s="166"/>
      <c r="F308" s="166"/>
      <c r="G308" s="166"/>
      <c r="H308" s="166"/>
      <c r="I308" s="166"/>
      <c r="J308" s="166"/>
      <c r="K308" s="166"/>
      <c r="L308" s="166"/>
      <c r="M308" s="166"/>
      <c r="N308" s="166"/>
      <c r="O308" s="166"/>
      <c r="P308" s="166"/>
    </row>
    <row r="309" spans="1:16" ht="14.4" hidden="1" x14ac:dyDescent="0.3">
      <c r="A309" s="55" t="s">
        <v>22</v>
      </c>
      <c r="B309" s="165"/>
      <c r="C309" s="56" t="s">
        <v>23</v>
      </c>
      <c r="D309" s="166"/>
      <c r="E309" s="166"/>
      <c r="F309" s="166"/>
      <c r="G309" s="166"/>
      <c r="H309" s="166"/>
      <c r="I309" s="166"/>
      <c r="J309" s="166"/>
      <c r="K309" s="166"/>
      <c r="L309" s="166"/>
      <c r="M309" s="166"/>
      <c r="N309" s="166"/>
      <c r="O309" s="166"/>
      <c r="P309" s="166"/>
    </row>
    <row r="310" spans="1:16" ht="14.4" hidden="1" x14ac:dyDescent="0.3">
      <c r="A310" s="162" t="s">
        <v>24</v>
      </c>
      <c r="B310" s="163"/>
      <c r="C310" s="56"/>
      <c r="D310" s="168"/>
      <c r="E310" s="168"/>
      <c r="F310" s="168"/>
      <c r="G310" s="168"/>
      <c r="H310" s="168"/>
      <c r="I310" s="168"/>
      <c r="J310" s="168"/>
      <c r="K310" s="168"/>
      <c r="L310" s="168"/>
      <c r="M310" s="168"/>
      <c r="N310" s="168"/>
      <c r="O310" s="168"/>
      <c r="P310" s="168"/>
    </row>
    <row r="311" spans="1:16" ht="14.4" hidden="1" x14ac:dyDescent="0.3">
      <c r="A311" s="55" t="s">
        <v>25</v>
      </c>
      <c r="B311" s="165"/>
      <c r="C311" s="56" t="s">
        <v>19</v>
      </c>
      <c r="D311" s="166"/>
      <c r="E311" s="166"/>
      <c r="F311" s="166"/>
      <c r="G311" s="166"/>
      <c r="H311" s="166"/>
      <c r="I311" s="166"/>
      <c r="J311" s="166"/>
      <c r="K311" s="166"/>
      <c r="L311" s="166"/>
      <c r="M311" s="166"/>
      <c r="N311" s="166"/>
      <c r="O311" s="166"/>
      <c r="P311" s="166"/>
    </row>
    <row r="312" spans="1:16" ht="14.4" hidden="1" x14ac:dyDescent="0.3">
      <c r="A312" s="162" t="s">
        <v>26</v>
      </c>
      <c r="B312" s="162"/>
      <c r="C312" s="56"/>
      <c r="D312" s="170"/>
      <c r="E312" s="170"/>
      <c r="F312" s="170"/>
      <c r="G312" s="170"/>
      <c r="H312" s="170"/>
      <c r="I312" s="170"/>
      <c r="J312" s="170"/>
      <c r="K312" s="170"/>
      <c r="L312" s="170"/>
      <c r="M312" s="170"/>
      <c r="N312" s="170"/>
      <c r="O312" s="170"/>
      <c r="P312" s="170"/>
    </row>
    <row r="313" spans="1:16" ht="14.4" hidden="1" x14ac:dyDescent="0.3">
      <c r="A313" s="55" t="s">
        <v>27</v>
      </c>
      <c r="B313" s="55"/>
      <c r="C313" s="56" t="s">
        <v>19</v>
      </c>
      <c r="D313" s="167"/>
      <c r="E313" s="167"/>
      <c r="F313" s="167"/>
      <c r="G313" s="167"/>
      <c r="H313" s="167"/>
      <c r="I313" s="167"/>
      <c r="J313" s="167"/>
      <c r="K313" s="167"/>
      <c r="L313" s="167"/>
      <c r="M313" s="167"/>
      <c r="N313" s="167"/>
      <c r="O313" s="167"/>
      <c r="P313" s="167"/>
    </row>
    <row r="314" spans="1:16" ht="14.4" hidden="1" x14ac:dyDescent="0.3">
      <c r="A314" s="55" t="s">
        <v>28</v>
      </c>
      <c r="B314" s="55"/>
      <c r="C314" s="56" t="s">
        <v>23</v>
      </c>
      <c r="D314" s="167"/>
      <c r="E314" s="167"/>
      <c r="F314" s="167"/>
      <c r="G314" s="167"/>
      <c r="H314" s="167"/>
      <c r="I314" s="167"/>
      <c r="J314" s="167"/>
      <c r="K314" s="167"/>
      <c r="L314" s="167"/>
      <c r="M314" s="167"/>
      <c r="N314" s="167"/>
      <c r="O314" s="167"/>
      <c r="P314" s="167"/>
    </row>
    <row r="315" spans="1:16" ht="14.4" hidden="1" x14ac:dyDescent="0.3">
      <c r="A315" s="162" t="s">
        <v>29</v>
      </c>
      <c r="B315" s="162"/>
      <c r="C315" s="56"/>
      <c r="D315" s="171"/>
      <c r="E315" s="171"/>
      <c r="F315" s="171"/>
      <c r="G315" s="171"/>
      <c r="H315" s="171"/>
      <c r="I315" s="171"/>
      <c r="J315" s="171"/>
      <c r="K315" s="171"/>
      <c r="L315" s="171"/>
      <c r="M315" s="171"/>
      <c r="N315" s="171"/>
      <c r="O315" s="171"/>
      <c r="P315" s="171"/>
    </row>
    <row r="316" spans="1:16" ht="14.4" hidden="1" x14ac:dyDescent="0.3">
      <c r="A316" s="55" t="s">
        <v>30</v>
      </c>
      <c r="B316" s="55"/>
      <c r="C316" s="56" t="s">
        <v>19</v>
      </c>
      <c r="D316" s="167"/>
      <c r="E316" s="167"/>
      <c r="F316" s="167"/>
      <c r="G316" s="167"/>
      <c r="H316" s="167"/>
      <c r="I316" s="167"/>
      <c r="J316" s="167"/>
      <c r="K316" s="167"/>
      <c r="L316" s="167"/>
      <c r="M316" s="167"/>
      <c r="N316" s="167"/>
      <c r="O316" s="167"/>
      <c r="P316" s="167"/>
    </row>
    <row r="317" spans="1:16" ht="14.4" hidden="1" x14ac:dyDescent="0.3">
      <c r="A317" s="55" t="s">
        <v>31</v>
      </c>
      <c r="B317" s="55"/>
      <c r="C317" s="56" t="s">
        <v>32</v>
      </c>
      <c r="D317" s="167"/>
      <c r="E317" s="167"/>
      <c r="F317" s="167"/>
      <c r="G317" s="167"/>
      <c r="H317" s="167"/>
      <c r="I317" s="167"/>
      <c r="J317" s="167"/>
      <c r="K317" s="167"/>
      <c r="L317" s="167"/>
      <c r="M317" s="167"/>
      <c r="N317" s="167"/>
      <c r="O317" s="167"/>
      <c r="P317" s="167"/>
    </row>
    <row r="318" spans="1:16" ht="14.4" hidden="1" x14ac:dyDescent="0.3">
      <c r="A318" s="162" t="s">
        <v>33</v>
      </c>
      <c r="B318" s="162"/>
      <c r="C318" s="56"/>
      <c r="D318" s="171"/>
      <c r="E318" s="171"/>
      <c r="F318" s="171"/>
      <c r="G318" s="171"/>
      <c r="H318" s="171"/>
      <c r="I318" s="171"/>
      <c r="J318" s="171"/>
      <c r="K318" s="171"/>
      <c r="L318" s="171"/>
      <c r="M318" s="171"/>
      <c r="N318" s="171"/>
      <c r="O318" s="171"/>
      <c r="P318" s="171"/>
    </row>
    <row r="319" spans="1:16" ht="14.4" hidden="1" x14ac:dyDescent="0.3">
      <c r="A319" s="55" t="s">
        <v>34</v>
      </c>
      <c r="B319" s="55"/>
      <c r="C319" s="56" t="s">
        <v>19</v>
      </c>
      <c r="D319" s="167"/>
      <c r="E319" s="167"/>
      <c r="F319" s="167"/>
      <c r="G319" s="167"/>
      <c r="H319" s="167"/>
      <c r="I319" s="167"/>
      <c r="J319" s="167"/>
      <c r="K319" s="167"/>
      <c r="L319" s="167"/>
      <c r="M319" s="167"/>
      <c r="N319" s="167"/>
      <c r="O319" s="167"/>
      <c r="P319" s="167"/>
    </row>
    <row r="320" spans="1:16" ht="14.4" hidden="1" x14ac:dyDescent="0.3">
      <c r="A320" s="55" t="s">
        <v>35</v>
      </c>
      <c r="B320" s="55"/>
      <c r="C320" s="56" t="s">
        <v>36</v>
      </c>
      <c r="D320" s="167"/>
      <c r="E320" s="167"/>
      <c r="F320" s="167"/>
      <c r="G320" s="167"/>
      <c r="H320" s="167"/>
      <c r="I320" s="167"/>
      <c r="J320" s="167"/>
      <c r="K320" s="167"/>
      <c r="L320" s="167"/>
      <c r="M320" s="167"/>
      <c r="N320" s="167"/>
      <c r="O320" s="167"/>
      <c r="P320" s="167"/>
    </row>
    <row r="321" spans="1:16" ht="14.4" hidden="1" x14ac:dyDescent="0.3">
      <c r="A321" s="162" t="s">
        <v>37</v>
      </c>
      <c r="B321" s="162"/>
      <c r="C321" s="56"/>
      <c r="D321" s="171"/>
      <c r="E321" s="171"/>
      <c r="F321" s="171"/>
      <c r="G321" s="171"/>
      <c r="H321" s="171"/>
      <c r="I321" s="171"/>
      <c r="J321" s="171"/>
      <c r="K321" s="171"/>
      <c r="L321" s="171"/>
      <c r="M321" s="171"/>
      <c r="N321" s="171"/>
      <c r="O321" s="171"/>
      <c r="P321" s="171"/>
    </row>
    <row r="322" spans="1:16" ht="14.4" hidden="1" x14ac:dyDescent="0.3">
      <c r="A322" s="172" t="s">
        <v>38</v>
      </c>
      <c r="B322" s="55"/>
      <c r="C322" s="56" t="s">
        <v>19</v>
      </c>
      <c r="D322" s="167"/>
      <c r="E322" s="167"/>
      <c r="F322" s="167"/>
      <c r="G322" s="167"/>
      <c r="H322" s="167"/>
      <c r="I322" s="167"/>
      <c r="J322" s="167"/>
      <c r="K322" s="167"/>
      <c r="L322" s="167"/>
      <c r="M322" s="167"/>
      <c r="N322" s="167"/>
      <c r="O322" s="167"/>
      <c r="P322" s="167"/>
    </row>
    <row r="323" spans="1:16" ht="14.4" hidden="1" x14ac:dyDescent="0.3">
      <c r="A323" s="172" t="s">
        <v>39</v>
      </c>
      <c r="B323" s="55"/>
      <c r="C323" s="56" t="s">
        <v>19</v>
      </c>
      <c r="D323" s="167"/>
      <c r="E323" s="167"/>
      <c r="F323" s="167"/>
      <c r="G323" s="167"/>
      <c r="H323" s="167"/>
      <c r="I323" s="167"/>
      <c r="J323" s="167"/>
      <c r="K323" s="167"/>
      <c r="L323" s="167"/>
      <c r="M323" s="167"/>
      <c r="N323" s="167"/>
      <c r="O323" s="167"/>
      <c r="P323" s="167"/>
    </row>
    <row r="324" spans="1:16" ht="14.4" hidden="1" x14ac:dyDescent="0.3">
      <c r="A324" s="172" t="s">
        <v>180</v>
      </c>
      <c r="B324" s="55"/>
      <c r="C324" s="56" t="s">
        <v>19</v>
      </c>
      <c r="D324" s="167"/>
      <c r="E324" s="167"/>
      <c r="F324" s="167"/>
      <c r="G324" s="167"/>
      <c r="H324" s="167"/>
      <c r="I324" s="167"/>
      <c r="J324" s="167"/>
      <c r="K324" s="167"/>
      <c r="L324" s="167"/>
      <c r="M324" s="167"/>
      <c r="N324" s="167"/>
      <c r="O324" s="167"/>
      <c r="P324" s="167"/>
    </row>
    <row r="325" spans="1:16" ht="14.4" hidden="1" x14ac:dyDescent="0.3">
      <c r="A325" s="173" t="s">
        <v>40</v>
      </c>
      <c r="B325" s="55"/>
      <c r="C325" s="56" t="s">
        <v>19</v>
      </c>
      <c r="D325" s="167"/>
      <c r="E325" s="167"/>
      <c r="F325" s="167"/>
      <c r="G325" s="167"/>
      <c r="H325" s="167"/>
      <c r="I325" s="167"/>
      <c r="J325" s="167"/>
      <c r="K325" s="167"/>
      <c r="L325" s="167"/>
      <c r="M325" s="167"/>
      <c r="N325" s="167"/>
      <c r="O325" s="167"/>
      <c r="P325" s="167"/>
    </row>
    <row r="326" spans="1:16" ht="14.4" hidden="1" x14ac:dyDescent="0.3">
      <c r="A326" s="173" t="s">
        <v>41</v>
      </c>
      <c r="B326" s="55"/>
      <c r="C326" s="56" t="s">
        <v>19</v>
      </c>
      <c r="D326" s="167"/>
      <c r="E326" s="167"/>
      <c r="F326" s="167"/>
      <c r="G326" s="167"/>
      <c r="H326" s="167"/>
      <c r="I326" s="167"/>
      <c r="J326" s="167"/>
      <c r="K326" s="167"/>
      <c r="L326" s="167"/>
      <c r="M326" s="167"/>
      <c r="N326" s="167"/>
      <c r="O326" s="167"/>
      <c r="P326" s="167"/>
    </row>
    <row r="327" spans="1:16" ht="16.2" hidden="1" x14ac:dyDescent="0.3">
      <c r="A327" s="174" t="s">
        <v>182</v>
      </c>
      <c r="B327" s="175"/>
      <c r="C327" s="56" t="s">
        <v>19</v>
      </c>
      <c r="D327" s="167"/>
      <c r="E327" s="167"/>
      <c r="F327" s="167"/>
      <c r="G327" s="167"/>
      <c r="H327" s="167"/>
      <c r="I327" s="167"/>
      <c r="J327" s="167"/>
      <c r="K327" s="167"/>
      <c r="L327" s="167"/>
      <c r="M327" s="167"/>
      <c r="N327" s="167"/>
      <c r="O327" s="167"/>
      <c r="P327" s="167"/>
    </row>
    <row r="328" spans="1:16" ht="16.2" hidden="1" x14ac:dyDescent="0.3">
      <c r="A328" s="174" t="s">
        <v>182</v>
      </c>
      <c r="B328" s="175"/>
      <c r="C328" s="56" t="s">
        <v>19</v>
      </c>
      <c r="D328" s="167"/>
      <c r="E328" s="167"/>
      <c r="F328" s="167"/>
      <c r="G328" s="167"/>
      <c r="H328" s="167"/>
      <c r="I328" s="167"/>
      <c r="J328" s="167"/>
      <c r="K328" s="167"/>
      <c r="L328" s="167"/>
      <c r="M328" s="167"/>
      <c r="N328" s="167"/>
      <c r="O328" s="167"/>
      <c r="P328" s="167"/>
    </row>
    <row r="329" spans="1:16" ht="16.2" hidden="1" x14ac:dyDescent="0.3">
      <c r="A329" s="174" t="s">
        <v>182</v>
      </c>
      <c r="B329" s="176"/>
      <c r="C329" s="56" t="s">
        <v>19</v>
      </c>
      <c r="D329" s="167"/>
      <c r="E329" s="167"/>
      <c r="F329" s="167"/>
      <c r="G329" s="167"/>
      <c r="H329" s="167"/>
      <c r="I329" s="167"/>
      <c r="J329" s="167"/>
      <c r="K329" s="167"/>
      <c r="L329" s="167"/>
      <c r="M329" s="167"/>
      <c r="N329" s="167"/>
      <c r="O329" s="167"/>
      <c r="P329" s="167"/>
    </row>
    <row r="330" spans="1:16" ht="14.4" hidden="1" x14ac:dyDescent="0.3">
      <c r="A330" s="162" t="s">
        <v>42</v>
      </c>
      <c r="B330" s="162"/>
      <c r="C330" s="56"/>
      <c r="D330" s="171"/>
      <c r="E330" s="171"/>
      <c r="F330" s="171"/>
      <c r="G330" s="171"/>
      <c r="H330" s="171"/>
      <c r="I330" s="171"/>
      <c r="J330" s="171"/>
      <c r="K330" s="171"/>
      <c r="L330" s="171"/>
      <c r="M330" s="171"/>
      <c r="N330" s="171"/>
      <c r="O330" s="171"/>
      <c r="P330" s="171"/>
    </row>
    <row r="331" spans="1:16" ht="14.4" hidden="1" x14ac:dyDescent="0.3">
      <c r="A331" s="162" t="s">
        <v>191</v>
      </c>
      <c r="B331" s="162"/>
      <c r="C331" s="56" t="s">
        <v>44</v>
      </c>
      <c r="D331" s="177"/>
      <c r="E331" s="177"/>
      <c r="F331" s="177"/>
      <c r="G331" s="177"/>
      <c r="H331" s="177"/>
      <c r="I331" s="177"/>
      <c r="J331" s="177"/>
      <c r="K331" s="177"/>
      <c r="L331" s="177"/>
      <c r="M331" s="177"/>
      <c r="N331" s="177"/>
      <c r="O331" s="177"/>
      <c r="P331" s="177"/>
    </row>
    <row r="332" spans="1:16" ht="14.4" hidden="1" x14ac:dyDescent="0.3">
      <c r="A332" s="162" t="s">
        <v>183</v>
      </c>
      <c r="B332" s="162"/>
      <c r="C332" s="56"/>
      <c r="D332" s="178"/>
      <c r="E332" s="178"/>
      <c r="F332" s="178"/>
      <c r="G332" s="178"/>
      <c r="H332" s="178"/>
      <c r="I332" s="178"/>
      <c r="J332" s="178"/>
      <c r="K332" s="178"/>
      <c r="L332" s="178"/>
      <c r="M332" s="178"/>
      <c r="N332" s="178"/>
      <c r="O332" s="178"/>
      <c r="P332" s="178"/>
    </row>
    <row r="333" spans="1:16" ht="14.4" hidden="1" x14ac:dyDescent="0.3">
      <c r="A333" s="162" t="s">
        <v>184</v>
      </c>
      <c r="B333" s="162"/>
      <c r="C333" s="56" t="s">
        <v>19</v>
      </c>
      <c r="D333" s="167"/>
      <c r="E333" s="167"/>
      <c r="F333" s="167"/>
      <c r="G333" s="167"/>
      <c r="H333" s="167"/>
      <c r="I333" s="167"/>
      <c r="J333" s="167"/>
      <c r="K333" s="167"/>
      <c r="L333" s="167"/>
      <c r="M333" s="167"/>
      <c r="N333" s="167"/>
      <c r="O333" s="167"/>
      <c r="P333" s="167"/>
    </row>
    <row r="334" spans="1:16" ht="14.4" hidden="1" x14ac:dyDescent="0.3">
      <c r="A334" s="162" t="s">
        <v>45</v>
      </c>
      <c r="B334" s="162"/>
      <c r="C334" s="56"/>
      <c r="D334" s="178"/>
      <c r="E334" s="178"/>
      <c r="F334" s="178"/>
      <c r="G334" s="178"/>
      <c r="H334" s="178"/>
      <c r="I334" s="178"/>
      <c r="J334" s="178"/>
      <c r="K334" s="178"/>
      <c r="L334" s="178"/>
      <c r="M334" s="178"/>
      <c r="N334" s="178"/>
      <c r="O334" s="178"/>
      <c r="P334" s="178"/>
    </row>
    <row r="335" spans="1:16" ht="14.4" hidden="1" x14ac:dyDescent="0.3">
      <c r="A335" s="162" t="s">
        <v>46</v>
      </c>
      <c r="B335" s="162"/>
      <c r="C335" s="56" t="s">
        <v>19</v>
      </c>
      <c r="D335" s="167"/>
      <c r="E335" s="167"/>
      <c r="F335" s="167"/>
      <c r="G335" s="167"/>
      <c r="H335" s="167"/>
      <c r="I335" s="167"/>
      <c r="J335" s="167"/>
      <c r="K335" s="167"/>
      <c r="L335" s="167"/>
      <c r="M335" s="167"/>
      <c r="N335" s="167"/>
      <c r="O335" s="167"/>
      <c r="P335" s="167"/>
    </row>
    <row r="336" spans="1:16" ht="14.4" hidden="1" x14ac:dyDescent="0.3">
      <c r="A336" s="162" t="s">
        <v>185</v>
      </c>
      <c r="B336" s="162"/>
      <c r="C336" s="56"/>
      <c r="D336" s="167"/>
      <c r="E336" s="167"/>
      <c r="F336" s="167"/>
      <c r="G336" s="167"/>
      <c r="H336" s="167"/>
      <c r="I336" s="167"/>
      <c r="J336" s="167"/>
      <c r="K336" s="167"/>
      <c r="L336" s="167"/>
      <c r="M336" s="167"/>
      <c r="N336" s="167"/>
      <c r="O336" s="167"/>
      <c r="P336" s="167"/>
    </row>
    <row r="337" spans="1:16" ht="14.4" hidden="1" x14ac:dyDescent="0.3">
      <c r="A337" s="162" t="s">
        <v>186</v>
      </c>
      <c r="B337" s="162"/>
      <c r="C337" s="56" t="s">
        <v>19</v>
      </c>
      <c r="D337" s="167"/>
      <c r="E337" s="167"/>
      <c r="F337" s="167"/>
      <c r="G337" s="167"/>
      <c r="H337" s="167"/>
      <c r="I337" s="167"/>
      <c r="J337" s="167"/>
      <c r="K337" s="167"/>
      <c r="L337" s="167"/>
      <c r="M337" s="167"/>
      <c r="N337" s="167"/>
      <c r="O337" s="167"/>
      <c r="P337" s="167"/>
    </row>
    <row r="338" spans="1:16" ht="14.4" hidden="1" x14ac:dyDescent="0.3">
      <c r="A338" s="162" t="s">
        <v>47</v>
      </c>
      <c r="B338" s="162"/>
      <c r="C338" s="56"/>
      <c r="D338" s="171"/>
      <c r="E338" s="171"/>
      <c r="F338" s="171"/>
      <c r="G338" s="171"/>
      <c r="H338" s="171"/>
      <c r="I338" s="171"/>
      <c r="J338" s="171"/>
      <c r="K338" s="171"/>
      <c r="L338" s="171"/>
      <c r="M338" s="171"/>
      <c r="N338" s="171"/>
      <c r="O338" s="171"/>
      <c r="P338" s="171"/>
    </row>
    <row r="339" spans="1:16" ht="14.4" hidden="1" x14ac:dyDescent="0.3">
      <c r="A339" s="55" t="s">
        <v>48</v>
      </c>
      <c r="B339" s="55"/>
      <c r="C339" s="56" t="s">
        <v>19</v>
      </c>
      <c r="D339" s="167"/>
      <c r="E339" s="167"/>
      <c r="F339" s="167"/>
      <c r="G339" s="167"/>
      <c r="H339" s="167"/>
      <c r="I339" s="167"/>
      <c r="J339" s="167"/>
      <c r="K339" s="167"/>
      <c r="L339" s="167"/>
      <c r="M339" s="167"/>
      <c r="N339" s="167"/>
      <c r="O339" s="167"/>
      <c r="P339" s="167"/>
    </row>
    <row r="340" spans="1:16" ht="14.4" hidden="1" x14ac:dyDescent="0.3">
      <c r="A340" s="55" t="s">
        <v>49</v>
      </c>
      <c r="B340" s="55"/>
      <c r="C340" s="56" t="s">
        <v>19</v>
      </c>
      <c r="D340" s="167"/>
      <c r="E340" s="167"/>
      <c r="F340" s="167"/>
      <c r="G340" s="167"/>
      <c r="H340" s="167"/>
      <c r="I340" s="167"/>
      <c r="J340" s="167"/>
      <c r="K340" s="167"/>
      <c r="L340" s="167"/>
      <c r="M340" s="167"/>
      <c r="N340" s="167"/>
      <c r="O340" s="167"/>
      <c r="P340" s="167"/>
    </row>
    <row r="341" spans="1:16" ht="14.4" hidden="1" x14ac:dyDescent="0.3">
      <c r="A341" s="162" t="s">
        <v>52</v>
      </c>
      <c r="B341" s="162"/>
      <c r="C341" s="179"/>
      <c r="D341" s="170"/>
      <c r="E341" s="170"/>
      <c r="F341" s="170"/>
      <c r="G341" s="170"/>
      <c r="H341" s="170"/>
      <c r="I341" s="170"/>
      <c r="J341" s="170"/>
      <c r="K341" s="170"/>
      <c r="L341" s="170"/>
      <c r="M341" s="170"/>
      <c r="N341" s="170"/>
      <c r="O341" s="170"/>
      <c r="P341" s="170"/>
    </row>
    <row r="342" spans="1:16" ht="14.4" hidden="1" x14ac:dyDescent="0.3">
      <c r="A342" s="55" t="s">
        <v>53</v>
      </c>
      <c r="B342" s="55"/>
      <c r="C342" s="56" t="s">
        <v>44</v>
      </c>
      <c r="D342" s="167"/>
      <c r="E342" s="167"/>
      <c r="F342" s="167"/>
      <c r="G342" s="167"/>
      <c r="H342" s="167"/>
      <c r="I342" s="167"/>
      <c r="J342" s="167"/>
      <c r="K342" s="167"/>
      <c r="L342" s="167"/>
      <c r="M342" s="167"/>
      <c r="N342" s="167"/>
      <c r="O342" s="167"/>
      <c r="P342" s="167"/>
    </row>
    <row r="343" spans="1:16" ht="14.4" hidden="1" x14ac:dyDescent="0.3">
      <c r="A343" s="55" t="s">
        <v>54</v>
      </c>
      <c r="B343" s="55"/>
      <c r="C343" s="56" t="s">
        <v>44</v>
      </c>
      <c r="D343" s="167"/>
      <c r="E343" s="167"/>
      <c r="F343" s="167"/>
      <c r="G343" s="167"/>
      <c r="H343" s="167"/>
      <c r="I343" s="167"/>
      <c r="J343" s="167"/>
      <c r="K343" s="167"/>
      <c r="L343" s="167"/>
      <c r="M343" s="167"/>
      <c r="N343" s="167"/>
      <c r="O343" s="167"/>
      <c r="P343" s="167"/>
    </row>
    <row r="344" spans="1:16" ht="14.4" hidden="1" x14ac:dyDescent="0.3">
      <c r="A344" s="55" t="s">
        <v>55</v>
      </c>
      <c r="B344" s="55"/>
      <c r="C344" s="56" t="s">
        <v>44</v>
      </c>
      <c r="D344" s="167"/>
      <c r="E344" s="167"/>
      <c r="F344" s="167"/>
      <c r="G344" s="167"/>
      <c r="H344" s="167"/>
      <c r="I344" s="167"/>
      <c r="J344" s="167"/>
      <c r="K344" s="167"/>
      <c r="L344" s="167"/>
      <c r="M344" s="167"/>
      <c r="N344" s="167"/>
      <c r="O344" s="167"/>
      <c r="P344" s="167"/>
    </row>
    <row r="345" spans="1:16" ht="14.4" hidden="1" x14ac:dyDescent="0.3">
      <c r="A345" s="55" t="s">
        <v>187</v>
      </c>
      <c r="B345" s="55"/>
      <c r="C345" s="56" t="s">
        <v>44</v>
      </c>
      <c r="D345" s="167"/>
      <c r="E345" s="167"/>
      <c r="F345" s="167"/>
      <c r="G345" s="167"/>
      <c r="H345" s="167"/>
      <c r="I345" s="167"/>
      <c r="J345" s="167"/>
      <c r="K345" s="167"/>
      <c r="L345" s="167"/>
      <c r="M345" s="167"/>
      <c r="N345" s="167"/>
      <c r="O345" s="167"/>
      <c r="P345" s="167"/>
    </row>
    <row r="346" spans="1:16" ht="14.4" hidden="1" x14ac:dyDescent="0.3">
      <c r="A346" s="55" t="s">
        <v>188</v>
      </c>
      <c r="B346" s="55"/>
      <c r="C346" s="56" t="s">
        <v>44</v>
      </c>
      <c r="D346" s="167"/>
      <c r="E346" s="167"/>
      <c r="F346" s="167"/>
      <c r="G346" s="167"/>
      <c r="H346" s="167"/>
      <c r="I346" s="167"/>
      <c r="J346" s="167"/>
      <c r="K346" s="167"/>
      <c r="L346" s="167"/>
      <c r="M346" s="167"/>
      <c r="N346" s="167"/>
      <c r="O346" s="167"/>
      <c r="P346" s="167"/>
    </row>
    <row r="347" spans="1:16" ht="14.4" hidden="1" x14ac:dyDescent="0.3">
      <c r="A347" s="55" t="s">
        <v>56</v>
      </c>
      <c r="B347" s="55"/>
      <c r="C347" s="56" t="s">
        <v>44</v>
      </c>
      <c r="D347" s="180"/>
      <c r="E347" s="180"/>
      <c r="F347" s="180"/>
      <c r="G347" s="180"/>
      <c r="H347" s="180"/>
      <c r="I347" s="180"/>
      <c r="J347" s="180"/>
      <c r="K347" s="180"/>
      <c r="L347" s="180"/>
      <c r="M347" s="180"/>
      <c r="N347" s="180"/>
      <c r="O347" s="180"/>
      <c r="P347" s="180"/>
    </row>
    <row r="348" spans="1:16" ht="14.4" hidden="1" x14ac:dyDescent="0.3">
      <c r="A348" s="55" t="s">
        <v>57</v>
      </c>
      <c r="B348" s="55"/>
      <c r="C348" s="56" t="s">
        <v>44</v>
      </c>
      <c r="D348" s="180"/>
      <c r="E348" s="180"/>
      <c r="F348" s="180"/>
      <c r="G348" s="180"/>
      <c r="H348" s="180"/>
      <c r="I348" s="180"/>
      <c r="J348" s="180"/>
      <c r="K348" s="180"/>
      <c r="L348" s="180"/>
      <c r="M348" s="180"/>
      <c r="N348" s="180"/>
      <c r="O348" s="180"/>
      <c r="P348" s="180"/>
    </row>
    <row r="349" spans="1:16" hidden="1" x14ac:dyDescent="0.3"/>
    <row r="350" spans="1:16" ht="18" hidden="1" x14ac:dyDescent="0.35">
      <c r="A350" s="59" t="str">
        <f>'[43]Statistical data'!A226</f>
        <v>Customer Class with mix rate1</v>
      </c>
      <c r="B350" s="59"/>
      <c r="C350" s="5" t="s">
        <v>190</v>
      </c>
      <c r="D350" s="160"/>
      <c r="E350" s="160"/>
      <c r="F350" s="160"/>
      <c r="G350" s="160"/>
      <c r="H350" s="160"/>
      <c r="I350" s="160"/>
      <c r="J350" s="160"/>
      <c r="K350" s="160"/>
      <c r="L350" s="160"/>
      <c r="M350" s="160"/>
      <c r="N350" s="160"/>
      <c r="O350" s="160"/>
      <c r="P350" s="160"/>
    </row>
    <row r="351" spans="1:16" ht="27" hidden="1" customHeight="1" x14ac:dyDescent="0.3">
      <c r="A351" s="161" t="s">
        <v>3</v>
      </c>
      <c r="B351" s="161"/>
      <c r="C351" s="161" t="s">
        <v>4</v>
      </c>
      <c r="D351" s="161" t="s">
        <v>15</v>
      </c>
      <c r="E351" s="161" t="s">
        <v>15</v>
      </c>
      <c r="F351" s="161" t="s">
        <v>15</v>
      </c>
      <c r="G351" s="161" t="s">
        <v>15</v>
      </c>
      <c r="H351" s="161" t="s">
        <v>15</v>
      </c>
      <c r="I351" s="161" t="s">
        <v>15</v>
      </c>
      <c r="J351" s="161" t="s">
        <v>15</v>
      </c>
      <c r="K351" s="161" t="s">
        <v>15</v>
      </c>
      <c r="L351" s="161" t="s">
        <v>15</v>
      </c>
      <c r="M351" s="161" t="s">
        <v>15</v>
      </c>
      <c r="N351" s="161" t="s">
        <v>15</v>
      </c>
      <c r="O351" s="161" t="s">
        <v>15</v>
      </c>
      <c r="P351" s="161" t="s">
        <v>15</v>
      </c>
    </row>
    <row r="352" spans="1:16" ht="14.4" hidden="1" x14ac:dyDescent="0.3">
      <c r="A352" s="162" t="s">
        <v>17</v>
      </c>
      <c r="B352" s="163"/>
      <c r="C352" s="56"/>
      <c r="D352" s="164"/>
      <c r="E352" s="164"/>
      <c r="F352" s="164"/>
      <c r="G352" s="164"/>
      <c r="H352" s="164"/>
      <c r="I352" s="164"/>
      <c r="J352" s="164"/>
      <c r="K352" s="164"/>
      <c r="L352" s="164"/>
      <c r="M352" s="164"/>
      <c r="N352" s="164"/>
      <c r="O352" s="164"/>
      <c r="P352" s="164"/>
    </row>
    <row r="353" spans="1:16" ht="14.4" hidden="1" x14ac:dyDescent="0.3">
      <c r="A353" s="55" t="s">
        <v>18</v>
      </c>
      <c r="B353" s="165"/>
      <c r="C353" s="56" t="s">
        <v>19</v>
      </c>
      <c r="D353" s="166"/>
      <c r="E353" s="166"/>
      <c r="F353" s="166"/>
      <c r="G353" s="166"/>
      <c r="H353" s="166"/>
      <c r="I353" s="166"/>
      <c r="J353" s="166"/>
      <c r="K353" s="166"/>
      <c r="L353" s="166"/>
      <c r="M353" s="166"/>
      <c r="N353" s="166"/>
      <c r="O353" s="166"/>
      <c r="P353" s="166"/>
    </row>
    <row r="354" spans="1:16" ht="14.4" hidden="1" x14ac:dyDescent="0.3">
      <c r="A354" s="55" t="s">
        <v>66</v>
      </c>
      <c r="B354" s="165"/>
      <c r="C354" s="56" t="s">
        <v>19</v>
      </c>
      <c r="D354" s="166"/>
      <c r="E354" s="166"/>
      <c r="F354" s="166"/>
      <c r="G354" s="166"/>
      <c r="H354" s="166"/>
      <c r="I354" s="166"/>
      <c r="J354" s="166"/>
      <c r="K354" s="166"/>
      <c r="L354" s="166"/>
      <c r="M354" s="166"/>
      <c r="N354" s="166"/>
      <c r="O354" s="166"/>
      <c r="P354" s="166"/>
    </row>
    <row r="355" spans="1:16" ht="14.4" hidden="1" x14ac:dyDescent="0.3">
      <c r="A355" s="162" t="s">
        <v>20</v>
      </c>
      <c r="B355" s="163"/>
      <c r="C355" s="56"/>
      <c r="D355" s="168"/>
      <c r="E355" s="168"/>
      <c r="F355" s="168"/>
      <c r="G355" s="168"/>
      <c r="H355" s="168"/>
      <c r="I355" s="168"/>
      <c r="J355" s="168"/>
      <c r="K355" s="168"/>
      <c r="L355" s="168"/>
      <c r="M355" s="168"/>
      <c r="N355" s="168"/>
      <c r="O355" s="168"/>
      <c r="P355" s="168"/>
    </row>
    <row r="356" spans="1:16" ht="14.4" hidden="1" x14ac:dyDescent="0.3">
      <c r="A356" s="55" t="s">
        <v>21</v>
      </c>
      <c r="B356" s="165"/>
      <c r="C356" s="56" t="s">
        <v>19</v>
      </c>
      <c r="D356" s="166"/>
      <c r="E356" s="166"/>
      <c r="F356" s="166"/>
      <c r="G356" s="166"/>
      <c r="H356" s="166"/>
      <c r="I356" s="166"/>
      <c r="J356" s="166"/>
      <c r="K356" s="166"/>
      <c r="L356" s="166"/>
      <c r="M356" s="166"/>
      <c r="N356" s="166"/>
      <c r="O356" s="166"/>
      <c r="P356" s="166"/>
    </row>
    <row r="357" spans="1:16" ht="14.4" hidden="1" x14ac:dyDescent="0.3">
      <c r="A357" s="55" t="s">
        <v>22</v>
      </c>
      <c r="B357" s="165"/>
      <c r="C357" s="56" t="s">
        <v>23</v>
      </c>
      <c r="D357" s="166"/>
      <c r="E357" s="166"/>
      <c r="F357" s="166"/>
      <c r="G357" s="166"/>
      <c r="H357" s="166"/>
      <c r="I357" s="166"/>
      <c r="J357" s="166"/>
      <c r="K357" s="166"/>
      <c r="L357" s="166"/>
      <c r="M357" s="166"/>
      <c r="N357" s="166"/>
      <c r="O357" s="166"/>
      <c r="P357" s="166"/>
    </row>
    <row r="358" spans="1:16" ht="14.4" hidden="1" x14ac:dyDescent="0.3">
      <c r="A358" s="162" t="s">
        <v>24</v>
      </c>
      <c r="B358" s="163"/>
      <c r="C358" s="56"/>
      <c r="D358" s="168"/>
      <c r="E358" s="168"/>
      <c r="F358" s="168"/>
      <c r="G358" s="168"/>
      <c r="H358" s="168"/>
      <c r="I358" s="168"/>
      <c r="J358" s="168"/>
      <c r="K358" s="168"/>
      <c r="L358" s="168"/>
      <c r="M358" s="168"/>
      <c r="N358" s="168"/>
      <c r="O358" s="168"/>
      <c r="P358" s="168"/>
    </row>
    <row r="359" spans="1:16" ht="14.4" hidden="1" x14ac:dyDescent="0.3">
      <c r="A359" s="55" t="s">
        <v>25</v>
      </c>
      <c r="B359" s="165"/>
      <c r="C359" s="56" t="s">
        <v>19</v>
      </c>
      <c r="D359" s="166"/>
      <c r="E359" s="166"/>
      <c r="F359" s="166"/>
      <c r="G359" s="166"/>
      <c r="H359" s="166"/>
      <c r="I359" s="166"/>
      <c r="J359" s="166"/>
      <c r="K359" s="166"/>
      <c r="L359" s="166"/>
      <c r="M359" s="166"/>
      <c r="N359" s="166"/>
      <c r="O359" s="166"/>
      <c r="P359" s="166"/>
    </row>
    <row r="360" spans="1:16" ht="14.4" hidden="1" x14ac:dyDescent="0.3">
      <c r="A360" s="162" t="s">
        <v>26</v>
      </c>
      <c r="B360" s="162"/>
      <c r="C360" s="56"/>
      <c r="D360" s="170"/>
      <c r="E360" s="170"/>
      <c r="F360" s="170"/>
      <c r="G360" s="170"/>
      <c r="H360" s="170"/>
      <c r="I360" s="170"/>
      <c r="J360" s="170"/>
      <c r="K360" s="170"/>
      <c r="L360" s="170"/>
      <c r="M360" s="170"/>
      <c r="N360" s="170"/>
      <c r="O360" s="170"/>
      <c r="P360" s="170"/>
    </row>
    <row r="361" spans="1:16" ht="14.4" hidden="1" x14ac:dyDescent="0.3">
      <c r="A361" s="55" t="s">
        <v>27</v>
      </c>
      <c r="B361" s="55"/>
      <c r="C361" s="56" t="s">
        <v>19</v>
      </c>
      <c r="D361" s="167"/>
      <c r="E361" s="167"/>
      <c r="F361" s="167"/>
      <c r="G361" s="167"/>
      <c r="H361" s="167"/>
      <c r="I361" s="167"/>
      <c r="J361" s="167"/>
      <c r="K361" s="167"/>
      <c r="L361" s="167"/>
      <c r="M361" s="167"/>
      <c r="N361" s="167"/>
      <c r="O361" s="167"/>
      <c r="P361" s="167"/>
    </row>
    <row r="362" spans="1:16" ht="14.4" hidden="1" x14ac:dyDescent="0.3">
      <c r="A362" s="55" t="s">
        <v>28</v>
      </c>
      <c r="B362" s="55"/>
      <c r="C362" s="56" t="s">
        <v>23</v>
      </c>
      <c r="D362" s="167"/>
      <c r="E362" s="167"/>
      <c r="F362" s="167"/>
      <c r="G362" s="167"/>
      <c r="H362" s="167"/>
      <c r="I362" s="167"/>
      <c r="J362" s="167"/>
      <c r="K362" s="167"/>
      <c r="L362" s="167"/>
      <c r="M362" s="167"/>
      <c r="N362" s="167"/>
      <c r="O362" s="167"/>
      <c r="P362" s="167"/>
    </row>
    <row r="363" spans="1:16" ht="14.4" hidden="1" x14ac:dyDescent="0.3">
      <c r="A363" s="162" t="s">
        <v>29</v>
      </c>
      <c r="B363" s="162"/>
      <c r="C363" s="56"/>
      <c r="D363" s="171"/>
      <c r="E363" s="171"/>
      <c r="F363" s="171"/>
      <c r="G363" s="171"/>
      <c r="H363" s="171"/>
      <c r="I363" s="171"/>
      <c r="J363" s="171"/>
      <c r="K363" s="171"/>
      <c r="L363" s="171"/>
      <c r="M363" s="171"/>
      <c r="N363" s="171"/>
      <c r="O363" s="171"/>
      <c r="P363" s="171"/>
    </row>
    <row r="364" spans="1:16" ht="14.4" hidden="1" x14ac:dyDescent="0.3">
      <c r="A364" s="55" t="s">
        <v>30</v>
      </c>
      <c r="B364" s="55"/>
      <c r="C364" s="56" t="s">
        <v>19</v>
      </c>
      <c r="D364" s="167"/>
      <c r="E364" s="167"/>
      <c r="F364" s="167"/>
      <c r="G364" s="167"/>
      <c r="H364" s="167"/>
      <c r="I364" s="167"/>
      <c r="J364" s="167"/>
      <c r="K364" s="167"/>
      <c r="L364" s="167"/>
      <c r="M364" s="167"/>
      <c r="N364" s="167"/>
      <c r="O364" s="167"/>
      <c r="P364" s="167"/>
    </row>
    <row r="365" spans="1:16" ht="14.4" hidden="1" x14ac:dyDescent="0.3">
      <c r="A365" s="55" t="s">
        <v>31</v>
      </c>
      <c r="B365" s="55"/>
      <c r="C365" s="56" t="s">
        <v>32</v>
      </c>
      <c r="D365" s="167"/>
      <c r="E365" s="167"/>
      <c r="F365" s="167"/>
      <c r="G365" s="167"/>
      <c r="H365" s="167"/>
      <c r="I365" s="167"/>
      <c r="J365" s="167"/>
      <c r="K365" s="167"/>
      <c r="L365" s="167"/>
      <c r="M365" s="167"/>
      <c r="N365" s="167"/>
      <c r="O365" s="167"/>
      <c r="P365" s="167"/>
    </row>
    <row r="366" spans="1:16" ht="14.4" hidden="1" x14ac:dyDescent="0.3">
      <c r="A366" s="162" t="s">
        <v>33</v>
      </c>
      <c r="B366" s="162"/>
      <c r="C366" s="56"/>
      <c r="D366" s="171"/>
      <c r="E366" s="171"/>
      <c r="F366" s="171"/>
      <c r="G366" s="171"/>
      <c r="H366" s="171"/>
      <c r="I366" s="171"/>
      <c r="J366" s="171"/>
      <c r="K366" s="171"/>
      <c r="L366" s="171"/>
      <c r="M366" s="171"/>
      <c r="N366" s="171"/>
      <c r="O366" s="171"/>
      <c r="P366" s="171"/>
    </row>
    <row r="367" spans="1:16" ht="14.4" hidden="1" x14ac:dyDescent="0.3">
      <c r="A367" s="55" t="s">
        <v>34</v>
      </c>
      <c r="B367" s="55"/>
      <c r="C367" s="56" t="s">
        <v>19</v>
      </c>
      <c r="D367" s="167"/>
      <c r="E367" s="167"/>
      <c r="F367" s="167"/>
      <c r="G367" s="167"/>
      <c r="H367" s="167"/>
      <c r="I367" s="167"/>
      <c r="J367" s="167"/>
      <c r="K367" s="167"/>
      <c r="L367" s="167"/>
      <c r="M367" s="167"/>
      <c r="N367" s="167"/>
      <c r="O367" s="167"/>
      <c r="P367" s="167"/>
    </row>
    <row r="368" spans="1:16" ht="14.4" hidden="1" x14ac:dyDescent="0.3">
      <c r="A368" s="55" t="s">
        <v>35</v>
      </c>
      <c r="B368" s="55"/>
      <c r="C368" s="56" t="s">
        <v>36</v>
      </c>
      <c r="D368" s="167"/>
      <c r="E368" s="167"/>
      <c r="F368" s="167"/>
      <c r="G368" s="167"/>
      <c r="H368" s="167"/>
      <c r="I368" s="167"/>
      <c r="J368" s="167"/>
      <c r="K368" s="167"/>
      <c r="L368" s="167"/>
      <c r="M368" s="167"/>
      <c r="N368" s="167"/>
      <c r="O368" s="167"/>
      <c r="P368" s="167"/>
    </row>
    <row r="369" spans="1:16" ht="14.4" hidden="1" x14ac:dyDescent="0.3">
      <c r="A369" s="162" t="s">
        <v>37</v>
      </c>
      <c r="B369" s="162"/>
      <c r="C369" s="56"/>
      <c r="D369" s="171"/>
      <c r="E369" s="171"/>
      <c r="F369" s="171"/>
      <c r="G369" s="171"/>
      <c r="H369" s="171"/>
      <c r="I369" s="171"/>
      <c r="J369" s="171"/>
      <c r="K369" s="171"/>
      <c r="L369" s="171"/>
      <c r="M369" s="171"/>
      <c r="N369" s="171"/>
      <c r="O369" s="171"/>
      <c r="P369" s="171"/>
    </row>
    <row r="370" spans="1:16" ht="14.4" hidden="1" x14ac:dyDescent="0.3">
      <c r="A370" s="172" t="s">
        <v>38</v>
      </c>
      <c r="B370" s="55"/>
      <c r="C370" s="56" t="s">
        <v>19</v>
      </c>
      <c r="D370" s="167"/>
      <c r="E370" s="167"/>
      <c r="F370" s="167"/>
      <c r="G370" s="167"/>
      <c r="H370" s="167"/>
      <c r="I370" s="167"/>
      <c r="J370" s="167"/>
      <c r="K370" s="167"/>
      <c r="L370" s="167"/>
      <c r="M370" s="167"/>
      <c r="N370" s="167"/>
      <c r="O370" s="167"/>
      <c r="P370" s="167"/>
    </row>
    <row r="371" spans="1:16" ht="14.4" hidden="1" x14ac:dyDescent="0.3">
      <c r="A371" s="172" t="s">
        <v>39</v>
      </c>
      <c r="B371" s="55"/>
      <c r="C371" s="56" t="s">
        <v>19</v>
      </c>
      <c r="D371" s="167"/>
      <c r="E371" s="167"/>
      <c r="F371" s="167"/>
      <c r="G371" s="167"/>
      <c r="H371" s="167"/>
      <c r="I371" s="167"/>
      <c r="J371" s="167"/>
      <c r="K371" s="167"/>
      <c r="L371" s="167"/>
      <c r="M371" s="167"/>
      <c r="N371" s="167"/>
      <c r="O371" s="167"/>
      <c r="P371" s="167"/>
    </row>
    <row r="372" spans="1:16" ht="14.4" hidden="1" x14ac:dyDescent="0.3">
      <c r="A372" s="172" t="s">
        <v>180</v>
      </c>
      <c r="B372" s="55"/>
      <c r="C372" s="56" t="s">
        <v>19</v>
      </c>
      <c r="D372" s="167"/>
      <c r="E372" s="167"/>
      <c r="F372" s="167"/>
      <c r="G372" s="167"/>
      <c r="H372" s="167"/>
      <c r="I372" s="167"/>
      <c r="J372" s="167"/>
      <c r="K372" s="167"/>
      <c r="L372" s="167"/>
      <c r="M372" s="167"/>
      <c r="N372" s="167"/>
      <c r="O372" s="167"/>
      <c r="P372" s="167"/>
    </row>
    <row r="373" spans="1:16" ht="14.4" hidden="1" x14ac:dyDescent="0.3">
      <c r="A373" s="173" t="s">
        <v>40</v>
      </c>
      <c r="B373" s="55"/>
      <c r="C373" s="56" t="s">
        <v>19</v>
      </c>
      <c r="D373" s="167"/>
      <c r="E373" s="167"/>
      <c r="F373" s="167"/>
      <c r="G373" s="167"/>
      <c r="H373" s="167"/>
      <c r="I373" s="167"/>
      <c r="J373" s="167"/>
      <c r="K373" s="167"/>
      <c r="L373" s="167"/>
      <c r="M373" s="167"/>
      <c r="N373" s="167"/>
      <c r="O373" s="167"/>
      <c r="P373" s="167"/>
    </row>
    <row r="374" spans="1:16" ht="14.4" hidden="1" x14ac:dyDescent="0.3">
      <c r="A374" s="173" t="s">
        <v>41</v>
      </c>
      <c r="B374" s="55"/>
      <c r="C374" s="56" t="s">
        <v>19</v>
      </c>
      <c r="D374" s="167"/>
      <c r="E374" s="167"/>
      <c r="F374" s="167"/>
      <c r="G374" s="167"/>
      <c r="H374" s="167"/>
      <c r="I374" s="167"/>
      <c r="J374" s="167"/>
      <c r="K374" s="167"/>
      <c r="L374" s="167"/>
      <c r="M374" s="167"/>
      <c r="N374" s="167"/>
      <c r="O374" s="167"/>
      <c r="P374" s="167"/>
    </row>
    <row r="375" spans="1:16" ht="16.2" hidden="1" x14ac:dyDescent="0.3">
      <c r="A375" s="174" t="s">
        <v>182</v>
      </c>
      <c r="B375" s="175"/>
      <c r="C375" s="56" t="s">
        <v>19</v>
      </c>
      <c r="D375" s="167"/>
      <c r="E375" s="167"/>
      <c r="F375" s="167"/>
      <c r="G375" s="167"/>
      <c r="H375" s="167"/>
      <c r="I375" s="167"/>
      <c r="J375" s="167"/>
      <c r="K375" s="167"/>
      <c r="L375" s="167"/>
      <c r="M375" s="167"/>
      <c r="N375" s="167"/>
      <c r="O375" s="167"/>
      <c r="P375" s="167"/>
    </row>
    <row r="376" spans="1:16" ht="16.2" hidden="1" x14ac:dyDescent="0.3">
      <c r="A376" s="174" t="s">
        <v>182</v>
      </c>
      <c r="B376" s="175"/>
      <c r="C376" s="56" t="s">
        <v>19</v>
      </c>
      <c r="D376" s="167"/>
      <c r="E376" s="167"/>
      <c r="F376" s="167"/>
      <c r="G376" s="167"/>
      <c r="H376" s="167"/>
      <c r="I376" s="167"/>
      <c r="J376" s="167"/>
      <c r="K376" s="167"/>
      <c r="L376" s="167"/>
      <c r="M376" s="167"/>
      <c r="N376" s="167"/>
      <c r="O376" s="167"/>
      <c r="P376" s="167"/>
    </row>
    <row r="377" spans="1:16" ht="16.2" hidden="1" x14ac:dyDescent="0.3">
      <c r="A377" s="174" t="s">
        <v>182</v>
      </c>
      <c r="B377" s="176"/>
      <c r="C377" s="56" t="s">
        <v>19</v>
      </c>
      <c r="D377" s="167"/>
      <c r="E377" s="167"/>
      <c r="F377" s="167"/>
      <c r="G377" s="167"/>
      <c r="H377" s="167"/>
      <c r="I377" s="167"/>
      <c r="J377" s="167"/>
      <c r="K377" s="167"/>
      <c r="L377" s="167"/>
      <c r="M377" s="167"/>
      <c r="N377" s="167"/>
      <c r="O377" s="167"/>
      <c r="P377" s="167"/>
    </row>
    <row r="378" spans="1:16" ht="14.4" hidden="1" x14ac:dyDescent="0.3">
      <c r="A378" s="162" t="s">
        <v>42</v>
      </c>
      <c r="B378" s="162"/>
      <c r="C378" s="56"/>
      <c r="D378" s="171"/>
      <c r="E378" s="171"/>
      <c r="F378" s="171"/>
      <c r="G378" s="171"/>
      <c r="H378" s="171"/>
      <c r="I378" s="171"/>
      <c r="J378" s="171"/>
      <c r="K378" s="171"/>
      <c r="L378" s="171"/>
      <c r="M378" s="171"/>
      <c r="N378" s="171"/>
      <c r="O378" s="171"/>
      <c r="P378" s="171"/>
    </row>
    <row r="379" spans="1:16" ht="14.4" hidden="1" x14ac:dyDescent="0.3">
      <c r="A379" s="162" t="s">
        <v>191</v>
      </c>
      <c r="B379" s="162"/>
      <c r="C379" s="56" t="s">
        <v>44</v>
      </c>
      <c r="D379" s="177"/>
      <c r="E379" s="177"/>
      <c r="F379" s="177"/>
      <c r="G379" s="177"/>
      <c r="H379" s="177"/>
      <c r="I379" s="177"/>
      <c r="J379" s="177"/>
      <c r="K379" s="177"/>
      <c r="L379" s="177"/>
      <c r="M379" s="177"/>
      <c r="N379" s="177"/>
      <c r="O379" s="177"/>
      <c r="P379" s="177"/>
    </row>
    <row r="380" spans="1:16" ht="14.4" hidden="1" x14ac:dyDescent="0.3">
      <c r="A380" s="162" t="s">
        <v>183</v>
      </c>
      <c r="B380" s="162"/>
      <c r="C380" s="56"/>
      <c r="D380" s="178"/>
      <c r="E380" s="178"/>
      <c r="F380" s="178"/>
      <c r="G380" s="178"/>
      <c r="H380" s="178"/>
      <c r="I380" s="178"/>
      <c r="J380" s="178"/>
      <c r="K380" s="178"/>
      <c r="L380" s="178"/>
      <c r="M380" s="178"/>
      <c r="N380" s="178"/>
      <c r="O380" s="178"/>
      <c r="P380" s="178"/>
    </row>
    <row r="381" spans="1:16" ht="14.4" hidden="1" x14ac:dyDescent="0.3">
      <c r="A381" s="162" t="s">
        <v>184</v>
      </c>
      <c r="B381" s="162"/>
      <c r="C381" s="56" t="s">
        <v>19</v>
      </c>
      <c r="D381" s="167"/>
      <c r="E381" s="167"/>
      <c r="F381" s="167"/>
      <c r="G381" s="167"/>
      <c r="H381" s="167"/>
      <c r="I381" s="167"/>
      <c r="J381" s="167"/>
      <c r="K381" s="167"/>
      <c r="L381" s="167"/>
      <c r="M381" s="167"/>
      <c r="N381" s="167"/>
      <c r="O381" s="167"/>
      <c r="P381" s="167"/>
    </row>
    <row r="382" spans="1:16" ht="14.4" hidden="1" x14ac:dyDescent="0.3">
      <c r="A382" s="162" t="s">
        <v>45</v>
      </c>
      <c r="B382" s="162"/>
      <c r="C382" s="56"/>
      <c r="D382" s="178"/>
      <c r="E382" s="178"/>
      <c r="F382" s="178"/>
      <c r="G382" s="178"/>
      <c r="H382" s="178"/>
      <c r="I382" s="178"/>
      <c r="J382" s="178"/>
      <c r="K382" s="178"/>
      <c r="L382" s="178"/>
      <c r="M382" s="178"/>
      <c r="N382" s="178"/>
      <c r="O382" s="178"/>
      <c r="P382" s="178"/>
    </row>
    <row r="383" spans="1:16" ht="14.4" hidden="1" x14ac:dyDescent="0.3">
      <c r="A383" s="162" t="s">
        <v>46</v>
      </c>
      <c r="B383" s="162"/>
      <c r="C383" s="56" t="s">
        <v>19</v>
      </c>
      <c r="D383" s="167"/>
      <c r="E383" s="167"/>
      <c r="F383" s="167"/>
      <c r="G383" s="167"/>
      <c r="H383" s="167"/>
      <c r="I383" s="167"/>
      <c r="J383" s="167"/>
      <c r="K383" s="167"/>
      <c r="L383" s="167"/>
      <c r="M383" s="167"/>
      <c r="N383" s="167"/>
      <c r="O383" s="167"/>
      <c r="P383" s="167"/>
    </row>
    <row r="384" spans="1:16" ht="14.4" hidden="1" x14ac:dyDescent="0.3">
      <c r="A384" s="162" t="s">
        <v>185</v>
      </c>
      <c r="B384" s="162"/>
      <c r="C384" s="56"/>
      <c r="D384" s="178"/>
      <c r="E384" s="178"/>
      <c r="F384" s="178"/>
      <c r="G384" s="178"/>
      <c r="H384" s="178"/>
      <c r="I384" s="178"/>
      <c r="J384" s="178"/>
      <c r="K384" s="178"/>
      <c r="L384" s="178"/>
      <c r="M384" s="178"/>
      <c r="N384" s="178"/>
      <c r="O384" s="178"/>
      <c r="P384" s="178"/>
    </row>
    <row r="385" spans="1:16" ht="14.4" hidden="1" x14ac:dyDescent="0.3">
      <c r="A385" s="162" t="s">
        <v>186</v>
      </c>
      <c r="B385" s="162"/>
      <c r="C385" s="56" t="s">
        <v>19</v>
      </c>
      <c r="D385" s="167"/>
      <c r="E385" s="167"/>
      <c r="F385" s="167"/>
      <c r="G385" s="167"/>
      <c r="H385" s="167"/>
      <c r="I385" s="167"/>
      <c r="J385" s="167"/>
      <c r="K385" s="167"/>
      <c r="L385" s="167"/>
      <c r="M385" s="167"/>
      <c r="N385" s="167"/>
      <c r="O385" s="167"/>
      <c r="P385" s="167"/>
    </row>
    <row r="386" spans="1:16" ht="14.4" hidden="1" x14ac:dyDescent="0.3">
      <c r="A386" s="162" t="s">
        <v>47</v>
      </c>
      <c r="B386" s="162"/>
      <c r="C386" s="56"/>
      <c r="D386" s="171"/>
      <c r="E386" s="171"/>
      <c r="F386" s="171"/>
      <c r="G386" s="171"/>
      <c r="H386" s="171"/>
      <c r="I386" s="171"/>
      <c r="J386" s="171"/>
      <c r="K386" s="171"/>
      <c r="L386" s="171"/>
      <c r="M386" s="171"/>
      <c r="N386" s="171"/>
      <c r="O386" s="171"/>
      <c r="P386" s="171"/>
    </row>
    <row r="387" spans="1:16" ht="14.4" hidden="1" x14ac:dyDescent="0.3">
      <c r="A387" s="55" t="s">
        <v>48</v>
      </c>
      <c r="B387" s="55"/>
      <c r="C387" s="56" t="s">
        <v>19</v>
      </c>
      <c r="D387" s="167"/>
      <c r="E387" s="167"/>
      <c r="F387" s="167"/>
      <c r="G387" s="167"/>
      <c r="H387" s="167"/>
      <c r="I387" s="167"/>
      <c r="J387" s="167"/>
      <c r="K387" s="167"/>
      <c r="L387" s="167"/>
      <c r="M387" s="167"/>
      <c r="N387" s="167"/>
      <c r="O387" s="167"/>
      <c r="P387" s="167"/>
    </row>
    <row r="388" spans="1:16" ht="14.4" hidden="1" x14ac:dyDescent="0.3">
      <c r="A388" s="55" t="s">
        <v>49</v>
      </c>
      <c r="B388" s="55"/>
      <c r="C388" s="56" t="s">
        <v>19</v>
      </c>
      <c r="D388" s="167"/>
      <c r="E388" s="167"/>
      <c r="F388" s="167"/>
      <c r="G388" s="167"/>
      <c r="H388" s="167"/>
      <c r="I388" s="167"/>
      <c r="J388" s="167"/>
      <c r="K388" s="167"/>
      <c r="L388" s="167"/>
      <c r="M388" s="167"/>
      <c r="N388" s="167"/>
      <c r="O388" s="167"/>
      <c r="P388" s="167"/>
    </row>
    <row r="389" spans="1:16" ht="14.4" hidden="1" x14ac:dyDescent="0.3">
      <c r="A389" s="162" t="s">
        <v>52</v>
      </c>
      <c r="B389" s="162"/>
      <c r="C389" s="179"/>
      <c r="D389" s="170"/>
      <c r="E389" s="170"/>
      <c r="F389" s="170"/>
      <c r="G389" s="170"/>
      <c r="H389" s="170"/>
      <c r="I389" s="170"/>
      <c r="J389" s="170"/>
      <c r="K389" s="170"/>
      <c r="L389" s="170"/>
      <c r="M389" s="170"/>
      <c r="N389" s="170"/>
      <c r="O389" s="170"/>
      <c r="P389" s="170"/>
    </row>
    <row r="390" spans="1:16" ht="14.4" hidden="1" x14ac:dyDescent="0.3">
      <c r="A390" s="55" t="s">
        <v>53</v>
      </c>
      <c r="B390" s="55"/>
      <c r="C390" s="56" t="s">
        <v>44</v>
      </c>
      <c r="D390" s="167"/>
      <c r="E390" s="167"/>
      <c r="F390" s="167"/>
      <c r="G390" s="167"/>
      <c r="H390" s="167"/>
      <c r="I390" s="167"/>
      <c r="J390" s="167"/>
      <c r="K390" s="167"/>
      <c r="L390" s="167"/>
      <c r="M390" s="167"/>
      <c r="N390" s="167"/>
      <c r="O390" s="167"/>
      <c r="P390" s="167"/>
    </row>
    <row r="391" spans="1:16" ht="14.4" hidden="1" x14ac:dyDescent="0.3">
      <c r="A391" s="55" t="s">
        <v>54</v>
      </c>
      <c r="B391" s="55"/>
      <c r="C391" s="56" t="s">
        <v>44</v>
      </c>
      <c r="D391" s="167"/>
      <c r="E391" s="167"/>
      <c r="F391" s="167"/>
      <c r="G391" s="167"/>
      <c r="H391" s="167"/>
      <c r="I391" s="167"/>
      <c r="J391" s="167"/>
      <c r="K391" s="167"/>
      <c r="L391" s="167"/>
      <c r="M391" s="167"/>
      <c r="N391" s="167"/>
      <c r="O391" s="167"/>
      <c r="P391" s="167"/>
    </row>
    <row r="392" spans="1:16" ht="14.4" hidden="1" x14ac:dyDescent="0.3">
      <c r="A392" s="55" t="s">
        <v>55</v>
      </c>
      <c r="B392" s="55"/>
      <c r="C392" s="56" t="s">
        <v>44</v>
      </c>
      <c r="D392" s="167"/>
      <c r="E392" s="167"/>
      <c r="F392" s="167"/>
      <c r="G392" s="167"/>
      <c r="H392" s="167"/>
      <c r="I392" s="167"/>
      <c r="J392" s="167"/>
      <c r="K392" s="167"/>
      <c r="L392" s="167"/>
      <c r="M392" s="167"/>
      <c r="N392" s="167"/>
      <c r="O392" s="167"/>
      <c r="P392" s="167"/>
    </row>
    <row r="393" spans="1:16" ht="14.4" hidden="1" x14ac:dyDescent="0.3">
      <c r="A393" s="55" t="s">
        <v>187</v>
      </c>
      <c r="B393" s="55"/>
      <c r="C393" s="56" t="s">
        <v>44</v>
      </c>
      <c r="D393" s="167"/>
      <c r="E393" s="167"/>
      <c r="F393" s="167"/>
      <c r="G393" s="167"/>
      <c r="H393" s="167"/>
      <c r="I393" s="167"/>
      <c r="J393" s="167"/>
      <c r="K393" s="167"/>
      <c r="L393" s="167"/>
      <c r="M393" s="167"/>
      <c r="N393" s="167"/>
      <c r="O393" s="167"/>
      <c r="P393" s="167"/>
    </row>
    <row r="394" spans="1:16" ht="14.4" hidden="1" x14ac:dyDescent="0.3">
      <c r="A394" s="55" t="s">
        <v>188</v>
      </c>
      <c r="B394" s="55"/>
      <c r="C394" s="56" t="s">
        <v>44</v>
      </c>
      <c r="D394" s="167"/>
      <c r="E394" s="167"/>
      <c r="F394" s="167"/>
      <c r="G394" s="167"/>
      <c r="H394" s="167"/>
      <c r="I394" s="167"/>
      <c r="J394" s="167"/>
      <c r="K394" s="167"/>
      <c r="L394" s="167"/>
      <c r="M394" s="167"/>
      <c r="N394" s="167"/>
      <c r="O394" s="167"/>
      <c r="P394" s="167"/>
    </row>
    <row r="395" spans="1:16" ht="14.4" hidden="1" x14ac:dyDescent="0.3">
      <c r="A395" s="55" t="s">
        <v>56</v>
      </c>
      <c r="B395" s="55"/>
      <c r="C395" s="56" t="s">
        <v>44</v>
      </c>
      <c r="D395" s="177"/>
      <c r="E395" s="177"/>
      <c r="F395" s="177"/>
      <c r="G395" s="177"/>
      <c r="H395" s="177"/>
      <c r="I395" s="177"/>
      <c r="J395" s="177"/>
      <c r="K395" s="177"/>
      <c r="L395" s="177"/>
      <c r="M395" s="177"/>
      <c r="N395" s="177"/>
      <c r="O395" s="177"/>
      <c r="P395" s="177"/>
    </row>
    <row r="396" spans="1:16" ht="14.4" hidden="1" x14ac:dyDescent="0.3">
      <c r="A396" s="55" t="s">
        <v>57</v>
      </c>
      <c r="B396" s="55"/>
      <c r="C396" s="56" t="s">
        <v>44</v>
      </c>
      <c r="D396" s="177"/>
      <c r="E396" s="177"/>
      <c r="F396" s="177"/>
      <c r="G396" s="177"/>
      <c r="H396" s="177"/>
      <c r="I396" s="177"/>
      <c r="J396" s="177"/>
      <c r="K396" s="177"/>
      <c r="L396" s="177"/>
      <c r="M396" s="177"/>
      <c r="N396" s="177"/>
      <c r="O396" s="177"/>
      <c r="P396" s="177"/>
    </row>
    <row r="397" spans="1:16" hidden="1" x14ac:dyDescent="0.3"/>
    <row r="398" spans="1:16" ht="18" hidden="1" x14ac:dyDescent="0.35">
      <c r="A398" s="59" t="str">
        <f>'[43]Statistical data'!A227</f>
        <v>Customer Class with mix rate2</v>
      </c>
      <c r="B398" s="59"/>
      <c r="C398" s="5" t="s">
        <v>190</v>
      </c>
      <c r="D398" s="160"/>
      <c r="E398" s="160"/>
      <c r="F398" s="160"/>
      <c r="G398" s="160"/>
      <c r="H398" s="160"/>
      <c r="I398" s="160"/>
      <c r="J398" s="160"/>
      <c r="K398" s="160"/>
      <c r="L398" s="160"/>
      <c r="M398" s="160"/>
      <c r="N398" s="160"/>
      <c r="O398" s="160"/>
      <c r="P398" s="160"/>
    </row>
    <row r="399" spans="1:16" ht="22.5" hidden="1" customHeight="1" x14ac:dyDescent="0.3">
      <c r="A399" s="161" t="s">
        <v>3</v>
      </c>
      <c r="B399" s="161"/>
      <c r="C399" s="161" t="s">
        <v>4</v>
      </c>
      <c r="D399" s="161" t="s">
        <v>15</v>
      </c>
      <c r="E399" s="161" t="s">
        <v>15</v>
      </c>
      <c r="F399" s="161" t="s">
        <v>15</v>
      </c>
      <c r="G399" s="161" t="s">
        <v>15</v>
      </c>
      <c r="H399" s="161" t="s">
        <v>15</v>
      </c>
      <c r="I399" s="161" t="s">
        <v>15</v>
      </c>
      <c r="J399" s="161" t="s">
        <v>15</v>
      </c>
      <c r="K399" s="161" t="s">
        <v>15</v>
      </c>
      <c r="L399" s="161" t="s">
        <v>15</v>
      </c>
      <c r="M399" s="161" t="s">
        <v>15</v>
      </c>
      <c r="N399" s="161" t="s">
        <v>15</v>
      </c>
      <c r="O399" s="161" t="s">
        <v>15</v>
      </c>
      <c r="P399" s="161" t="s">
        <v>15</v>
      </c>
    </row>
    <row r="400" spans="1:16" ht="14.4" hidden="1" x14ac:dyDescent="0.3">
      <c r="A400" s="162" t="s">
        <v>17</v>
      </c>
      <c r="B400" s="163"/>
      <c r="C400" s="56"/>
      <c r="D400" s="164"/>
      <c r="E400" s="164"/>
      <c r="F400" s="164"/>
      <c r="G400" s="164"/>
      <c r="H400" s="164"/>
      <c r="I400" s="164"/>
      <c r="J400" s="164"/>
      <c r="K400" s="164"/>
      <c r="L400" s="164"/>
      <c r="M400" s="164"/>
      <c r="N400" s="164"/>
      <c r="O400" s="164"/>
      <c r="P400" s="164"/>
    </row>
    <row r="401" spans="1:16" ht="14.4" hidden="1" x14ac:dyDescent="0.3">
      <c r="A401" s="55" t="s">
        <v>18</v>
      </c>
      <c r="B401" s="165"/>
      <c r="C401" s="56" t="s">
        <v>19</v>
      </c>
      <c r="D401" s="166"/>
      <c r="E401" s="166"/>
      <c r="F401" s="166"/>
      <c r="G401" s="166"/>
      <c r="H401" s="166"/>
      <c r="I401" s="166"/>
      <c r="J401" s="166"/>
      <c r="K401" s="166"/>
      <c r="L401" s="166"/>
      <c r="M401" s="166"/>
      <c r="N401" s="166"/>
      <c r="O401" s="166"/>
      <c r="P401" s="166"/>
    </row>
    <row r="402" spans="1:16" ht="14.4" hidden="1" x14ac:dyDescent="0.3">
      <c r="A402" s="55" t="s">
        <v>66</v>
      </c>
      <c r="B402" s="165"/>
      <c r="C402" s="56" t="s">
        <v>19</v>
      </c>
      <c r="D402" s="166"/>
      <c r="E402" s="166"/>
      <c r="F402" s="166"/>
      <c r="G402" s="166"/>
      <c r="H402" s="166"/>
      <c r="I402" s="166"/>
      <c r="J402" s="166"/>
      <c r="K402" s="166"/>
      <c r="L402" s="166"/>
      <c r="M402" s="166"/>
      <c r="N402" s="166"/>
      <c r="O402" s="166"/>
      <c r="P402" s="166"/>
    </row>
    <row r="403" spans="1:16" ht="14.4" hidden="1" x14ac:dyDescent="0.3">
      <c r="A403" s="162" t="s">
        <v>20</v>
      </c>
      <c r="B403" s="163"/>
      <c r="C403" s="56"/>
      <c r="D403" s="168"/>
      <c r="E403" s="168"/>
      <c r="F403" s="168"/>
      <c r="G403" s="168"/>
      <c r="H403" s="168"/>
      <c r="I403" s="168"/>
      <c r="J403" s="168"/>
      <c r="K403" s="168"/>
      <c r="L403" s="168"/>
      <c r="M403" s="168"/>
      <c r="N403" s="168"/>
      <c r="O403" s="168"/>
      <c r="P403" s="168"/>
    </row>
    <row r="404" spans="1:16" ht="14.4" hidden="1" x14ac:dyDescent="0.3">
      <c r="A404" s="55" t="s">
        <v>21</v>
      </c>
      <c r="B404" s="165"/>
      <c r="C404" s="56" t="s">
        <v>19</v>
      </c>
      <c r="D404" s="166"/>
      <c r="E404" s="166"/>
      <c r="F404" s="166"/>
      <c r="G404" s="166"/>
      <c r="H404" s="166"/>
      <c r="I404" s="166"/>
      <c r="J404" s="166"/>
      <c r="K404" s="166"/>
      <c r="L404" s="166"/>
      <c r="M404" s="166"/>
      <c r="N404" s="166"/>
      <c r="O404" s="166"/>
      <c r="P404" s="166"/>
    </row>
    <row r="405" spans="1:16" ht="14.4" hidden="1" x14ac:dyDescent="0.3">
      <c r="A405" s="55" t="s">
        <v>22</v>
      </c>
      <c r="B405" s="165"/>
      <c r="C405" s="56" t="s">
        <v>23</v>
      </c>
      <c r="D405" s="166"/>
      <c r="E405" s="166"/>
      <c r="F405" s="166"/>
      <c r="G405" s="166"/>
      <c r="H405" s="166"/>
      <c r="I405" s="166"/>
      <c r="J405" s="166"/>
      <c r="K405" s="166"/>
      <c r="L405" s="166"/>
      <c r="M405" s="166"/>
      <c r="N405" s="166"/>
      <c r="O405" s="166"/>
      <c r="P405" s="166"/>
    </row>
    <row r="406" spans="1:16" ht="14.4" hidden="1" x14ac:dyDescent="0.3">
      <c r="A406" s="162" t="s">
        <v>24</v>
      </c>
      <c r="B406" s="163"/>
      <c r="C406" s="56"/>
      <c r="D406" s="168"/>
      <c r="E406" s="168"/>
      <c r="F406" s="168"/>
      <c r="G406" s="168"/>
      <c r="H406" s="168"/>
      <c r="I406" s="168"/>
      <c r="J406" s="168"/>
      <c r="K406" s="168"/>
      <c r="L406" s="168"/>
      <c r="M406" s="168"/>
      <c r="N406" s="168"/>
      <c r="O406" s="168"/>
      <c r="P406" s="168"/>
    </row>
    <row r="407" spans="1:16" ht="14.4" hidden="1" x14ac:dyDescent="0.3">
      <c r="A407" s="55" t="s">
        <v>25</v>
      </c>
      <c r="B407" s="165"/>
      <c r="C407" s="56" t="s">
        <v>19</v>
      </c>
      <c r="D407" s="166"/>
      <c r="E407" s="166"/>
      <c r="F407" s="166"/>
      <c r="G407" s="166"/>
      <c r="H407" s="166"/>
      <c r="I407" s="166"/>
      <c r="J407" s="166"/>
      <c r="K407" s="166"/>
      <c r="L407" s="166"/>
      <c r="M407" s="166"/>
      <c r="N407" s="166"/>
      <c r="O407" s="166"/>
      <c r="P407" s="166"/>
    </row>
    <row r="408" spans="1:16" ht="14.4" hidden="1" x14ac:dyDescent="0.3">
      <c r="A408" s="162" t="s">
        <v>26</v>
      </c>
      <c r="B408" s="162"/>
      <c r="C408" s="56"/>
      <c r="D408" s="170"/>
      <c r="E408" s="170"/>
      <c r="F408" s="170"/>
      <c r="G408" s="170"/>
      <c r="H408" s="170"/>
      <c r="I408" s="170"/>
      <c r="J408" s="170"/>
      <c r="K408" s="170"/>
      <c r="L408" s="170"/>
      <c r="M408" s="170"/>
      <c r="N408" s="170"/>
      <c r="O408" s="170"/>
      <c r="P408" s="170"/>
    </row>
    <row r="409" spans="1:16" ht="14.4" hidden="1" x14ac:dyDescent="0.3">
      <c r="A409" s="55" t="s">
        <v>27</v>
      </c>
      <c r="B409" s="55"/>
      <c r="C409" s="56" t="s">
        <v>19</v>
      </c>
      <c r="D409" s="167"/>
      <c r="E409" s="167"/>
      <c r="F409" s="167"/>
      <c r="G409" s="167"/>
      <c r="H409" s="167"/>
      <c r="I409" s="167"/>
      <c r="J409" s="167"/>
      <c r="K409" s="167"/>
      <c r="L409" s="167"/>
      <c r="M409" s="167"/>
      <c r="N409" s="167"/>
      <c r="O409" s="167"/>
      <c r="P409" s="167"/>
    </row>
    <row r="410" spans="1:16" ht="14.4" hidden="1" x14ac:dyDescent="0.3">
      <c r="A410" s="55" t="s">
        <v>28</v>
      </c>
      <c r="B410" s="55"/>
      <c r="C410" s="56" t="s">
        <v>23</v>
      </c>
      <c r="D410" s="167"/>
      <c r="E410" s="167"/>
      <c r="F410" s="167"/>
      <c r="G410" s="167"/>
      <c r="H410" s="167"/>
      <c r="I410" s="167"/>
      <c r="J410" s="167"/>
      <c r="K410" s="167"/>
      <c r="L410" s="167"/>
      <c r="M410" s="167"/>
      <c r="N410" s="167"/>
      <c r="O410" s="167"/>
      <c r="P410" s="167"/>
    </row>
    <row r="411" spans="1:16" ht="14.4" hidden="1" x14ac:dyDescent="0.3">
      <c r="A411" s="162" t="s">
        <v>29</v>
      </c>
      <c r="B411" s="162"/>
      <c r="C411" s="56"/>
      <c r="D411" s="171"/>
      <c r="E411" s="171"/>
      <c r="F411" s="171"/>
      <c r="G411" s="171"/>
      <c r="H411" s="171"/>
      <c r="I411" s="171"/>
      <c r="J411" s="171"/>
      <c r="K411" s="171"/>
      <c r="L411" s="171"/>
      <c r="M411" s="171"/>
      <c r="N411" s="171"/>
      <c r="O411" s="171"/>
      <c r="P411" s="171"/>
    </row>
    <row r="412" spans="1:16" ht="14.4" hidden="1" x14ac:dyDescent="0.3">
      <c r="A412" s="55" t="s">
        <v>30</v>
      </c>
      <c r="B412" s="55"/>
      <c r="C412" s="56" t="s">
        <v>19</v>
      </c>
      <c r="D412" s="167"/>
      <c r="E412" s="167"/>
      <c r="F412" s="167"/>
      <c r="G412" s="167"/>
      <c r="H412" s="167"/>
      <c r="I412" s="167"/>
      <c r="J412" s="167"/>
      <c r="K412" s="167"/>
      <c r="L412" s="167"/>
      <c r="M412" s="167"/>
      <c r="N412" s="167"/>
      <c r="O412" s="167"/>
      <c r="P412" s="167"/>
    </row>
    <row r="413" spans="1:16" ht="14.4" hidden="1" x14ac:dyDescent="0.3">
      <c r="A413" s="55" t="s">
        <v>31</v>
      </c>
      <c r="B413" s="55"/>
      <c r="C413" s="56" t="s">
        <v>32</v>
      </c>
      <c r="D413" s="167"/>
      <c r="E413" s="167"/>
      <c r="F413" s="167"/>
      <c r="G413" s="167"/>
      <c r="H413" s="167"/>
      <c r="I413" s="167"/>
      <c r="J413" s="167"/>
      <c r="K413" s="167"/>
      <c r="L413" s="167"/>
      <c r="M413" s="167"/>
      <c r="N413" s="167"/>
      <c r="O413" s="167"/>
      <c r="P413" s="167"/>
    </row>
    <row r="414" spans="1:16" ht="14.4" hidden="1" x14ac:dyDescent="0.3">
      <c r="A414" s="162" t="s">
        <v>33</v>
      </c>
      <c r="B414" s="162"/>
      <c r="C414" s="56"/>
      <c r="D414" s="171"/>
      <c r="E414" s="171"/>
      <c r="F414" s="171"/>
      <c r="G414" s="171"/>
      <c r="H414" s="171"/>
      <c r="I414" s="171"/>
      <c r="J414" s="171"/>
      <c r="K414" s="171"/>
      <c r="L414" s="171"/>
      <c r="M414" s="171"/>
      <c r="N414" s="171"/>
      <c r="O414" s="171"/>
      <c r="P414" s="171"/>
    </row>
    <row r="415" spans="1:16" ht="14.4" hidden="1" x14ac:dyDescent="0.3">
      <c r="A415" s="55" t="s">
        <v>34</v>
      </c>
      <c r="B415" s="55"/>
      <c r="C415" s="56" t="s">
        <v>19</v>
      </c>
      <c r="D415" s="167"/>
      <c r="E415" s="167"/>
      <c r="F415" s="167"/>
      <c r="G415" s="167"/>
      <c r="H415" s="167"/>
      <c r="I415" s="167"/>
      <c r="J415" s="167"/>
      <c r="K415" s="167"/>
      <c r="L415" s="167"/>
      <c r="M415" s="167"/>
      <c r="N415" s="167"/>
      <c r="O415" s="167"/>
      <c r="P415" s="167"/>
    </row>
    <row r="416" spans="1:16" ht="14.4" hidden="1" x14ac:dyDescent="0.3">
      <c r="A416" s="55" t="s">
        <v>35</v>
      </c>
      <c r="B416" s="55"/>
      <c r="C416" s="56" t="s">
        <v>36</v>
      </c>
      <c r="D416" s="167"/>
      <c r="E416" s="167"/>
      <c r="F416" s="167"/>
      <c r="G416" s="167"/>
      <c r="H416" s="167"/>
      <c r="I416" s="167"/>
      <c r="J416" s="167"/>
      <c r="K416" s="167"/>
      <c r="L416" s="167"/>
      <c r="M416" s="167"/>
      <c r="N416" s="167"/>
      <c r="O416" s="167"/>
      <c r="P416" s="167"/>
    </row>
    <row r="417" spans="1:16" ht="14.4" hidden="1" x14ac:dyDescent="0.3">
      <c r="A417" s="162" t="s">
        <v>37</v>
      </c>
      <c r="B417" s="162"/>
      <c r="C417" s="56"/>
      <c r="D417" s="171"/>
      <c r="E417" s="171"/>
      <c r="F417" s="171"/>
      <c r="G417" s="171"/>
      <c r="H417" s="171"/>
      <c r="I417" s="171"/>
      <c r="J417" s="171"/>
      <c r="K417" s="171"/>
      <c r="L417" s="171"/>
      <c r="M417" s="171"/>
      <c r="N417" s="171"/>
      <c r="O417" s="171"/>
      <c r="P417" s="171"/>
    </row>
    <row r="418" spans="1:16" ht="14.4" hidden="1" x14ac:dyDescent="0.3">
      <c r="A418" s="172" t="s">
        <v>38</v>
      </c>
      <c r="B418" s="55"/>
      <c r="C418" s="56" t="s">
        <v>19</v>
      </c>
      <c r="D418" s="167"/>
      <c r="E418" s="167"/>
      <c r="F418" s="167"/>
      <c r="G418" s="167"/>
      <c r="H418" s="167"/>
      <c r="I418" s="167"/>
      <c r="J418" s="167"/>
      <c r="K418" s="167"/>
      <c r="L418" s="167"/>
      <c r="M418" s="167"/>
      <c r="N418" s="167"/>
      <c r="O418" s="167"/>
      <c r="P418" s="167"/>
    </row>
    <row r="419" spans="1:16" ht="14.4" hidden="1" x14ac:dyDescent="0.3">
      <c r="A419" s="172" t="s">
        <v>39</v>
      </c>
      <c r="B419" s="55"/>
      <c r="C419" s="56" t="s">
        <v>19</v>
      </c>
      <c r="D419" s="167"/>
      <c r="E419" s="167"/>
      <c r="F419" s="167"/>
      <c r="G419" s="167"/>
      <c r="H419" s="167"/>
      <c r="I419" s="167"/>
      <c r="J419" s="167"/>
      <c r="K419" s="167"/>
      <c r="L419" s="167"/>
      <c r="M419" s="167"/>
      <c r="N419" s="167"/>
      <c r="O419" s="167"/>
      <c r="P419" s="167"/>
    </row>
    <row r="420" spans="1:16" ht="14.4" hidden="1" x14ac:dyDescent="0.3">
      <c r="A420" s="172" t="s">
        <v>180</v>
      </c>
      <c r="B420" s="55"/>
      <c r="C420" s="56" t="s">
        <v>19</v>
      </c>
      <c r="D420" s="167"/>
      <c r="E420" s="167"/>
      <c r="F420" s="167"/>
      <c r="G420" s="167"/>
      <c r="H420" s="167"/>
      <c r="I420" s="167"/>
      <c r="J420" s="167"/>
      <c r="K420" s="167"/>
      <c r="L420" s="167"/>
      <c r="M420" s="167"/>
      <c r="N420" s="167"/>
      <c r="O420" s="167"/>
      <c r="P420" s="167"/>
    </row>
    <row r="421" spans="1:16" ht="14.4" hidden="1" x14ac:dyDescent="0.3">
      <c r="A421" s="173" t="s">
        <v>40</v>
      </c>
      <c r="B421" s="55"/>
      <c r="C421" s="56" t="s">
        <v>19</v>
      </c>
      <c r="D421" s="167"/>
      <c r="E421" s="167"/>
      <c r="F421" s="167"/>
      <c r="G421" s="167"/>
      <c r="H421" s="167"/>
      <c r="I421" s="167"/>
      <c r="J421" s="167"/>
      <c r="K421" s="167"/>
      <c r="L421" s="167"/>
      <c r="M421" s="167"/>
      <c r="N421" s="167"/>
      <c r="O421" s="167"/>
      <c r="P421" s="167"/>
    </row>
    <row r="422" spans="1:16" ht="14.4" hidden="1" x14ac:dyDescent="0.3">
      <c r="A422" s="173" t="s">
        <v>41</v>
      </c>
      <c r="B422" s="55"/>
      <c r="C422" s="56" t="s">
        <v>19</v>
      </c>
      <c r="D422" s="167"/>
      <c r="E422" s="167"/>
      <c r="F422" s="167"/>
      <c r="G422" s="167"/>
      <c r="H422" s="167"/>
      <c r="I422" s="167"/>
      <c r="J422" s="167"/>
      <c r="K422" s="167"/>
      <c r="L422" s="167"/>
      <c r="M422" s="167"/>
      <c r="N422" s="167"/>
      <c r="O422" s="167"/>
      <c r="P422" s="167"/>
    </row>
    <row r="423" spans="1:16" ht="16.2" hidden="1" x14ac:dyDescent="0.3">
      <c r="A423" s="174" t="s">
        <v>182</v>
      </c>
      <c r="B423" s="175"/>
      <c r="C423" s="56" t="s">
        <v>19</v>
      </c>
      <c r="D423" s="167"/>
      <c r="E423" s="167"/>
      <c r="F423" s="167"/>
      <c r="G423" s="167"/>
      <c r="H423" s="167"/>
      <c r="I423" s="167"/>
      <c r="J423" s="167"/>
      <c r="K423" s="167"/>
      <c r="L423" s="167"/>
      <c r="M423" s="167"/>
      <c r="N423" s="167"/>
      <c r="O423" s="167"/>
      <c r="P423" s="167"/>
    </row>
    <row r="424" spans="1:16" ht="16.2" hidden="1" x14ac:dyDescent="0.3">
      <c r="A424" s="174" t="s">
        <v>182</v>
      </c>
      <c r="B424" s="175"/>
      <c r="C424" s="56" t="s">
        <v>19</v>
      </c>
      <c r="D424" s="167"/>
      <c r="E424" s="167"/>
      <c r="F424" s="167"/>
      <c r="G424" s="167"/>
      <c r="H424" s="167"/>
      <c r="I424" s="167"/>
      <c r="J424" s="167"/>
      <c r="K424" s="167"/>
      <c r="L424" s="167"/>
      <c r="M424" s="167"/>
      <c r="N424" s="167"/>
      <c r="O424" s="167"/>
      <c r="P424" s="167"/>
    </row>
    <row r="425" spans="1:16" ht="16.2" hidden="1" x14ac:dyDescent="0.3">
      <c r="A425" s="174" t="s">
        <v>182</v>
      </c>
      <c r="B425" s="176"/>
      <c r="C425" s="56" t="s">
        <v>19</v>
      </c>
      <c r="D425" s="167"/>
      <c r="E425" s="167"/>
      <c r="F425" s="167"/>
      <c r="G425" s="167"/>
      <c r="H425" s="167"/>
      <c r="I425" s="167"/>
      <c r="J425" s="167"/>
      <c r="K425" s="167"/>
      <c r="L425" s="167"/>
      <c r="M425" s="167"/>
      <c r="N425" s="167"/>
      <c r="O425" s="167"/>
      <c r="P425" s="167"/>
    </row>
    <row r="426" spans="1:16" ht="14.4" hidden="1" x14ac:dyDescent="0.3">
      <c r="A426" s="162" t="s">
        <v>42</v>
      </c>
      <c r="B426" s="162"/>
      <c r="C426" s="56"/>
      <c r="D426" s="171"/>
      <c r="E426" s="171"/>
      <c r="F426" s="171"/>
      <c r="G426" s="171"/>
      <c r="H426" s="171"/>
      <c r="I426" s="171"/>
      <c r="J426" s="171"/>
      <c r="K426" s="171"/>
      <c r="L426" s="171"/>
      <c r="M426" s="171"/>
      <c r="N426" s="171"/>
      <c r="O426" s="171"/>
      <c r="P426" s="171"/>
    </row>
    <row r="427" spans="1:16" ht="14.4" hidden="1" x14ac:dyDescent="0.3">
      <c r="A427" s="162" t="s">
        <v>191</v>
      </c>
      <c r="B427" s="162"/>
      <c r="C427" s="56" t="s">
        <v>44</v>
      </c>
      <c r="D427" s="177"/>
      <c r="E427" s="177"/>
      <c r="F427" s="177"/>
      <c r="G427" s="177"/>
      <c r="H427" s="177"/>
      <c r="I427" s="177"/>
      <c r="J427" s="177"/>
      <c r="K427" s="177"/>
      <c r="L427" s="177"/>
      <c r="M427" s="177"/>
      <c r="N427" s="177"/>
      <c r="O427" s="177"/>
      <c r="P427" s="177"/>
    </row>
    <row r="428" spans="1:16" ht="14.4" hidden="1" x14ac:dyDescent="0.3">
      <c r="A428" s="162" t="s">
        <v>183</v>
      </c>
      <c r="B428" s="162"/>
      <c r="C428" s="56"/>
      <c r="D428" s="178"/>
      <c r="E428" s="178"/>
      <c r="F428" s="178"/>
      <c r="G428" s="178"/>
      <c r="H428" s="178"/>
      <c r="I428" s="178"/>
      <c r="J428" s="178"/>
      <c r="K428" s="178"/>
      <c r="L428" s="178"/>
      <c r="M428" s="178"/>
      <c r="N428" s="178"/>
      <c r="O428" s="178"/>
      <c r="P428" s="178"/>
    </row>
    <row r="429" spans="1:16" ht="14.4" hidden="1" x14ac:dyDescent="0.3">
      <c r="A429" s="162" t="s">
        <v>184</v>
      </c>
      <c r="B429" s="162"/>
      <c r="C429" s="56" t="s">
        <v>19</v>
      </c>
      <c r="D429" s="167"/>
      <c r="E429" s="167"/>
      <c r="F429" s="167"/>
      <c r="G429" s="167"/>
      <c r="H429" s="167"/>
      <c r="I429" s="167"/>
      <c r="J429" s="167"/>
      <c r="K429" s="167"/>
      <c r="L429" s="167"/>
      <c r="M429" s="167"/>
      <c r="N429" s="167"/>
      <c r="O429" s="167"/>
      <c r="P429" s="167"/>
    </row>
    <row r="430" spans="1:16" ht="14.4" hidden="1" x14ac:dyDescent="0.3">
      <c r="A430" s="162" t="s">
        <v>45</v>
      </c>
      <c r="B430" s="162"/>
      <c r="C430" s="56"/>
      <c r="D430" s="178"/>
      <c r="E430" s="178"/>
      <c r="F430" s="178"/>
      <c r="G430" s="178"/>
      <c r="H430" s="178"/>
      <c r="I430" s="178"/>
      <c r="J430" s="178"/>
      <c r="K430" s="178"/>
      <c r="L430" s="178"/>
      <c r="M430" s="178"/>
      <c r="N430" s="178"/>
      <c r="O430" s="178"/>
      <c r="P430" s="178"/>
    </row>
    <row r="431" spans="1:16" ht="14.4" hidden="1" x14ac:dyDescent="0.3">
      <c r="A431" s="162" t="s">
        <v>46</v>
      </c>
      <c r="B431" s="162"/>
      <c r="C431" s="56" t="s">
        <v>19</v>
      </c>
      <c r="D431" s="167"/>
      <c r="E431" s="167"/>
      <c r="F431" s="167"/>
      <c r="G431" s="167"/>
      <c r="H431" s="167"/>
      <c r="I431" s="167"/>
      <c r="J431" s="167"/>
      <c r="K431" s="167"/>
      <c r="L431" s="167"/>
      <c r="M431" s="167"/>
      <c r="N431" s="167"/>
      <c r="O431" s="167"/>
      <c r="P431" s="167"/>
    </row>
    <row r="432" spans="1:16" ht="14.4" hidden="1" x14ac:dyDescent="0.3">
      <c r="A432" s="162" t="s">
        <v>185</v>
      </c>
      <c r="B432" s="162"/>
      <c r="C432" s="56"/>
      <c r="D432" s="178"/>
      <c r="E432" s="178"/>
      <c r="F432" s="178"/>
      <c r="G432" s="178"/>
      <c r="H432" s="178"/>
      <c r="I432" s="178"/>
      <c r="J432" s="178"/>
      <c r="K432" s="178"/>
      <c r="L432" s="178"/>
      <c r="M432" s="178"/>
      <c r="N432" s="178"/>
      <c r="O432" s="178"/>
      <c r="P432" s="178"/>
    </row>
    <row r="433" spans="1:16" ht="14.4" hidden="1" x14ac:dyDescent="0.3">
      <c r="A433" s="162" t="s">
        <v>186</v>
      </c>
      <c r="B433" s="162"/>
      <c r="C433" s="56" t="s">
        <v>19</v>
      </c>
      <c r="D433" s="167"/>
      <c r="E433" s="167"/>
      <c r="F433" s="167"/>
      <c r="G433" s="167"/>
      <c r="H433" s="167"/>
      <c r="I433" s="167"/>
      <c r="J433" s="167"/>
      <c r="K433" s="167"/>
      <c r="L433" s="167"/>
      <c r="M433" s="167"/>
      <c r="N433" s="167"/>
      <c r="O433" s="167"/>
      <c r="P433" s="167"/>
    </row>
    <row r="434" spans="1:16" ht="14.4" hidden="1" x14ac:dyDescent="0.3">
      <c r="A434" s="162" t="s">
        <v>47</v>
      </c>
      <c r="B434" s="162"/>
      <c r="C434" s="56"/>
      <c r="D434" s="171"/>
      <c r="E434" s="171"/>
      <c r="F434" s="171"/>
      <c r="G434" s="171"/>
      <c r="H434" s="171"/>
      <c r="I434" s="171"/>
      <c r="J434" s="171"/>
      <c r="K434" s="171"/>
      <c r="L434" s="171"/>
      <c r="M434" s="171"/>
      <c r="N434" s="171"/>
      <c r="O434" s="171"/>
      <c r="P434" s="171"/>
    </row>
    <row r="435" spans="1:16" ht="14.4" hidden="1" x14ac:dyDescent="0.3">
      <c r="A435" s="55" t="s">
        <v>48</v>
      </c>
      <c r="B435" s="55"/>
      <c r="C435" s="56" t="s">
        <v>19</v>
      </c>
      <c r="D435" s="167"/>
      <c r="E435" s="167"/>
      <c r="F435" s="167"/>
      <c r="G435" s="167"/>
      <c r="H435" s="167"/>
      <c r="I435" s="167"/>
      <c r="J435" s="167"/>
      <c r="K435" s="167"/>
      <c r="L435" s="167"/>
      <c r="M435" s="167"/>
      <c r="N435" s="167"/>
      <c r="O435" s="167"/>
      <c r="P435" s="167"/>
    </row>
    <row r="436" spans="1:16" ht="14.4" hidden="1" x14ac:dyDescent="0.3">
      <c r="A436" s="55" t="s">
        <v>49</v>
      </c>
      <c r="B436" s="55"/>
      <c r="C436" s="56" t="s">
        <v>19</v>
      </c>
      <c r="D436" s="167"/>
      <c r="E436" s="167"/>
      <c r="F436" s="167"/>
      <c r="G436" s="167"/>
      <c r="H436" s="167"/>
      <c r="I436" s="167"/>
      <c r="J436" s="167"/>
      <c r="K436" s="167"/>
      <c r="L436" s="167"/>
      <c r="M436" s="167"/>
      <c r="N436" s="167"/>
      <c r="O436" s="167"/>
      <c r="P436" s="167"/>
    </row>
    <row r="437" spans="1:16" ht="14.4" hidden="1" x14ac:dyDescent="0.3">
      <c r="A437" s="162" t="s">
        <v>52</v>
      </c>
      <c r="B437" s="162"/>
      <c r="C437" s="179"/>
      <c r="D437" s="170"/>
      <c r="E437" s="170"/>
      <c r="F437" s="170"/>
      <c r="G437" s="170"/>
      <c r="H437" s="170"/>
      <c r="I437" s="170"/>
      <c r="J437" s="170"/>
      <c r="K437" s="170"/>
      <c r="L437" s="170"/>
      <c r="M437" s="170"/>
      <c r="N437" s="170"/>
      <c r="O437" s="170"/>
      <c r="P437" s="170"/>
    </row>
    <row r="438" spans="1:16" ht="14.4" hidden="1" x14ac:dyDescent="0.3">
      <c r="A438" s="55" t="s">
        <v>53</v>
      </c>
      <c r="B438" s="55"/>
      <c r="C438" s="56" t="s">
        <v>44</v>
      </c>
      <c r="D438" s="167"/>
      <c r="E438" s="167"/>
      <c r="F438" s="167"/>
      <c r="G438" s="167"/>
      <c r="H438" s="167"/>
      <c r="I438" s="167"/>
      <c r="J438" s="167"/>
      <c r="K438" s="167"/>
      <c r="L438" s="167"/>
      <c r="M438" s="167"/>
      <c r="N438" s="167"/>
      <c r="O438" s="167"/>
      <c r="P438" s="167"/>
    </row>
    <row r="439" spans="1:16" ht="14.4" hidden="1" x14ac:dyDescent="0.3">
      <c r="A439" s="55" t="s">
        <v>54</v>
      </c>
      <c r="B439" s="55"/>
      <c r="C439" s="56" t="s">
        <v>44</v>
      </c>
      <c r="D439" s="167"/>
      <c r="E439" s="167"/>
      <c r="F439" s="167"/>
      <c r="G439" s="167"/>
      <c r="H439" s="167"/>
      <c r="I439" s="167"/>
      <c r="J439" s="167"/>
      <c r="K439" s="167"/>
      <c r="L439" s="167"/>
      <c r="M439" s="167"/>
      <c r="N439" s="167"/>
      <c r="O439" s="167"/>
      <c r="P439" s="167"/>
    </row>
    <row r="440" spans="1:16" ht="14.4" hidden="1" x14ac:dyDescent="0.3">
      <c r="A440" s="55" t="s">
        <v>55</v>
      </c>
      <c r="B440" s="55"/>
      <c r="C440" s="56" t="s">
        <v>44</v>
      </c>
      <c r="D440" s="167"/>
      <c r="E440" s="167"/>
      <c r="F440" s="167"/>
      <c r="G440" s="167"/>
      <c r="H440" s="167"/>
      <c r="I440" s="167"/>
      <c r="J440" s="167"/>
      <c r="K440" s="167"/>
      <c r="L440" s="167"/>
      <c r="M440" s="167"/>
      <c r="N440" s="167"/>
      <c r="O440" s="167"/>
      <c r="P440" s="167"/>
    </row>
    <row r="441" spans="1:16" ht="14.4" hidden="1" x14ac:dyDescent="0.3">
      <c r="A441" s="55" t="s">
        <v>187</v>
      </c>
      <c r="B441" s="55"/>
      <c r="C441" s="56" t="s">
        <v>44</v>
      </c>
      <c r="D441" s="167"/>
      <c r="E441" s="167"/>
      <c r="F441" s="167"/>
      <c r="G441" s="167"/>
      <c r="H441" s="167"/>
      <c r="I441" s="167"/>
      <c r="J441" s="167"/>
      <c r="K441" s="167"/>
      <c r="L441" s="167"/>
      <c r="M441" s="167"/>
      <c r="N441" s="167"/>
      <c r="O441" s="167"/>
      <c r="P441" s="167"/>
    </row>
    <row r="442" spans="1:16" ht="14.4" hidden="1" x14ac:dyDescent="0.3">
      <c r="A442" s="55" t="s">
        <v>188</v>
      </c>
      <c r="B442" s="55"/>
      <c r="C442" s="56" t="s">
        <v>44</v>
      </c>
      <c r="D442" s="167"/>
      <c r="E442" s="167"/>
      <c r="F442" s="167"/>
      <c r="G442" s="167"/>
      <c r="H442" s="167"/>
      <c r="I442" s="167"/>
      <c r="J442" s="167"/>
      <c r="K442" s="167"/>
      <c r="L442" s="167"/>
      <c r="M442" s="167"/>
      <c r="N442" s="167"/>
      <c r="O442" s="167"/>
      <c r="P442" s="167"/>
    </row>
    <row r="443" spans="1:16" ht="14.4" hidden="1" x14ac:dyDescent="0.3">
      <c r="A443" s="55" t="s">
        <v>56</v>
      </c>
      <c r="B443" s="55"/>
      <c r="C443" s="56" t="s">
        <v>44</v>
      </c>
      <c r="D443" s="180"/>
      <c r="E443" s="180"/>
      <c r="F443" s="180"/>
      <c r="G443" s="180"/>
      <c r="H443" s="180"/>
      <c r="I443" s="180"/>
      <c r="J443" s="180"/>
      <c r="K443" s="180"/>
      <c r="L443" s="180"/>
      <c r="M443" s="180"/>
      <c r="N443" s="180"/>
      <c r="O443" s="180"/>
      <c r="P443" s="180"/>
    </row>
    <row r="444" spans="1:16" ht="14.4" hidden="1" x14ac:dyDescent="0.3">
      <c r="A444" s="55" t="s">
        <v>57</v>
      </c>
      <c r="B444" s="55"/>
      <c r="C444" s="56" t="s">
        <v>44</v>
      </c>
      <c r="D444" s="180"/>
      <c r="E444" s="180"/>
      <c r="F444" s="180"/>
      <c r="G444" s="180"/>
      <c r="H444" s="180"/>
      <c r="I444" s="180"/>
      <c r="J444" s="180"/>
      <c r="K444" s="180"/>
      <c r="L444" s="180"/>
      <c r="M444" s="180"/>
      <c r="N444" s="180"/>
      <c r="O444" s="180"/>
      <c r="P444" s="180"/>
    </row>
    <row r="445" spans="1:16" hidden="1" x14ac:dyDescent="0.3"/>
    <row r="446" spans="1:16" ht="18" hidden="1" x14ac:dyDescent="0.35">
      <c r="A446" s="59" t="str">
        <f>'[43]Statistical data'!A228</f>
        <v>Customer Class with mix rate3</v>
      </c>
      <c r="B446" s="59"/>
      <c r="C446" s="5" t="s">
        <v>190</v>
      </c>
      <c r="D446" s="160"/>
      <c r="E446" s="160"/>
      <c r="F446" s="160"/>
      <c r="G446" s="160"/>
      <c r="H446" s="160"/>
      <c r="I446" s="160"/>
      <c r="J446" s="160"/>
      <c r="K446" s="160"/>
      <c r="L446" s="160"/>
      <c r="M446" s="160"/>
      <c r="N446" s="160"/>
      <c r="O446" s="160"/>
      <c r="P446" s="160"/>
    </row>
    <row r="447" spans="1:16" ht="24" hidden="1" customHeight="1" x14ac:dyDescent="0.3">
      <c r="A447" s="161" t="s">
        <v>3</v>
      </c>
      <c r="B447" s="161"/>
      <c r="C447" s="161" t="s">
        <v>4</v>
      </c>
      <c r="D447" s="161" t="s">
        <v>15</v>
      </c>
      <c r="E447" s="161" t="s">
        <v>15</v>
      </c>
      <c r="F447" s="161" t="s">
        <v>15</v>
      </c>
      <c r="G447" s="161" t="s">
        <v>15</v>
      </c>
      <c r="H447" s="161" t="s">
        <v>15</v>
      </c>
      <c r="I447" s="161" t="s">
        <v>15</v>
      </c>
      <c r="J447" s="161" t="s">
        <v>15</v>
      </c>
      <c r="K447" s="161" t="s">
        <v>15</v>
      </c>
      <c r="L447" s="161" t="s">
        <v>15</v>
      </c>
      <c r="M447" s="161" t="s">
        <v>15</v>
      </c>
      <c r="N447" s="161" t="s">
        <v>15</v>
      </c>
      <c r="O447" s="161" t="s">
        <v>15</v>
      </c>
      <c r="P447" s="161" t="s">
        <v>15</v>
      </c>
    </row>
    <row r="448" spans="1:16" ht="14.4" hidden="1" x14ac:dyDescent="0.3">
      <c r="A448" s="162" t="s">
        <v>17</v>
      </c>
      <c r="B448" s="163"/>
      <c r="C448" s="56"/>
      <c r="D448" s="164"/>
      <c r="E448" s="164"/>
      <c r="F448" s="164"/>
      <c r="G448" s="164"/>
      <c r="H448" s="164"/>
      <c r="I448" s="164"/>
      <c r="J448" s="164"/>
      <c r="K448" s="164"/>
      <c r="L448" s="164"/>
      <c r="M448" s="164"/>
      <c r="N448" s="164"/>
      <c r="O448" s="164"/>
      <c r="P448" s="164"/>
    </row>
    <row r="449" spans="1:16" ht="14.4" hidden="1" x14ac:dyDescent="0.3">
      <c r="A449" s="55" t="s">
        <v>18</v>
      </c>
      <c r="B449" s="165"/>
      <c r="C449" s="56" t="s">
        <v>19</v>
      </c>
      <c r="D449" s="166"/>
      <c r="E449" s="166"/>
      <c r="F449" s="166"/>
      <c r="G449" s="166"/>
      <c r="H449" s="166"/>
      <c r="I449" s="166"/>
      <c r="J449" s="166"/>
      <c r="K449" s="166"/>
      <c r="L449" s="166"/>
      <c r="M449" s="166"/>
      <c r="N449" s="166"/>
      <c r="O449" s="166"/>
      <c r="P449" s="166"/>
    </row>
    <row r="450" spans="1:16" ht="14.4" hidden="1" x14ac:dyDescent="0.3">
      <c r="A450" s="55" t="s">
        <v>66</v>
      </c>
      <c r="B450" s="165"/>
      <c r="C450" s="56" t="s">
        <v>19</v>
      </c>
      <c r="D450" s="166"/>
      <c r="E450" s="166"/>
      <c r="F450" s="166"/>
      <c r="G450" s="166"/>
      <c r="H450" s="166"/>
      <c r="I450" s="166"/>
      <c r="J450" s="166"/>
      <c r="K450" s="166"/>
      <c r="L450" s="166"/>
      <c r="M450" s="166"/>
      <c r="N450" s="166"/>
      <c r="O450" s="166"/>
      <c r="P450" s="166"/>
    </row>
    <row r="451" spans="1:16" ht="14.4" hidden="1" x14ac:dyDescent="0.3">
      <c r="A451" s="162" t="s">
        <v>20</v>
      </c>
      <c r="B451" s="163"/>
      <c r="C451" s="56"/>
      <c r="D451" s="168"/>
      <c r="E451" s="168"/>
      <c r="F451" s="168"/>
      <c r="G451" s="168"/>
      <c r="H451" s="168"/>
      <c r="I451" s="168"/>
      <c r="J451" s="168"/>
      <c r="K451" s="168"/>
      <c r="L451" s="168"/>
      <c r="M451" s="168"/>
      <c r="N451" s="168"/>
      <c r="O451" s="168"/>
      <c r="P451" s="168"/>
    </row>
    <row r="452" spans="1:16" ht="14.4" hidden="1" x14ac:dyDescent="0.3">
      <c r="A452" s="55" t="s">
        <v>21</v>
      </c>
      <c r="B452" s="165"/>
      <c r="C452" s="56" t="s">
        <v>19</v>
      </c>
      <c r="D452" s="166"/>
      <c r="E452" s="166"/>
      <c r="F452" s="166"/>
      <c r="G452" s="166"/>
      <c r="H452" s="166"/>
      <c r="I452" s="166"/>
      <c r="J452" s="166"/>
      <c r="K452" s="166"/>
      <c r="L452" s="166"/>
      <c r="M452" s="166"/>
      <c r="N452" s="166"/>
      <c r="O452" s="166"/>
      <c r="P452" s="166"/>
    </row>
    <row r="453" spans="1:16" ht="14.4" hidden="1" x14ac:dyDescent="0.3">
      <c r="A453" s="55" t="s">
        <v>22</v>
      </c>
      <c r="B453" s="165"/>
      <c r="C453" s="56" t="s">
        <v>23</v>
      </c>
      <c r="D453" s="166"/>
      <c r="E453" s="166"/>
      <c r="F453" s="166"/>
      <c r="G453" s="166"/>
      <c r="H453" s="166"/>
      <c r="I453" s="166"/>
      <c r="J453" s="166"/>
      <c r="K453" s="166"/>
      <c r="L453" s="166"/>
      <c r="M453" s="166"/>
      <c r="N453" s="166"/>
      <c r="O453" s="166"/>
      <c r="P453" s="166"/>
    </row>
    <row r="454" spans="1:16" ht="14.4" hidden="1" x14ac:dyDescent="0.3">
      <c r="A454" s="162" t="s">
        <v>24</v>
      </c>
      <c r="B454" s="163"/>
      <c r="C454" s="56"/>
      <c r="D454" s="168"/>
      <c r="E454" s="168"/>
      <c r="F454" s="168"/>
      <c r="G454" s="168"/>
      <c r="H454" s="168"/>
      <c r="I454" s="168"/>
      <c r="J454" s="168"/>
      <c r="K454" s="168"/>
      <c r="L454" s="168"/>
      <c r="M454" s="168"/>
      <c r="N454" s="168"/>
      <c r="O454" s="168"/>
      <c r="P454" s="168"/>
    </row>
    <row r="455" spans="1:16" ht="14.4" hidden="1" x14ac:dyDescent="0.3">
      <c r="A455" s="55" t="s">
        <v>25</v>
      </c>
      <c r="B455" s="165"/>
      <c r="C455" s="56" t="s">
        <v>19</v>
      </c>
      <c r="D455" s="166"/>
      <c r="E455" s="166"/>
      <c r="F455" s="166"/>
      <c r="G455" s="166"/>
      <c r="H455" s="166"/>
      <c r="I455" s="166"/>
      <c r="J455" s="166"/>
      <c r="K455" s="166"/>
      <c r="L455" s="166"/>
      <c r="M455" s="166"/>
      <c r="N455" s="166"/>
      <c r="O455" s="166"/>
      <c r="P455" s="166"/>
    </row>
    <row r="456" spans="1:16" ht="14.4" hidden="1" x14ac:dyDescent="0.3">
      <c r="A456" s="162" t="s">
        <v>26</v>
      </c>
      <c r="B456" s="162"/>
      <c r="C456" s="56"/>
      <c r="D456" s="170"/>
      <c r="E456" s="170"/>
      <c r="F456" s="170"/>
      <c r="G456" s="170"/>
      <c r="H456" s="170"/>
      <c r="I456" s="170"/>
      <c r="J456" s="170"/>
      <c r="K456" s="170"/>
      <c r="L456" s="170"/>
      <c r="M456" s="170"/>
      <c r="N456" s="170"/>
      <c r="O456" s="170"/>
      <c r="P456" s="170"/>
    </row>
    <row r="457" spans="1:16" ht="14.4" hidden="1" x14ac:dyDescent="0.3">
      <c r="A457" s="55" t="s">
        <v>27</v>
      </c>
      <c r="B457" s="55"/>
      <c r="C457" s="56" t="s">
        <v>19</v>
      </c>
      <c r="D457" s="167"/>
      <c r="E457" s="167"/>
      <c r="F457" s="167"/>
      <c r="G457" s="167"/>
      <c r="H457" s="167"/>
      <c r="I457" s="167"/>
      <c r="J457" s="167"/>
      <c r="K457" s="167"/>
      <c r="L457" s="167"/>
      <c r="M457" s="167"/>
      <c r="N457" s="167"/>
      <c r="O457" s="167"/>
      <c r="P457" s="167"/>
    </row>
    <row r="458" spans="1:16" ht="14.4" hidden="1" x14ac:dyDescent="0.3">
      <c r="A458" s="55" t="s">
        <v>28</v>
      </c>
      <c r="B458" s="55"/>
      <c r="C458" s="56" t="s">
        <v>23</v>
      </c>
      <c r="D458" s="167"/>
      <c r="E458" s="167"/>
      <c r="F458" s="167"/>
      <c r="G458" s="167"/>
      <c r="H458" s="167"/>
      <c r="I458" s="167"/>
      <c r="J458" s="167"/>
      <c r="K458" s="167"/>
      <c r="L458" s="167"/>
      <c r="M458" s="167"/>
      <c r="N458" s="167"/>
      <c r="O458" s="167"/>
      <c r="P458" s="167"/>
    </row>
    <row r="459" spans="1:16" ht="14.4" hidden="1" x14ac:dyDescent="0.3">
      <c r="A459" s="162" t="s">
        <v>29</v>
      </c>
      <c r="B459" s="162"/>
      <c r="C459" s="56"/>
      <c r="D459" s="171"/>
      <c r="E459" s="171"/>
      <c r="F459" s="171"/>
      <c r="G459" s="171"/>
      <c r="H459" s="171"/>
      <c r="I459" s="171"/>
      <c r="J459" s="171"/>
      <c r="K459" s="171"/>
      <c r="L459" s="171"/>
      <c r="M459" s="171"/>
      <c r="N459" s="171"/>
      <c r="O459" s="171"/>
      <c r="P459" s="171"/>
    </row>
    <row r="460" spans="1:16" ht="14.4" hidden="1" x14ac:dyDescent="0.3">
      <c r="A460" s="55" t="s">
        <v>30</v>
      </c>
      <c r="B460" s="55"/>
      <c r="C460" s="56" t="s">
        <v>19</v>
      </c>
      <c r="D460" s="167"/>
      <c r="E460" s="167"/>
      <c r="F460" s="167"/>
      <c r="G460" s="167"/>
      <c r="H460" s="167"/>
      <c r="I460" s="167"/>
      <c r="J460" s="167"/>
      <c r="K460" s="167"/>
      <c r="L460" s="167"/>
      <c r="M460" s="167"/>
      <c r="N460" s="167"/>
      <c r="O460" s="167"/>
      <c r="P460" s="167"/>
    </row>
    <row r="461" spans="1:16" ht="14.4" hidden="1" x14ac:dyDescent="0.3">
      <c r="A461" s="55" t="s">
        <v>31</v>
      </c>
      <c r="B461" s="55"/>
      <c r="C461" s="56" t="s">
        <v>32</v>
      </c>
      <c r="D461" s="167"/>
      <c r="E461" s="167"/>
      <c r="F461" s="167"/>
      <c r="G461" s="167"/>
      <c r="H461" s="167"/>
      <c r="I461" s="167"/>
      <c r="J461" s="167"/>
      <c r="K461" s="167"/>
      <c r="L461" s="167"/>
      <c r="M461" s="167"/>
      <c r="N461" s="167"/>
      <c r="O461" s="167"/>
      <c r="P461" s="167"/>
    </row>
    <row r="462" spans="1:16" ht="14.4" hidden="1" x14ac:dyDescent="0.3">
      <c r="A462" s="162" t="s">
        <v>33</v>
      </c>
      <c r="B462" s="162"/>
      <c r="C462" s="56"/>
      <c r="D462" s="171"/>
      <c r="E462" s="171"/>
      <c r="F462" s="171"/>
      <c r="G462" s="171"/>
      <c r="H462" s="171"/>
      <c r="I462" s="171"/>
      <c r="J462" s="171"/>
      <c r="K462" s="171"/>
      <c r="L462" s="171"/>
      <c r="M462" s="171"/>
      <c r="N462" s="171"/>
      <c r="O462" s="171"/>
      <c r="P462" s="171"/>
    </row>
    <row r="463" spans="1:16" ht="14.4" hidden="1" x14ac:dyDescent="0.3">
      <c r="A463" s="55" t="s">
        <v>34</v>
      </c>
      <c r="B463" s="55"/>
      <c r="C463" s="56" t="s">
        <v>19</v>
      </c>
      <c r="D463" s="167"/>
      <c r="E463" s="167"/>
      <c r="F463" s="167"/>
      <c r="G463" s="167"/>
      <c r="H463" s="167"/>
      <c r="I463" s="167"/>
      <c r="J463" s="167"/>
      <c r="K463" s="167"/>
      <c r="L463" s="167"/>
      <c r="M463" s="167"/>
      <c r="N463" s="167"/>
      <c r="O463" s="167"/>
      <c r="P463" s="167"/>
    </row>
    <row r="464" spans="1:16" ht="14.4" hidden="1" x14ac:dyDescent="0.3">
      <c r="A464" s="55" t="s">
        <v>35</v>
      </c>
      <c r="B464" s="55"/>
      <c r="C464" s="56" t="s">
        <v>36</v>
      </c>
      <c r="D464" s="167"/>
      <c r="E464" s="167"/>
      <c r="F464" s="167"/>
      <c r="G464" s="167"/>
      <c r="H464" s="167"/>
      <c r="I464" s="167"/>
      <c r="J464" s="167"/>
      <c r="K464" s="167"/>
      <c r="L464" s="167"/>
      <c r="M464" s="167"/>
      <c r="N464" s="167"/>
      <c r="O464" s="167"/>
      <c r="P464" s="167"/>
    </row>
    <row r="465" spans="1:16" ht="14.4" hidden="1" x14ac:dyDescent="0.3">
      <c r="A465" s="162" t="s">
        <v>37</v>
      </c>
      <c r="B465" s="162"/>
      <c r="C465" s="56"/>
      <c r="D465" s="171"/>
      <c r="E465" s="171"/>
      <c r="F465" s="171"/>
      <c r="G465" s="171"/>
      <c r="H465" s="171"/>
      <c r="I465" s="171"/>
      <c r="J465" s="171"/>
      <c r="K465" s="171"/>
      <c r="L465" s="171"/>
      <c r="M465" s="171"/>
      <c r="N465" s="171"/>
      <c r="O465" s="171"/>
      <c r="P465" s="171"/>
    </row>
    <row r="466" spans="1:16" ht="14.4" hidden="1" x14ac:dyDescent="0.3">
      <c r="A466" s="172" t="s">
        <v>38</v>
      </c>
      <c r="B466" s="55"/>
      <c r="C466" s="56" t="s">
        <v>19</v>
      </c>
      <c r="D466" s="167"/>
      <c r="E466" s="167"/>
      <c r="F466" s="167"/>
      <c r="G466" s="167"/>
      <c r="H466" s="167"/>
      <c r="I466" s="167"/>
      <c r="J466" s="167"/>
      <c r="K466" s="167"/>
      <c r="L466" s="167"/>
      <c r="M466" s="167"/>
      <c r="N466" s="167"/>
      <c r="O466" s="167"/>
      <c r="P466" s="167"/>
    </row>
    <row r="467" spans="1:16" ht="14.4" hidden="1" x14ac:dyDescent="0.3">
      <c r="A467" s="172" t="s">
        <v>39</v>
      </c>
      <c r="B467" s="55"/>
      <c r="C467" s="56" t="s">
        <v>19</v>
      </c>
      <c r="D467" s="167"/>
      <c r="E467" s="167"/>
      <c r="F467" s="167"/>
      <c r="G467" s="167"/>
      <c r="H467" s="167"/>
      <c r="I467" s="167"/>
      <c r="J467" s="167"/>
      <c r="K467" s="167"/>
      <c r="L467" s="167"/>
      <c r="M467" s="167"/>
      <c r="N467" s="167"/>
      <c r="O467" s="167"/>
      <c r="P467" s="167"/>
    </row>
    <row r="468" spans="1:16" ht="14.4" hidden="1" x14ac:dyDescent="0.3">
      <c r="A468" s="172" t="s">
        <v>180</v>
      </c>
      <c r="B468" s="55"/>
      <c r="C468" s="56" t="s">
        <v>19</v>
      </c>
      <c r="D468" s="167"/>
      <c r="E468" s="167"/>
      <c r="F468" s="167"/>
      <c r="G468" s="167"/>
      <c r="H468" s="167"/>
      <c r="I468" s="167"/>
      <c r="J468" s="167"/>
      <c r="K468" s="167"/>
      <c r="L468" s="167"/>
      <c r="M468" s="167"/>
      <c r="N468" s="167"/>
      <c r="O468" s="167"/>
      <c r="P468" s="167"/>
    </row>
    <row r="469" spans="1:16" ht="14.4" hidden="1" x14ac:dyDescent="0.3">
      <c r="A469" s="173" t="s">
        <v>40</v>
      </c>
      <c r="B469" s="55"/>
      <c r="C469" s="56" t="s">
        <v>19</v>
      </c>
      <c r="D469" s="167"/>
      <c r="E469" s="167"/>
      <c r="F469" s="167"/>
      <c r="G469" s="167"/>
      <c r="H469" s="167"/>
      <c r="I469" s="167"/>
      <c r="J469" s="167"/>
      <c r="K469" s="167"/>
      <c r="L469" s="167"/>
      <c r="M469" s="167"/>
      <c r="N469" s="167"/>
      <c r="O469" s="167"/>
      <c r="P469" s="167"/>
    </row>
    <row r="470" spans="1:16" ht="14.4" hidden="1" x14ac:dyDescent="0.3">
      <c r="A470" s="173" t="s">
        <v>41</v>
      </c>
      <c r="B470" s="55"/>
      <c r="C470" s="56" t="s">
        <v>19</v>
      </c>
      <c r="D470" s="167"/>
      <c r="E470" s="167"/>
      <c r="F470" s="167"/>
      <c r="G470" s="167"/>
      <c r="H470" s="167"/>
      <c r="I470" s="167"/>
      <c r="J470" s="167"/>
      <c r="K470" s="167"/>
      <c r="L470" s="167"/>
      <c r="M470" s="167"/>
      <c r="N470" s="167"/>
      <c r="O470" s="167"/>
      <c r="P470" s="167"/>
    </row>
    <row r="471" spans="1:16" ht="16.2" hidden="1" x14ac:dyDescent="0.3">
      <c r="A471" s="174" t="s">
        <v>182</v>
      </c>
      <c r="B471" s="175"/>
      <c r="C471" s="56" t="s">
        <v>19</v>
      </c>
      <c r="D471" s="167"/>
      <c r="E471" s="167"/>
      <c r="F471" s="167"/>
      <c r="G471" s="167"/>
      <c r="H471" s="167"/>
      <c r="I471" s="167"/>
      <c r="J471" s="167"/>
      <c r="K471" s="167"/>
      <c r="L471" s="167"/>
      <c r="M471" s="167"/>
      <c r="N471" s="167"/>
      <c r="O471" s="167"/>
      <c r="P471" s="167"/>
    </row>
    <row r="472" spans="1:16" ht="16.2" hidden="1" x14ac:dyDescent="0.3">
      <c r="A472" s="174" t="s">
        <v>182</v>
      </c>
      <c r="B472" s="175"/>
      <c r="C472" s="56" t="s">
        <v>19</v>
      </c>
      <c r="D472" s="167"/>
      <c r="E472" s="167"/>
      <c r="F472" s="167"/>
      <c r="G472" s="167"/>
      <c r="H472" s="167"/>
      <c r="I472" s="167"/>
      <c r="J472" s="167"/>
      <c r="K472" s="167"/>
      <c r="L472" s="167"/>
      <c r="M472" s="167"/>
      <c r="N472" s="167"/>
      <c r="O472" s="167"/>
      <c r="P472" s="167"/>
    </row>
    <row r="473" spans="1:16" ht="16.2" hidden="1" x14ac:dyDescent="0.3">
      <c r="A473" s="174" t="s">
        <v>182</v>
      </c>
      <c r="B473" s="176"/>
      <c r="C473" s="56" t="s">
        <v>19</v>
      </c>
      <c r="D473" s="167"/>
      <c r="E473" s="167"/>
      <c r="F473" s="167"/>
      <c r="G473" s="167"/>
      <c r="H473" s="167"/>
      <c r="I473" s="167"/>
      <c r="J473" s="167"/>
      <c r="K473" s="167"/>
      <c r="L473" s="167"/>
      <c r="M473" s="167"/>
      <c r="N473" s="167"/>
      <c r="O473" s="167"/>
      <c r="P473" s="167"/>
    </row>
    <row r="474" spans="1:16" ht="14.4" hidden="1" x14ac:dyDescent="0.3">
      <c r="A474" s="162" t="s">
        <v>42</v>
      </c>
      <c r="B474" s="162"/>
      <c r="C474" s="56"/>
      <c r="D474" s="171"/>
      <c r="E474" s="171"/>
      <c r="F474" s="171"/>
      <c r="G474" s="171"/>
      <c r="H474" s="171"/>
      <c r="I474" s="171"/>
      <c r="J474" s="171"/>
      <c r="K474" s="171"/>
      <c r="L474" s="171"/>
      <c r="M474" s="171"/>
      <c r="N474" s="171"/>
      <c r="O474" s="171"/>
      <c r="P474" s="171"/>
    </row>
    <row r="475" spans="1:16" ht="14.4" hidden="1" x14ac:dyDescent="0.3">
      <c r="A475" s="162" t="s">
        <v>191</v>
      </c>
      <c r="B475" s="162"/>
      <c r="C475" s="56" t="s">
        <v>44</v>
      </c>
      <c r="D475" s="177"/>
      <c r="E475" s="177"/>
      <c r="F475" s="177"/>
      <c r="G475" s="177"/>
      <c r="H475" s="177"/>
      <c r="I475" s="177"/>
      <c r="J475" s="177"/>
      <c r="K475" s="177"/>
      <c r="L475" s="177"/>
      <c r="M475" s="177"/>
      <c r="N475" s="177"/>
      <c r="O475" s="177"/>
      <c r="P475" s="177"/>
    </row>
    <row r="476" spans="1:16" ht="14.4" hidden="1" x14ac:dyDescent="0.3">
      <c r="A476" s="162" t="s">
        <v>183</v>
      </c>
      <c r="B476" s="162"/>
      <c r="C476" s="56"/>
      <c r="D476" s="178"/>
      <c r="E476" s="178"/>
      <c r="F476" s="178"/>
      <c r="G476" s="178"/>
      <c r="H476" s="178"/>
      <c r="I476" s="178"/>
      <c r="J476" s="178"/>
      <c r="K476" s="178"/>
      <c r="L476" s="178"/>
      <c r="M476" s="178"/>
      <c r="N476" s="178"/>
      <c r="O476" s="178"/>
      <c r="P476" s="178"/>
    </row>
    <row r="477" spans="1:16" ht="14.4" hidden="1" x14ac:dyDescent="0.3">
      <c r="A477" s="162" t="s">
        <v>184</v>
      </c>
      <c r="B477" s="162"/>
      <c r="C477" s="56" t="s">
        <v>19</v>
      </c>
      <c r="D477" s="167"/>
      <c r="E477" s="167"/>
      <c r="F477" s="167"/>
      <c r="G477" s="167"/>
      <c r="H477" s="167"/>
      <c r="I477" s="167"/>
      <c r="J477" s="167"/>
      <c r="K477" s="167"/>
      <c r="L477" s="167"/>
      <c r="M477" s="167"/>
      <c r="N477" s="167"/>
      <c r="O477" s="167"/>
      <c r="P477" s="167"/>
    </row>
    <row r="478" spans="1:16" ht="14.4" hidden="1" x14ac:dyDescent="0.3">
      <c r="A478" s="162" t="s">
        <v>45</v>
      </c>
      <c r="B478" s="162"/>
      <c r="C478" s="56"/>
      <c r="D478" s="178"/>
      <c r="E478" s="178"/>
      <c r="F478" s="178"/>
      <c r="G478" s="178"/>
      <c r="H478" s="178"/>
      <c r="I478" s="178"/>
      <c r="J478" s="178"/>
      <c r="K478" s="178"/>
      <c r="L478" s="178"/>
      <c r="M478" s="178"/>
      <c r="N478" s="178"/>
      <c r="O478" s="178"/>
      <c r="P478" s="178"/>
    </row>
    <row r="479" spans="1:16" ht="14.4" hidden="1" x14ac:dyDescent="0.3">
      <c r="A479" s="162" t="s">
        <v>46</v>
      </c>
      <c r="B479" s="162"/>
      <c r="C479" s="56" t="s">
        <v>19</v>
      </c>
      <c r="D479" s="167"/>
      <c r="E479" s="167"/>
      <c r="F479" s="167"/>
      <c r="G479" s="167"/>
      <c r="H479" s="167"/>
      <c r="I479" s="167"/>
      <c r="J479" s="167"/>
      <c r="K479" s="167"/>
      <c r="L479" s="167"/>
      <c r="M479" s="167"/>
      <c r="N479" s="167"/>
      <c r="O479" s="167"/>
      <c r="P479" s="167"/>
    </row>
    <row r="480" spans="1:16" ht="14.4" hidden="1" x14ac:dyDescent="0.3">
      <c r="A480" s="162" t="s">
        <v>185</v>
      </c>
      <c r="B480" s="162"/>
      <c r="C480" s="56"/>
      <c r="D480" s="178"/>
      <c r="E480" s="178"/>
      <c r="F480" s="178"/>
      <c r="G480" s="178"/>
      <c r="H480" s="178"/>
      <c r="I480" s="178"/>
      <c r="J480" s="178"/>
      <c r="K480" s="178"/>
      <c r="L480" s="178"/>
      <c r="M480" s="178"/>
      <c r="N480" s="178"/>
      <c r="O480" s="178"/>
      <c r="P480" s="178"/>
    </row>
    <row r="481" spans="1:16" ht="14.4" hidden="1" x14ac:dyDescent="0.3">
      <c r="A481" s="162" t="s">
        <v>186</v>
      </c>
      <c r="B481" s="162"/>
      <c r="C481" s="56" t="s">
        <v>19</v>
      </c>
      <c r="D481" s="167"/>
      <c r="E481" s="167"/>
      <c r="F481" s="167"/>
      <c r="G481" s="167"/>
      <c r="H481" s="167"/>
      <c r="I481" s="167"/>
      <c r="J481" s="167"/>
      <c r="K481" s="167"/>
      <c r="L481" s="167"/>
      <c r="M481" s="167"/>
      <c r="N481" s="167"/>
      <c r="O481" s="167"/>
      <c r="P481" s="167"/>
    </row>
    <row r="482" spans="1:16" ht="14.4" hidden="1" x14ac:dyDescent="0.3">
      <c r="A482" s="162" t="s">
        <v>47</v>
      </c>
      <c r="B482" s="162"/>
      <c r="C482" s="56"/>
      <c r="D482" s="171"/>
      <c r="E482" s="171"/>
      <c r="F482" s="171"/>
      <c r="G482" s="171"/>
      <c r="H482" s="171"/>
      <c r="I482" s="171"/>
      <c r="J482" s="171"/>
      <c r="K482" s="171"/>
      <c r="L482" s="171"/>
      <c r="M482" s="171"/>
      <c r="N482" s="171"/>
      <c r="O482" s="171"/>
      <c r="P482" s="171"/>
    </row>
    <row r="483" spans="1:16" ht="14.4" hidden="1" x14ac:dyDescent="0.3">
      <c r="A483" s="55" t="s">
        <v>48</v>
      </c>
      <c r="B483" s="55"/>
      <c r="C483" s="56" t="s">
        <v>19</v>
      </c>
      <c r="D483" s="167"/>
      <c r="E483" s="167"/>
      <c r="F483" s="167"/>
      <c r="G483" s="167"/>
      <c r="H483" s="167"/>
      <c r="I483" s="167"/>
      <c r="J483" s="167"/>
      <c r="K483" s="167"/>
      <c r="L483" s="167"/>
      <c r="M483" s="167"/>
      <c r="N483" s="167"/>
      <c r="O483" s="167"/>
      <c r="P483" s="167"/>
    </row>
    <row r="484" spans="1:16" ht="14.4" hidden="1" x14ac:dyDescent="0.3">
      <c r="A484" s="55" t="s">
        <v>49</v>
      </c>
      <c r="B484" s="55"/>
      <c r="C484" s="56" t="s">
        <v>19</v>
      </c>
      <c r="D484" s="167"/>
      <c r="E484" s="167"/>
      <c r="F484" s="167"/>
      <c r="G484" s="167"/>
      <c r="H484" s="167"/>
      <c r="I484" s="167"/>
      <c r="J484" s="167"/>
      <c r="K484" s="167"/>
      <c r="L484" s="167"/>
      <c r="M484" s="167"/>
      <c r="N484" s="167"/>
      <c r="O484" s="167"/>
      <c r="P484" s="167"/>
    </row>
    <row r="485" spans="1:16" ht="14.4" hidden="1" x14ac:dyDescent="0.3">
      <c r="A485" s="162" t="s">
        <v>52</v>
      </c>
      <c r="B485" s="162"/>
      <c r="C485" s="179"/>
      <c r="D485" s="170"/>
      <c r="E485" s="170"/>
      <c r="F485" s="170"/>
      <c r="G485" s="170"/>
      <c r="H485" s="170"/>
      <c r="I485" s="170"/>
      <c r="J485" s="170"/>
      <c r="K485" s="170"/>
      <c r="L485" s="170"/>
      <c r="M485" s="170"/>
      <c r="N485" s="170"/>
      <c r="O485" s="170"/>
      <c r="P485" s="170"/>
    </row>
    <row r="486" spans="1:16" ht="14.4" hidden="1" x14ac:dyDescent="0.3">
      <c r="A486" s="55" t="s">
        <v>53</v>
      </c>
      <c r="B486" s="55"/>
      <c r="C486" s="56" t="s">
        <v>44</v>
      </c>
      <c r="D486" s="167"/>
      <c r="E486" s="167"/>
      <c r="F486" s="167"/>
      <c r="G486" s="167"/>
      <c r="H486" s="167"/>
      <c r="I486" s="167"/>
      <c r="J486" s="167"/>
      <c r="K486" s="167"/>
      <c r="L486" s="167"/>
      <c r="M486" s="167"/>
      <c r="N486" s="167"/>
      <c r="O486" s="167"/>
      <c r="P486" s="167"/>
    </row>
    <row r="487" spans="1:16" ht="14.4" hidden="1" x14ac:dyDescent="0.3">
      <c r="A487" s="55" t="s">
        <v>54</v>
      </c>
      <c r="B487" s="55"/>
      <c r="C487" s="56" t="s">
        <v>44</v>
      </c>
      <c r="D487" s="167"/>
      <c r="E487" s="167"/>
      <c r="F487" s="167"/>
      <c r="G487" s="167"/>
      <c r="H487" s="167"/>
      <c r="I487" s="167"/>
      <c r="J487" s="167"/>
      <c r="K487" s="167"/>
      <c r="L487" s="167"/>
      <c r="M487" s="167"/>
      <c r="N487" s="167"/>
      <c r="O487" s="167"/>
      <c r="P487" s="167"/>
    </row>
    <row r="488" spans="1:16" ht="14.4" hidden="1" x14ac:dyDescent="0.3">
      <c r="A488" s="55" t="s">
        <v>55</v>
      </c>
      <c r="B488" s="55"/>
      <c r="C488" s="56" t="s">
        <v>44</v>
      </c>
      <c r="D488" s="167"/>
      <c r="E488" s="167"/>
      <c r="F488" s="167"/>
      <c r="G488" s="167"/>
      <c r="H488" s="167"/>
      <c r="I488" s="167"/>
      <c r="J488" s="167"/>
      <c r="K488" s="167"/>
      <c r="L488" s="167"/>
      <c r="M488" s="167"/>
      <c r="N488" s="167"/>
      <c r="O488" s="167"/>
      <c r="P488" s="167"/>
    </row>
    <row r="489" spans="1:16" ht="14.4" hidden="1" x14ac:dyDescent="0.3">
      <c r="A489" s="55" t="s">
        <v>187</v>
      </c>
      <c r="B489" s="55"/>
      <c r="C489" s="56" t="s">
        <v>44</v>
      </c>
      <c r="D489" s="167"/>
      <c r="E489" s="167"/>
      <c r="F489" s="167"/>
      <c r="G489" s="167"/>
      <c r="H489" s="167"/>
      <c r="I489" s="167"/>
      <c r="J489" s="167"/>
      <c r="K489" s="167"/>
      <c r="L489" s="167"/>
      <c r="M489" s="167"/>
      <c r="N489" s="167"/>
      <c r="O489" s="167"/>
      <c r="P489" s="167"/>
    </row>
    <row r="490" spans="1:16" ht="14.4" hidden="1" x14ac:dyDescent="0.3">
      <c r="A490" s="55" t="s">
        <v>188</v>
      </c>
      <c r="B490" s="55"/>
      <c r="C490" s="56" t="s">
        <v>44</v>
      </c>
      <c r="D490" s="167"/>
      <c r="E490" s="167"/>
      <c r="F490" s="167"/>
      <c r="G490" s="167"/>
      <c r="H490" s="167"/>
      <c r="I490" s="167"/>
      <c r="J490" s="167"/>
      <c r="K490" s="167"/>
      <c r="L490" s="167"/>
      <c r="M490" s="167"/>
      <c r="N490" s="167"/>
      <c r="O490" s="167"/>
      <c r="P490" s="167"/>
    </row>
    <row r="491" spans="1:16" ht="14.4" hidden="1" x14ac:dyDescent="0.3">
      <c r="A491" s="55" t="s">
        <v>56</v>
      </c>
      <c r="B491" s="55"/>
      <c r="C491" s="56" t="s">
        <v>44</v>
      </c>
      <c r="D491" s="180"/>
      <c r="E491" s="180"/>
      <c r="F491" s="180"/>
      <c r="G491" s="180"/>
      <c r="H491" s="180"/>
      <c r="I491" s="180"/>
      <c r="J491" s="180"/>
      <c r="K491" s="180"/>
      <c r="L491" s="180"/>
      <c r="M491" s="180"/>
      <c r="N491" s="180"/>
      <c r="O491" s="180"/>
      <c r="P491" s="180"/>
    </row>
    <row r="492" spans="1:16" ht="14.4" hidden="1" x14ac:dyDescent="0.3">
      <c r="A492" s="55" t="s">
        <v>57</v>
      </c>
      <c r="B492" s="55"/>
      <c r="C492" s="56" t="s">
        <v>44</v>
      </c>
      <c r="D492" s="180"/>
      <c r="E492" s="180"/>
      <c r="F492" s="180"/>
      <c r="G492" s="180"/>
      <c r="H492" s="180"/>
      <c r="I492" s="180"/>
      <c r="J492" s="180"/>
      <c r="K492" s="180"/>
      <c r="L492" s="180"/>
      <c r="M492" s="180"/>
      <c r="N492" s="180"/>
      <c r="O492" s="180"/>
      <c r="P492" s="180"/>
    </row>
    <row r="493" spans="1:16" hidden="1" x14ac:dyDescent="0.3"/>
    <row r="494" spans="1:16" ht="18" hidden="1" x14ac:dyDescent="0.35">
      <c r="A494" s="59" t="str">
        <f>'[43]Statistical data'!A229</f>
        <v>Customer Class with mix rate4</v>
      </c>
      <c r="B494" s="59"/>
      <c r="C494" s="5" t="s">
        <v>190</v>
      </c>
      <c r="D494" s="160"/>
      <c r="E494" s="160"/>
      <c r="F494" s="160"/>
      <c r="G494" s="160"/>
      <c r="H494" s="160"/>
      <c r="I494" s="160"/>
      <c r="J494" s="160"/>
      <c r="K494" s="160"/>
      <c r="L494" s="160"/>
      <c r="M494" s="160"/>
      <c r="N494" s="160"/>
      <c r="O494" s="160"/>
      <c r="P494" s="160"/>
    </row>
    <row r="495" spans="1:16" ht="24" hidden="1" customHeight="1" x14ac:dyDescent="0.3">
      <c r="A495" s="161" t="s">
        <v>3</v>
      </c>
      <c r="B495" s="161"/>
      <c r="C495" s="161" t="s">
        <v>4</v>
      </c>
      <c r="D495" s="161" t="s">
        <v>15</v>
      </c>
      <c r="E495" s="161" t="s">
        <v>15</v>
      </c>
      <c r="F495" s="161" t="s">
        <v>15</v>
      </c>
      <c r="G495" s="161" t="s">
        <v>15</v>
      </c>
      <c r="H495" s="161" t="s">
        <v>15</v>
      </c>
      <c r="I495" s="161" t="s">
        <v>15</v>
      </c>
      <c r="J495" s="161" t="s">
        <v>15</v>
      </c>
      <c r="K495" s="161" t="s">
        <v>15</v>
      </c>
      <c r="L495" s="161" t="s">
        <v>15</v>
      </c>
      <c r="M495" s="161" t="s">
        <v>15</v>
      </c>
      <c r="N495" s="161" t="s">
        <v>15</v>
      </c>
      <c r="O495" s="161" t="s">
        <v>15</v>
      </c>
      <c r="P495" s="161" t="s">
        <v>15</v>
      </c>
    </row>
    <row r="496" spans="1:16" ht="14.4" hidden="1" x14ac:dyDescent="0.3">
      <c r="A496" s="162" t="s">
        <v>17</v>
      </c>
      <c r="B496" s="163"/>
      <c r="C496" s="56"/>
      <c r="D496" s="164"/>
      <c r="E496" s="164"/>
      <c r="F496" s="164"/>
      <c r="G496" s="164"/>
      <c r="H496" s="164"/>
      <c r="I496" s="164"/>
      <c r="J496" s="164"/>
      <c r="K496" s="164"/>
      <c r="L496" s="164"/>
      <c r="M496" s="164"/>
      <c r="N496" s="164"/>
      <c r="O496" s="164"/>
      <c r="P496" s="164"/>
    </row>
    <row r="497" spans="1:16" ht="14.4" hidden="1" x14ac:dyDescent="0.3">
      <c r="A497" s="55" t="s">
        <v>18</v>
      </c>
      <c r="B497" s="165"/>
      <c r="C497" s="56" t="s">
        <v>19</v>
      </c>
      <c r="D497" s="166"/>
      <c r="E497" s="166"/>
      <c r="F497" s="166"/>
      <c r="G497" s="166"/>
      <c r="H497" s="166"/>
      <c r="I497" s="166"/>
      <c r="J497" s="166"/>
      <c r="K497" s="166"/>
      <c r="L497" s="166"/>
      <c r="M497" s="166"/>
      <c r="N497" s="166"/>
      <c r="O497" s="166"/>
      <c r="P497" s="166"/>
    </row>
    <row r="498" spans="1:16" ht="14.4" hidden="1" x14ac:dyDescent="0.3">
      <c r="A498" s="55" t="s">
        <v>66</v>
      </c>
      <c r="B498" s="165"/>
      <c r="C498" s="56" t="s">
        <v>19</v>
      </c>
      <c r="D498" s="166"/>
      <c r="E498" s="166"/>
      <c r="F498" s="166"/>
      <c r="G498" s="166"/>
      <c r="H498" s="166"/>
      <c r="I498" s="166"/>
      <c r="J498" s="166"/>
      <c r="K498" s="166"/>
      <c r="L498" s="166"/>
      <c r="M498" s="166"/>
      <c r="N498" s="166"/>
      <c r="O498" s="166"/>
      <c r="P498" s="166"/>
    </row>
    <row r="499" spans="1:16" ht="14.4" hidden="1" x14ac:dyDescent="0.3">
      <c r="A499" s="162" t="s">
        <v>20</v>
      </c>
      <c r="B499" s="163"/>
      <c r="C499" s="56"/>
      <c r="D499" s="168"/>
      <c r="E499" s="168"/>
      <c r="F499" s="168"/>
      <c r="G499" s="168"/>
      <c r="H499" s="168"/>
      <c r="I499" s="168"/>
      <c r="J499" s="168"/>
      <c r="K499" s="168"/>
      <c r="L499" s="168"/>
      <c r="M499" s="168"/>
      <c r="N499" s="168"/>
      <c r="O499" s="168"/>
      <c r="P499" s="168"/>
    </row>
    <row r="500" spans="1:16" ht="14.4" hidden="1" x14ac:dyDescent="0.3">
      <c r="A500" s="55" t="s">
        <v>21</v>
      </c>
      <c r="B500" s="165"/>
      <c r="C500" s="56" t="s">
        <v>19</v>
      </c>
      <c r="D500" s="166"/>
      <c r="E500" s="166"/>
      <c r="F500" s="166"/>
      <c r="G500" s="166"/>
      <c r="H500" s="166"/>
      <c r="I500" s="166"/>
      <c r="J500" s="166"/>
      <c r="K500" s="166"/>
      <c r="L500" s="166"/>
      <c r="M500" s="166"/>
      <c r="N500" s="166"/>
      <c r="O500" s="166"/>
      <c r="P500" s="166"/>
    </row>
    <row r="501" spans="1:16" ht="14.4" hidden="1" x14ac:dyDescent="0.3">
      <c r="A501" s="55" t="s">
        <v>22</v>
      </c>
      <c r="B501" s="165"/>
      <c r="C501" s="56" t="s">
        <v>23</v>
      </c>
      <c r="D501" s="166"/>
      <c r="E501" s="166"/>
      <c r="F501" s="166"/>
      <c r="G501" s="166"/>
      <c r="H501" s="166"/>
      <c r="I501" s="166"/>
      <c r="J501" s="166"/>
      <c r="K501" s="166"/>
      <c r="L501" s="166"/>
      <c r="M501" s="166"/>
      <c r="N501" s="166"/>
      <c r="O501" s="166"/>
      <c r="P501" s="166"/>
    </row>
    <row r="502" spans="1:16" ht="14.4" hidden="1" x14ac:dyDescent="0.3">
      <c r="A502" s="162" t="s">
        <v>24</v>
      </c>
      <c r="B502" s="163"/>
      <c r="C502" s="56"/>
      <c r="D502" s="168"/>
      <c r="E502" s="168"/>
      <c r="F502" s="168"/>
      <c r="G502" s="168"/>
      <c r="H502" s="168"/>
      <c r="I502" s="168"/>
      <c r="J502" s="168"/>
      <c r="K502" s="168"/>
      <c r="L502" s="168"/>
      <c r="M502" s="168"/>
      <c r="N502" s="168"/>
      <c r="O502" s="168"/>
      <c r="P502" s="168"/>
    </row>
    <row r="503" spans="1:16" ht="14.4" hidden="1" x14ac:dyDescent="0.3">
      <c r="A503" s="55" t="s">
        <v>25</v>
      </c>
      <c r="B503" s="165"/>
      <c r="C503" s="56" t="s">
        <v>19</v>
      </c>
      <c r="D503" s="166"/>
      <c r="E503" s="166"/>
      <c r="F503" s="166"/>
      <c r="G503" s="166"/>
      <c r="H503" s="166"/>
      <c r="I503" s="166"/>
      <c r="J503" s="166"/>
      <c r="K503" s="166"/>
      <c r="L503" s="166"/>
      <c r="M503" s="166"/>
      <c r="N503" s="166"/>
      <c r="O503" s="166"/>
      <c r="P503" s="166"/>
    </row>
    <row r="504" spans="1:16" ht="14.4" hidden="1" x14ac:dyDescent="0.3">
      <c r="A504" s="162" t="s">
        <v>26</v>
      </c>
      <c r="B504" s="162"/>
      <c r="C504" s="56"/>
      <c r="D504" s="170"/>
      <c r="E504" s="170"/>
      <c r="F504" s="170"/>
      <c r="G504" s="170"/>
      <c r="H504" s="170"/>
      <c r="I504" s="170"/>
      <c r="J504" s="170"/>
      <c r="K504" s="170"/>
      <c r="L504" s="170"/>
      <c r="M504" s="170"/>
      <c r="N504" s="170"/>
      <c r="O504" s="170"/>
      <c r="P504" s="170"/>
    </row>
    <row r="505" spans="1:16" ht="14.4" hidden="1" x14ac:dyDescent="0.3">
      <c r="A505" s="55" t="s">
        <v>27</v>
      </c>
      <c r="B505" s="55"/>
      <c r="C505" s="56" t="s">
        <v>19</v>
      </c>
      <c r="D505" s="167"/>
      <c r="E505" s="167"/>
      <c r="F505" s="167"/>
      <c r="G505" s="167"/>
      <c r="H505" s="167"/>
      <c r="I505" s="167"/>
      <c r="J505" s="167"/>
      <c r="K505" s="167"/>
      <c r="L505" s="167"/>
      <c r="M505" s="167"/>
      <c r="N505" s="167"/>
      <c r="O505" s="167"/>
      <c r="P505" s="167"/>
    </row>
    <row r="506" spans="1:16" ht="14.4" hidden="1" x14ac:dyDescent="0.3">
      <c r="A506" s="55" t="s">
        <v>28</v>
      </c>
      <c r="B506" s="55"/>
      <c r="C506" s="56" t="s">
        <v>23</v>
      </c>
      <c r="D506" s="167"/>
      <c r="E506" s="167"/>
      <c r="F506" s="167"/>
      <c r="G506" s="167"/>
      <c r="H506" s="167"/>
      <c r="I506" s="167"/>
      <c r="J506" s="167"/>
      <c r="K506" s="167"/>
      <c r="L506" s="167"/>
      <c r="M506" s="167"/>
      <c r="N506" s="167"/>
      <c r="O506" s="167"/>
      <c r="P506" s="167"/>
    </row>
    <row r="507" spans="1:16" ht="14.4" hidden="1" x14ac:dyDescent="0.3">
      <c r="A507" s="162" t="s">
        <v>29</v>
      </c>
      <c r="B507" s="162"/>
      <c r="C507" s="56"/>
      <c r="D507" s="171"/>
      <c r="E507" s="171"/>
      <c r="F507" s="171"/>
      <c r="G507" s="171"/>
      <c r="H507" s="171"/>
      <c r="I507" s="171"/>
      <c r="J507" s="171"/>
      <c r="K507" s="171"/>
      <c r="L507" s="171"/>
      <c r="M507" s="171"/>
      <c r="N507" s="171"/>
      <c r="O507" s="171"/>
      <c r="P507" s="171"/>
    </row>
    <row r="508" spans="1:16" ht="14.4" hidden="1" x14ac:dyDescent="0.3">
      <c r="A508" s="55" t="s">
        <v>30</v>
      </c>
      <c r="B508" s="55"/>
      <c r="C508" s="56" t="s">
        <v>19</v>
      </c>
      <c r="D508" s="167"/>
      <c r="E508" s="167"/>
      <c r="F508" s="167"/>
      <c r="G508" s="167"/>
      <c r="H508" s="167"/>
      <c r="I508" s="167"/>
      <c r="J508" s="167"/>
      <c r="K508" s="167"/>
      <c r="L508" s="167"/>
      <c r="M508" s="167"/>
      <c r="N508" s="167"/>
      <c r="O508" s="167"/>
      <c r="P508" s="167"/>
    </row>
    <row r="509" spans="1:16" ht="14.4" hidden="1" x14ac:dyDescent="0.3">
      <c r="A509" s="55" t="s">
        <v>31</v>
      </c>
      <c r="B509" s="55"/>
      <c r="C509" s="56" t="s">
        <v>32</v>
      </c>
      <c r="D509" s="167"/>
      <c r="E509" s="167"/>
      <c r="F509" s="167"/>
      <c r="G509" s="167"/>
      <c r="H509" s="167"/>
      <c r="I509" s="167"/>
      <c r="J509" s="167"/>
      <c r="K509" s="167"/>
      <c r="L509" s="167"/>
      <c r="M509" s="167"/>
      <c r="N509" s="167"/>
      <c r="O509" s="167"/>
      <c r="P509" s="167"/>
    </row>
    <row r="510" spans="1:16" ht="14.4" hidden="1" x14ac:dyDescent="0.3">
      <c r="A510" s="162" t="s">
        <v>33</v>
      </c>
      <c r="B510" s="162"/>
      <c r="C510" s="56"/>
      <c r="D510" s="171"/>
      <c r="E510" s="171"/>
      <c r="F510" s="171"/>
      <c r="G510" s="171"/>
      <c r="H510" s="171"/>
      <c r="I510" s="171"/>
      <c r="J510" s="171"/>
      <c r="K510" s="171"/>
      <c r="L510" s="171"/>
      <c r="M510" s="171"/>
      <c r="N510" s="171"/>
      <c r="O510" s="171"/>
      <c r="P510" s="171"/>
    </row>
    <row r="511" spans="1:16" ht="14.4" hidden="1" x14ac:dyDescent="0.3">
      <c r="A511" s="55" t="s">
        <v>34</v>
      </c>
      <c r="B511" s="55"/>
      <c r="C511" s="56" t="s">
        <v>19</v>
      </c>
      <c r="D511" s="167"/>
      <c r="E511" s="167"/>
      <c r="F511" s="167"/>
      <c r="G511" s="167"/>
      <c r="H511" s="167"/>
      <c r="I511" s="167"/>
      <c r="J511" s="167"/>
      <c r="K511" s="167"/>
      <c r="L511" s="167"/>
      <c r="M511" s="167"/>
      <c r="N511" s="167"/>
      <c r="O511" s="167"/>
      <c r="P511" s="167"/>
    </row>
    <row r="512" spans="1:16" ht="14.4" hidden="1" x14ac:dyDescent="0.3">
      <c r="A512" s="55" t="s">
        <v>35</v>
      </c>
      <c r="B512" s="55"/>
      <c r="C512" s="56" t="s">
        <v>36</v>
      </c>
      <c r="D512" s="167"/>
      <c r="E512" s="167"/>
      <c r="F512" s="167"/>
      <c r="G512" s="167"/>
      <c r="H512" s="167"/>
      <c r="I512" s="167"/>
      <c r="J512" s="167"/>
      <c r="K512" s="167"/>
      <c r="L512" s="167"/>
      <c r="M512" s="167"/>
      <c r="N512" s="167"/>
      <c r="O512" s="167"/>
      <c r="P512" s="167"/>
    </row>
    <row r="513" spans="1:16" ht="14.4" hidden="1" x14ac:dyDescent="0.3">
      <c r="A513" s="162" t="s">
        <v>37</v>
      </c>
      <c r="B513" s="162"/>
      <c r="C513" s="56"/>
      <c r="D513" s="171"/>
      <c r="E513" s="171"/>
      <c r="F513" s="171"/>
      <c r="G513" s="171"/>
      <c r="H513" s="171"/>
      <c r="I513" s="171"/>
      <c r="J513" s="171"/>
      <c r="K513" s="171"/>
      <c r="L513" s="171"/>
      <c r="M513" s="171"/>
      <c r="N513" s="171"/>
      <c r="O513" s="171"/>
      <c r="P513" s="171"/>
    </row>
    <row r="514" spans="1:16" ht="14.4" hidden="1" x14ac:dyDescent="0.3">
      <c r="A514" s="172" t="s">
        <v>38</v>
      </c>
      <c r="B514" s="55"/>
      <c r="C514" s="56" t="s">
        <v>19</v>
      </c>
      <c r="D514" s="167"/>
      <c r="E514" s="167"/>
      <c r="F514" s="167"/>
      <c r="G514" s="167"/>
      <c r="H514" s="167"/>
      <c r="I514" s="167"/>
      <c r="J514" s="167"/>
      <c r="K514" s="167"/>
      <c r="L514" s="167"/>
      <c r="M514" s="167"/>
      <c r="N514" s="167"/>
      <c r="O514" s="167"/>
      <c r="P514" s="167"/>
    </row>
    <row r="515" spans="1:16" ht="14.4" hidden="1" x14ac:dyDescent="0.3">
      <c r="A515" s="172" t="s">
        <v>39</v>
      </c>
      <c r="B515" s="55"/>
      <c r="C515" s="56" t="s">
        <v>19</v>
      </c>
      <c r="D515" s="167"/>
      <c r="E515" s="167"/>
      <c r="F515" s="167"/>
      <c r="G515" s="167"/>
      <c r="H515" s="167"/>
      <c r="I515" s="167"/>
      <c r="J515" s="167"/>
      <c r="K515" s="167"/>
      <c r="L515" s="167"/>
      <c r="M515" s="167"/>
      <c r="N515" s="167"/>
      <c r="O515" s="167"/>
      <c r="P515" s="167"/>
    </row>
    <row r="516" spans="1:16" ht="14.4" hidden="1" x14ac:dyDescent="0.3">
      <c r="A516" s="172" t="s">
        <v>180</v>
      </c>
      <c r="B516" s="55"/>
      <c r="C516" s="56" t="s">
        <v>19</v>
      </c>
      <c r="D516" s="167"/>
      <c r="E516" s="167"/>
      <c r="F516" s="167"/>
      <c r="G516" s="167"/>
      <c r="H516" s="167"/>
      <c r="I516" s="167"/>
      <c r="J516" s="167"/>
      <c r="K516" s="167"/>
      <c r="L516" s="167"/>
      <c r="M516" s="167"/>
      <c r="N516" s="167"/>
      <c r="O516" s="167"/>
      <c r="P516" s="167"/>
    </row>
    <row r="517" spans="1:16" ht="14.4" hidden="1" x14ac:dyDescent="0.3">
      <c r="A517" s="173" t="s">
        <v>40</v>
      </c>
      <c r="B517" s="55"/>
      <c r="C517" s="56" t="s">
        <v>19</v>
      </c>
      <c r="D517" s="167"/>
      <c r="E517" s="167"/>
      <c r="F517" s="167"/>
      <c r="G517" s="167"/>
      <c r="H517" s="167"/>
      <c r="I517" s="167"/>
      <c r="J517" s="167"/>
      <c r="K517" s="167"/>
      <c r="L517" s="167"/>
      <c r="M517" s="167"/>
      <c r="N517" s="167"/>
      <c r="O517" s="167"/>
      <c r="P517" s="167"/>
    </row>
    <row r="518" spans="1:16" ht="14.4" hidden="1" x14ac:dyDescent="0.3">
      <c r="A518" s="173" t="s">
        <v>41</v>
      </c>
      <c r="B518" s="55"/>
      <c r="C518" s="56" t="s">
        <v>19</v>
      </c>
      <c r="D518" s="167"/>
      <c r="E518" s="167"/>
      <c r="F518" s="167"/>
      <c r="G518" s="167"/>
      <c r="H518" s="167"/>
      <c r="I518" s="167"/>
      <c r="J518" s="167"/>
      <c r="K518" s="167"/>
      <c r="L518" s="167"/>
      <c r="M518" s="167"/>
      <c r="N518" s="167"/>
      <c r="O518" s="167"/>
      <c r="P518" s="167"/>
    </row>
    <row r="519" spans="1:16" ht="16.2" hidden="1" x14ac:dyDescent="0.3">
      <c r="A519" s="174" t="s">
        <v>182</v>
      </c>
      <c r="B519" s="175"/>
      <c r="C519" s="56" t="s">
        <v>19</v>
      </c>
      <c r="D519" s="167"/>
      <c r="E519" s="167"/>
      <c r="F519" s="167"/>
      <c r="G519" s="167"/>
      <c r="H519" s="167"/>
      <c r="I519" s="167"/>
      <c r="J519" s="167"/>
      <c r="K519" s="167"/>
      <c r="L519" s="167"/>
      <c r="M519" s="167"/>
      <c r="N519" s="167"/>
      <c r="O519" s="167"/>
      <c r="P519" s="167"/>
    </row>
    <row r="520" spans="1:16" ht="16.2" hidden="1" x14ac:dyDescent="0.3">
      <c r="A520" s="174" t="s">
        <v>182</v>
      </c>
      <c r="B520" s="175"/>
      <c r="C520" s="56" t="s">
        <v>19</v>
      </c>
      <c r="D520" s="167"/>
      <c r="E520" s="167"/>
      <c r="F520" s="167"/>
      <c r="G520" s="167"/>
      <c r="H520" s="167"/>
      <c r="I520" s="167"/>
      <c r="J520" s="167"/>
      <c r="K520" s="167"/>
      <c r="L520" s="167"/>
      <c r="M520" s="167"/>
      <c r="N520" s="167"/>
      <c r="O520" s="167"/>
      <c r="P520" s="167"/>
    </row>
    <row r="521" spans="1:16" ht="16.2" hidden="1" x14ac:dyDescent="0.3">
      <c r="A521" s="174" t="s">
        <v>182</v>
      </c>
      <c r="B521" s="176"/>
      <c r="C521" s="56" t="s">
        <v>19</v>
      </c>
      <c r="D521" s="167"/>
      <c r="E521" s="167"/>
      <c r="F521" s="167"/>
      <c r="G521" s="167"/>
      <c r="H521" s="167"/>
      <c r="I521" s="167"/>
      <c r="J521" s="167"/>
      <c r="K521" s="167"/>
      <c r="L521" s="167"/>
      <c r="M521" s="167"/>
      <c r="N521" s="167"/>
      <c r="O521" s="167"/>
      <c r="P521" s="167"/>
    </row>
    <row r="522" spans="1:16" ht="14.4" hidden="1" x14ac:dyDescent="0.3">
      <c r="A522" s="162" t="s">
        <v>42</v>
      </c>
      <c r="B522" s="162"/>
      <c r="C522" s="56"/>
      <c r="D522" s="171"/>
      <c r="E522" s="171"/>
      <c r="F522" s="171"/>
      <c r="G522" s="171"/>
      <c r="H522" s="171"/>
      <c r="I522" s="171"/>
      <c r="J522" s="171"/>
      <c r="K522" s="171"/>
      <c r="L522" s="171"/>
      <c r="M522" s="171"/>
      <c r="N522" s="171"/>
      <c r="O522" s="171"/>
      <c r="P522" s="171"/>
    </row>
    <row r="523" spans="1:16" ht="14.4" hidden="1" x14ac:dyDescent="0.3">
      <c r="A523" s="162" t="s">
        <v>191</v>
      </c>
      <c r="B523" s="162"/>
      <c r="C523" s="56" t="s">
        <v>44</v>
      </c>
      <c r="D523" s="177"/>
      <c r="E523" s="177"/>
      <c r="F523" s="177"/>
      <c r="G523" s="177"/>
      <c r="H523" s="177"/>
      <c r="I523" s="177"/>
      <c r="J523" s="177"/>
      <c r="K523" s="177"/>
      <c r="L523" s="177"/>
      <c r="M523" s="177"/>
      <c r="N523" s="177"/>
      <c r="O523" s="177"/>
      <c r="P523" s="177"/>
    </row>
    <row r="524" spans="1:16" ht="14.4" hidden="1" x14ac:dyDescent="0.3">
      <c r="A524" s="162" t="s">
        <v>183</v>
      </c>
      <c r="B524" s="162"/>
      <c r="C524" s="56"/>
      <c r="D524" s="178"/>
      <c r="E524" s="178"/>
      <c r="F524" s="178"/>
      <c r="G524" s="178"/>
      <c r="H524" s="178"/>
      <c r="I524" s="178"/>
      <c r="J524" s="178"/>
      <c r="K524" s="178"/>
      <c r="L524" s="178"/>
      <c r="M524" s="178"/>
      <c r="N524" s="178"/>
      <c r="O524" s="178"/>
      <c r="P524" s="178"/>
    </row>
    <row r="525" spans="1:16" ht="14.4" hidden="1" x14ac:dyDescent="0.3">
      <c r="A525" s="162" t="s">
        <v>184</v>
      </c>
      <c r="B525" s="162"/>
      <c r="C525" s="56" t="s">
        <v>19</v>
      </c>
      <c r="D525" s="167"/>
      <c r="E525" s="167"/>
      <c r="F525" s="167"/>
      <c r="G525" s="167"/>
      <c r="H525" s="167"/>
      <c r="I525" s="167"/>
      <c r="J525" s="167"/>
      <c r="K525" s="167"/>
      <c r="L525" s="167"/>
      <c r="M525" s="167"/>
      <c r="N525" s="167"/>
      <c r="O525" s="167"/>
      <c r="P525" s="167"/>
    </row>
    <row r="526" spans="1:16" ht="14.4" hidden="1" x14ac:dyDescent="0.3">
      <c r="A526" s="162" t="s">
        <v>45</v>
      </c>
      <c r="B526" s="162"/>
      <c r="C526" s="56"/>
      <c r="D526" s="178"/>
      <c r="E526" s="178"/>
      <c r="F526" s="178"/>
      <c r="G526" s="178"/>
      <c r="H526" s="178"/>
      <c r="I526" s="178"/>
      <c r="J526" s="178"/>
      <c r="K526" s="178"/>
      <c r="L526" s="178"/>
      <c r="M526" s="178"/>
      <c r="N526" s="178"/>
      <c r="O526" s="178"/>
      <c r="P526" s="178"/>
    </row>
    <row r="527" spans="1:16" ht="14.4" hidden="1" x14ac:dyDescent="0.3">
      <c r="A527" s="162" t="s">
        <v>46</v>
      </c>
      <c r="B527" s="162"/>
      <c r="C527" s="56" t="s">
        <v>19</v>
      </c>
      <c r="D527" s="167"/>
      <c r="E527" s="167"/>
      <c r="F527" s="167"/>
      <c r="G527" s="167"/>
      <c r="H527" s="167"/>
      <c r="I527" s="167"/>
      <c r="J527" s="167"/>
      <c r="K527" s="167"/>
      <c r="L527" s="167"/>
      <c r="M527" s="167"/>
      <c r="N527" s="167"/>
      <c r="O527" s="167"/>
      <c r="P527" s="167"/>
    </row>
    <row r="528" spans="1:16" ht="14.4" hidden="1" x14ac:dyDescent="0.3">
      <c r="A528" s="162" t="s">
        <v>185</v>
      </c>
      <c r="B528" s="162"/>
      <c r="C528" s="56"/>
      <c r="D528" s="178"/>
      <c r="E528" s="178"/>
      <c r="F528" s="178"/>
      <c r="G528" s="178"/>
      <c r="H528" s="178"/>
      <c r="I528" s="178"/>
      <c r="J528" s="178"/>
      <c r="K528" s="178"/>
      <c r="L528" s="178"/>
      <c r="M528" s="178"/>
      <c r="N528" s="178"/>
      <c r="O528" s="178"/>
      <c r="P528" s="178"/>
    </row>
    <row r="529" spans="1:16" ht="14.4" hidden="1" x14ac:dyDescent="0.3">
      <c r="A529" s="162" t="s">
        <v>186</v>
      </c>
      <c r="B529" s="162"/>
      <c r="C529" s="56" t="s">
        <v>19</v>
      </c>
      <c r="D529" s="167"/>
      <c r="E529" s="167"/>
      <c r="F529" s="167"/>
      <c r="G529" s="167"/>
      <c r="H529" s="167"/>
      <c r="I529" s="167"/>
      <c r="J529" s="167"/>
      <c r="K529" s="167"/>
      <c r="L529" s="167"/>
      <c r="M529" s="167"/>
      <c r="N529" s="167"/>
      <c r="O529" s="167"/>
      <c r="P529" s="167"/>
    </row>
    <row r="530" spans="1:16" ht="14.4" hidden="1" x14ac:dyDescent="0.3">
      <c r="A530" s="162" t="s">
        <v>47</v>
      </c>
      <c r="B530" s="162"/>
      <c r="C530" s="56"/>
      <c r="D530" s="171"/>
      <c r="E530" s="171"/>
      <c r="F530" s="171"/>
      <c r="G530" s="171"/>
      <c r="H530" s="171"/>
      <c r="I530" s="171"/>
      <c r="J530" s="171"/>
      <c r="K530" s="171"/>
      <c r="L530" s="171"/>
      <c r="M530" s="171"/>
      <c r="N530" s="171"/>
      <c r="O530" s="171"/>
      <c r="P530" s="171"/>
    </row>
    <row r="531" spans="1:16" ht="14.4" hidden="1" x14ac:dyDescent="0.3">
      <c r="A531" s="55" t="s">
        <v>48</v>
      </c>
      <c r="B531" s="55"/>
      <c r="C531" s="56" t="s">
        <v>19</v>
      </c>
      <c r="D531" s="167"/>
      <c r="E531" s="167"/>
      <c r="F531" s="167"/>
      <c r="G531" s="167"/>
      <c r="H531" s="167"/>
      <c r="I531" s="167"/>
      <c r="J531" s="167"/>
      <c r="K531" s="167"/>
      <c r="L531" s="167"/>
      <c r="M531" s="167"/>
      <c r="N531" s="167"/>
      <c r="O531" s="167"/>
      <c r="P531" s="167"/>
    </row>
    <row r="532" spans="1:16" ht="14.4" hidden="1" x14ac:dyDescent="0.3">
      <c r="A532" s="55" t="s">
        <v>49</v>
      </c>
      <c r="B532" s="55"/>
      <c r="C532" s="56" t="s">
        <v>19</v>
      </c>
      <c r="D532" s="167"/>
      <c r="E532" s="167"/>
      <c r="F532" s="167"/>
      <c r="G532" s="167"/>
      <c r="H532" s="167"/>
      <c r="I532" s="167"/>
      <c r="J532" s="167"/>
      <c r="K532" s="167"/>
      <c r="L532" s="167"/>
      <c r="M532" s="167"/>
      <c r="N532" s="167"/>
      <c r="O532" s="167"/>
      <c r="P532" s="167"/>
    </row>
    <row r="533" spans="1:16" ht="14.4" hidden="1" x14ac:dyDescent="0.3">
      <c r="A533" s="162" t="s">
        <v>52</v>
      </c>
      <c r="B533" s="162"/>
      <c r="C533" s="179"/>
      <c r="D533" s="170"/>
      <c r="E533" s="170"/>
      <c r="F533" s="170"/>
      <c r="G533" s="170"/>
      <c r="H533" s="170"/>
      <c r="I533" s="170"/>
      <c r="J533" s="170"/>
      <c r="K533" s="170"/>
      <c r="L533" s="170"/>
      <c r="M533" s="170"/>
      <c r="N533" s="170"/>
      <c r="O533" s="170"/>
      <c r="P533" s="170"/>
    </row>
    <row r="534" spans="1:16" ht="14.4" hidden="1" x14ac:dyDescent="0.3">
      <c r="A534" s="55" t="s">
        <v>53</v>
      </c>
      <c r="B534" s="55"/>
      <c r="C534" s="56" t="s">
        <v>44</v>
      </c>
      <c r="D534" s="167"/>
      <c r="E534" s="167"/>
      <c r="F534" s="167"/>
      <c r="G534" s="167"/>
      <c r="H534" s="167"/>
      <c r="I534" s="167"/>
      <c r="J534" s="167"/>
      <c r="K534" s="167"/>
      <c r="L534" s="167"/>
      <c r="M534" s="167"/>
      <c r="N534" s="167"/>
      <c r="O534" s="167"/>
      <c r="P534" s="167"/>
    </row>
    <row r="535" spans="1:16" ht="14.4" hidden="1" x14ac:dyDescent="0.3">
      <c r="A535" s="55" t="s">
        <v>54</v>
      </c>
      <c r="B535" s="55"/>
      <c r="C535" s="56" t="s">
        <v>44</v>
      </c>
      <c r="D535" s="167"/>
      <c r="E535" s="167"/>
      <c r="F535" s="167"/>
      <c r="G535" s="167"/>
      <c r="H535" s="167"/>
      <c r="I535" s="167"/>
      <c r="J535" s="167"/>
      <c r="K535" s="167"/>
      <c r="L535" s="167"/>
      <c r="M535" s="167"/>
      <c r="N535" s="167"/>
      <c r="O535" s="167"/>
      <c r="P535" s="167"/>
    </row>
    <row r="536" spans="1:16" ht="14.4" hidden="1" x14ac:dyDescent="0.3">
      <c r="A536" s="55" t="s">
        <v>55</v>
      </c>
      <c r="B536" s="55"/>
      <c r="C536" s="56" t="s">
        <v>44</v>
      </c>
      <c r="D536" s="167"/>
      <c r="E536" s="167"/>
      <c r="F536" s="167"/>
      <c r="G536" s="167"/>
      <c r="H536" s="167"/>
      <c r="I536" s="167"/>
      <c r="J536" s="167"/>
      <c r="K536" s="167"/>
      <c r="L536" s="167"/>
      <c r="M536" s="167"/>
      <c r="N536" s="167"/>
      <c r="O536" s="167"/>
      <c r="P536" s="167"/>
    </row>
    <row r="537" spans="1:16" ht="14.4" hidden="1" x14ac:dyDescent="0.3">
      <c r="A537" s="55" t="s">
        <v>187</v>
      </c>
      <c r="B537" s="55"/>
      <c r="C537" s="56" t="s">
        <v>44</v>
      </c>
      <c r="D537" s="167"/>
      <c r="E537" s="167"/>
      <c r="F537" s="167"/>
      <c r="G537" s="167"/>
      <c r="H537" s="167"/>
      <c r="I537" s="167"/>
      <c r="J537" s="167"/>
      <c r="K537" s="167"/>
      <c r="L537" s="167"/>
      <c r="M537" s="167"/>
      <c r="N537" s="167"/>
      <c r="O537" s="167"/>
      <c r="P537" s="167"/>
    </row>
    <row r="538" spans="1:16" ht="14.4" hidden="1" x14ac:dyDescent="0.3">
      <c r="A538" s="55" t="s">
        <v>188</v>
      </c>
      <c r="B538" s="55"/>
      <c r="C538" s="56" t="s">
        <v>44</v>
      </c>
      <c r="D538" s="167"/>
      <c r="E538" s="167"/>
      <c r="F538" s="167"/>
      <c r="G538" s="167"/>
      <c r="H538" s="167"/>
      <c r="I538" s="167"/>
      <c r="J538" s="167"/>
      <c r="K538" s="167"/>
      <c r="L538" s="167"/>
      <c r="M538" s="167"/>
      <c r="N538" s="167"/>
      <c r="O538" s="167"/>
      <c r="P538" s="167"/>
    </row>
    <row r="539" spans="1:16" ht="14.4" hidden="1" x14ac:dyDescent="0.3">
      <c r="A539" s="55" t="s">
        <v>56</v>
      </c>
      <c r="B539" s="55"/>
      <c r="C539" s="56" t="s">
        <v>44</v>
      </c>
      <c r="D539" s="180"/>
      <c r="E539" s="180"/>
      <c r="F539" s="180"/>
      <c r="G539" s="180"/>
      <c r="H539" s="180"/>
      <c r="I539" s="180"/>
      <c r="J539" s="180"/>
      <c r="K539" s="180"/>
      <c r="L539" s="180"/>
      <c r="M539" s="180"/>
      <c r="N539" s="180"/>
      <c r="O539" s="180"/>
      <c r="P539" s="180"/>
    </row>
    <row r="540" spans="1:16" ht="14.4" hidden="1" x14ac:dyDescent="0.3">
      <c r="A540" s="55" t="s">
        <v>57</v>
      </c>
      <c r="B540" s="55"/>
      <c r="C540" s="56" t="s">
        <v>44</v>
      </c>
      <c r="D540" s="180"/>
      <c r="E540" s="180"/>
      <c r="F540" s="180"/>
      <c r="G540" s="180"/>
      <c r="H540" s="180"/>
      <c r="I540" s="180"/>
      <c r="J540" s="180"/>
      <c r="K540" s="180"/>
      <c r="L540" s="180"/>
      <c r="M540" s="180"/>
      <c r="N540" s="180"/>
      <c r="O540" s="180"/>
      <c r="P540" s="180"/>
    </row>
    <row r="541" spans="1:16" hidden="1" x14ac:dyDescent="0.3"/>
    <row r="542" spans="1:16" ht="18" hidden="1" x14ac:dyDescent="0.35">
      <c r="A542" s="60" t="str">
        <f>'[43]Statistical data'!A230</f>
        <v>Customer Class with mix rate5</v>
      </c>
      <c r="B542" s="59"/>
      <c r="C542" s="5" t="s">
        <v>190</v>
      </c>
      <c r="D542" s="160"/>
      <c r="E542" s="160"/>
      <c r="F542" s="160"/>
      <c r="G542" s="160"/>
      <c r="H542" s="160"/>
      <c r="I542" s="160"/>
      <c r="J542" s="160"/>
      <c r="K542" s="160"/>
      <c r="L542" s="160"/>
      <c r="M542" s="160"/>
      <c r="N542" s="160"/>
      <c r="O542" s="160"/>
      <c r="P542" s="160"/>
    </row>
    <row r="543" spans="1:16" ht="25.5" hidden="1" customHeight="1" x14ac:dyDescent="0.3">
      <c r="A543" s="161" t="s">
        <v>3</v>
      </c>
      <c r="B543" s="161"/>
      <c r="C543" s="161" t="s">
        <v>4</v>
      </c>
      <c r="D543" s="161" t="s">
        <v>15</v>
      </c>
      <c r="E543" s="161" t="s">
        <v>15</v>
      </c>
      <c r="F543" s="161" t="s">
        <v>15</v>
      </c>
      <c r="G543" s="161" t="s">
        <v>15</v>
      </c>
      <c r="H543" s="161" t="s">
        <v>15</v>
      </c>
      <c r="I543" s="161" t="s">
        <v>15</v>
      </c>
      <c r="J543" s="161" t="s">
        <v>15</v>
      </c>
      <c r="K543" s="161" t="s">
        <v>15</v>
      </c>
      <c r="L543" s="161" t="s">
        <v>15</v>
      </c>
      <c r="M543" s="161" t="s">
        <v>15</v>
      </c>
      <c r="N543" s="161" t="s">
        <v>15</v>
      </c>
      <c r="O543" s="161" t="s">
        <v>15</v>
      </c>
      <c r="P543" s="161" t="s">
        <v>15</v>
      </c>
    </row>
    <row r="544" spans="1:16" ht="14.4" hidden="1" x14ac:dyDescent="0.3">
      <c r="A544" s="162" t="s">
        <v>17</v>
      </c>
      <c r="B544" s="163"/>
      <c r="C544" s="56"/>
      <c r="D544" s="164"/>
      <c r="E544" s="164"/>
      <c r="F544" s="164"/>
      <c r="G544" s="164"/>
      <c r="H544" s="164"/>
      <c r="I544" s="164"/>
      <c r="J544" s="164"/>
      <c r="K544" s="164"/>
      <c r="L544" s="164"/>
      <c r="M544" s="164"/>
      <c r="N544" s="164"/>
      <c r="O544" s="164"/>
      <c r="P544" s="164"/>
    </row>
    <row r="545" spans="1:16" ht="14.4" hidden="1" x14ac:dyDescent="0.3">
      <c r="A545" s="55" t="s">
        <v>18</v>
      </c>
      <c r="B545" s="165"/>
      <c r="C545" s="56" t="s">
        <v>19</v>
      </c>
      <c r="D545" s="166"/>
      <c r="E545" s="166"/>
      <c r="F545" s="166"/>
      <c r="G545" s="166"/>
      <c r="H545" s="166"/>
      <c r="I545" s="166"/>
      <c r="J545" s="166"/>
      <c r="K545" s="166"/>
      <c r="L545" s="166"/>
      <c r="M545" s="166"/>
      <c r="N545" s="166"/>
      <c r="O545" s="166"/>
      <c r="P545" s="166"/>
    </row>
    <row r="546" spans="1:16" ht="14.4" hidden="1" x14ac:dyDescent="0.3">
      <c r="A546" s="55" t="s">
        <v>66</v>
      </c>
      <c r="B546" s="165"/>
      <c r="C546" s="56" t="s">
        <v>19</v>
      </c>
      <c r="D546" s="166"/>
      <c r="E546" s="166"/>
      <c r="F546" s="166"/>
      <c r="G546" s="166"/>
      <c r="H546" s="166"/>
      <c r="I546" s="166"/>
      <c r="J546" s="166"/>
      <c r="K546" s="166"/>
      <c r="L546" s="166"/>
      <c r="M546" s="166"/>
      <c r="N546" s="166"/>
      <c r="O546" s="166"/>
      <c r="P546" s="166"/>
    </row>
    <row r="547" spans="1:16" ht="14.4" hidden="1" x14ac:dyDescent="0.3">
      <c r="A547" s="162" t="s">
        <v>20</v>
      </c>
      <c r="B547" s="163"/>
      <c r="C547" s="56"/>
      <c r="D547" s="168"/>
      <c r="E547" s="168"/>
      <c r="F547" s="168"/>
      <c r="G547" s="168"/>
      <c r="H547" s="168"/>
      <c r="I547" s="168"/>
      <c r="J547" s="168"/>
      <c r="K547" s="168"/>
      <c r="L547" s="168"/>
      <c r="M547" s="168"/>
      <c r="N547" s="168"/>
      <c r="O547" s="168"/>
      <c r="P547" s="168"/>
    </row>
    <row r="548" spans="1:16" ht="14.4" hidden="1" x14ac:dyDescent="0.3">
      <c r="A548" s="55" t="s">
        <v>21</v>
      </c>
      <c r="B548" s="165"/>
      <c r="C548" s="56" t="s">
        <v>19</v>
      </c>
      <c r="D548" s="166"/>
      <c r="E548" s="166"/>
      <c r="F548" s="166"/>
      <c r="G548" s="166"/>
      <c r="H548" s="166"/>
      <c r="I548" s="166"/>
      <c r="J548" s="166"/>
      <c r="K548" s="166"/>
      <c r="L548" s="166"/>
      <c r="M548" s="166"/>
      <c r="N548" s="166"/>
      <c r="O548" s="166"/>
      <c r="P548" s="166"/>
    </row>
    <row r="549" spans="1:16" ht="14.4" hidden="1" x14ac:dyDescent="0.3">
      <c r="A549" s="55" t="s">
        <v>22</v>
      </c>
      <c r="B549" s="165"/>
      <c r="C549" s="56" t="s">
        <v>23</v>
      </c>
      <c r="D549" s="166"/>
      <c r="E549" s="166"/>
      <c r="F549" s="166"/>
      <c r="G549" s="166"/>
      <c r="H549" s="166"/>
      <c r="I549" s="166"/>
      <c r="J549" s="166"/>
      <c r="K549" s="166"/>
      <c r="L549" s="166"/>
      <c r="M549" s="166"/>
      <c r="N549" s="166"/>
      <c r="O549" s="166"/>
      <c r="P549" s="166"/>
    </row>
    <row r="550" spans="1:16" ht="14.4" hidden="1" x14ac:dyDescent="0.3">
      <c r="A550" s="162" t="s">
        <v>24</v>
      </c>
      <c r="B550" s="163"/>
      <c r="C550" s="56"/>
      <c r="D550" s="168"/>
      <c r="E550" s="168"/>
      <c r="F550" s="168"/>
      <c r="G550" s="168"/>
      <c r="H550" s="168"/>
      <c r="I550" s="168"/>
      <c r="J550" s="168"/>
      <c r="K550" s="168"/>
      <c r="L550" s="168"/>
      <c r="M550" s="168"/>
      <c r="N550" s="168"/>
      <c r="O550" s="168"/>
      <c r="P550" s="168"/>
    </row>
    <row r="551" spans="1:16" ht="14.4" hidden="1" x14ac:dyDescent="0.3">
      <c r="A551" s="55" t="s">
        <v>25</v>
      </c>
      <c r="B551" s="165"/>
      <c r="C551" s="56" t="s">
        <v>19</v>
      </c>
      <c r="D551" s="166"/>
      <c r="E551" s="166"/>
      <c r="F551" s="166"/>
      <c r="G551" s="166"/>
      <c r="H551" s="166"/>
      <c r="I551" s="166"/>
      <c r="J551" s="166"/>
      <c r="K551" s="166"/>
      <c r="L551" s="166"/>
      <c r="M551" s="166"/>
      <c r="N551" s="166"/>
      <c r="O551" s="166"/>
      <c r="P551" s="166"/>
    </row>
    <row r="552" spans="1:16" ht="14.4" hidden="1" x14ac:dyDescent="0.3">
      <c r="A552" s="162" t="s">
        <v>26</v>
      </c>
      <c r="B552" s="162"/>
      <c r="C552" s="56"/>
      <c r="D552" s="170"/>
      <c r="E552" s="170"/>
      <c r="F552" s="170"/>
      <c r="G552" s="170"/>
      <c r="H552" s="170"/>
      <c r="I552" s="170"/>
      <c r="J552" s="170"/>
      <c r="K552" s="170"/>
      <c r="L552" s="170"/>
      <c r="M552" s="170"/>
      <c r="N552" s="170"/>
      <c r="O552" s="170"/>
      <c r="P552" s="170"/>
    </row>
    <row r="553" spans="1:16" ht="14.4" hidden="1" x14ac:dyDescent="0.3">
      <c r="A553" s="55" t="s">
        <v>27</v>
      </c>
      <c r="B553" s="55"/>
      <c r="C553" s="56" t="s">
        <v>19</v>
      </c>
      <c r="D553" s="167"/>
      <c r="E553" s="167"/>
      <c r="F553" s="167"/>
      <c r="G553" s="167"/>
      <c r="H553" s="167"/>
      <c r="I553" s="167"/>
      <c r="J553" s="167"/>
      <c r="K553" s="167"/>
      <c r="L553" s="167"/>
      <c r="M553" s="167"/>
      <c r="N553" s="167"/>
      <c r="O553" s="167"/>
      <c r="P553" s="167"/>
    </row>
    <row r="554" spans="1:16" ht="14.4" hidden="1" x14ac:dyDescent="0.3">
      <c r="A554" s="55" t="s">
        <v>28</v>
      </c>
      <c r="B554" s="55"/>
      <c r="C554" s="56" t="s">
        <v>23</v>
      </c>
      <c r="D554" s="167"/>
      <c r="E554" s="167"/>
      <c r="F554" s="167"/>
      <c r="G554" s="167"/>
      <c r="H554" s="167"/>
      <c r="I554" s="167"/>
      <c r="J554" s="167"/>
      <c r="K554" s="167"/>
      <c r="L554" s="167"/>
      <c r="M554" s="167"/>
      <c r="N554" s="167"/>
      <c r="O554" s="167"/>
      <c r="P554" s="167"/>
    </row>
    <row r="555" spans="1:16" ht="14.4" hidden="1" x14ac:dyDescent="0.3">
      <c r="A555" s="162" t="s">
        <v>29</v>
      </c>
      <c r="B555" s="162"/>
      <c r="C555" s="56"/>
      <c r="D555" s="171"/>
      <c r="E555" s="171"/>
      <c r="F555" s="171"/>
      <c r="G555" s="171"/>
      <c r="H555" s="171"/>
      <c r="I555" s="171"/>
      <c r="J555" s="171"/>
      <c r="K555" s="171"/>
      <c r="L555" s="171"/>
      <c r="M555" s="171"/>
      <c r="N555" s="171"/>
      <c r="O555" s="171"/>
      <c r="P555" s="171"/>
    </row>
    <row r="556" spans="1:16" ht="14.4" hidden="1" x14ac:dyDescent="0.3">
      <c r="A556" s="55" t="s">
        <v>30</v>
      </c>
      <c r="B556" s="55"/>
      <c r="C556" s="56" t="s">
        <v>19</v>
      </c>
      <c r="D556" s="167"/>
      <c r="E556" s="167"/>
      <c r="F556" s="167"/>
      <c r="G556" s="167"/>
      <c r="H556" s="167"/>
      <c r="I556" s="167"/>
      <c r="J556" s="167"/>
      <c r="K556" s="167"/>
      <c r="L556" s="167"/>
      <c r="M556" s="167"/>
      <c r="N556" s="167"/>
      <c r="O556" s="167"/>
      <c r="P556" s="167"/>
    </row>
    <row r="557" spans="1:16" ht="14.4" hidden="1" x14ac:dyDescent="0.3">
      <c r="A557" s="55" t="s">
        <v>31</v>
      </c>
      <c r="B557" s="55"/>
      <c r="C557" s="56" t="s">
        <v>32</v>
      </c>
      <c r="D557" s="167"/>
      <c r="E557" s="167"/>
      <c r="F557" s="167"/>
      <c r="G557" s="167"/>
      <c r="H557" s="167"/>
      <c r="I557" s="167"/>
      <c r="J557" s="167"/>
      <c r="K557" s="167"/>
      <c r="L557" s="167"/>
      <c r="M557" s="167"/>
      <c r="N557" s="167"/>
      <c r="O557" s="167"/>
      <c r="P557" s="167"/>
    </row>
    <row r="558" spans="1:16" ht="14.4" hidden="1" x14ac:dyDescent="0.3">
      <c r="A558" s="162" t="s">
        <v>33</v>
      </c>
      <c r="B558" s="162"/>
      <c r="C558" s="56"/>
      <c r="D558" s="171"/>
      <c r="E558" s="171"/>
      <c r="F558" s="171"/>
      <c r="G558" s="171"/>
      <c r="H558" s="171"/>
      <c r="I558" s="171"/>
      <c r="J558" s="171"/>
      <c r="K558" s="171"/>
      <c r="L558" s="171"/>
      <c r="M558" s="171"/>
      <c r="N558" s="171"/>
      <c r="O558" s="171"/>
      <c r="P558" s="171"/>
    </row>
    <row r="559" spans="1:16" ht="14.4" hidden="1" x14ac:dyDescent="0.3">
      <c r="A559" s="55" t="s">
        <v>34</v>
      </c>
      <c r="B559" s="55"/>
      <c r="C559" s="56" t="s">
        <v>19</v>
      </c>
      <c r="D559" s="167"/>
      <c r="E559" s="167"/>
      <c r="F559" s="167"/>
      <c r="G559" s="167"/>
      <c r="H559" s="167"/>
      <c r="I559" s="167"/>
      <c r="J559" s="167"/>
      <c r="K559" s="167"/>
      <c r="L559" s="167"/>
      <c r="M559" s="167"/>
      <c r="N559" s="167"/>
      <c r="O559" s="167"/>
      <c r="P559" s="167"/>
    </row>
    <row r="560" spans="1:16" ht="14.4" hidden="1" x14ac:dyDescent="0.3">
      <c r="A560" s="55" t="s">
        <v>35</v>
      </c>
      <c r="B560" s="55"/>
      <c r="C560" s="56" t="s">
        <v>36</v>
      </c>
      <c r="D560" s="167"/>
      <c r="E560" s="167"/>
      <c r="F560" s="167"/>
      <c r="G560" s="167"/>
      <c r="H560" s="167"/>
      <c r="I560" s="167"/>
      <c r="J560" s="167"/>
      <c r="K560" s="167"/>
      <c r="L560" s="167"/>
      <c r="M560" s="167"/>
      <c r="N560" s="167"/>
      <c r="O560" s="167"/>
      <c r="P560" s="167"/>
    </row>
    <row r="561" spans="1:16" ht="14.4" hidden="1" x14ac:dyDescent="0.3">
      <c r="A561" s="162" t="s">
        <v>37</v>
      </c>
      <c r="B561" s="162"/>
      <c r="C561" s="56"/>
      <c r="D561" s="171"/>
      <c r="E561" s="171"/>
      <c r="F561" s="171"/>
      <c r="G561" s="171"/>
      <c r="H561" s="171"/>
      <c r="I561" s="171"/>
      <c r="J561" s="171"/>
      <c r="K561" s="171"/>
      <c r="L561" s="171"/>
      <c r="M561" s="171"/>
      <c r="N561" s="171"/>
      <c r="O561" s="171"/>
      <c r="P561" s="171"/>
    </row>
    <row r="562" spans="1:16" ht="14.4" hidden="1" x14ac:dyDescent="0.3">
      <c r="A562" s="172" t="s">
        <v>38</v>
      </c>
      <c r="B562" s="55"/>
      <c r="C562" s="56" t="s">
        <v>19</v>
      </c>
      <c r="D562" s="167"/>
      <c r="E562" s="167"/>
      <c r="F562" s="167"/>
      <c r="G562" s="167"/>
      <c r="H562" s="167"/>
      <c r="I562" s="167"/>
      <c r="J562" s="167"/>
      <c r="K562" s="167"/>
      <c r="L562" s="167"/>
      <c r="M562" s="167"/>
      <c r="N562" s="167"/>
      <c r="O562" s="167"/>
      <c r="P562" s="167"/>
    </row>
    <row r="563" spans="1:16" ht="14.4" hidden="1" x14ac:dyDescent="0.3">
      <c r="A563" s="172" t="s">
        <v>39</v>
      </c>
      <c r="B563" s="55"/>
      <c r="C563" s="56" t="s">
        <v>19</v>
      </c>
      <c r="D563" s="167"/>
      <c r="E563" s="167"/>
      <c r="F563" s="167"/>
      <c r="G563" s="167"/>
      <c r="H563" s="167"/>
      <c r="I563" s="167"/>
      <c r="J563" s="167"/>
      <c r="K563" s="167"/>
      <c r="L563" s="167"/>
      <c r="M563" s="167"/>
      <c r="N563" s="167"/>
      <c r="O563" s="167"/>
      <c r="P563" s="167"/>
    </row>
    <row r="564" spans="1:16" ht="14.4" hidden="1" x14ac:dyDescent="0.3">
      <c r="A564" s="172" t="s">
        <v>180</v>
      </c>
      <c r="B564" s="55"/>
      <c r="C564" s="56" t="s">
        <v>19</v>
      </c>
      <c r="D564" s="167"/>
      <c r="E564" s="167"/>
      <c r="F564" s="167"/>
      <c r="G564" s="167"/>
      <c r="H564" s="167"/>
      <c r="I564" s="167"/>
      <c r="J564" s="167"/>
      <c r="K564" s="167"/>
      <c r="L564" s="167"/>
      <c r="M564" s="167"/>
      <c r="N564" s="167"/>
      <c r="O564" s="167"/>
      <c r="P564" s="167"/>
    </row>
    <row r="565" spans="1:16" ht="14.4" hidden="1" x14ac:dyDescent="0.3">
      <c r="A565" s="173" t="s">
        <v>40</v>
      </c>
      <c r="B565" s="55"/>
      <c r="C565" s="56" t="s">
        <v>19</v>
      </c>
      <c r="D565" s="167"/>
      <c r="E565" s="167"/>
      <c r="F565" s="167"/>
      <c r="G565" s="167"/>
      <c r="H565" s="167"/>
      <c r="I565" s="167"/>
      <c r="J565" s="167"/>
      <c r="K565" s="167"/>
      <c r="L565" s="167"/>
      <c r="M565" s="167"/>
      <c r="N565" s="167"/>
      <c r="O565" s="167"/>
      <c r="P565" s="167"/>
    </row>
    <row r="566" spans="1:16" ht="14.4" hidden="1" x14ac:dyDescent="0.3">
      <c r="A566" s="173" t="s">
        <v>41</v>
      </c>
      <c r="B566" s="55"/>
      <c r="C566" s="56" t="s">
        <v>19</v>
      </c>
      <c r="D566" s="167"/>
      <c r="E566" s="167"/>
      <c r="F566" s="167"/>
      <c r="G566" s="167"/>
      <c r="H566" s="167"/>
      <c r="I566" s="167"/>
      <c r="J566" s="167"/>
      <c r="K566" s="167"/>
      <c r="L566" s="167"/>
      <c r="M566" s="167"/>
      <c r="N566" s="167"/>
      <c r="O566" s="167"/>
      <c r="P566" s="167"/>
    </row>
    <row r="567" spans="1:16" ht="16.2" hidden="1" x14ac:dyDescent="0.3">
      <c r="A567" s="174" t="s">
        <v>182</v>
      </c>
      <c r="B567" s="175"/>
      <c r="C567" s="56" t="s">
        <v>19</v>
      </c>
      <c r="D567" s="167"/>
      <c r="E567" s="167"/>
      <c r="F567" s="167"/>
      <c r="G567" s="167"/>
      <c r="H567" s="167"/>
      <c r="I567" s="167"/>
      <c r="J567" s="167"/>
      <c r="K567" s="167"/>
      <c r="L567" s="167"/>
      <c r="M567" s="167"/>
      <c r="N567" s="167"/>
      <c r="O567" s="167"/>
      <c r="P567" s="167"/>
    </row>
    <row r="568" spans="1:16" ht="16.2" hidden="1" x14ac:dyDescent="0.3">
      <c r="A568" s="174" t="s">
        <v>182</v>
      </c>
      <c r="B568" s="175"/>
      <c r="C568" s="56" t="s">
        <v>19</v>
      </c>
      <c r="D568" s="167"/>
      <c r="E568" s="167"/>
      <c r="F568" s="167"/>
      <c r="G568" s="167"/>
      <c r="H568" s="167"/>
      <c r="I568" s="167"/>
      <c r="J568" s="167"/>
      <c r="K568" s="167"/>
      <c r="L568" s="167"/>
      <c r="M568" s="167"/>
      <c r="N568" s="167"/>
      <c r="O568" s="167"/>
      <c r="P568" s="167"/>
    </row>
    <row r="569" spans="1:16" ht="16.2" hidden="1" x14ac:dyDescent="0.3">
      <c r="A569" s="174" t="s">
        <v>182</v>
      </c>
      <c r="B569" s="176"/>
      <c r="C569" s="56" t="s">
        <v>19</v>
      </c>
      <c r="D569" s="167"/>
      <c r="E569" s="167"/>
      <c r="F569" s="167"/>
      <c r="G569" s="167"/>
      <c r="H569" s="167"/>
      <c r="I569" s="167"/>
      <c r="J569" s="167"/>
      <c r="K569" s="167"/>
      <c r="L569" s="167"/>
      <c r="M569" s="167"/>
      <c r="N569" s="167"/>
      <c r="O569" s="167"/>
      <c r="P569" s="167"/>
    </row>
    <row r="570" spans="1:16" ht="14.4" hidden="1" x14ac:dyDescent="0.3">
      <c r="A570" s="162" t="s">
        <v>42</v>
      </c>
      <c r="B570" s="162"/>
      <c r="C570" s="56"/>
      <c r="D570" s="171"/>
      <c r="E570" s="171"/>
      <c r="F570" s="171"/>
      <c r="G570" s="171"/>
      <c r="H570" s="171"/>
      <c r="I570" s="171"/>
      <c r="J570" s="171"/>
      <c r="K570" s="171"/>
      <c r="L570" s="171"/>
      <c r="M570" s="171"/>
      <c r="N570" s="171"/>
      <c r="O570" s="171"/>
      <c r="P570" s="171"/>
    </row>
    <row r="571" spans="1:16" ht="14.4" hidden="1" x14ac:dyDescent="0.3">
      <c r="A571" s="162" t="s">
        <v>191</v>
      </c>
      <c r="B571" s="162"/>
      <c r="C571" s="56" t="s">
        <v>44</v>
      </c>
      <c r="D571" s="177"/>
      <c r="E571" s="177"/>
      <c r="F571" s="177"/>
      <c r="G571" s="177"/>
      <c r="H571" s="177"/>
      <c r="I571" s="177"/>
      <c r="J571" s="177"/>
      <c r="K571" s="177"/>
      <c r="L571" s="177"/>
      <c r="M571" s="177"/>
      <c r="N571" s="177"/>
      <c r="O571" s="177"/>
      <c r="P571" s="177"/>
    </row>
    <row r="572" spans="1:16" ht="14.4" hidden="1" x14ac:dyDescent="0.3">
      <c r="A572" s="162" t="s">
        <v>183</v>
      </c>
      <c r="B572" s="162"/>
      <c r="C572" s="56"/>
      <c r="D572" s="178"/>
      <c r="E572" s="178"/>
      <c r="F572" s="178"/>
      <c r="G572" s="178"/>
      <c r="H572" s="178"/>
      <c r="I572" s="178"/>
      <c r="J572" s="178"/>
      <c r="K572" s="178"/>
      <c r="L572" s="178"/>
      <c r="M572" s="178"/>
      <c r="N572" s="178"/>
      <c r="O572" s="178"/>
      <c r="P572" s="178"/>
    </row>
    <row r="573" spans="1:16" ht="14.4" hidden="1" x14ac:dyDescent="0.3">
      <c r="A573" s="162" t="s">
        <v>184</v>
      </c>
      <c r="B573" s="162"/>
      <c r="C573" s="56" t="s">
        <v>19</v>
      </c>
      <c r="D573" s="167"/>
      <c r="E573" s="167"/>
      <c r="F573" s="167"/>
      <c r="G573" s="167"/>
      <c r="H573" s="167"/>
      <c r="I573" s="167"/>
      <c r="J573" s="167"/>
      <c r="K573" s="167"/>
      <c r="L573" s="167"/>
      <c r="M573" s="167"/>
      <c r="N573" s="167"/>
      <c r="O573" s="167"/>
      <c r="P573" s="167"/>
    </row>
    <row r="574" spans="1:16" ht="14.4" hidden="1" x14ac:dyDescent="0.3">
      <c r="A574" s="162" t="s">
        <v>45</v>
      </c>
      <c r="B574" s="162"/>
      <c r="C574" s="56"/>
      <c r="D574" s="178"/>
      <c r="E574" s="178"/>
      <c r="F574" s="178"/>
      <c r="G574" s="178"/>
      <c r="H574" s="178"/>
      <c r="I574" s="178"/>
      <c r="J574" s="178"/>
      <c r="K574" s="178"/>
      <c r="L574" s="178"/>
      <c r="M574" s="178"/>
      <c r="N574" s="178"/>
      <c r="O574" s="178"/>
      <c r="P574" s="178"/>
    </row>
    <row r="575" spans="1:16" ht="14.4" hidden="1" x14ac:dyDescent="0.3">
      <c r="A575" s="162" t="s">
        <v>46</v>
      </c>
      <c r="B575" s="162"/>
      <c r="C575" s="56" t="s">
        <v>19</v>
      </c>
      <c r="D575" s="167"/>
      <c r="E575" s="167"/>
      <c r="F575" s="167"/>
      <c r="G575" s="167"/>
      <c r="H575" s="167"/>
      <c r="I575" s="167"/>
      <c r="J575" s="167"/>
      <c r="K575" s="167"/>
      <c r="L575" s="167"/>
      <c r="M575" s="167"/>
      <c r="N575" s="167"/>
      <c r="O575" s="167"/>
      <c r="P575" s="167"/>
    </row>
    <row r="576" spans="1:16" ht="14.4" hidden="1" x14ac:dyDescent="0.3">
      <c r="A576" s="162" t="s">
        <v>185</v>
      </c>
      <c r="B576" s="162"/>
      <c r="C576" s="56"/>
      <c r="D576" s="178"/>
      <c r="E576" s="178"/>
      <c r="F576" s="178"/>
      <c r="G576" s="178"/>
      <c r="H576" s="178"/>
      <c r="I576" s="178"/>
      <c r="J576" s="178"/>
      <c r="K576" s="178"/>
      <c r="L576" s="178"/>
      <c r="M576" s="178"/>
      <c r="N576" s="178"/>
      <c r="O576" s="178"/>
      <c r="P576" s="178"/>
    </row>
    <row r="577" spans="1:16" ht="14.4" hidden="1" x14ac:dyDescent="0.3">
      <c r="A577" s="162" t="s">
        <v>186</v>
      </c>
      <c r="B577" s="162"/>
      <c r="C577" s="56" t="s">
        <v>19</v>
      </c>
      <c r="D577" s="167"/>
      <c r="E577" s="167"/>
      <c r="F577" s="167"/>
      <c r="G577" s="167"/>
      <c r="H577" s="167"/>
      <c r="I577" s="167"/>
      <c r="J577" s="167"/>
      <c r="K577" s="167"/>
      <c r="L577" s="167"/>
      <c r="M577" s="167"/>
      <c r="N577" s="167"/>
      <c r="O577" s="167"/>
      <c r="P577" s="167"/>
    </row>
    <row r="578" spans="1:16" ht="14.4" hidden="1" x14ac:dyDescent="0.3">
      <c r="A578" s="162" t="s">
        <v>47</v>
      </c>
      <c r="B578" s="162"/>
      <c r="C578" s="56"/>
      <c r="D578" s="171"/>
      <c r="E578" s="171"/>
      <c r="F578" s="171"/>
      <c r="G578" s="171"/>
      <c r="H578" s="171"/>
      <c r="I578" s="171"/>
      <c r="J578" s="171"/>
      <c r="K578" s="171"/>
      <c r="L578" s="171"/>
      <c r="M578" s="171"/>
      <c r="N578" s="171"/>
      <c r="O578" s="171"/>
      <c r="P578" s="171"/>
    </row>
    <row r="579" spans="1:16" ht="14.4" hidden="1" x14ac:dyDescent="0.3">
      <c r="A579" s="55" t="s">
        <v>48</v>
      </c>
      <c r="B579" s="55"/>
      <c r="C579" s="56" t="s">
        <v>19</v>
      </c>
      <c r="D579" s="167"/>
      <c r="E579" s="167"/>
      <c r="F579" s="167"/>
      <c r="G579" s="167"/>
      <c r="H579" s="167"/>
      <c r="I579" s="167"/>
      <c r="J579" s="167"/>
      <c r="K579" s="167"/>
      <c r="L579" s="167"/>
      <c r="M579" s="167"/>
      <c r="N579" s="167"/>
      <c r="O579" s="167"/>
      <c r="P579" s="167"/>
    </row>
    <row r="580" spans="1:16" ht="14.4" hidden="1" x14ac:dyDescent="0.3">
      <c r="A580" s="55" t="s">
        <v>49</v>
      </c>
      <c r="B580" s="55"/>
      <c r="C580" s="56" t="s">
        <v>19</v>
      </c>
      <c r="D580" s="167"/>
      <c r="E580" s="167"/>
      <c r="F580" s="167"/>
      <c r="G580" s="167"/>
      <c r="H580" s="167"/>
      <c r="I580" s="167"/>
      <c r="J580" s="167"/>
      <c r="K580" s="167"/>
      <c r="L580" s="167"/>
      <c r="M580" s="167"/>
      <c r="N580" s="167"/>
      <c r="O580" s="167"/>
      <c r="P580" s="167"/>
    </row>
    <row r="581" spans="1:16" ht="14.4" hidden="1" x14ac:dyDescent="0.3">
      <c r="A581" s="162" t="s">
        <v>52</v>
      </c>
      <c r="B581" s="162"/>
      <c r="C581" s="179"/>
      <c r="D581" s="170"/>
      <c r="E581" s="170"/>
      <c r="F581" s="170"/>
      <c r="G581" s="170"/>
      <c r="H581" s="170"/>
      <c r="I581" s="170"/>
      <c r="J581" s="170"/>
      <c r="K581" s="170"/>
      <c r="L581" s="170"/>
      <c r="M581" s="170"/>
      <c r="N581" s="170"/>
      <c r="O581" s="170"/>
      <c r="P581" s="170"/>
    </row>
    <row r="582" spans="1:16" ht="14.4" hidden="1" x14ac:dyDescent="0.3">
      <c r="A582" s="55" t="s">
        <v>53</v>
      </c>
      <c r="B582" s="55"/>
      <c r="C582" s="56" t="s">
        <v>44</v>
      </c>
      <c r="D582" s="167"/>
      <c r="E582" s="167"/>
      <c r="F582" s="167"/>
      <c r="G582" s="167"/>
      <c r="H582" s="167"/>
      <c r="I582" s="167"/>
      <c r="J582" s="167"/>
      <c r="K582" s="167"/>
      <c r="L582" s="167"/>
      <c r="M582" s="167"/>
      <c r="N582" s="167"/>
      <c r="O582" s="167"/>
      <c r="P582" s="167"/>
    </row>
    <row r="583" spans="1:16" ht="14.4" hidden="1" x14ac:dyDescent="0.3">
      <c r="A583" s="55" t="s">
        <v>54</v>
      </c>
      <c r="B583" s="55"/>
      <c r="C583" s="56" t="s">
        <v>44</v>
      </c>
      <c r="D583" s="167"/>
      <c r="E583" s="167"/>
      <c r="F583" s="167"/>
      <c r="G583" s="167"/>
      <c r="H583" s="167"/>
      <c r="I583" s="167"/>
      <c r="J583" s="167"/>
      <c r="K583" s="167"/>
      <c r="L583" s="167"/>
      <c r="M583" s="167"/>
      <c r="N583" s="167"/>
      <c r="O583" s="167"/>
      <c r="P583" s="167"/>
    </row>
    <row r="584" spans="1:16" ht="14.4" hidden="1" x14ac:dyDescent="0.3">
      <c r="A584" s="55" t="s">
        <v>55</v>
      </c>
      <c r="B584" s="55"/>
      <c r="C584" s="56" t="s">
        <v>44</v>
      </c>
      <c r="D584" s="167"/>
      <c r="E584" s="167"/>
      <c r="F584" s="167"/>
      <c r="G584" s="167"/>
      <c r="H584" s="167"/>
      <c r="I584" s="167"/>
      <c r="J584" s="167"/>
      <c r="K584" s="167"/>
      <c r="L584" s="167"/>
      <c r="M584" s="167"/>
      <c r="N584" s="167"/>
      <c r="O584" s="167"/>
      <c r="P584" s="167"/>
    </row>
    <row r="585" spans="1:16" ht="14.4" hidden="1" x14ac:dyDescent="0.3">
      <c r="A585" s="55" t="s">
        <v>187</v>
      </c>
      <c r="B585" s="55"/>
      <c r="C585" s="56" t="s">
        <v>44</v>
      </c>
      <c r="D585" s="167"/>
      <c r="E585" s="167"/>
      <c r="F585" s="167"/>
      <c r="G585" s="167"/>
      <c r="H585" s="167"/>
      <c r="I585" s="167"/>
      <c r="J585" s="167"/>
      <c r="K585" s="167"/>
      <c r="L585" s="167"/>
      <c r="M585" s="167"/>
      <c r="N585" s="167"/>
      <c r="O585" s="167"/>
      <c r="P585" s="167"/>
    </row>
    <row r="586" spans="1:16" ht="14.4" hidden="1" x14ac:dyDescent="0.3">
      <c r="A586" s="55" t="s">
        <v>188</v>
      </c>
      <c r="B586" s="55"/>
      <c r="C586" s="56" t="s">
        <v>44</v>
      </c>
      <c r="D586" s="167"/>
      <c r="E586" s="167"/>
      <c r="F586" s="167"/>
      <c r="G586" s="167"/>
      <c r="H586" s="167"/>
      <c r="I586" s="167"/>
      <c r="J586" s="167"/>
      <c r="K586" s="167"/>
      <c r="L586" s="167"/>
      <c r="M586" s="167"/>
      <c r="N586" s="167"/>
      <c r="O586" s="167"/>
      <c r="P586" s="167"/>
    </row>
    <row r="587" spans="1:16" ht="14.4" hidden="1" x14ac:dyDescent="0.3">
      <c r="A587" s="55" t="s">
        <v>56</v>
      </c>
      <c r="B587" s="55"/>
      <c r="C587" s="56" t="s">
        <v>44</v>
      </c>
      <c r="D587" s="180"/>
      <c r="E587" s="180"/>
      <c r="F587" s="180"/>
      <c r="G587" s="180"/>
      <c r="H587" s="180"/>
      <c r="I587" s="180"/>
      <c r="J587" s="180"/>
      <c r="K587" s="180"/>
      <c r="L587" s="180"/>
      <c r="M587" s="180"/>
      <c r="N587" s="180"/>
      <c r="O587" s="180"/>
      <c r="P587" s="180"/>
    </row>
    <row r="588" spans="1:16" ht="14.4" hidden="1" x14ac:dyDescent="0.3">
      <c r="A588" s="55" t="s">
        <v>57</v>
      </c>
      <c r="B588" s="55"/>
      <c r="C588" s="56" t="s">
        <v>44</v>
      </c>
      <c r="D588" s="180"/>
      <c r="E588" s="180"/>
      <c r="F588" s="180"/>
      <c r="G588" s="180"/>
      <c r="H588" s="180"/>
      <c r="I588" s="180"/>
      <c r="J588" s="180"/>
      <c r="K588" s="180"/>
      <c r="L588" s="180"/>
      <c r="M588" s="180"/>
      <c r="N588" s="180"/>
      <c r="O588" s="180"/>
      <c r="P588" s="180"/>
    </row>
    <row r="589" spans="1:16" ht="14.4" hidden="1" x14ac:dyDescent="0.3">
      <c r="D589" s="58"/>
      <c r="E589" s="58"/>
      <c r="F589" s="58"/>
      <c r="G589" s="58"/>
      <c r="H589" s="58"/>
      <c r="I589" s="58"/>
      <c r="J589" s="58"/>
      <c r="K589" s="58"/>
      <c r="L589" s="58"/>
      <c r="M589" s="58"/>
      <c r="N589" s="58"/>
      <c r="O589" s="58"/>
      <c r="P589" s="58"/>
    </row>
    <row r="590" spans="1:16" ht="18" hidden="1" x14ac:dyDescent="0.35">
      <c r="A590" s="59" t="str">
        <f>'[43]Statistical data'!A231</f>
        <v>Customer Class with mix rate6</v>
      </c>
      <c r="C590" s="5" t="s">
        <v>190</v>
      </c>
      <c r="D590" s="160"/>
      <c r="E590" s="160"/>
      <c r="F590" s="160"/>
      <c r="G590" s="160"/>
      <c r="H590" s="160"/>
      <c r="I590" s="160"/>
      <c r="J590" s="160"/>
      <c r="K590" s="160"/>
      <c r="L590" s="160"/>
      <c r="M590" s="160"/>
      <c r="N590" s="160"/>
      <c r="O590" s="160"/>
      <c r="P590" s="160"/>
    </row>
    <row r="591" spans="1:16" ht="14.4" hidden="1" x14ac:dyDescent="0.3">
      <c r="A591" s="161" t="s">
        <v>3</v>
      </c>
      <c r="B591" s="161"/>
      <c r="C591" s="161" t="s">
        <v>4</v>
      </c>
      <c r="D591" s="161" t="s">
        <v>15</v>
      </c>
      <c r="E591" s="161" t="s">
        <v>15</v>
      </c>
      <c r="F591" s="161" t="s">
        <v>15</v>
      </c>
      <c r="G591" s="161" t="s">
        <v>15</v>
      </c>
      <c r="H591" s="161" t="s">
        <v>15</v>
      </c>
      <c r="I591" s="161" t="s">
        <v>15</v>
      </c>
      <c r="J591" s="161" t="s">
        <v>15</v>
      </c>
      <c r="K591" s="161" t="s">
        <v>15</v>
      </c>
      <c r="L591" s="161" t="s">
        <v>15</v>
      </c>
      <c r="M591" s="161" t="s">
        <v>15</v>
      </c>
      <c r="N591" s="161" t="s">
        <v>15</v>
      </c>
      <c r="O591" s="161" t="s">
        <v>15</v>
      </c>
      <c r="P591" s="161" t="s">
        <v>15</v>
      </c>
    </row>
    <row r="592" spans="1:16" ht="14.4" hidden="1" x14ac:dyDescent="0.3">
      <c r="A592" s="162" t="s">
        <v>17</v>
      </c>
      <c r="B592" s="163"/>
      <c r="C592" s="56"/>
      <c r="D592" s="164"/>
      <c r="E592" s="164"/>
      <c r="F592" s="164"/>
      <c r="G592" s="164"/>
      <c r="H592" s="164"/>
      <c r="I592" s="164"/>
      <c r="J592" s="164"/>
      <c r="K592" s="164"/>
      <c r="L592" s="164"/>
      <c r="M592" s="164"/>
      <c r="N592" s="164"/>
      <c r="O592" s="164"/>
      <c r="P592" s="164"/>
    </row>
    <row r="593" spans="1:16" ht="14.4" hidden="1" x14ac:dyDescent="0.3">
      <c r="A593" s="55" t="s">
        <v>18</v>
      </c>
      <c r="B593" s="165"/>
      <c r="C593" s="56" t="s">
        <v>19</v>
      </c>
      <c r="D593" s="166"/>
      <c r="E593" s="166"/>
      <c r="F593" s="166"/>
      <c r="G593" s="166"/>
      <c r="H593" s="166"/>
      <c r="I593" s="166"/>
      <c r="J593" s="166"/>
      <c r="K593" s="166"/>
      <c r="L593" s="166"/>
      <c r="M593" s="166"/>
      <c r="N593" s="166"/>
      <c r="O593" s="166"/>
      <c r="P593" s="166"/>
    </row>
    <row r="594" spans="1:16" ht="14.4" hidden="1" x14ac:dyDescent="0.3">
      <c r="A594" s="55" t="s">
        <v>66</v>
      </c>
      <c r="B594" s="165"/>
      <c r="C594" s="56" t="s">
        <v>19</v>
      </c>
      <c r="D594" s="166"/>
      <c r="E594" s="166"/>
      <c r="F594" s="166"/>
      <c r="G594" s="166"/>
      <c r="H594" s="166"/>
      <c r="I594" s="166"/>
      <c r="J594" s="166"/>
      <c r="K594" s="166"/>
      <c r="L594" s="166"/>
      <c r="M594" s="166"/>
      <c r="N594" s="166"/>
      <c r="O594" s="166"/>
      <c r="P594" s="166"/>
    </row>
    <row r="595" spans="1:16" ht="14.4" hidden="1" x14ac:dyDescent="0.3">
      <c r="A595" s="162" t="s">
        <v>20</v>
      </c>
      <c r="B595" s="163"/>
      <c r="C595" s="56"/>
      <c r="D595" s="168"/>
      <c r="E595" s="168"/>
      <c r="F595" s="168"/>
      <c r="G595" s="168"/>
      <c r="H595" s="168"/>
      <c r="I595" s="168"/>
      <c r="J595" s="168"/>
      <c r="K595" s="168"/>
      <c r="L595" s="168"/>
      <c r="M595" s="168"/>
      <c r="N595" s="168"/>
      <c r="O595" s="168"/>
      <c r="P595" s="168"/>
    </row>
    <row r="596" spans="1:16" ht="14.4" hidden="1" x14ac:dyDescent="0.3">
      <c r="A596" s="55" t="s">
        <v>21</v>
      </c>
      <c r="B596" s="165"/>
      <c r="C596" s="56" t="s">
        <v>19</v>
      </c>
      <c r="D596" s="166"/>
      <c r="E596" s="166"/>
      <c r="F596" s="166"/>
      <c r="G596" s="166"/>
      <c r="H596" s="166"/>
      <c r="I596" s="166"/>
      <c r="J596" s="166"/>
      <c r="K596" s="166"/>
      <c r="L596" s="166"/>
      <c r="M596" s="166"/>
      <c r="N596" s="166"/>
      <c r="O596" s="166"/>
      <c r="P596" s="166"/>
    </row>
    <row r="597" spans="1:16" ht="14.4" hidden="1" x14ac:dyDescent="0.3">
      <c r="A597" s="55" t="s">
        <v>22</v>
      </c>
      <c r="B597" s="165"/>
      <c r="C597" s="56" t="s">
        <v>23</v>
      </c>
      <c r="D597" s="166"/>
      <c r="E597" s="166"/>
      <c r="F597" s="166"/>
      <c r="G597" s="166"/>
      <c r="H597" s="166"/>
      <c r="I597" s="166"/>
      <c r="J597" s="166"/>
      <c r="K597" s="166"/>
      <c r="L597" s="166"/>
      <c r="M597" s="166"/>
      <c r="N597" s="166"/>
      <c r="O597" s="166"/>
      <c r="P597" s="166"/>
    </row>
    <row r="598" spans="1:16" ht="14.4" hidden="1" x14ac:dyDescent="0.3">
      <c r="A598" s="162" t="s">
        <v>24</v>
      </c>
      <c r="B598" s="163"/>
      <c r="C598" s="56"/>
      <c r="D598" s="168"/>
      <c r="E598" s="168"/>
      <c r="F598" s="168"/>
      <c r="G598" s="168"/>
      <c r="H598" s="168"/>
      <c r="I598" s="168"/>
      <c r="J598" s="168"/>
      <c r="K598" s="168"/>
      <c r="L598" s="168"/>
      <c r="M598" s="168"/>
      <c r="N598" s="168"/>
      <c r="O598" s="168"/>
      <c r="P598" s="168"/>
    </row>
    <row r="599" spans="1:16" ht="14.4" hidden="1" x14ac:dyDescent="0.3">
      <c r="A599" s="55" t="s">
        <v>25</v>
      </c>
      <c r="B599" s="165"/>
      <c r="C599" s="56" t="s">
        <v>19</v>
      </c>
      <c r="D599" s="166"/>
      <c r="E599" s="166"/>
      <c r="F599" s="166"/>
      <c r="G599" s="166"/>
      <c r="H599" s="166"/>
      <c r="I599" s="166"/>
      <c r="J599" s="166"/>
      <c r="K599" s="166"/>
      <c r="L599" s="166"/>
      <c r="M599" s="166"/>
      <c r="N599" s="166"/>
      <c r="O599" s="166"/>
      <c r="P599" s="166"/>
    </row>
    <row r="600" spans="1:16" ht="14.4" hidden="1" x14ac:dyDescent="0.3">
      <c r="A600" s="162" t="s">
        <v>26</v>
      </c>
      <c r="B600" s="162"/>
      <c r="C600" s="56"/>
      <c r="D600" s="170"/>
      <c r="E600" s="170"/>
      <c r="F600" s="170"/>
      <c r="G600" s="170"/>
      <c r="H600" s="170"/>
      <c r="I600" s="170"/>
      <c r="J600" s="170"/>
      <c r="K600" s="170"/>
      <c r="L600" s="170"/>
      <c r="M600" s="170"/>
      <c r="N600" s="170"/>
      <c r="O600" s="170"/>
      <c r="P600" s="170"/>
    </row>
    <row r="601" spans="1:16" ht="14.4" hidden="1" x14ac:dyDescent="0.3">
      <c r="A601" s="55" t="s">
        <v>27</v>
      </c>
      <c r="B601" s="55"/>
      <c r="C601" s="56" t="s">
        <v>19</v>
      </c>
      <c r="D601" s="167"/>
      <c r="E601" s="167"/>
      <c r="F601" s="167"/>
      <c r="G601" s="167"/>
      <c r="H601" s="167"/>
      <c r="I601" s="167"/>
      <c r="J601" s="167"/>
      <c r="K601" s="167"/>
      <c r="L601" s="167"/>
      <c r="M601" s="167"/>
      <c r="N601" s="167"/>
      <c r="O601" s="167"/>
      <c r="P601" s="167"/>
    </row>
    <row r="602" spans="1:16" ht="14.4" hidden="1" x14ac:dyDescent="0.3">
      <c r="A602" s="55" t="s">
        <v>28</v>
      </c>
      <c r="B602" s="55"/>
      <c r="C602" s="56" t="s">
        <v>23</v>
      </c>
      <c r="D602" s="167"/>
      <c r="E602" s="167"/>
      <c r="F602" s="167"/>
      <c r="G602" s="167"/>
      <c r="H602" s="167"/>
      <c r="I602" s="167"/>
      <c r="J602" s="167"/>
      <c r="K602" s="167"/>
      <c r="L602" s="167"/>
      <c r="M602" s="167"/>
      <c r="N602" s="167"/>
      <c r="O602" s="167"/>
      <c r="P602" s="167"/>
    </row>
    <row r="603" spans="1:16" ht="14.4" hidden="1" x14ac:dyDescent="0.3">
      <c r="A603" s="162" t="s">
        <v>29</v>
      </c>
      <c r="B603" s="162"/>
      <c r="C603" s="56"/>
      <c r="D603" s="171"/>
      <c r="E603" s="171"/>
      <c r="F603" s="171"/>
      <c r="G603" s="171"/>
      <c r="H603" s="171"/>
      <c r="I603" s="171"/>
      <c r="J603" s="171"/>
      <c r="K603" s="171"/>
      <c r="L603" s="171"/>
      <c r="M603" s="171"/>
      <c r="N603" s="171"/>
      <c r="O603" s="171"/>
      <c r="P603" s="171"/>
    </row>
    <row r="604" spans="1:16" ht="14.4" hidden="1" x14ac:dyDescent="0.3">
      <c r="A604" s="55" t="s">
        <v>30</v>
      </c>
      <c r="B604" s="55"/>
      <c r="C604" s="56" t="s">
        <v>19</v>
      </c>
      <c r="D604" s="167"/>
      <c r="E604" s="167"/>
      <c r="F604" s="167"/>
      <c r="G604" s="167"/>
      <c r="H604" s="167"/>
      <c r="I604" s="167"/>
      <c r="J604" s="167"/>
      <c r="K604" s="167"/>
      <c r="L604" s="167"/>
      <c r="M604" s="167"/>
      <c r="N604" s="167"/>
      <c r="O604" s="167"/>
      <c r="P604" s="167"/>
    </row>
    <row r="605" spans="1:16" ht="14.4" hidden="1" x14ac:dyDescent="0.3">
      <c r="A605" s="55" t="s">
        <v>31</v>
      </c>
      <c r="B605" s="55"/>
      <c r="C605" s="56" t="s">
        <v>32</v>
      </c>
      <c r="D605" s="167"/>
      <c r="E605" s="167"/>
      <c r="F605" s="167"/>
      <c r="G605" s="167"/>
      <c r="H605" s="167"/>
      <c r="I605" s="167"/>
      <c r="J605" s="167"/>
      <c r="K605" s="167"/>
      <c r="L605" s="167"/>
      <c r="M605" s="167"/>
      <c r="N605" s="167"/>
      <c r="O605" s="167"/>
      <c r="P605" s="167"/>
    </row>
    <row r="606" spans="1:16" ht="14.4" hidden="1" x14ac:dyDescent="0.3">
      <c r="A606" s="162" t="s">
        <v>33</v>
      </c>
      <c r="B606" s="162"/>
      <c r="C606" s="56"/>
      <c r="D606" s="171"/>
      <c r="E606" s="171"/>
      <c r="F606" s="171"/>
      <c r="G606" s="171"/>
      <c r="H606" s="171"/>
      <c r="I606" s="171"/>
      <c r="J606" s="171"/>
      <c r="K606" s="171"/>
      <c r="L606" s="171"/>
      <c r="M606" s="171"/>
      <c r="N606" s="171"/>
      <c r="O606" s="171"/>
      <c r="P606" s="171"/>
    </row>
    <row r="607" spans="1:16" ht="14.4" hidden="1" x14ac:dyDescent="0.3">
      <c r="A607" s="55" t="s">
        <v>34</v>
      </c>
      <c r="B607" s="55"/>
      <c r="C607" s="56" t="s">
        <v>19</v>
      </c>
      <c r="D607" s="167"/>
      <c r="E607" s="167"/>
      <c r="F607" s="167"/>
      <c r="G607" s="167"/>
      <c r="H607" s="167"/>
      <c r="I607" s="167"/>
      <c r="J607" s="167"/>
      <c r="K607" s="167"/>
      <c r="L607" s="167"/>
      <c r="M607" s="167"/>
      <c r="N607" s="167"/>
      <c r="O607" s="167"/>
      <c r="P607" s="167"/>
    </row>
    <row r="608" spans="1:16" ht="14.4" hidden="1" x14ac:dyDescent="0.3">
      <c r="A608" s="55" t="s">
        <v>35</v>
      </c>
      <c r="B608" s="55"/>
      <c r="C608" s="56" t="s">
        <v>36</v>
      </c>
      <c r="D608" s="167"/>
      <c r="E608" s="167"/>
      <c r="F608" s="167"/>
      <c r="G608" s="167"/>
      <c r="H608" s="167"/>
      <c r="I608" s="167"/>
      <c r="J608" s="167"/>
      <c r="K608" s="167"/>
      <c r="L608" s="167"/>
      <c r="M608" s="167"/>
      <c r="N608" s="167"/>
      <c r="O608" s="167"/>
      <c r="P608" s="167"/>
    </row>
    <row r="609" spans="1:16" ht="14.4" hidden="1" x14ac:dyDescent="0.3">
      <c r="A609" s="162" t="s">
        <v>37</v>
      </c>
      <c r="B609" s="162"/>
      <c r="C609" s="56"/>
      <c r="D609" s="171"/>
      <c r="E609" s="171"/>
      <c r="F609" s="171"/>
      <c r="G609" s="171"/>
      <c r="H609" s="171"/>
      <c r="I609" s="171"/>
      <c r="J609" s="171"/>
      <c r="K609" s="171"/>
      <c r="L609" s="171"/>
      <c r="M609" s="171"/>
      <c r="N609" s="171"/>
      <c r="O609" s="171"/>
      <c r="P609" s="171"/>
    </row>
    <row r="610" spans="1:16" ht="14.4" hidden="1" x14ac:dyDescent="0.3">
      <c r="A610" s="172" t="s">
        <v>38</v>
      </c>
      <c r="B610" s="55"/>
      <c r="C610" s="56" t="s">
        <v>19</v>
      </c>
      <c r="D610" s="167"/>
      <c r="E610" s="167"/>
      <c r="F610" s="167"/>
      <c r="G610" s="167"/>
      <c r="H610" s="167"/>
      <c r="I610" s="167"/>
      <c r="J610" s="167"/>
      <c r="K610" s="167"/>
      <c r="L610" s="167"/>
      <c r="M610" s="167"/>
      <c r="N610" s="167"/>
      <c r="O610" s="167"/>
      <c r="P610" s="167"/>
    </row>
    <row r="611" spans="1:16" ht="14.4" hidden="1" x14ac:dyDescent="0.3">
      <c r="A611" s="172" t="s">
        <v>39</v>
      </c>
      <c r="B611" s="55"/>
      <c r="C611" s="56" t="s">
        <v>19</v>
      </c>
      <c r="D611" s="167"/>
      <c r="E611" s="167"/>
      <c r="F611" s="167"/>
      <c r="G611" s="167"/>
      <c r="H611" s="167"/>
      <c r="I611" s="167"/>
      <c r="J611" s="167"/>
      <c r="K611" s="167"/>
      <c r="L611" s="167"/>
      <c r="M611" s="167"/>
      <c r="N611" s="167"/>
      <c r="O611" s="167"/>
      <c r="P611" s="167"/>
    </row>
    <row r="612" spans="1:16" ht="14.4" hidden="1" x14ac:dyDescent="0.3">
      <c r="A612" s="172" t="s">
        <v>180</v>
      </c>
      <c r="B612" s="55"/>
      <c r="C612" s="56" t="s">
        <v>19</v>
      </c>
      <c r="D612" s="167"/>
      <c r="E612" s="167"/>
      <c r="F612" s="167"/>
      <c r="G612" s="167"/>
      <c r="H612" s="167"/>
      <c r="I612" s="167"/>
      <c r="J612" s="167"/>
      <c r="K612" s="167"/>
      <c r="L612" s="167"/>
      <c r="M612" s="167"/>
      <c r="N612" s="167"/>
      <c r="O612" s="167"/>
      <c r="P612" s="167"/>
    </row>
    <row r="613" spans="1:16" ht="14.4" hidden="1" x14ac:dyDescent="0.3">
      <c r="A613" s="173" t="s">
        <v>40</v>
      </c>
      <c r="B613" s="55"/>
      <c r="C613" s="56" t="s">
        <v>19</v>
      </c>
      <c r="D613" s="167"/>
      <c r="E613" s="167"/>
      <c r="F613" s="167"/>
      <c r="G613" s="167"/>
      <c r="H613" s="167"/>
      <c r="I613" s="167"/>
      <c r="J613" s="167"/>
      <c r="K613" s="167"/>
      <c r="L613" s="167"/>
      <c r="M613" s="167"/>
      <c r="N613" s="167"/>
      <c r="O613" s="167"/>
      <c r="P613" s="167"/>
    </row>
    <row r="614" spans="1:16" ht="14.4" hidden="1" x14ac:dyDescent="0.3">
      <c r="A614" s="173" t="s">
        <v>41</v>
      </c>
      <c r="B614" s="55"/>
      <c r="C614" s="56" t="s">
        <v>19</v>
      </c>
      <c r="D614" s="167"/>
      <c r="E614" s="167"/>
      <c r="F614" s="167"/>
      <c r="G614" s="167"/>
      <c r="H614" s="167"/>
      <c r="I614" s="167"/>
      <c r="J614" s="167"/>
      <c r="K614" s="167"/>
      <c r="L614" s="167"/>
      <c r="M614" s="167"/>
      <c r="N614" s="167"/>
      <c r="O614" s="167"/>
      <c r="P614" s="167"/>
    </row>
    <row r="615" spans="1:16" ht="16.2" hidden="1" x14ac:dyDescent="0.3">
      <c r="A615" s="174" t="s">
        <v>182</v>
      </c>
      <c r="B615" s="175"/>
      <c r="C615" s="56" t="s">
        <v>19</v>
      </c>
      <c r="D615" s="167"/>
      <c r="E615" s="167"/>
      <c r="F615" s="167"/>
      <c r="G615" s="167"/>
      <c r="H615" s="167"/>
      <c r="I615" s="167"/>
      <c r="J615" s="167"/>
      <c r="K615" s="167"/>
      <c r="L615" s="167"/>
      <c r="M615" s="167"/>
      <c r="N615" s="167"/>
      <c r="O615" s="167"/>
      <c r="P615" s="167"/>
    </row>
    <row r="616" spans="1:16" ht="16.2" hidden="1" x14ac:dyDescent="0.3">
      <c r="A616" s="174" t="s">
        <v>182</v>
      </c>
      <c r="B616" s="175"/>
      <c r="C616" s="56" t="s">
        <v>19</v>
      </c>
      <c r="D616" s="167"/>
      <c r="E616" s="167"/>
      <c r="F616" s="167"/>
      <c r="G616" s="167"/>
      <c r="H616" s="167"/>
      <c r="I616" s="167"/>
      <c r="J616" s="167"/>
      <c r="K616" s="167"/>
      <c r="L616" s="167"/>
      <c r="M616" s="167"/>
      <c r="N616" s="167"/>
      <c r="O616" s="167"/>
      <c r="P616" s="167"/>
    </row>
    <row r="617" spans="1:16" ht="16.2" hidden="1" x14ac:dyDescent="0.3">
      <c r="A617" s="174" t="s">
        <v>182</v>
      </c>
      <c r="B617" s="176"/>
      <c r="C617" s="56" t="s">
        <v>19</v>
      </c>
      <c r="D617" s="167"/>
      <c r="E617" s="167"/>
      <c r="F617" s="167"/>
      <c r="G617" s="167"/>
      <c r="H617" s="167"/>
      <c r="I617" s="167"/>
      <c r="J617" s="167"/>
      <c r="K617" s="167"/>
      <c r="L617" s="167"/>
      <c r="M617" s="167"/>
      <c r="N617" s="167"/>
      <c r="O617" s="167"/>
      <c r="P617" s="167"/>
    </row>
    <row r="618" spans="1:16" ht="14.4" hidden="1" x14ac:dyDescent="0.3">
      <c r="A618" s="162" t="s">
        <v>42</v>
      </c>
      <c r="B618" s="162"/>
      <c r="C618" s="56"/>
      <c r="D618" s="171"/>
      <c r="E618" s="171"/>
      <c r="F618" s="171"/>
      <c r="G618" s="171"/>
      <c r="H618" s="171"/>
      <c r="I618" s="171"/>
      <c r="J618" s="171"/>
      <c r="K618" s="171"/>
      <c r="L618" s="171"/>
      <c r="M618" s="171"/>
      <c r="N618" s="171"/>
      <c r="O618" s="171"/>
      <c r="P618" s="171"/>
    </row>
    <row r="619" spans="1:16" ht="14.4" hidden="1" x14ac:dyDescent="0.3">
      <c r="A619" s="162" t="s">
        <v>191</v>
      </c>
      <c r="B619" s="162"/>
      <c r="C619" s="56" t="s">
        <v>44</v>
      </c>
      <c r="D619" s="177"/>
      <c r="E619" s="177"/>
      <c r="F619" s="177"/>
      <c r="G619" s="177"/>
      <c r="H619" s="177"/>
      <c r="I619" s="177"/>
      <c r="J619" s="177"/>
      <c r="K619" s="177"/>
      <c r="L619" s="177"/>
      <c r="M619" s="177"/>
      <c r="N619" s="177"/>
      <c r="O619" s="177"/>
      <c r="P619" s="177"/>
    </row>
    <row r="620" spans="1:16" ht="14.4" hidden="1" x14ac:dyDescent="0.3">
      <c r="A620" s="162" t="s">
        <v>183</v>
      </c>
      <c r="B620" s="162"/>
      <c r="C620" s="56"/>
      <c r="D620" s="178"/>
      <c r="E620" s="178"/>
      <c r="F620" s="178"/>
      <c r="G620" s="178"/>
      <c r="H620" s="178"/>
      <c r="I620" s="178"/>
      <c r="J620" s="178"/>
      <c r="K620" s="178"/>
      <c r="L620" s="178"/>
      <c r="M620" s="178"/>
      <c r="N620" s="178"/>
      <c r="O620" s="178"/>
      <c r="P620" s="178"/>
    </row>
    <row r="621" spans="1:16" ht="14.4" hidden="1" x14ac:dyDescent="0.3">
      <c r="A621" s="162" t="s">
        <v>184</v>
      </c>
      <c r="B621" s="162"/>
      <c r="C621" s="56" t="s">
        <v>19</v>
      </c>
      <c r="D621" s="167"/>
      <c r="E621" s="167"/>
      <c r="F621" s="167"/>
      <c r="G621" s="167"/>
      <c r="H621" s="167"/>
      <c r="I621" s="167"/>
      <c r="J621" s="167"/>
      <c r="K621" s="167"/>
      <c r="L621" s="167"/>
      <c r="M621" s="167"/>
      <c r="N621" s="167"/>
      <c r="O621" s="167"/>
      <c r="P621" s="167"/>
    </row>
    <row r="622" spans="1:16" ht="14.4" hidden="1" x14ac:dyDescent="0.3">
      <c r="A622" s="162" t="s">
        <v>45</v>
      </c>
      <c r="B622" s="162"/>
      <c r="C622" s="56"/>
      <c r="D622" s="178"/>
      <c r="E622" s="178"/>
      <c r="F622" s="178"/>
      <c r="G622" s="178"/>
      <c r="H622" s="178"/>
      <c r="I622" s="178"/>
      <c r="J622" s="178"/>
      <c r="K622" s="178"/>
      <c r="L622" s="178"/>
      <c r="M622" s="178"/>
      <c r="N622" s="178"/>
      <c r="O622" s="178"/>
      <c r="P622" s="178"/>
    </row>
    <row r="623" spans="1:16" ht="14.4" hidden="1" x14ac:dyDescent="0.3">
      <c r="A623" s="162" t="s">
        <v>46</v>
      </c>
      <c r="B623" s="162"/>
      <c r="C623" s="56" t="s">
        <v>19</v>
      </c>
      <c r="D623" s="167"/>
      <c r="E623" s="167"/>
      <c r="F623" s="167"/>
      <c r="G623" s="167"/>
      <c r="H623" s="167"/>
      <c r="I623" s="167"/>
      <c r="J623" s="167"/>
      <c r="K623" s="167"/>
      <c r="L623" s="167"/>
      <c r="M623" s="167"/>
      <c r="N623" s="167"/>
      <c r="O623" s="167"/>
      <c r="P623" s="167"/>
    </row>
    <row r="624" spans="1:16" ht="14.4" hidden="1" x14ac:dyDescent="0.3">
      <c r="A624" s="162" t="s">
        <v>185</v>
      </c>
      <c r="B624" s="162"/>
      <c r="C624" s="56"/>
      <c r="D624" s="178"/>
      <c r="E624" s="178"/>
      <c r="F624" s="178"/>
      <c r="G624" s="178"/>
      <c r="H624" s="178"/>
      <c r="I624" s="178"/>
      <c r="J624" s="178"/>
      <c r="K624" s="178"/>
      <c r="L624" s="178"/>
      <c r="M624" s="178"/>
      <c r="N624" s="178"/>
      <c r="O624" s="178"/>
      <c r="P624" s="178"/>
    </row>
    <row r="625" spans="1:16" ht="14.4" hidden="1" x14ac:dyDescent="0.3">
      <c r="A625" s="162" t="s">
        <v>186</v>
      </c>
      <c r="B625" s="162"/>
      <c r="C625" s="56" t="s">
        <v>19</v>
      </c>
      <c r="D625" s="167"/>
      <c r="E625" s="167"/>
      <c r="F625" s="167"/>
      <c r="G625" s="167"/>
      <c r="H625" s="167"/>
      <c r="I625" s="167"/>
      <c r="J625" s="167"/>
      <c r="K625" s="167"/>
      <c r="L625" s="167"/>
      <c r="M625" s="167"/>
      <c r="N625" s="167"/>
      <c r="O625" s="167"/>
      <c r="P625" s="167"/>
    </row>
    <row r="626" spans="1:16" ht="14.4" hidden="1" x14ac:dyDescent="0.3">
      <c r="A626" s="162" t="s">
        <v>47</v>
      </c>
      <c r="B626" s="162"/>
      <c r="C626" s="56"/>
      <c r="D626" s="171"/>
      <c r="E626" s="171"/>
      <c r="F626" s="171"/>
      <c r="G626" s="171"/>
      <c r="H626" s="171"/>
      <c r="I626" s="171"/>
      <c r="J626" s="171"/>
      <c r="K626" s="171"/>
      <c r="L626" s="171"/>
      <c r="M626" s="171"/>
      <c r="N626" s="171"/>
      <c r="O626" s="171"/>
      <c r="P626" s="171"/>
    </row>
    <row r="627" spans="1:16" ht="14.4" hidden="1" x14ac:dyDescent="0.3">
      <c r="A627" s="55" t="s">
        <v>48</v>
      </c>
      <c r="B627" s="55"/>
      <c r="C627" s="56" t="s">
        <v>19</v>
      </c>
      <c r="D627" s="167"/>
      <c r="E627" s="167"/>
      <c r="F627" s="167"/>
      <c r="G627" s="167"/>
      <c r="H627" s="167"/>
      <c r="I627" s="167"/>
      <c r="J627" s="167"/>
      <c r="K627" s="167"/>
      <c r="L627" s="167"/>
      <c r="M627" s="167"/>
      <c r="N627" s="167"/>
      <c r="O627" s="167"/>
      <c r="P627" s="167"/>
    </row>
    <row r="628" spans="1:16" ht="14.4" hidden="1" x14ac:dyDescent="0.3">
      <c r="A628" s="55" t="s">
        <v>49</v>
      </c>
      <c r="B628" s="55"/>
      <c r="C628" s="56" t="s">
        <v>19</v>
      </c>
      <c r="D628" s="167"/>
      <c r="E628" s="167"/>
      <c r="F628" s="167"/>
      <c r="G628" s="167"/>
      <c r="H628" s="167"/>
      <c r="I628" s="167"/>
      <c r="J628" s="167"/>
      <c r="K628" s="167"/>
      <c r="L628" s="167"/>
      <c r="M628" s="167"/>
      <c r="N628" s="167"/>
      <c r="O628" s="167"/>
      <c r="P628" s="167"/>
    </row>
    <row r="629" spans="1:16" ht="14.4" hidden="1" x14ac:dyDescent="0.3">
      <c r="A629" s="162" t="s">
        <v>52</v>
      </c>
      <c r="B629" s="162"/>
      <c r="C629" s="179"/>
      <c r="D629" s="170"/>
      <c r="E629" s="170"/>
      <c r="F629" s="170"/>
      <c r="G629" s="170"/>
      <c r="H629" s="170"/>
      <c r="I629" s="170"/>
      <c r="J629" s="170"/>
      <c r="K629" s="170"/>
      <c r="L629" s="170"/>
      <c r="M629" s="170"/>
      <c r="N629" s="170"/>
      <c r="O629" s="170"/>
      <c r="P629" s="170"/>
    </row>
    <row r="630" spans="1:16" ht="14.4" hidden="1" x14ac:dyDescent="0.3">
      <c r="A630" s="55" t="s">
        <v>53</v>
      </c>
      <c r="B630" s="55"/>
      <c r="C630" s="56" t="s">
        <v>44</v>
      </c>
      <c r="D630" s="167"/>
      <c r="E630" s="167"/>
      <c r="F630" s="167"/>
      <c r="G630" s="167"/>
      <c r="H630" s="167"/>
      <c r="I630" s="167"/>
      <c r="J630" s="167"/>
      <c r="K630" s="167"/>
      <c r="L630" s="167"/>
      <c r="M630" s="167"/>
      <c r="N630" s="167"/>
      <c r="O630" s="167"/>
      <c r="P630" s="167"/>
    </row>
    <row r="631" spans="1:16" ht="14.4" hidden="1" x14ac:dyDescent="0.3">
      <c r="A631" s="55" t="s">
        <v>54</v>
      </c>
      <c r="B631" s="55"/>
      <c r="C631" s="56" t="s">
        <v>44</v>
      </c>
      <c r="D631" s="167"/>
      <c r="E631" s="167"/>
      <c r="F631" s="167"/>
      <c r="G631" s="167"/>
      <c r="H631" s="167"/>
      <c r="I631" s="167"/>
      <c r="J631" s="167"/>
      <c r="K631" s="167"/>
      <c r="L631" s="167"/>
      <c r="M631" s="167"/>
      <c r="N631" s="167"/>
      <c r="O631" s="167"/>
      <c r="P631" s="167"/>
    </row>
    <row r="632" spans="1:16" ht="14.4" hidden="1" x14ac:dyDescent="0.3">
      <c r="A632" s="55" t="s">
        <v>55</v>
      </c>
      <c r="B632" s="55"/>
      <c r="C632" s="56" t="s">
        <v>44</v>
      </c>
      <c r="D632" s="167"/>
      <c r="E632" s="167"/>
      <c r="F632" s="167"/>
      <c r="G632" s="167"/>
      <c r="H632" s="167"/>
      <c r="I632" s="167"/>
      <c r="J632" s="167"/>
      <c r="K632" s="167"/>
      <c r="L632" s="167"/>
      <c r="M632" s="167"/>
      <c r="N632" s="167"/>
      <c r="O632" s="167"/>
      <c r="P632" s="167"/>
    </row>
    <row r="633" spans="1:16" ht="14.4" hidden="1" x14ac:dyDescent="0.3">
      <c r="A633" s="55" t="s">
        <v>187</v>
      </c>
      <c r="B633" s="55"/>
      <c r="C633" s="56" t="s">
        <v>44</v>
      </c>
      <c r="D633" s="167"/>
      <c r="E633" s="167"/>
      <c r="F633" s="167"/>
      <c r="G633" s="167"/>
      <c r="H633" s="167"/>
      <c r="I633" s="167"/>
      <c r="J633" s="167"/>
      <c r="K633" s="167"/>
      <c r="L633" s="167"/>
      <c r="M633" s="167"/>
      <c r="N633" s="167"/>
      <c r="O633" s="167"/>
      <c r="P633" s="167"/>
    </row>
    <row r="634" spans="1:16" ht="14.4" hidden="1" x14ac:dyDescent="0.3">
      <c r="A634" s="55" t="s">
        <v>188</v>
      </c>
      <c r="B634" s="55"/>
      <c r="C634" s="56" t="s">
        <v>44</v>
      </c>
      <c r="D634" s="167"/>
      <c r="E634" s="167"/>
      <c r="F634" s="167"/>
      <c r="G634" s="167"/>
      <c r="H634" s="167"/>
      <c r="I634" s="167"/>
      <c r="J634" s="167"/>
      <c r="K634" s="167"/>
      <c r="L634" s="167"/>
      <c r="M634" s="167"/>
      <c r="N634" s="167"/>
      <c r="O634" s="167"/>
      <c r="P634" s="167"/>
    </row>
    <row r="635" spans="1:16" ht="14.4" hidden="1" x14ac:dyDescent="0.3">
      <c r="A635" s="55" t="s">
        <v>56</v>
      </c>
      <c r="B635" s="55"/>
      <c r="C635" s="56" t="s">
        <v>44</v>
      </c>
      <c r="D635" s="180"/>
      <c r="E635" s="180"/>
      <c r="F635" s="180"/>
      <c r="G635" s="180"/>
      <c r="H635" s="180"/>
      <c r="I635" s="180"/>
      <c r="J635" s="180"/>
      <c r="K635" s="180"/>
      <c r="L635" s="180"/>
      <c r="M635" s="180"/>
      <c r="N635" s="180"/>
      <c r="O635" s="180"/>
      <c r="P635" s="180"/>
    </row>
    <row r="636" spans="1:16" ht="14.4" hidden="1" x14ac:dyDescent="0.3">
      <c r="A636" s="55" t="s">
        <v>57</v>
      </c>
      <c r="B636" s="55"/>
      <c r="C636" s="56" t="s">
        <v>44</v>
      </c>
      <c r="D636" s="180"/>
      <c r="E636" s="180"/>
      <c r="F636" s="180"/>
      <c r="G636" s="180"/>
      <c r="H636" s="180"/>
      <c r="I636" s="180"/>
      <c r="J636" s="180"/>
      <c r="K636" s="180"/>
      <c r="L636" s="180"/>
      <c r="M636" s="180"/>
      <c r="N636" s="180"/>
      <c r="O636" s="180"/>
      <c r="P636" s="180"/>
    </row>
    <row r="637" spans="1:16" ht="14.4" hidden="1" x14ac:dyDescent="0.3">
      <c r="D637" s="58"/>
      <c r="E637" s="58"/>
      <c r="F637" s="58"/>
      <c r="G637" s="58"/>
      <c r="H637" s="58"/>
      <c r="I637" s="58"/>
      <c r="J637" s="58"/>
      <c r="K637" s="58"/>
      <c r="L637" s="58"/>
      <c r="M637" s="58"/>
      <c r="N637" s="58"/>
      <c r="O637" s="58"/>
      <c r="P637" s="58"/>
    </row>
    <row r="638" spans="1:16" ht="18" hidden="1" x14ac:dyDescent="0.35">
      <c r="A638" s="59" t="str">
        <f>'[43]Statistical data'!A232</f>
        <v>Customer Class with mix rate7</v>
      </c>
      <c r="C638" s="5" t="s">
        <v>190</v>
      </c>
      <c r="D638" s="160"/>
      <c r="E638" s="160"/>
      <c r="F638" s="160"/>
      <c r="G638" s="160"/>
      <c r="H638" s="160"/>
      <c r="I638" s="160"/>
      <c r="J638" s="160"/>
      <c r="K638" s="160"/>
      <c r="L638" s="160"/>
      <c r="M638" s="160"/>
      <c r="N638" s="160"/>
      <c r="O638" s="160"/>
      <c r="P638" s="160"/>
    </row>
    <row r="639" spans="1:16" ht="14.4" hidden="1" x14ac:dyDescent="0.3">
      <c r="A639" s="161" t="s">
        <v>3</v>
      </c>
      <c r="B639" s="161"/>
      <c r="C639" s="161" t="s">
        <v>4</v>
      </c>
      <c r="D639" s="161" t="s">
        <v>15</v>
      </c>
      <c r="E639" s="161" t="s">
        <v>15</v>
      </c>
      <c r="F639" s="161" t="s">
        <v>15</v>
      </c>
      <c r="G639" s="161" t="s">
        <v>15</v>
      </c>
      <c r="H639" s="161" t="s">
        <v>15</v>
      </c>
      <c r="I639" s="161" t="s">
        <v>15</v>
      </c>
      <c r="J639" s="161" t="s">
        <v>15</v>
      </c>
      <c r="K639" s="161" t="s">
        <v>15</v>
      </c>
      <c r="L639" s="161" t="s">
        <v>15</v>
      </c>
      <c r="M639" s="161" t="s">
        <v>15</v>
      </c>
      <c r="N639" s="161" t="s">
        <v>15</v>
      </c>
      <c r="O639" s="161" t="s">
        <v>15</v>
      </c>
      <c r="P639" s="161" t="s">
        <v>15</v>
      </c>
    </row>
    <row r="640" spans="1:16" ht="14.4" hidden="1" x14ac:dyDescent="0.3">
      <c r="A640" s="162" t="s">
        <v>17</v>
      </c>
      <c r="B640" s="163"/>
      <c r="C640" s="56"/>
      <c r="D640" s="164"/>
      <c r="E640" s="164"/>
      <c r="F640" s="164"/>
      <c r="G640" s="164"/>
      <c r="H640" s="164"/>
      <c r="I640" s="164"/>
      <c r="J640" s="164"/>
      <c r="K640" s="164"/>
      <c r="L640" s="164"/>
      <c r="M640" s="164"/>
      <c r="N640" s="164"/>
      <c r="O640" s="164"/>
      <c r="P640" s="164"/>
    </row>
    <row r="641" spans="1:16" ht="14.4" hidden="1" x14ac:dyDescent="0.3">
      <c r="A641" s="55" t="s">
        <v>18</v>
      </c>
      <c r="B641" s="165"/>
      <c r="C641" s="56" t="s">
        <v>19</v>
      </c>
      <c r="D641" s="166"/>
      <c r="E641" s="166"/>
      <c r="F641" s="166"/>
      <c r="G641" s="166"/>
      <c r="H641" s="166"/>
      <c r="I641" s="166"/>
      <c r="J641" s="166"/>
      <c r="K641" s="166"/>
      <c r="L641" s="166"/>
      <c r="M641" s="166"/>
      <c r="N641" s="166"/>
      <c r="O641" s="166"/>
      <c r="P641" s="166"/>
    </row>
    <row r="642" spans="1:16" ht="14.4" hidden="1" x14ac:dyDescent="0.3">
      <c r="A642" s="55" t="s">
        <v>66</v>
      </c>
      <c r="B642" s="165"/>
      <c r="C642" s="56" t="s">
        <v>19</v>
      </c>
      <c r="D642" s="166"/>
      <c r="E642" s="166"/>
      <c r="F642" s="166"/>
      <c r="G642" s="166"/>
      <c r="H642" s="166"/>
      <c r="I642" s="166"/>
      <c r="J642" s="166"/>
      <c r="K642" s="166"/>
      <c r="L642" s="166"/>
      <c r="M642" s="166"/>
      <c r="N642" s="166"/>
      <c r="O642" s="166"/>
      <c r="P642" s="166"/>
    </row>
    <row r="643" spans="1:16" ht="14.4" hidden="1" x14ac:dyDescent="0.3">
      <c r="A643" s="162" t="s">
        <v>20</v>
      </c>
      <c r="B643" s="163"/>
      <c r="C643" s="56"/>
      <c r="D643" s="168"/>
      <c r="E643" s="168"/>
      <c r="F643" s="168"/>
      <c r="G643" s="168"/>
      <c r="H643" s="168"/>
      <c r="I643" s="168"/>
      <c r="J643" s="168"/>
      <c r="K643" s="168"/>
      <c r="L643" s="168"/>
      <c r="M643" s="168"/>
      <c r="N643" s="168"/>
      <c r="O643" s="168"/>
      <c r="P643" s="168"/>
    </row>
    <row r="644" spans="1:16" ht="14.4" hidden="1" x14ac:dyDescent="0.3">
      <c r="A644" s="55" t="s">
        <v>21</v>
      </c>
      <c r="B644" s="165"/>
      <c r="C644" s="56" t="s">
        <v>19</v>
      </c>
      <c r="D644" s="166"/>
      <c r="E644" s="166"/>
      <c r="F644" s="166"/>
      <c r="G644" s="166"/>
      <c r="H644" s="166"/>
      <c r="I644" s="166"/>
      <c r="J644" s="166"/>
      <c r="K644" s="166"/>
      <c r="L644" s="166"/>
      <c r="M644" s="166"/>
      <c r="N644" s="166"/>
      <c r="O644" s="166"/>
      <c r="P644" s="166"/>
    </row>
    <row r="645" spans="1:16" ht="14.4" hidden="1" x14ac:dyDescent="0.3">
      <c r="A645" s="55" t="s">
        <v>22</v>
      </c>
      <c r="B645" s="165"/>
      <c r="C645" s="56" t="s">
        <v>23</v>
      </c>
      <c r="D645" s="166"/>
      <c r="E645" s="166"/>
      <c r="F645" s="166"/>
      <c r="G645" s="166"/>
      <c r="H645" s="166"/>
      <c r="I645" s="166"/>
      <c r="J645" s="166"/>
      <c r="K645" s="166"/>
      <c r="L645" s="166"/>
      <c r="M645" s="166"/>
      <c r="N645" s="166"/>
      <c r="O645" s="166"/>
      <c r="P645" s="166"/>
    </row>
    <row r="646" spans="1:16" ht="14.4" hidden="1" x14ac:dyDescent="0.3">
      <c r="A646" s="162" t="s">
        <v>24</v>
      </c>
      <c r="B646" s="163"/>
      <c r="C646" s="56"/>
      <c r="D646" s="168"/>
      <c r="E646" s="168"/>
      <c r="F646" s="168"/>
      <c r="G646" s="168"/>
      <c r="H646" s="168"/>
      <c r="I646" s="168"/>
      <c r="J646" s="168"/>
      <c r="K646" s="168"/>
      <c r="L646" s="168"/>
      <c r="M646" s="168"/>
      <c r="N646" s="168"/>
      <c r="O646" s="168"/>
      <c r="P646" s="168"/>
    </row>
    <row r="647" spans="1:16" ht="14.4" hidden="1" x14ac:dyDescent="0.3">
      <c r="A647" s="55" t="s">
        <v>25</v>
      </c>
      <c r="B647" s="165"/>
      <c r="C647" s="56" t="s">
        <v>19</v>
      </c>
      <c r="D647" s="166"/>
      <c r="E647" s="166"/>
      <c r="F647" s="166"/>
      <c r="G647" s="166"/>
      <c r="H647" s="166"/>
      <c r="I647" s="166"/>
      <c r="J647" s="166"/>
      <c r="K647" s="166"/>
      <c r="L647" s="166"/>
      <c r="M647" s="166"/>
      <c r="N647" s="166"/>
      <c r="O647" s="166"/>
      <c r="P647" s="166"/>
    </row>
    <row r="648" spans="1:16" ht="14.4" hidden="1" x14ac:dyDescent="0.3">
      <c r="A648" s="162" t="s">
        <v>26</v>
      </c>
      <c r="B648" s="162"/>
      <c r="C648" s="56"/>
      <c r="D648" s="170"/>
      <c r="E648" s="170"/>
      <c r="F648" s="170"/>
      <c r="G648" s="170"/>
      <c r="H648" s="170"/>
      <c r="I648" s="170"/>
      <c r="J648" s="170"/>
      <c r="K648" s="170"/>
      <c r="L648" s="170"/>
      <c r="M648" s="170"/>
      <c r="N648" s="170"/>
      <c r="O648" s="170"/>
      <c r="P648" s="170"/>
    </row>
    <row r="649" spans="1:16" ht="14.4" hidden="1" x14ac:dyDescent="0.3">
      <c r="A649" s="55" t="s">
        <v>27</v>
      </c>
      <c r="B649" s="55"/>
      <c r="C649" s="56" t="s">
        <v>19</v>
      </c>
      <c r="D649" s="167"/>
      <c r="E649" s="167"/>
      <c r="F649" s="167"/>
      <c r="G649" s="167"/>
      <c r="H649" s="167"/>
      <c r="I649" s="167"/>
      <c r="J649" s="167"/>
      <c r="K649" s="167"/>
      <c r="L649" s="167"/>
      <c r="M649" s="167"/>
      <c r="N649" s="167"/>
      <c r="O649" s="167"/>
      <c r="P649" s="167"/>
    </row>
    <row r="650" spans="1:16" ht="14.4" hidden="1" x14ac:dyDescent="0.3">
      <c r="A650" s="55" t="s">
        <v>28</v>
      </c>
      <c r="B650" s="55"/>
      <c r="C650" s="56" t="s">
        <v>23</v>
      </c>
      <c r="D650" s="167"/>
      <c r="E650" s="167"/>
      <c r="F650" s="167"/>
      <c r="G650" s="167"/>
      <c r="H650" s="167"/>
      <c r="I650" s="167"/>
      <c r="J650" s="167"/>
      <c r="K650" s="167"/>
      <c r="L650" s="167"/>
      <c r="M650" s="167"/>
      <c r="N650" s="167"/>
      <c r="O650" s="167"/>
      <c r="P650" s="167"/>
    </row>
    <row r="651" spans="1:16" ht="14.4" hidden="1" x14ac:dyDescent="0.3">
      <c r="A651" s="162" t="s">
        <v>29</v>
      </c>
      <c r="B651" s="162"/>
      <c r="C651" s="56"/>
      <c r="D651" s="171"/>
      <c r="E651" s="171"/>
      <c r="F651" s="171"/>
      <c r="G651" s="171"/>
      <c r="H651" s="171"/>
      <c r="I651" s="171"/>
      <c r="J651" s="171"/>
      <c r="K651" s="171"/>
      <c r="L651" s="171"/>
      <c r="M651" s="171"/>
      <c r="N651" s="171"/>
      <c r="O651" s="171"/>
      <c r="P651" s="171"/>
    </row>
    <row r="652" spans="1:16" ht="14.4" hidden="1" x14ac:dyDescent="0.3">
      <c r="A652" s="55" t="s">
        <v>30</v>
      </c>
      <c r="B652" s="55"/>
      <c r="C652" s="56" t="s">
        <v>19</v>
      </c>
      <c r="D652" s="167"/>
      <c r="E652" s="167"/>
      <c r="F652" s="167"/>
      <c r="G652" s="167"/>
      <c r="H652" s="167"/>
      <c r="I652" s="167"/>
      <c r="J652" s="167"/>
      <c r="K652" s="167"/>
      <c r="L652" s="167"/>
      <c r="M652" s="167"/>
      <c r="N652" s="167"/>
      <c r="O652" s="167"/>
      <c r="P652" s="167"/>
    </row>
    <row r="653" spans="1:16" ht="14.4" hidden="1" x14ac:dyDescent="0.3">
      <c r="A653" s="55" t="s">
        <v>31</v>
      </c>
      <c r="B653" s="55"/>
      <c r="C653" s="56" t="s">
        <v>32</v>
      </c>
      <c r="D653" s="167"/>
      <c r="E653" s="167"/>
      <c r="F653" s="167"/>
      <c r="G653" s="167"/>
      <c r="H653" s="167"/>
      <c r="I653" s="167"/>
      <c r="J653" s="167"/>
      <c r="K653" s="167"/>
      <c r="L653" s="167"/>
      <c r="M653" s="167"/>
      <c r="N653" s="167"/>
      <c r="O653" s="167"/>
      <c r="P653" s="167"/>
    </row>
    <row r="654" spans="1:16" ht="14.4" hidden="1" x14ac:dyDescent="0.3">
      <c r="A654" s="162" t="s">
        <v>33</v>
      </c>
      <c r="B654" s="162"/>
      <c r="C654" s="56"/>
      <c r="D654" s="171"/>
      <c r="E654" s="171"/>
      <c r="F654" s="171"/>
      <c r="G654" s="171"/>
      <c r="H654" s="171"/>
      <c r="I654" s="171"/>
      <c r="J654" s="171"/>
      <c r="K654" s="171"/>
      <c r="L654" s="171"/>
      <c r="M654" s="171"/>
      <c r="N654" s="171"/>
      <c r="O654" s="171"/>
      <c r="P654" s="171"/>
    </row>
    <row r="655" spans="1:16" ht="14.4" hidden="1" x14ac:dyDescent="0.3">
      <c r="A655" s="55" t="s">
        <v>34</v>
      </c>
      <c r="B655" s="55"/>
      <c r="C655" s="56" t="s">
        <v>19</v>
      </c>
      <c r="D655" s="167"/>
      <c r="E655" s="167"/>
      <c r="F655" s="167"/>
      <c r="G655" s="167"/>
      <c r="H655" s="167"/>
      <c r="I655" s="167"/>
      <c r="J655" s="167"/>
      <c r="K655" s="167"/>
      <c r="L655" s="167"/>
      <c r="M655" s="167"/>
      <c r="N655" s="167"/>
      <c r="O655" s="167"/>
      <c r="P655" s="167"/>
    </row>
    <row r="656" spans="1:16" ht="14.4" hidden="1" x14ac:dyDescent="0.3">
      <c r="A656" s="55" t="s">
        <v>35</v>
      </c>
      <c r="B656" s="55"/>
      <c r="C656" s="56" t="s">
        <v>36</v>
      </c>
      <c r="D656" s="167"/>
      <c r="E656" s="167"/>
      <c r="F656" s="167"/>
      <c r="G656" s="167"/>
      <c r="H656" s="167"/>
      <c r="I656" s="167"/>
      <c r="J656" s="167"/>
      <c r="K656" s="167"/>
      <c r="L656" s="167"/>
      <c r="M656" s="167"/>
      <c r="N656" s="167"/>
      <c r="O656" s="167"/>
      <c r="P656" s="167"/>
    </row>
    <row r="657" spans="1:16" ht="14.4" hidden="1" x14ac:dyDescent="0.3">
      <c r="A657" s="162" t="s">
        <v>37</v>
      </c>
      <c r="B657" s="162"/>
      <c r="C657" s="56"/>
      <c r="D657" s="171"/>
      <c r="E657" s="171"/>
      <c r="F657" s="171"/>
      <c r="G657" s="171"/>
      <c r="H657" s="171"/>
      <c r="I657" s="171"/>
      <c r="J657" s="171"/>
      <c r="K657" s="171"/>
      <c r="L657" s="171"/>
      <c r="M657" s="171"/>
      <c r="N657" s="171"/>
      <c r="O657" s="171"/>
      <c r="P657" s="171"/>
    </row>
    <row r="658" spans="1:16" ht="14.4" hidden="1" x14ac:dyDescent="0.3">
      <c r="A658" s="172" t="s">
        <v>38</v>
      </c>
      <c r="B658" s="55"/>
      <c r="C658" s="56" t="s">
        <v>19</v>
      </c>
      <c r="D658" s="167"/>
      <c r="E658" s="167"/>
      <c r="F658" s="167"/>
      <c r="G658" s="167"/>
      <c r="H658" s="167"/>
      <c r="I658" s="167"/>
      <c r="J658" s="167"/>
      <c r="K658" s="167"/>
      <c r="L658" s="167"/>
      <c r="M658" s="167"/>
      <c r="N658" s="167"/>
      <c r="O658" s="167"/>
      <c r="P658" s="167"/>
    </row>
    <row r="659" spans="1:16" ht="14.4" hidden="1" x14ac:dyDescent="0.3">
      <c r="A659" s="172" t="s">
        <v>39</v>
      </c>
      <c r="B659" s="55"/>
      <c r="C659" s="56" t="s">
        <v>19</v>
      </c>
      <c r="D659" s="167"/>
      <c r="E659" s="167"/>
      <c r="F659" s="167"/>
      <c r="G659" s="167"/>
      <c r="H659" s="167"/>
      <c r="I659" s="167"/>
      <c r="J659" s="167"/>
      <c r="K659" s="167"/>
      <c r="L659" s="167"/>
      <c r="M659" s="167"/>
      <c r="N659" s="167"/>
      <c r="O659" s="167"/>
      <c r="P659" s="167"/>
    </row>
    <row r="660" spans="1:16" ht="14.4" hidden="1" x14ac:dyDescent="0.3">
      <c r="A660" s="172" t="s">
        <v>180</v>
      </c>
      <c r="B660" s="55"/>
      <c r="C660" s="56" t="s">
        <v>19</v>
      </c>
      <c r="D660" s="167"/>
      <c r="E660" s="167"/>
      <c r="F660" s="167"/>
      <c r="G660" s="167"/>
      <c r="H660" s="167"/>
      <c r="I660" s="167"/>
      <c r="J660" s="167"/>
      <c r="K660" s="167"/>
      <c r="L660" s="167"/>
      <c r="M660" s="167"/>
      <c r="N660" s="167"/>
      <c r="O660" s="167"/>
      <c r="P660" s="167"/>
    </row>
    <row r="661" spans="1:16" ht="14.4" hidden="1" x14ac:dyDescent="0.3">
      <c r="A661" s="173" t="s">
        <v>40</v>
      </c>
      <c r="B661" s="55"/>
      <c r="C661" s="56" t="s">
        <v>19</v>
      </c>
      <c r="D661" s="167"/>
      <c r="E661" s="167"/>
      <c r="F661" s="167"/>
      <c r="G661" s="167"/>
      <c r="H661" s="167"/>
      <c r="I661" s="167"/>
      <c r="J661" s="167"/>
      <c r="K661" s="167"/>
      <c r="L661" s="167"/>
      <c r="M661" s="167"/>
      <c r="N661" s="167"/>
      <c r="O661" s="167"/>
      <c r="P661" s="167"/>
    </row>
    <row r="662" spans="1:16" ht="14.4" hidden="1" x14ac:dyDescent="0.3">
      <c r="A662" s="173" t="s">
        <v>41</v>
      </c>
      <c r="B662" s="55"/>
      <c r="C662" s="56" t="s">
        <v>19</v>
      </c>
      <c r="D662" s="167"/>
      <c r="E662" s="167"/>
      <c r="F662" s="167"/>
      <c r="G662" s="167"/>
      <c r="H662" s="167"/>
      <c r="I662" s="167"/>
      <c r="J662" s="167"/>
      <c r="K662" s="167"/>
      <c r="L662" s="167"/>
      <c r="M662" s="167"/>
      <c r="N662" s="167"/>
      <c r="O662" s="167"/>
      <c r="P662" s="167"/>
    </row>
    <row r="663" spans="1:16" ht="16.2" hidden="1" x14ac:dyDescent="0.3">
      <c r="A663" s="174" t="s">
        <v>182</v>
      </c>
      <c r="B663" s="175"/>
      <c r="C663" s="56" t="s">
        <v>19</v>
      </c>
      <c r="D663" s="167"/>
      <c r="E663" s="167"/>
      <c r="F663" s="167"/>
      <c r="G663" s="167"/>
      <c r="H663" s="167"/>
      <c r="I663" s="167"/>
      <c r="J663" s="167"/>
      <c r="K663" s="167"/>
      <c r="L663" s="167"/>
      <c r="M663" s="167"/>
      <c r="N663" s="167"/>
      <c r="O663" s="167"/>
      <c r="P663" s="167"/>
    </row>
    <row r="664" spans="1:16" ht="16.2" hidden="1" x14ac:dyDescent="0.3">
      <c r="A664" s="174" t="s">
        <v>182</v>
      </c>
      <c r="B664" s="175"/>
      <c r="C664" s="56" t="s">
        <v>19</v>
      </c>
      <c r="D664" s="167"/>
      <c r="E664" s="167"/>
      <c r="F664" s="167"/>
      <c r="G664" s="167"/>
      <c r="H664" s="167"/>
      <c r="I664" s="167"/>
      <c r="J664" s="167"/>
      <c r="K664" s="167"/>
      <c r="L664" s="167"/>
      <c r="M664" s="167"/>
      <c r="N664" s="167"/>
      <c r="O664" s="167"/>
      <c r="P664" s="167"/>
    </row>
    <row r="665" spans="1:16" ht="16.2" hidden="1" x14ac:dyDescent="0.3">
      <c r="A665" s="174" t="s">
        <v>182</v>
      </c>
      <c r="B665" s="176"/>
      <c r="C665" s="56" t="s">
        <v>19</v>
      </c>
      <c r="D665" s="167"/>
      <c r="E665" s="167"/>
      <c r="F665" s="167"/>
      <c r="G665" s="167"/>
      <c r="H665" s="167"/>
      <c r="I665" s="167"/>
      <c r="J665" s="167"/>
      <c r="K665" s="167"/>
      <c r="L665" s="167"/>
      <c r="M665" s="167"/>
      <c r="N665" s="167"/>
      <c r="O665" s="167"/>
      <c r="P665" s="167"/>
    </row>
    <row r="666" spans="1:16" ht="14.4" hidden="1" x14ac:dyDescent="0.3">
      <c r="A666" s="162" t="s">
        <v>42</v>
      </c>
      <c r="B666" s="162"/>
      <c r="C666" s="56"/>
      <c r="D666" s="171"/>
      <c r="E666" s="171"/>
      <c r="F666" s="171"/>
      <c r="G666" s="171"/>
      <c r="H666" s="171"/>
      <c r="I666" s="171"/>
      <c r="J666" s="171"/>
      <c r="K666" s="171"/>
      <c r="L666" s="171"/>
      <c r="M666" s="171"/>
      <c r="N666" s="171"/>
      <c r="O666" s="171"/>
      <c r="P666" s="171"/>
    </row>
    <row r="667" spans="1:16" ht="14.4" hidden="1" x14ac:dyDescent="0.3">
      <c r="A667" s="162" t="s">
        <v>191</v>
      </c>
      <c r="B667" s="162"/>
      <c r="C667" s="56" t="s">
        <v>44</v>
      </c>
      <c r="D667" s="177"/>
      <c r="E667" s="177"/>
      <c r="F667" s="177"/>
      <c r="G667" s="177"/>
      <c r="H667" s="177"/>
      <c r="I667" s="177"/>
      <c r="J667" s="177"/>
      <c r="K667" s="177"/>
      <c r="L667" s="177"/>
      <c r="M667" s="177"/>
      <c r="N667" s="177"/>
      <c r="O667" s="177"/>
      <c r="P667" s="177"/>
    </row>
    <row r="668" spans="1:16" ht="14.4" hidden="1" x14ac:dyDescent="0.3">
      <c r="A668" s="162" t="s">
        <v>183</v>
      </c>
      <c r="B668" s="162"/>
      <c r="C668" s="56"/>
      <c r="D668" s="178"/>
      <c r="E668" s="178"/>
      <c r="F668" s="178"/>
      <c r="G668" s="178"/>
      <c r="H668" s="178"/>
      <c r="I668" s="178"/>
      <c r="J668" s="178"/>
      <c r="K668" s="178"/>
      <c r="L668" s="178"/>
      <c r="M668" s="178"/>
      <c r="N668" s="178"/>
      <c r="O668" s="178"/>
      <c r="P668" s="178"/>
    </row>
    <row r="669" spans="1:16" ht="14.4" hidden="1" x14ac:dyDescent="0.3">
      <c r="A669" s="162" t="s">
        <v>184</v>
      </c>
      <c r="B669" s="162"/>
      <c r="C669" s="56" t="s">
        <v>19</v>
      </c>
      <c r="D669" s="167"/>
      <c r="E669" s="167"/>
      <c r="F669" s="167"/>
      <c r="G669" s="167"/>
      <c r="H669" s="167"/>
      <c r="I669" s="167"/>
      <c r="J669" s="167"/>
      <c r="K669" s="167"/>
      <c r="L669" s="167"/>
      <c r="M669" s="167"/>
      <c r="N669" s="167"/>
      <c r="O669" s="167"/>
      <c r="P669" s="167"/>
    </row>
    <row r="670" spans="1:16" ht="14.4" hidden="1" x14ac:dyDescent="0.3">
      <c r="A670" s="162" t="s">
        <v>45</v>
      </c>
      <c r="B670" s="162"/>
      <c r="C670" s="56"/>
      <c r="D670" s="178"/>
      <c r="E670" s="178"/>
      <c r="F670" s="178"/>
      <c r="G670" s="178"/>
      <c r="H670" s="178"/>
      <c r="I670" s="178"/>
      <c r="J670" s="178"/>
      <c r="K670" s="178"/>
      <c r="L670" s="178"/>
      <c r="M670" s="178"/>
      <c r="N670" s="178"/>
      <c r="O670" s="178"/>
      <c r="P670" s="178"/>
    </row>
    <row r="671" spans="1:16" ht="14.4" hidden="1" x14ac:dyDescent="0.3">
      <c r="A671" s="162" t="s">
        <v>46</v>
      </c>
      <c r="B671" s="162"/>
      <c r="C671" s="56" t="s">
        <v>19</v>
      </c>
      <c r="D671" s="167"/>
      <c r="E671" s="167"/>
      <c r="F671" s="167"/>
      <c r="G671" s="167"/>
      <c r="H671" s="167"/>
      <c r="I671" s="167"/>
      <c r="J671" s="167"/>
      <c r="K671" s="167"/>
      <c r="L671" s="167"/>
      <c r="M671" s="167"/>
      <c r="N671" s="167"/>
      <c r="O671" s="167"/>
      <c r="P671" s="167"/>
    </row>
    <row r="672" spans="1:16" ht="14.4" hidden="1" x14ac:dyDescent="0.3">
      <c r="A672" s="162" t="s">
        <v>185</v>
      </c>
      <c r="B672" s="162"/>
      <c r="C672" s="56"/>
      <c r="D672" s="178"/>
      <c r="E672" s="178"/>
      <c r="F672" s="178"/>
      <c r="G672" s="178"/>
      <c r="H672" s="178"/>
      <c r="I672" s="178"/>
      <c r="J672" s="178"/>
      <c r="K672" s="178"/>
      <c r="L672" s="178"/>
      <c r="M672" s="178"/>
      <c r="N672" s="178"/>
      <c r="O672" s="178"/>
      <c r="P672" s="178"/>
    </row>
    <row r="673" spans="1:16" ht="14.4" hidden="1" x14ac:dyDescent="0.3">
      <c r="A673" s="162" t="s">
        <v>186</v>
      </c>
      <c r="B673" s="162"/>
      <c r="C673" s="56" t="s">
        <v>19</v>
      </c>
      <c r="D673" s="167"/>
      <c r="E673" s="167"/>
      <c r="F673" s="167"/>
      <c r="G673" s="167"/>
      <c r="H673" s="167"/>
      <c r="I673" s="167"/>
      <c r="J673" s="167"/>
      <c r="K673" s="167"/>
      <c r="L673" s="167"/>
      <c r="M673" s="167"/>
      <c r="N673" s="167"/>
      <c r="O673" s="167"/>
      <c r="P673" s="167"/>
    </row>
    <row r="674" spans="1:16" ht="14.4" hidden="1" x14ac:dyDescent="0.3">
      <c r="A674" s="162" t="s">
        <v>47</v>
      </c>
      <c r="B674" s="162"/>
      <c r="C674" s="56"/>
      <c r="D674" s="171"/>
      <c r="E674" s="171"/>
      <c r="F674" s="171"/>
      <c r="G674" s="171"/>
      <c r="H674" s="171"/>
      <c r="I674" s="171"/>
      <c r="J674" s="171"/>
      <c r="K674" s="171"/>
      <c r="L674" s="171"/>
      <c r="M674" s="171"/>
      <c r="N674" s="171"/>
      <c r="O674" s="171"/>
      <c r="P674" s="171"/>
    </row>
    <row r="675" spans="1:16" ht="14.4" hidden="1" x14ac:dyDescent="0.3">
      <c r="A675" s="55" t="s">
        <v>48</v>
      </c>
      <c r="B675" s="55"/>
      <c r="C675" s="56" t="s">
        <v>19</v>
      </c>
      <c r="D675" s="167"/>
      <c r="E675" s="167"/>
      <c r="F675" s="167"/>
      <c r="G675" s="167"/>
      <c r="H675" s="167"/>
      <c r="I675" s="167"/>
      <c r="J675" s="167"/>
      <c r="K675" s="167"/>
      <c r="L675" s="167"/>
      <c r="M675" s="167"/>
      <c r="N675" s="167"/>
      <c r="O675" s="167"/>
      <c r="P675" s="167"/>
    </row>
    <row r="676" spans="1:16" ht="14.4" hidden="1" x14ac:dyDescent="0.3">
      <c r="A676" s="55" t="s">
        <v>49</v>
      </c>
      <c r="B676" s="55"/>
      <c r="C676" s="56" t="s">
        <v>19</v>
      </c>
      <c r="D676" s="167"/>
      <c r="E676" s="167"/>
      <c r="F676" s="167"/>
      <c r="G676" s="167"/>
      <c r="H676" s="167"/>
      <c r="I676" s="167"/>
      <c r="J676" s="167"/>
      <c r="K676" s="167"/>
      <c r="L676" s="167"/>
      <c r="M676" s="167"/>
      <c r="N676" s="167"/>
      <c r="O676" s="167"/>
      <c r="P676" s="167"/>
    </row>
    <row r="677" spans="1:16" ht="14.4" hidden="1" x14ac:dyDescent="0.3">
      <c r="A677" s="162" t="s">
        <v>52</v>
      </c>
      <c r="B677" s="162"/>
      <c r="C677" s="179"/>
      <c r="D677" s="170"/>
      <c r="E677" s="170"/>
      <c r="F677" s="170"/>
      <c r="G677" s="170"/>
      <c r="H677" s="170"/>
      <c r="I677" s="170"/>
      <c r="J677" s="170"/>
      <c r="K677" s="170"/>
      <c r="L677" s="170"/>
      <c r="M677" s="170"/>
      <c r="N677" s="170"/>
      <c r="O677" s="170"/>
      <c r="P677" s="170"/>
    </row>
    <row r="678" spans="1:16" ht="14.4" hidden="1" x14ac:dyDescent="0.3">
      <c r="A678" s="55" t="s">
        <v>53</v>
      </c>
      <c r="B678" s="55"/>
      <c r="C678" s="56" t="s">
        <v>44</v>
      </c>
      <c r="D678" s="167"/>
      <c r="E678" s="167"/>
      <c r="F678" s="167"/>
      <c r="G678" s="167"/>
      <c r="H678" s="167"/>
      <c r="I678" s="167"/>
      <c r="J678" s="167"/>
      <c r="K678" s="167"/>
      <c r="L678" s="167"/>
      <c r="M678" s="167"/>
      <c r="N678" s="167"/>
      <c r="O678" s="167"/>
      <c r="P678" s="167"/>
    </row>
    <row r="679" spans="1:16" ht="14.4" hidden="1" x14ac:dyDescent="0.3">
      <c r="A679" s="55" t="s">
        <v>54</v>
      </c>
      <c r="B679" s="55"/>
      <c r="C679" s="56" t="s">
        <v>44</v>
      </c>
      <c r="D679" s="167"/>
      <c r="E679" s="167"/>
      <c r="F679" s="167"/>
      <c r="G679" s="167"/>
      <c r="H679" s="167"/>
      <c r="I679" s="167"/>
      <c r="J679" s="167"/>
      <c r="K679" s="167"/>
      <c r="L679" s="167"/>
      <c r="M679" s="167"/>
      <c r="N679" s="167"/>
      <c r="O679" s="167"/>
      <c r="P679" s="167"/>
    </row>
    <row r="680" spans="1:16" ht="14.4" hidden="1" x14ac:dyDescent="0.3">
      <c r="A680" s="55" t="s">
        <v>55</v>
      </c>
      <c r="B680" s="55"/>
      <c r="C680" s="56" t="s">
        <v>44</v>
      </c>
      <c r="D680" s="167"/>
      <c r="E680" s="167"/>
      <c r="F680" s="167"/>
      <c r="G680" s="167"/>
      <c r="H680" s="167"/>
      <c r="I680" s="167"/>
      <c r="J680" s="167"/>
      <c r="K680" s="167"/>
      <c r="L680" s="167"/>
      <c r="M680" s="167"/>
      <c r="N680" s="167"/>
      <c r="O680" s="167"/>
      <c r="P680" s="167"/>
    </row>
    <row r="681" spans="1:16" ht="14.4" hidden="1" x14ac:dyDescent="0.3">
      <c r="A681" s="55" t="s">
        <v>187</v>
      </c>
      <c r="B681" s="55"/>
      <c r="C681" s="56" t="s">
        <v>44</v>
      </c>
      <c r="D681" s="167"/>
      <c r="E681" s="167"/>
      <c r="F681" s="167"/>
      <c r="G681" s="167"/>
      <c r="H681" s="167"/>
      <c r="I681" s="167"/>
      <c r="J681" s="167"/>
      <c r="K681" s="167"/>
      <c r="L681" s="167"/>
      <c r="M681" s="167"/>
      <c r="N681" s="167"/>
      <c r="O681" s="167"/>
      <c r="P681" s="167"/>
    </row>
    <row r="682" spans="1:16" ht="14.4" hidden="1" x14ac:dyDescent="0.3">
      <c r="A682" s="55" t="s">
        <v>188</v>
      </c>
      <c r="B682" s="55"/>
      <c r="C682" s="56" t="s">
        <v>44</v>
      </c>
      <c r="D682" s="167"/>
      <c r="E682" s="167"/>
      <c r="F682" s="167"/>
      <c r="G682" s="167"/>
      <c r="H682" s="167"/>
      <c r="I682" s="167"/>
      <c r="J682" s="167"/>
      <c r="K682" s="167"/>
      <c r="L682" s="167"/>
      <c r="M682" s="167"/>
      <c r="N682" s="167"/>
      <c r="O682" s="167"/>
      <c r="P682" s="167"/>
    </row>
    <row r="683" spans="1:16" ht="14.4" hidden="1" x14ac:dyDescent="0.3">
      <c r="A683" s="55" t="s">
        <v>56</v>
      </c>
      <c r="B683" s="55"/>
      <c r="C683" s="56" t="s">
        <v>44</v>
      </c>
      <c r="D683" s="180"/>
      <c r="E683" s="180"/>
      <c r="F683" s="180"/>
      <c r="G683" s="180"/>
      <c r="H683" s="180"/>
      <c r="I683" s="180"/>
      <c r="J683" s="180"/>
      <c r="K683" s="180"/>
      <c r="L683" s="180"/>
      <c r="M683" s="180"/>
      <c r="N683" s="180"/>
      <c r="O683" s="180"/>
      <c r="P683" s="180"/>
    </row>
    <row r="684" spans="1:16" ht="14.4" hidden="1" x14ac:dyDescent="0.3">
      <c r="A684" s="55" t="s">
        <v>57</v>
      </c>
      <c r="B684" s="55"/>
      <c r="C684" s="56" t="s">
        <v>44</v>
      </c>
      <c r="D684" s="180"/>
      <c r="E684" s="180"/>
      <c r="F684" s="180"/>
      <c r="G684" s="180"/>
      <c r="H684" s="180"/>
      <c r="I684" s="180"/>
      <c r="J684" s="180"/>
      <c r="K684" s="180"/>
      <c r="L684" s="180"/>
      <c r="M684" s="180"/>
      <c r="N684" s="180"/>
      <c r="O684" s="180"/>
      <c r="P684" s="180"/>
    </row>
    <row r="685" spans="1:16" ht="14.4" hidden="1" x14ac:dyDescent="0.3">
      <c r="D685" s="58"/>
      <c r="E685" s="58"/>
      <c r="F685" s="58"/>
      <c r="G685" s="58"/>
      <c r="H685" s="58"/>
      <c r="I685" s="58"/>
      <c r="J685" s="58"/>
      <c r="K685" s="58"/>
      <c r="L685" s="58"/>
      <c r="M685" s="58"/>
      <c r="N685" s="58"/>
      <c r="O685" s="58"/>
      <c r="P685" s="58"/>
    </row>
    <row r="686" spans="1:16" ht="18" x14ac:dyDescent="0.35">
      <c r="A686" s="59" t="str">
        <f>'[43]Statistical data'!A233</f>
        <v>General Service B</v>
      </c>
      <c r="B686" s="59"/>
      <c r="C686" s="5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</row>
    <row r="687" spans="1:16" s="13" customFormat="1" ht="14.4" x14ac:dyDescent="0.3">
      <c r="A687" s="11" t="s">
        <v>3</v>
      </c>
      <c r="B687" s="11"/>
      <c r="C687" s="11" t="s">
        <v>4</v>
      </c>
      <c r="D687" s="12" t="str">
        <f t="shared" ref="D687:P687" si="24">D157</f>
        <v>JAN</v>
      </c>
      <c r="E687" s="12" t="str">
        <f t="shared" si="24"/>
        <v>FEB</v>
      </c>
      <c r="F687" s="12" t="str">
        <f t="shared" si="24"/>
        <v>MAR</v>
      </c>
      <c r="G687" s="12" t="str">
        <f t="shared" si="24"/>
        <v>APR</v>
      </c>
      <c r="H687" s="12" t="str">
        <f t="shared" si="24"/>
        <v>MAY</v>
      </c>
      <c r="I687" s="12" t="str">
        <f t="shared" si="24"/>
        <v>JUN</v>
      </c>
      <c r="J687" s="12" t="str">
        <f t="shared" si="24"/>
        <v>JUL</v>
      </c>
      <c r="K687" s="12" t="str">
        <f t="shared" si="24"/>
        <v>AUG</v>
      </c>
      <c r="L687" s="12" t="str">
        <f t="shared" si="24"/>
        <v>SEP</v>
      </c>
      <c r="M687" s="12" t="str">
        <f t="shared" si="24"/>
        <v>OCT</v>
      </c>
      <c r="N687" s="12" t="str">
        <f t="shared" si="24"/>
        <v>NOV</v>
      </c>
      <c r="O687" s="12" t="str">
        <f t="shared" si="24"/>
        <v>DEC</v>
      </c>
      <c r="P687" s="12" t="str">
        <f t="shared" si="24"/>
        <v>JAN</v>
      </c>
    </row>
    <row r="688" spans="1:16" ht="14.4" x14ac:dyDescent="0.3">
      <c r="A688" s="14" t="s">
        <v>17</v>
      </c>
      <c r="B688" s="15"/>
      <c r="C688" s="16"/>
      <c r="D688" s="17"/>
      <c r="E688" s="17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</row>
    <row r="689" spans="1:16" ht="14.4" x14ac:dyDescent="0.3">
      <c r="A689" s="18" t="s">
        <v>18</v>
      </c>
      <c r="B689" s="19"/>
      <c r="C689" s="16" t="s">
        <v>19</v>
      </c>
      <c r="D689" s="52" t="s">
        <v>59</v>
      </c>
      <c r="E689" s="52" t="s">
        <v>59</v>
      </c>
      <c r="F689" s="52" t="s">
        <v>59</v>
      </c>
      <c r="G689" s="52" t="s">
        <v>59</v>
      </c>
      <c r="H689" s="52" t="s">
        <v>59</v>
      </c>
      <c r="I689" s="52" t="s">
        <v>59</v>
      </c>
      <c r="J689" s="52" t="s">
        <v>59</v>
      </c>
      <c r="K689" s="52" t="s">
        <v>59</v>
      </c>
      <c r="L689" s="52" t="s">
        <v>59</v>
      </c>
      <c r="M689" s="52" t="s">
        <v>59</v>
      </c>
      <c r="N689" s="52" t="s">
        <v>59</v>
      </c>
      <c r="O689" s="52" t="s">
        <v>59</v>
      </c>
      <c r="P689" s="52" t="s">
        <v>59</v>
      </c>
    </row>
    <row r="690" spans="1:16" ht="14.4" hidden="1" x14ac:dyDescent="0.3">
      <c r="A690" s="18" t="s">
        <v>66</v>
      </c>
      <c r="B690" s="19"/>
      <c r="C690" s="16" t="s">
        <v>19</v>
      </c>
      <c r="D690" s="20">
        <v>0</v>
      </c>
      <c r="E690" s="20">
        <v>0</v>
      </c>
      <c r="F690" s="20">
        <v>0</v>
      </c>
      <c r="G690" s="20">
        <v>0</v>
      </c>
      <c r="H690" s="20">
        <v>0</v>
      </c>
      <c r="I690" s="20">
        <v>0</v>
      </c>
      <c r="J690" s="20">
        <v>0</v>
      </c>
      <c r="K690" s="20">
        <v>0</v>
      </c>
      <c r="L690" s="20">
        <v>0</v>
      </c>
      <c r="M690" s="20">
        <v>0</v>
      </c>
      <c r="N690" s="20">
        <v>0</v>
      </c>
      <c r="O690" s="20">
        <v>0</v>
      </c>
      <c r="P690" s="20">
        <v>0</v>
      </c>
    </row>
    <row r="691" spans="1:16" ht="14.4" x14ac:dyDescent="0.3">
      <c r="A691" s="14" t="s">
        <v>20</v>
      </c>
      <c r="B691" s="15"/>
      <c r="C691" s="16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</row>
    <row r="692" spans="1:16" ht="14.4" x14ac:dyDescent="0.3">
      <c r="A692" s="18" t="s">
        <v>21</v>
      </c>
      <c r="B692" s="19"/>
      <c r="C692" s="16" t="s">
        <v>19</v>
      </c>
      <c r="D692" s="20">
        <v>0</v>
      </c>
      <c r="E692" s="20">
        <v>0</v>
      </c>
      <c r="F692" s="20">
        <v>0</v>
      </c>
      <c r="G692" s="20">
        <v>0</v>
      </c>
      <c r="H692" s="20">
        <v>0</v>
      </c>
      <c r="I692" s="20">
        <v>0</v>
      </c>
      <c r="J692" s="20">
        <v>0</v>
      </c>
      <c r="K692" s="20">
        <v>0</v>
      </c>
      <c r="L692" s="20">
        <v>0</v>
      </c>
      <c r="M692" s="20">
        <v>0</v>
      </c>
      <c r="N692" s="20">
        <v>0</v>
      </c>
      <c r="O692" s="20">
        <v>0</v>
      </c>
      <c r="P692" s="20">
        <v>0</v>
      </c>
    </row>
    <row r="693" spans="1:16" ht="14.4" x14ac:dyDescent="0.3">
      <c r="A693" s="18" t="s">
        <v>22</v>
      </c>
      <c r="B693" s="19"/>
      <c r="C693" s="16" t="s">
        <v>23</v>
      </c>
      <c r="D693" s="23">
        <f>[43]TR!D58</f>
        <v>266.55</v>
      </c>
      <c r="E693" s="23">
        <f>[43]TR!E58</f>
        <v>292.95</v>
      </c>
      <c r="F693" s="23">
        <f>[43]TR!F58</f>
        <v>254.52</v>
      </c>
      <c r="G693" s="23">
        <f>[43]TR!G58</f>
        <v>282.89</v>
      </c>
      <c r="H693" s="23">
        <f>[43]TR!H58</f>
        <v>295.47000000000003</v>
      </c>
      <c r="I693" s="20">
        <f>[43]TR!I58</f>
        <v>278.70850000000002</v>
      </c>
      <c r="J693" s="20">
        <f>[43]TR!J58</f>
        <v>252.30850000000001</v>
      </c>
      <c r="K693" s="20">
        <f>[43]TR!K58</f>
        <v>250.39850000000001</v>
      </c>
      <c r="L693" s="20">
        <f>[43]TR!L58</f>
        <v>243.52850000000001</v>
      </c>
      <c r="M693" s="20">
        <f>[43]TR!M58</f>
        <v>232.16849999999999</v>
      </c>
      <c r="N693" s="20">
        <f>[43]TR!N58</f>
        <v>247.76849999999999</v>
      </c>
      <c r="O693" s="20">
        <f>[43]TR!O58</f>
        <v>239.9385</v>
      </c>
      <c r="P693" s="20">
        <f>[43]TR!P58</f>
        <v>0</v>
      </c>
    </row>
    <row r="694" spans="1:16" ht="14.4" x14ac:dyDescent="0.3">
      <c r="A694" s="14" t="s">
        <v>24</v>
      </c>
      <c r="B694" s="15"/>
      <c r="C694" s="16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</row>
    <row r="695" spans="1:16" ht="14.4" x14ac:dyDescent="0.3">
      <c r="A695" s="18" t="s">
        <v>25</v>
      </c>
      <c r="B695" s="19"/>
      <c r="C695" s="16" t="s">
        <v>19</v>
      </c>
      <c r="D695" s="20">
        <f t="shared" ref="D695:O695" si="25">D165</f>
        <v>0.48820000000000002</v>
      </c>
      <c r="E695" s="20">
        <f t="shared" si="25"/>
        <v>0.55189999999999995</v>
      </c>
      <c r="F695" s="20">
        <f t="shared" si="25"/>
        <v>0.53859999999999997</v>
      </c>
      <c r="G695" s="20">
        <f t="shared" si="25"/>
        <v>0.55789999999999995</v>
      </c>
      <c r="H695" s="20">
        <f t="shared" si="25"/>
        <v>0.51959999999999995</v>
      </c>
      <c r="I695" s="20">
        <f t="shared" si="25"/>
        <v>0.4672</v>
      </c>
      <c r="J695" s="20">
        <f t="shared" si="25"/>
        <v>0.50139999999999996</v>
      </c>
      <c r="K695" s="20">
        <f t="shared" si="25"/>
        <v>0.49130000000000001</v>
      </c>
      <c r="L695" s="20">
        <f t="shared" si="25"/>
        <v>0.43269999999999997</v>
      </c>
      <c r="M695" s="20">
        <f t="shared" si="25"/>
        <v>0.42549999999999999</v>
      </c>
      <c r="N695" s="20">
        <f t="shared" si="25"/>
        <v>0.42930000000000001</v>
      </c>
      <c r="O695" s="20">
        <f t="shared" si="25"/>
        <v>0.43219999999999997</v>
      </c>
      <c r="P695" s="20">
        <f>P165</f>
        <v>0</v>
      </c>
    </row>
    <row r="696" spans="1:16" ht="14.4" x14ac:dyDescent="0.3">
      <c r="A696" s="14" t="s">
        <v>26</v>
      </c>
      <c r="B696" s="14"/>
      <c r="C696" s="16"/>
      <c r="D696" s="22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</row>
    <row r="697" spans="1:16" ht="14.4" x14ac:dyDescent="0.3">
      <c r="A697" s="18" t="s">
        <v>27</v>
      </c>
      <c r="B697" s="18"/>
      <c r="C697" s="16" t="s">
        <v>19</v>
      </c>
      <c r="D697" s="20">
        <v>0.15409999999999999</v>
      </c>
      <c r="E697" s="20">
        <v>0.15409999999999999</v>
      </c>
      <c r="F697" s="20">
        <v>0.15409999999999999</v>
      </c>
      <c r="G697" s="20">
        <v>0.15409999999999999</v>
      </c>
      <c r="H697" s="20">
        <v>0.15409999999999999</v>
      </c>
      <c r="I697" s="20">
        <v>0.15409999999999999</v>
      </c>
      <c r="J697" s="20">
        <v>0.1368</v>
      </c>
      <c r="K697" s="20">
        <v>0.1368</v>
      </c>
      <c r="L697" s="20">
        <v>0.1368</v>
      </c>
      <c r="M697" s="20">
        <v>0.1368</v>
      </c>
      <c r="N697" s="20">
        <v>0.1368</v>
      </c>
      <c r="O697" s="20">
        <v>0.1368</v>
      </c>
      <c r="P697" s="20">
        <v>0.1368</v>
      </c>
    </row>
    <row r="698" spans="1:16" ht="14.4" x14ac:dyDescent="0.3">
      <c r="A698" s="18" t="s">
        <v>28</v>
      </c>
      <c r="B698" s="18"/>
      <c r="C698" s="16" t="s">
        <v>23</v>
      </c>
      <c r="D698" s="23">
        <v>267.23</v>
      </c>
      <c r="E698" s="23">
        <v>267.23</v>
      </c>
      <c r="F698" s="23">
        <v>267.23</v>
      </c>
      <c r="G698" s="23">
        <v>267.23</v>
      </c>
      <c r="H698" s="23">
        <v>267.23</v>
      </c>
      <c r="I698" s="23">
        <v>267.23</v>
      </c>
      <c r="J698" s="23">
        <v>237.15</v>
      </c>
      <c r="K698" s="23">
        <v>237.15</v>
      </c>
      <c r="L698" s="23">
        <v>237.15</v>
      </c>
      <c r="M698" s="23">
        <v>237.15</v>
      </c>
      <c r="N698" s="23">
        <v>237.15</v>
      </c>
      <c r="O698" s="23">
        <v>237.15</v>
      </c>
      <c r="P698" s="23">
        <v>237.15</v>
      </c>
    </row>
    <row r="699" spans="1:16" ht="14.4" x14ac:dyDescent="0.3">
      <c r="A699" s="14" t="s">
        <v>29</v>
      </c>
      <c r="B699" s="14"/>
      <c r="C699" s="16"/>
      <c r="D699" s="24"/>
      <c r="E699" s="24"/>
      <c r="F699" s="24"/>
      <c r="G699" s="24"/>
      <c r="H699" s="24"/>
      <c r="I699" s="24"/>
      <c r="J699" s="24"/>
      <c r="K699" s="24"/>
      <c r="L699" s="24"/>
      <c r="M699" s="24"/>
      <c r="N699" s="24"/>
      <c r="O699" s="24"/>
      <c r="P699" s="24"/>
    </row>
    <row r="700" spans="1:16" ht="14.4" x14ac:dyDescent="0.3">
      <c r="A700" s="18" t="s">
        <v>30</v>
      </c>
      <c r="B700" s="18"/>
      <c r="C700" s="16" t="s">
        <v>19</v>
      </c>
      <c r="D700" s="52" t="s">
        <v>61</v>
      </c>
      <c r="E700" s="52" t="s">
        <v>61</v>
      </c>
      <c r="F700" s="52" t="s">
        <v>61</v>
      </c>
      <c r="G700" s="52" t="s">
        <v>61</v>
      </c>
      <c r="H700" s="52" t="s">
        <v>61</v>
      </c>
      <c r="I700" s="52" t="s">
        <v>61</v>
      </c>
      <c r="J700" s="52" t="s">
        <v>61</v>
      </c>
      <c r="K700" s="52" t="s">
        <v>61</v>
      </c>
      <c r="L700" s="52" t="s">
        <v>61</v>
      </c>
      <c r="M700" s="52" t="s">
        <v>61</v>
      </c>
      <c r="N700" s="52" t="s">
        <v>61</v>
      </c>
      <c r="O700" s="52" t="s">
        <v>61</v>
      </c>
      <c r="P700" s="52" t="s">
        <v>61</v>
      </c>
    </row>
    <row r="701" spans="1:16" ht="14.4" x14ac:dyDescent="0.3">
      <c r="A701" s="18" t="s">
        <v>31</v>
      </c>
      <c r="B701" s="18"/>
      <c r="C701" s="16" t="s">
        <v>32</v>
      </c>
      <c r="D701" s="52" t="s">
        <v>62</v>
      </c>
      <c r="E701" s="52" t="s">
        <v>62</v>
      </c>
      <c r="F701" s="52" t="s">
        <v>62</v>
      </c>
      <c r="G701" s="52" t="s">
        <v>62</v>
      </c>
      <c r="H701" s="52" t="s">
        <v>62</v>
      </c>
      <c r="I701" s="52" t="s">
        <v>62</v>
      </c>
      <c r="J701" s="52" t="s">
        <v>62</v>
      </c>
      <c r="K701" s="52" t="s">
        <v>62</v>
      </c>
      <c r="L701" s="52" t="s">
        <v>62</v>
      </c>
      <c r="M701" s="52" t="s">
        <v>62</v>
      </c>
      <c r="N701" s="52" t="s">
        <v>62</v>
      </c>
      <c r="O701" s="52" t="s">
        <v>62</v>
      </c>
      <c r="P701" s="52" t="s">
        <v>62</v>
      </c>
    </row>
    <row r="702" spans="1:16" ht="14.4" x14ac:dyDescent="0.3">
      <c r="A702" s="14" t="s">
        <v>33</v>
      </c>
      <c r="B702" s="14"/>
      <c r="C702" s="16"/>
      <c r="D702" s="24"/>
      <c r="E702" s="24"/>
      <c r="F702" s="24"/>
      <c r="G702" s="24"/>
      <c r="H702" s="24"/>
      <c r="I702" s="24"/>
      <c r="J702" s="24"/>
      <c r="K702" s="24"/>
      <c r="L702" s="24"/>
      <c r="M702" s="24"/>
      <c r="N702" s="24"/>
      <c r="O702" s="24"/>
      <c r="P702" s="24"/>
    </row>
    <row r="703" spans="1:16" ht="14.4" x14ac:dyDescent="0.3">
      <c r="A703" s="18" t="s">
        <v>34</v>
      </c>
      <c r="B703" s="18"/>
      <c r="C703" s="16" t="s">
        <v>19</v>
      </c>
      <c r="D703" s="20">
        <v>0</v>
      </c>
      <c r="E703" s="20">
        <v>0</v>
      </c>
      <c r="F703" s="20">
        <v>0</v>
      </c>
      <c r="G703" s="20">
        <v>0</v>
      </c>
      <c r="H703" s="20">
        <v>0</v>
      </c>
      <c r="I703" s="20">
        <v>0</v>
      </c>
      <c r="J703" s="20">
        <v>0</v>
      </c>
      <c r="K703" s="20">
        <v>0</v>
      </c>
      <c r="L703" s="20">
        <v>0</v>
      </c>
      <c r="M703" s="20">
        <v>0</v>
      </c>
      <c r="N703" s="20">
        <v>0</v>
      </c>
      <c r="O703" s="20">
        <v>0</v>
      </c>
      <c r="P703" s="20">
        <v>0</v>
      </c>
    </row>
    <row r="704" spans="1:16" ht="14.4" x14ac:dyDescent="0.3">
      <c r="A704" s="18" t="s">
        <v>35</v>
      </c>
      <c r="B704" s="18"/>
      <c r="C704" s="16" t="s">
        <v>36</v>
      </c>
      <c r="D704" s="52" t="s">
        <v>63</v>
      </c>
      <c r="E704" s="52" t="s">
        <v>63</v>
      </c>
      <c r="F704" s="52" t="s">
        <v>63</v>
      </c>
      <c r="G704" s="52" t="s">
        <v>63</v>
      </c>
      <c r="H704" s="52" t="s">
        <v>63</v>
      </c>
      <c r="I704" s="52" t="s">
        <v>63</v>
      </c>
      <c r="J704" s="52" t="s">
        <v>63</v>
      </c>
      <c r="K704" s="52" t="s">
        <v>63</v>
      </c>
      <c r="L704" s="52" t="s">
        <v>63</v>
      </c>
      <c r="M704" s="52" t="s">
        <v>63</v>
      </c>
      <c r="N704" s="52" t="s">
        <v>63</v>
      </c>
      <c r="O704" s="52" t="s">
        <v>63</v>
      </c>
      <c r="P704" s="52" t="s">
        <v>63</v>
      </c>
    </row>
    <row r="705" spans="1:16" ht="14.4" x14ac:dyDescent="0.3">
      <c r="A705" s="14" t="s">
        <v>37</v>
      </c>
      <c r="B705" s="14"/>
      <c r="C705" s="16"/>
      <c r="D705" s="24"/>
      <c r="E705" s="24"/>
      <c r="F705" s="24"/>
      <c r="G705" s="24"/>
      <c r="H705" s="24"/>
      <c r="I705" s="24"/>
      <c r="J705" s="24"/>
      <c r="K705" s="24"/>
      <c r="L705" s="24"/>
      <c r="M705" s="24"/>
      <c r="N705" s="24"/>
      <c r="O705" s="24"/>
      <c r="P705" s="24"/>
    </row>
    <row r="706" spans="1:16" ht="14.4" x14ac:dyDescent="0.3">
      <c r="A706" s="25" t="s">
        <v>38</v>
      </c>
      <c r="B706" s="18"/>
      <c r="C706" s="16" t="s">
        <v>19</v>
      </c>
      <c r="D706" s="20">
        <f t="shared" ref="D706:O706" si="26">D176</f>
        <v>0.1215</v>
      </c>
      <c r="E706" s="20">
        <f t="shared" si="26"/>
        <v>0.14280000000000001</v>
      </c>
      <c r="F706" s="20">
        <f t="shared" si="26"/>
        <v>0.1462</v>
      </c>
      <c r="G706" s="20">
        <f t="shared" si="26"/>
        <v>0.15629999999999999</v>
      </c>
      <c r="H706" s="20">
        <f t="shared" si="26"/>
        <v>0.1152</v>
      </c>
      <c r="I706" s="20">
        <f t="shared" si="26"/>
        <v>9.3799999999999994E-2</v>
      </c>
      <c r="J706" s="20">
        <f t="shared" si="26"/>
        <v>7.7499999999999999E-2</v>
      </c>
      <c r="K706" s="20">
        <f t="shared" si="26"/>
        <v>9.3200000000000005E-2</v>
      </c>
      <c r="L706" s="20">
        <f t="shared" si="26"/>
        <v>8.5099999999999995E-2</v>
      </c>
      <c r="M706" s="20">
        <f t="shared" si="26"/>
        <v>8.0299999999999996E-2</v>
      </c>
      <c r="N706" s="20">
        <f t="shared" si="26"/>
        <v>8.3699999999999997E-2</v>
      </c>
      <c r="O706" s="20">
        <f t="shared" si="26"/>
        <v>8.1699999999999995E-2</v>
      </c>
      <c r="P706" s="20">
        <f>P176</f>
        <v>0</v>
      </c>
    </row>
    <row r="707" spans="1:16" ht="14.4" x14ac:dyDescent="0.3">
      <c r="A707" s="25" t="s">
        <v>39</v>
      </c>
      <c r="B707" s="18"/>
      <c r="C707" s="16" t="s">
        <v>19</v>
      </c>
      <c r="D707" s="20">
        <v>0</v>
      </c>
      <c r="E707" s="20">
        <v>0</v>
      </c>
      <c r="F707" s="20">
        <v>0</v>
      </c>
      <c r="G707" s="20">
        <v>0</v>
      </c>
      <c r="H707" s="20">
        <v>0</v>
      </c>
      <c r="I707" s="20">
        <v>0</v>
      </c>
      <c r="J707" s="20">
        <v>0</v>
      </c>
      <c r="K707" s="20">
        <v>0</v>
      </c>
      <c r="L707" s="20">
        <v>0</v>
      </c>
      <c r="M707" s="20">
        <v>0</v>
      </c>
      <c r="N707" s="20">
        <v>0</v>
      </c>
      <c r="O707" s="20">
        <v>0</v>
      </c>
      <c r="P707" s="20">
        <v>0</v>
      </c>
    </row>
    <row r="708" spans="1:16" ht="14.4" x14ac:dyDescent="0.3">
      <c r="A708" s="26" t="s">
        <v>40</v>
      </c>
      <c r="B708" s="18"/>
      <c r="C708" s="16" t="s">
        <v>19</v>
      </c>
      <c r="D708" s="20">
        <f t="shared" ref="D708:O710" si="27">D178</f>
        <v>1E-4</v>
      </c>
      <c r="E708" s="20">
        <f t="shared" si="27"/>
        <v>1E-4</v>
      </c>
      <c r="F708" s="20">
        <f t="shared" si="27"/>
        <v>1E-4</v>
      </c>
      <c r="G708" s="20">
        <f t="shared" si="27"/>
        <v>1E-4</v>
      </c>
      <c r="H708" s="20">
        <f t="shared" si="27"/>
        <v>1E-4</v>
      </c>
      <c r="I708" s="20">
        <f t="shared" si="27"/>
        <v>1E-4</v>
      </c>
      <c r="J708" s="20">
        <f t="shared" si="27"/>
        <v>1E-4</v>
      </c>
      <c r="K708" s="20">
        <f t="shared" si="27"/>
        <v>1E-4</v>
      </c>
      <c r="L708" s="20">
        <f t="shared" si="27"/>
        <v>1E-4</v>
      </c>
      <c r="M708" s="20">
        <f t="shared" si="27"/>
        <v>1E-4</v>
      </c>
      <c r="N708" s="20">
        <f t="shared" si="27"/>
        <v>1E-4</v>
      </c>
      <c r="O708" s="20">
        <f t="shared" si="27"/>
        <v>1E-4</v>
      </c>
      <c r="P708" s="20">
        <f>P178</f>
        <v>0</v>
      </c>
    </row>
    <row r="709" spans="1:16" ht="14.4" x14ac:dyDescent="0.3">
      <c r="A709" s="26" t="s">
        <v>41</v>
      </c>
      <c r="B709" s="18"/>
      <c r="C709" s="16" t="s">
        <v>19</v>
      </c>
      <c r="D709" s="20">
        <f t="shared" si="27"/>
        <v>0</v>
      </c>
      <c r="E709" s="20">
        <f t="shared" si="27"/>
        <v>0</v>
      </c>
      <c r="F709" s="20">
        <f t="shared" si="27"/>
        <v>0</v>
      </c>
      <c r="G709" s="20">
        <f t="shared" si="27"/>
        <v>0</v>
      </c>
      <c r="H709" s="20">
        <f t="shared" si="27"/>
        <v>0</v>
      </c>
      <c r="I709" s="20">
        <f t="shared" si="27"/>
        <v>0</v>
      </c>
      <c r="J709" s="20">
        <f t="shared" si="27"/>
        <v>0</v>
      </c>
      <c r="K709" s="20">
        <f t="shared" si="27"/>
        <v>0</v>
      </c>
      <c r="L709" s="20">
        <f t="shared" si="27"/>
        <v>0</v>
      </c>
      <c r="M709" s="20">
        <f t="shared" si="27"/>
        <v>0</v>
      </c>
      <c r="N709" s="20">
        <f t="shared" si="27"/>
        <v>0</v>
      </c>
      <c r="O709" s="20">
        <f t="shared" si="27"/>
        <v>0</v>
      </c>
      <c r="P709" s="20">
        <f>P179</f>
        <v>0</v>
      </c>
    </row>
    <row r="710" spans="1:16" ht="15" hidden="1" customHeight="1" x14ac:dyDescent="0.3">
      <c r="A710" s="154" t="s">
        <v>181</v>
      </c>
      <c r="B710" s="155"/>
      <c r="C710" s="16" t="s">
        <v>19</v>
      </c>
      <c r="D710" s="20">
        <f t="shared" si="27"/>
        <v>0</v>
      </c>
      <c r="E710" s="20">
        <f t="shared" si="27"/>
        <v>0</v>
      </c>
      <c r="F710" s="20">
        <f t="shared" si="27"/>
        <v>0</v>
      </c>
      <c r="G710" s="20">
        <f t="shared" si="27"/>
        <v>0</v>
      </c>
      <c r="H710" s="20">
        <f t="shared" si="27"/>
        <v>0</v>
      </c>
      <c r="I710" s="20">
        <f t="shared" si="27"/>
        <v>0</v>
      </c>
      <c r="J710" s="20">
        <f t="shared" si="27"/>
        <v>0</v>
      </c>
      <c r="K710" s="20">
        <f t="shared" si="27"/>
        <v>0</v>
      </c>
      <c r="L710" s="20">
        <f t="shared" si="27"/>
        <v>0</v>
      </c>
      <c r="M710" s="20">
        <f t="shared" si="27"/>
        <v>0</v>
      </c>
      <c r="N710" s="20">
        <f t="shared" si="27"/>
        <v>0</v>
      </c>
      <c r="O710" s="20">
        <f t="shared" si="27"/>
        <v>0</v>
      </c>
      <c r="P710" s="20">
        <f>P180</f>
        <v>0</v>
      </c>
    </row>
    <row r="711" spans="1:16" ht="16.2" hidden="1" x14ac:dyDescent="0.3">
      <c r="A711" s="154" t="s">
        <v>182</v>
      </c>
      <c r="B711" s="155"/>
      <c r="C711" s="16" t="s">
        <v>19</v>
      </c>
      <c r="D711" s="20"/>
      <c r="E711" s="20"/>
      <c r="F711" s="20"/>
      <c r="G711" s="20"/>
      <c r="H711" s="20"/>
      <c r="I711" s="20"/>
      <c r="J711" s="20"/>
      <c r="K711" s="20"/>
      <c r="L711" s="20"/>
      <c r="M711" s="20"/>
      <c r="N711" s="20"/>
      <c r="O711" s="20"/>
      <c r="P711" s="20"/>
    </row>
    <row r="712" spans="1:16" ht="16.2" hidden="1" x14ac:dyDescent="0.3">
      <c r="A712" s="154" t="s">
        <v>182</v>
      </c>
      <c r="B712" s="156"/>
      <c r="C712" s="16" t="s">
        <v>19</v>
      </c>
      <c r="D712" s="20"/>
      <c r="E712" s="20"/>
      <c r="F712" s="20"/>
      <c r="G712" s="20"/>
      <c r="H712" s="20"/>
      <c r="I712" s="20"/>
      <c r="J712" s="20"/>
      <c r="K712" s="20"/>
      <c r="L712" s="20"/>
      <c r="M712" s="20"/>
      <c r="N712" s="20"/>
      <c r="O712" s="20"/>
      <c r="P712" s="20"/>
    </row>
    <row r="713" spans="1:16" ht="14.4" x14ac:dyDescent="0.3">
      <c r="A713" s="14" t="s">
        <v>42</v>
      </c>
      <c r="B713" s="14"/>
      <c r="C713" s="16"/>
      <c r="D713" s="24"/>
      <c r="E713" s="24"/>
      <c r="F713" s="24"/>
      <c r="G713" s="24"/>
      <c r="H713" s="24"/>
      <c r="I713" s="24"/>
      <c r="J713" s="24"/>
      <c r="K713" s="24"/>
      <c r="L713" s="24"/>
      <c r="M713" s="24"/>
      <c r="N713" s="24"/>
      <c r="O713" s="24"/>
      <c r="P713" s="24"/>
    </row>
    <row r="714" spans="1:16" ht="14.4" x14ac:dyDescent="0.3">
      <c r="A714" s="14" t="s">
        <v>43</v>
      </c>
      <c r="B714" s="14"/>
      <c r="C714" s="16" t="s">
        <v>44</v>
      </c>
      <c r="D714" s="27"/>
      <c r="E714" s="27"/>
      <c r="F714" s="27"/>
      <c r="G714" s="27"/>
      <c r="H714" s="27"/>
      <c r="I714" s="27"/>
      <c r="J714" s="27"/>
      <c r="K714" s="27"/>
      <c r="L714" s="27"/>
      <c r="M714" s="27"/>
      <c r="N714" s="27"/>
      <c r="O714" s="27"/>
      <c r="P714" s="27"/>
    </row>
    <row r="715" spans="1:16" ht="14.4" hidden="1" x14ac:dyDescent="0.3">
      <c r="A715" s="14" t="s">
        <v>183</v>
      </c>
      <c r="B715" s="14"/>
      <c r="C715" s="16"/>
      <c r="D715" s="28"/>
      <c r="E715" s="28"/>
      <c r="F715" s="28"/>
      <c r="G715" s="28"/>
      <c r="H715" s="28"/>
      <c r="I715" s="28"/>
      <c r="J715" s="28"/>
      <c r="K715" s="28"/>
      <c r="L715" s="28"/>
      <c r="M715" s="28"/>
      <c r="N715" s="28"/>
      <c r="O715" s="28"/>
      <c r="P715" s="28"/>
    </row>
    <row r="716" spans="1:16" ht="14.4" hidden="1" x14ac:dyDescent="0.3">
      <c r="A716" s="14" t="s">
        <v>184</v>
      </c>
      <c r="B716" s="14"/>
      <c r="C716" s="16" t="s">
        <v>19</v>
      </c>
      <c r="D716" s="20"/>
      <c r="E716" s="20"/>
      <c r="F716" s="20"/>
      <c r="G716" s="20"/>
      <c r="H716" s="20"/>
      <c r="I716" s="20"/>
      <c r="J716" s="20"/>
      <c r="K716" s="20"/>
      <c r="L716" s="20"/>
      <c r="M716" s="20"/>
      <c r="N716" s="20"/>
      <c r="O716" s="20"/>
      <c r="P716" s="20"/>
    </row>
    <row r="717" spans="1:16" ht="14.4" x14ac:dyDescent="0.3">
      <c r="A717" s="14" t="s">
        <v>45</v>
      </c>
      <c r="B717" s="14"/>
      <c r="C717" s="16"/>
      <c r="D717" s="28"/>
      <c r="E717" s="28"/>
      <c r="F717" s="28"/>
      <c r="G717" s="28"/>
      <c r="H717" s="28"/>
      <c r="I717" s="28"/>
      <c r="J717" s="28"/>
      <c r="K717" s="28"/>
      <c r="L717" s="28"/>
      <c r="M717" s="28"/>
      <c r="N717" s="28"/>
      <c r="O717" s="28"/>
      <c r="P717" s="28"/>
    </row>
    <row r="718" spans="1:16" ht="14.4" x14ac:dyDescent="0.3">
      <c r="A718" s="14" t="s">
        <v>46</v>
      </c>
      <c r="B718" s="14"/>
      <c r="C718" s="16" t="s">
        <v>19</v>
      </c>
      <c r="D718" s="20">
        <v>0</v>
      </c>
      <c r="E718" s="20">
        <v>0</v>
      </c>
      <c r="F718" s="20">
        <v>0</v>
      </c>
      <c r="G718" s="20">
        <v>0</v>
      </c>
      <c r="H718" s="20">
        <v>0</v>
      </c>
      <c r="I718" s="20">
        <v>0</v>
      </c>
      <c r="J718" s="20">
        <v>0</v>
      </c>
      <c r="K718" s="20">
        <v>0</v>
      </c>
      <c r="L718" s="20">
        <v>0</v>
      </c>
      <c r="M718" s="20">
        <v>0</v>
      </c>
      <c r="N718" s="20">
        <v>0</v>
      </c>
      <c r="O718" s="20">
        <v>0</v>
      </c>
      <c r="P718" s="20">
        <v>0</v>
      </c>
    </row>
    <row r="719" spans="1:16" ht="14.4" hidden="1" x14ac:dyDescent="0.3">
      <c r="A719" s="14" t="s">
        <v>185</v>
      </c>
      <c r="B719" s="14"/>
      <c r="C719" s="16"/>
      <c r="D719" s="28"/>
      <c r="E719" s="28"/>
      <c r="F719" s="28"/>
      <c r="G719" s="28"/>
      <c r="H719" s="28"/>
      <c r="I719" s="28"/>
      <c r="J719" s="28"/>
      <c r="K719" s="28"/>
      <c r="L719" s="28"/>
      <c r="M719" s="28"/>
      <c r="N719" s="28"/>
      <c r="O719" s="28"/>
      <c r="P719" s="28"/>
    </row>
    <row r="720" spans="1:16" ht="14.4" hidden="1" x14ac:dyDescent="0.3">
      <c r="A720" s="14" t="s">
        <v>186</v>
      </c>
      <c r="B720" s="14"/>
      <c r="C720" s="16" t="s">
        <v>19</v>
      </c>
      <c r="D720" s="20"/>
      <c r="E720" s="20"/>
      <c r="F720" s="20"/>
      <c r="G720" s="20"/>
      <c r="H720" s="20"/>
      <c r="I720" s="20"/>
      <c r="J720" s="20"/>
      <c r="K720" s="20"/>
      <c r="L720" s="20"/>
      <c r="M720" s="20"/>
      <c r="N720" s="20"/>
      <c r="O720" s="20"/>
      <c r="P720" s="20"/>
    </row>
    <row r="721" spans="1:16" ht="14.4" x14ac:dyDescent="0.3">
      <c r="A721" s="14" t="s">
        <v>47</v>
      </c>
      <c r="B721" s="14"/>
      <c r="C721" s="16"/>
      <c r="D721" s="24"/>
      <c r="E721" s="24"/>
      <c r="F721" s="24"/>
      <c r="G721" s="24"/>
      <c r="H721" s="24"/>
      <c r="I721" s="24"/>
      <c r="J721" s="24"/>
      <c r="K721" s="24"/>
      <c r="L721" s="24"/>
      <c r="M721" s="24"/>
      <c r="N721" s="24"/>
      <c r="O721" s="24"/>
      <c r="P721" s="24"/>
    </row>
    <row r="722" spans="1:16" ht="14.4" x14ac:dyDescent="0.3">
      <c r="A722" s="18" t="s">
        <v>48</v>
      </c>
      <c r="B722" s="18"/>
      <c r="C722" s="16" t="s">
        <v>19</v>
      </c>
      <c r="D722" s="20">
        <f t="shared" ref="D722:P724" si="28">D192</f>
        <v>0.15609999999999999</v>
      </c>
      <c r="E722" s="20">
        <f t="shared" si="28"/>
        <v>0.15609999999999999</v>
      </c>
      <c r="F722" s="20">
        <f t="shared" si="28"/>
        <v>0.15609999999999999</v>
      </c>
      <c r="G722" s="20">
        <f t="shared" si="28"/>
        <v>0.15609999999999999</v>
      </c>
      <c r="H722" s="20">
        <f t="shared" si="28"/>
        <v>0.15609999999999999</v>
      </c>
      <c r="I722" s="20">
        <f t="shared" si="28"/>
        <v>0.15609999999999999</v>
      </c>
      <c r="J722" s="20">
        <f t="shared" si="28"/>
        <v>0.15609999999999999</v>
      </c>
      <c r="K722" s="20">
        <f t="shared" si="28"/>
        <v>0.15609999999999999</v>
      </c>
      <c r="L722" s="20">
        <f t="shared" si="28"/>
        <v>0.15609999999999999</v>
      </c>
      <c r="M722" s="20">
        <f t="shared" si="28"/>
        <v>0.15609999999999999</v>
      </c>
      <c r="N722" s="20">
        <f t="shared" si="28"/>
        <v>0.15609999999999999</v>
      </c>
      <c r="O722" s="20">
        <f t="shared" si="28"/>
        <v>0.15609999999999999</v>
      </c>
      <c r="P722" s="20">
        <f t="shared" si="28"/>
        <v>0.15609999999999999</v>
      </c>
    </row>
    <row r="723" spans="1:16" ht="14.4" x14ac:dyDescent="0.3">
      <c r="A723" s="18" t="s">
        <v>49</v>
      </c>
      <c r="B723" s="18"/>
      <c r="C723" s="16" t="s">
        <v>19</v>
      </c>
      <c r="D723" s="20">
        <f>D193</f>
        <v>2.5000000000000001E-3</v>
      </c>
      <c r="E723" s="20">
        <f t="shared" si="28"/>
        <v>2.5000000000000001E-3</v>
      </c>
      <c r="F723" s="20">
        <f t="shared" si="28"/>
        <v>2.5000000000000001E-3</v>
      </c>
      <c r="G723" s="20">
        <f t="shared" si="28"/>
        <v>2.5000000000000001E-3</v>
      </c>
      <c r="H723" s="20">
        <f t="shared" si="28"/>
        <v>2.5000000000000001E-3</v>
      </c>
      <c r="I723" s="20">
        <f t="shared" si="28"/>
        <v>2.5000000000000001E-3</v>
      </c>
      <c r="J723" s="20">
        <f t="shared" si="28"/>
        <v>2.5000000000000001E-3</v>
      </c>
      <c r="K723" s="20">
        <f t="shared" si="28"/>
        <v>2.5000000000000001E-3</v>
      </c>
      <c r="L723" s="20">
        <f t="shared" si="28"/>
        <v>2.5000000000000001E-3</v>
      </c>
      <c r="M723" s="20">
        <f t="shared" si="28"/>
        <v>2.5000000000000001E-3</v>
      </c>
      <c r="N723" s="20">
        <f t="shared" si="28"/>
        <v>2.5000000000000001E-3</v>
      </c>
      <c r="O723" s="20">
        <f t="shared" si="28"/>
        <v>2.5000000000000001E-3</v>
      </c>
      <c r="P723" s="20">
        <f t="shared" si="28"/>
        <v>2.5000000000000001E-3</v>
      </c>
    </row>
    <row r="724" spans="1:16" ht="14.4" x14ac:dyDescent="0.3">
      <c r="A724" s="18" t="s">
        <v>50</v>
      </c>
      <c r="B724" s="18"/>
      <c r="C724" s="16" t="s">
        <v>19</v>
      </c>
      <c r="D724" s="20">
        <f>D194</f>
        <v>0.1938</v>
      </c>
      <c r="E724" s="20">
        <f t="shared" si="28"/>
        <v>0.1938</v>
      </c>
      <c r="F724" s="20">
        <f t="shared" si="28"/>
        <v>0.1938</v>
      </c>
      <c r="G724" s="20">
        <f t="shared" si="28"/>
        <v>0.1938</v>
      </c>
      <c r="H724" s="20">
        <f t="shared" si="28"/>
        <v>0.1938</v>
      </c>
      <c r="I724" s="20">
        <f t="shared" si="28"/>
        <v>0.1938</v>
      </c>
      <c r="J724" s="20">
        <f t="shared" si="28"/>
        <v>0.1938</v>
      </c>
      <c r="K724" s="20">
        <f t="shared" si="28"/>
        <v>0.1938</v>
      </c>
      <c r="L724" s="20">
        <f t="shared" si="28"/>
        <v>0.1938</v>
      </c>
      <c r="M724" s="20">
        <f t="shared" si="28"/>
        <v>0.1938</v>
      </c>
      <c r="N724" s="20">
        <f t="shared" si="28"/>
        <v>0.1938</v>
      </c>
      <c r="O724" s="20">
        <f t="shared" si="28"/>
        <v>0.1938</v>
      </c>
      <c r="P724" s="20">
        <f t="shared" si="28"/>
        <v>0.1938</v>
      </c>
    </row>
    <row r="725" spans="1:16" ht="14.4" x14ac:dyDescent="0.3">
      <c r="A725" s="14" t="s">
        <v>51</v>
      </c>
      <c r="B725" s="14"/>
      <c r="C725" s="16" t="s">
        <v>19</v>
      </c>
      <c r="D725" s="20">
        <v>0</v>
      </c>
      <c r="E725" s="20">
        <v>4.0599999999999997E-2</v>
      </c>
      <c r="F725" s="20">
        <v>4.0599999999999997E-2</v>
      </c>
      <c r="G725" s="20">
        <v>4.0599999999999997E-2</v>
      </c>
      <c r="H725" s="20">
        <v>4.0599999999999997E-2</v>
      </c>
      <c r="I725" s="20">
        <v>4.0599999999999997E-2</v>
      </c>
      <c r="J725" s="20">
        <v>4.0599999999999997E-2</v>
      </c>
      <c r="K725" s="20">
        <v>4.0599999999999997E-2</v>
      </c>
      <c r="L725" s="20">
        <v>4.0599999999999997E-2</v>
      </c>
      <c r="M725" s="20">
        <v>4.0599999999999997E-2</v>
      </c>
      <c r="N725" s="20">
        <v>4.0599999999999997E-2</v>
      </c>
      <c r="O725" s="20">
        <v>4.0599999999999997E-2</v>
      </c>
      <c r="P725" s="20">
        <v>4.0599999999999997E-2</v>
      </c>
    </row>
    <row r="726" spans="1:16" ht="14.4" x14ac:dyDescent="0.3">
      <c r="A726" s="14" t="s">
        <v>52</v>
      </c>
      <c r="B726" s="14"/>
      <c r="C726" s="29"/>
      <c r="D726" s="22"/>
      <c r="E726" s="22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</row>
    <row r="727" spans="1:16" ht="14.4" x14ac:dyDescent="0.3">
      <c r="A727" s="18" t="s">
        <v>53</v>
      </c>
      <c r="B727" s="18"/>
      <c r="C727" s="16" t="s">
        <v>44</v>
      </c>
      <c r="D727" s="30">
        <f t="shared" ref="D727:O729" si="29">D197</f>
        <v>0.1154</v>
      </c>
      <c r="E727" s="30">
        <f t="shared" si="29"/>
        <v>0.1143</v>
      </c>
      <c r="F727" s="30">
        <f t="shared" si="29"/>
        <v>0.11269999999999999</v>
      </c>
      <c r="G727" s="30">
        <f t="shared" si="29"/>
        <v>0.11459999999999999</v>
      </c>
      <c r="H727" s="30">
        <f t="shared" si="29"/>
        <v>0.1134</v>
      </c>
      <c r="I727" s="30">
        <f t="shared" si="29"/>
        <v>0.11219999999999999</v>
      </c>
      <c r="J727" s="30">
        <f t="shared" si="29"/>
        <v>0.1079</v>
      </c>
      <c r="K727" s="30">
        <f t="shared" si="29"/>
        <v>0.10639999999999999</v>
      </c>
      <c r="L727" s="30">
        <f t="shared" si="29"/>
        <v>0.1089</v>
      </c>
      <c r="M727" s="30">
        <f t="shared" si="29"/>
        <v>0.1143</v>
      </c>
      <c r="N727" s="30">
        <f t="shared" si="29"/>
        <v>0.1145</v>
      </c>
      <c r="O727" s="30">
        <f t="shared" si="29"/>
        <v>0.11310000000000001</v>
      </c>
      <c r="P727" s="30" t="e">
        <f>P197</f>
        <v>#DIV/0!</v>
      </c>
    </row>
    <row r="728" spans="1:16" ht="14.4" x14ac:dyDescent="0.3">
      <c r="A728" s="18" t="s">
        <v>54</v>
      </c>
      <c r="B728" s="18"/>
      <c r="C728" s="16" t="s">
        <v>44</v>
      </c>
      <c r="D728" s="30">
        <f t="shared" si="29"/>
        <v>3.3E-3</v>
      </c>
      <c r="E728" s="30">
        <f t="shared" si="29"/>
        <v>3.5999999999999999E-3</v>
      </c>
      <c r="F728" s="30">
        <f t="shared" si="29"/>
        <v>5.5999999999999999E-3</v>
      </c>
      <c r="G728" s="30">
        <f t="shared" si="29"/>
        <v>1.0699999999999999E-2</v>
      </c>
      <c r="H728" s="30">
        <f t="shared" si="29"/>
        <v>2.8400000000000002E-2</v>
      </c>
      <c r="I728" s="30">
        <f t="shared" si="29"/>
        <v>2.7400000000000001E-2</v>
      </c>
      <c r="J728" s="30">
        <f t="shared" si="29"/>
        <v>2.18E-2</v>
      </c>
      <c r="K728" s="30">
        <f t="shared" si="29"/>
        <v>8.9999999999999993E-3</v>
      </c>
      <c r="L728" s="30">
        <f t="shared" si="29"/>
        <v>8.3999999999999995E-3</v>
      </c>
      <c r="M728" s="30">
        <f t="shared" si="29"/>
        <v>6.1999999999999998E-3</v>
      </c>
      <c r="N728" s="30">
        <f t="shared" si="29"/>
        <v>4.7000000000000002E-3</v>
      </c>
      <c r="O728" s="30">
        <f t="shared" si="29"/>
        <v>6.1999999999999998E-3</v>
      </c>
      <c r="P728" s="30">
        <f>P198</f>
        <v>-3.0300000000000001E-2</v>
      </c>
    </row>
    <row r="729" spans="1:16" ht="14.4" x14ac:dyDescent="0.3">
      <c r="A729" s="18" t="s">
        <v>55</v>
      </c>
      <c r="B729" s="18"/>
      <c r="C729" s="16" t="s">
        <v>44</v>
      </c>
      <c r="D729" s="30">
        <f t="shared" si="29"/>
        <v>9.8100000000000007E-2</v>
      </c>
      <c r="E729" s="30">
        <f t="shared" si="29"/>
        <v>9.64E-2</v>
      </c>
      <c r="F729" s="30">
        <f t="shared" si="29"/>
        <v>9.69E-2</v>
      </c>
      <c r="G729" s="30">
        <f t="shared" si="29"/>
        <v>9.9299999999999999E-2</v>
      </c>
      <c r="H729" s="30">
        <f t="shared" si="29"/>
        <v>9.9099999999999994E-2</v>
      </c>
      <c r="I729" s="30">
        <f t="shared" si="29"/>
        <v>9.8500000000000004E-2</v>
      </c>
      <c r="J729" s="30">
        <f t="shared" si="29"/>
        <v>9.5299999999999996E-2</v>
      </c>
      <c r="K729" s="30">
        <f t="shared" si="29"/>
        <v>9.1800000000000007E-2</v>
      </c>
      <c r="L729" s="30">
        <f t="shared" si="29"/>
        <v>9.3399999999999997E-2</v>
      </c>
      <c r="M729" s="30">
        <f t="shared" si="29"/>
        <v>9.7199999999999995E-2</v>
      </c>
      <c r="N729" s="30">
        <f t="shared" si="29"/>
        <v>9.6799999999999997E-2</v>
      </c>
      <c r="O729" s="30">
        <f t="shared" si="29"/>
        <v>9.6199999999999994E-2</v>
      </c>
      <c r="P729" s="30" t="e">
        <f>P199</f>
        <v>#DIV/0!</v>
      </c>
    </row>
    <row r="730" spans="1:16" ht="14.4" hidden="1" x14ac:dyDescent="0.3">
      <c r="A730" s="18" t="s">
        <v>187</v>
      </c>
      <c r="B730" s="18"/>
      <c r="C730" s="16" t="s">
        <v>44</v>
      </c>
      <c r="D730" s="27">
        <v>0</v>
      </c>
      <c r="E730" s="27">
        <v>0</v>
      </c>
      <c r="F730" s="27">
        <v>0</v>
      </c>
      <c r="G730" s="27">
        <v>0</v>
      </c>
      <c r="H730" s="27">
        <v>0</v>
      </c>
      <c r="I730" s="27">
        <v>0</v>
      </c>
      <c r="J730" s="27">
        <v>0</v>
      </c>
      <c r="K730" s="27">
        <v>0</v>
      </c>
      <c r="L730" s="27">
        <v>0</v>
      </c>
      <c r="M730" s="27">
        <v>0</v>
      </c>
      <c r="N730" s="27">
        <v>0</v>
      </c>
      <c r="O730" s="27">
        <v>0</v>
      </c>
      <c r="P730" s="27">
        <v>0</v>
      </c>
    </row>
    <row r="731" spans="1:16" ht="14.4" x14ac:dyDescent="0.3">
      <c r="A731" s="18" t="s">
        <v>56</v>
      </c>
      <c r="B731" s="18"/>
      <c r="C731" s="16" t="s">
        <v>44</v>
      </c>
      <c r="D731" s="30">
        <f t="shared" ref="D731:O732" si="30">D201</f>
        <v>0.12</v>
      </c>
      <c r="E731" s="30">
        <f t="shared" si="30"/>
        <v>0.12</v>
      </c>
      <c r="F731" s="30">
        <f t="shared" si="30"/>
        <v>0.12</v>
      </c>
      <c r="G731" s="30">
        <f t="shared" si="30"/>
        <v>0.12</v>
      </c>
      <c r="H731" s="30">
        <f t="shared" si="30"/>
        <v>0.12</v>
      </c>
      <c r="I731" s="30">
        <f t="shared" si="30"/>
        <v>0.12</v>
      </c>
      <c r="J731" s="30">
        <f t="shared" si="30"/>
        <v>0.12</v>
      </c>
      <c r="K731" s="30">
        <f t="shared" si="30"/>
        <v>0.12</v>
      </c>
      <c r="L731" s="30">
        <f t="shared" si="30"/>
        <v>0.12</v>
      </c>
      <c r="M731" s="30">
        <f t="shared" si="30"/>
        <v>0.12</v>
      </c>
      <c r="N731" s="30">
        <f t="shared" si="30"/>
        <v>0.12</v>
      </c>
      <c r="O731" s="30">
        <f t="shared" si="30"/>
        <v>0.12</v>
      </c>
      <c r="P731" s="30">
        <f>P201</f>
        <v>0.12</v>
      </c>
    </row>
    <row r="732" spans="1:16" ht="14.4" x14ac:dyDescent="0.3">
      <c r="A732" s="18" t="s">
        <v>57</v>
      </c>
      <c r="B732" s="18"/>
      <c r="C732" s="16" t="s">
        <v>44</v>
      </c>
      <c r="D732" s="30">
        <f t="shared" si="30"/>
        <v>0.12</v>
      </c>
      <c r="E732" s="30">
        <f t="shared" si="30"/>
        <v>0.12</v>
      </c>
      <c r="F732" s="30">
        <f t="shared" si="30"/>
        <v>0.12</v>
      </c>
      <c r="G732" s="30">
        <f t="shared" si="30"/>
        <v>0.12</v>
      </c>
      <c r="H732" s="30">
        <f t="shared" si="30"/>
        <v>0.12</v>
      </c>
      <c r="I732" s="30">
        <f t="shared" si="30"/>
        <v>0.12</v>
      </c>
      <c r="J732" s="30">
        <f t="shared" si="30"/>
        <v>0.12</v>
      </c>
      <c r="K732" s="30">
        <f t="shared" si="30"/>
        <v>0.12</v>
      </c>
      <c r="L732" s="30">
        <f t="shared" si="30"/>
        <v>0.12</v>
      </c>
      <c r="M732" s="30">
        <f t="shared" si="30"/>
        <v>0.12</v>
      </c>
      <c r="N732" s="30">
        <f t="shared" si="30"/>
        <v>0.12</v>
      </c>
      <c r="O732" s="30">
        <f t="shared" si="30"/>
        <v>0.12</v>
      </c>
      <c r="P732" s="30">
        <f>P202</f>
        <v>0.12</v>
      </c>
    </row>
    <row r="733" spans="1:16" s="5" customFormat="1" ht="14.4" x14ac:dyDescent="0.3">
      <c r="A733" s="55"/>
      <c r="B733" s="55"/>
      <c r="C733" s="56"/>
      <c r="D733" s="57"/>
      <c r="E733" s="57"/>
      <c r="F733" s="57"/>
      <c r="G733" s="57"/>
      <c r="H733" s="57"/>
      <c r="I733" s="57"/>
      <c r="J733" s="57"/>
      <c r="K733" s="57"/>
      <c r="L733" s="57"/>
      <c r="M733" s="57"/>
      <c r="N733" s="57"/>
      <c r="O733" s="57"/>
      <c r="P733" s="57"/>
    </row>
    <row r="734" spans="1:16" x14ac:dyDescent="0.3">
      <c r="A734" s="3" t="s">
        <v>58</v>
      </c>
    </row>
    <row r="736" spans="1:16" ht="18" x14ac:dyDescent="0.35">
      <c r="A736" s="59" t="str">
        <f>'[43]Statistical data'!A234</f>
        <v>General Power- Secondary</v>
      </c>
      <c r="B736" s="59"/>
      <c r="C736" s="5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</row>
    <row r="737" spans="1:16" s="13" customFormat="1" ht="14.4" x14ac:dyDescent="0.3">
      <c r="A737" s="11" t="s">
        <v>3</v>
      </c>
      <c r="B737" s="11"/>
      <c r="C737" s="11" t="s">
        <v>4</v>
      </c>
      <c r="D737" s="12" t="str">
        <f t="shared" ref="D737:P737" si="31">D687</f>
        <v>JAN</v>
      </c>
      <c r="E737" s="12" t="str">
        <f t="shared" si="31"/>
        <v>FEB</v>
      </c>
      <c r="F737" s="12" t="str">
        <f t="shared" si="31"/>
        <v>MAR</v>
      </c>
      <c r="G737" s="12" t="str">
        <f t="shared" si="31"/>
        <v>APR</v>
      </c>
      <c r="H737" s="12" t="str">
        <f t="shared" si="31"/>
        <v>MAY</v>
      </c>
      <c r="I737" s="12" t="str">
        <f t="shared" si="31"/>
        <v>JUN</v>
      </c>
      <c r="J737" s="12" t="str">
        <f t="shared" si="31"/>
        <v>JUL</v>
      </c>
      <c r="K737" s="12" t="str">
        <f t="shared" si="31"/>
        <v>AUG</v>
      </c>
      <c r="L737" s="12" t="str">
        <f t="shared" si="31"/>
        <v>SEP</v>
      </c>
      <c r="M737" s="12" t="str">
        <f t="shared" si="31"/>
        <v>OCT</v>
      </c>
      <c r="N737" s="12" t="str">
        <f t="shared" si="31"/>
        <v>NOV</v>
      </c>
      <c r="O737" s="12" t="str">
        <f t="shared" si="31"/>
        <v>DEC</v>
      </c>
      <c r="P737" s="12" t="str">
        <f t="shared" si="31"/>
        <v>JAN</v>
      </c>
    </row>
    <row r="738" spans="1:16" ht="14.4" x14ac:dyDescent="0.3">
      <c r="A738" s="14" t="s">
        <v>17</v>
      </c>
      <c r="B738" s="15"/>
      <c r="C738" s="16"/>
      <c r="D738" s="17"/>
      <c r="E738" s="17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</row>
    <row r="739" spans="1:16" ht="14.4" x14ac:dyDescent="0.3">
      <c r="A739" s="18" t="s">
        <v>18</v>
      </c>
      <c r="B739" s="19"/>
      <c r="C739" s="16" t="s">
        <v>19</v>
      </c>
      <c r="D739" s="52" t="s">
        <v>59</v>
      </c>
      <c r="E739" s="52" t="s">
        <v>59</v>
      </c>
      <c r="F739" s="52" t="s">
        <v>59</v>
      </c>
      <c r="G739" s="52" t="s">
        <v>59</v>
      </c>
      <c r="H739" s="52" t="s">
        <v>59</v>
      </c>
      <c r="I739" s="52" t="s">
        <v>59</v>
      </c>
      <c r="J739" s="52" t="s">
        <v>59</v>
      </c>
      <c r="K739" s="52" t="s">
        <v>59</v>
      </c>
      <c r="L739" s="52" t="s">
        <v>59</v>
      </c>
      <c r="M739" s="52" t="s">
        <v>59</v>
      </c>
      <c r="N739" s="52" t="s">
        <v>59</v>
      </c>
      <c r="O739" s="52" t="s">
        <v>59</v>
      </c>
      <c r="P739" s="52" t="s">
        <v>59</v>
      </c>
    </row>
    <row r="740" spans="1:16" ht="14.4" hidden="1" x14ac:dyDescent="0.3">
      <c r="A740" s="18" t="s">
        <v>66</v>
      </c>
      <c r="B740" s="19"/>
      <c r="C740" s="16" t="s">
        <v>19</v>
      </c>
      <c r="D740" s="20">
        <v>0</v>
      </c>
      <c r="E740" s="20">
        <v>0</v>
      </c>
      <c r="F740" s="20">
        <v>0</v>
      </c>
      <c r="G740" s="20">
        <v>0</v>
      </c>
      <c r="H740" s="20">
        <v>0</v>
      </c>
      <c r="I740" s="20">
        <v>0</v>
      </c>
      <c r="J740" s="20">
        <v>0</v>
      </c>
      <c r="K740" s="20">
        <v>0</v>
      </c>
      <c r="L740" s="20">
        <v>0</v>
      </c>
      <c r="M740" s="20">
        <v>0</v>
      </c>
      <c r="N740" s="20">
        <v>0</v>
      </c>
      <c r="O740" s="20">
        <v>0</v>
      </c>
      <c r="P740" s="20">
        <v>0</v>
      </c>
    </row>
    <row r="741" spans="1:16" ht="14.4" x14ac:dyDescent="0.3">
      <c r="A741" s="14" t="s">
        <v>20</v>
      </c>
      <c r="B741" s="15"/>
      <c r="C741" s="16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</row>
    <row r="742" spans="1:16" ht="14.4" x14ac:dyDescent="0.3">
      <c r="A742" s="18" t="s">
        <v>21</v>
      </c>
      <c r="B742" s="19"/>
      <c r="C742" s="16" t="s">
        <v>19</v>
      </c>
      <c r="D742" s="20">
        <v>0</v>
      </c>
      <c r="E742" s="20">
        <v>0</v>
      </c>
      <c r="F742" s="20">
        <v>0</v>
      </c>
      <c r="G742" s="20">
        <v>0</v>
      </c>
      <c r="H742" s="20">
        <v>0</v>
      </c>
      <c r="I742" s="20">
        <v>0</v>
      </c>
      <c r="J742" s="20">
        <v>0</v>
      </c>
      <c r="K742" s="20">
        <v>0</v>
      </c>
      <c r="L742" s="20">
        <v>0</v>
      </c>
      <c r="M742" s="20">
        <v>0</v>
      </c>
      <c r="N742" s="20">
        <v>0</v>
      </c>
      <c r="O742" s="20">
        <v>0</v>
      </c>
      <c r="P742" s="20">
        <v>0</v>
      </c>
    </row>
    <row r="743" spans="1:16" ht="14.4" x14ac:dyDescent="0.3">
      <c r="A743" s="18" t="s">
        <v>22</v>
      </c>
      <c r="B743" s="19"/>
      <c r="C743" s="16" t="s">
        <v>23</v>
      </c>
      <c r="D743" s="23">
        <f>[43]TR!D59</f>
        <v>298.36</v>
      </c>
      <c r="E743" s="23">
        <f>[43]TR!E59</f>
        <v>319.81</v>
      </c>
      <c r="F743" s="23">
        <f>[43]TR!F59</f>
        <v>307.66000000000003</v>
      </c>
      <c r="G743" s="23">
        <f>[43]TR!G59</f>
        <v>315.29000000000002</v>
      </c>
      <c r="H743" s="23">
        <f>[43]TR!H59</f>
        <v>331.3</v>
      </c>
      <c r="I743" s="20">
        <f>[43]TR!I59</f>
        <v>314.15199999999999</v>
      </c>
      <c r="J743" s="20">
        <f>[43]TR!J59</f>
        <v>291.65199999999999</v>
      </c>
      <c r="K743" s="20">
        <f>[43]TR!K59</f>
        <v>278.24200000000002</v>
      </c>
      <c r="L743" s="20">
        <f>[43]TR!L59</f>
        <v>271.892</v>
      </c>
      <c r="M743" s="20">
        <f>[43]TR!M59</f>
        <v>266.35199999999998</v>
      </c>
      <c r="N743" s="20">
        <f>[43]TR!N59</f>
        <v>277.55200000000002</v>
      </c>
      <c r="O743" s="20">
        <f>[43]TR!O59</f>
        <v>276.50200000000001</v>
      </c>
      <c r="P743" s="20">
        <f>[43]TR!P59</f>
        <v>0</v>
      </c>
    </row>
    <row r="744" spans="1:16" ht="14.4" x14ac:dyDescent="0.3">
      <c r="A744" s="14" t="s">
        <v>24</v>
      </c>
      <c r="B744" s="15"/>
      <c r="C744" s="16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</row>
    <row r="745" spans="1:16" ht="14.4" x14ac:dyDescent="0.3">
      <c r="A745" s="18" t="s">
        <v>25</v>
      </c>
      <c r="B745" s="19"/>
      <c r="C745" s="16" t="s">
        <v>19</v>
      </c>
      <c r="D745" s="20">
        <f>D695</f>
        <v>0.48820000000000002</v>
      </c>
      <c r="E745" s="20">
        <f t="shared" ref="E745:O745" si="32">E695</f>
        <v>0.55189999999999995</v>
      </c>
      <c r="F745" s="20">
        <f t="shared" si="32"/>
        <v>0.53859999999999997</v>
      </c>
      <c r="G745" s="20">
        <f t="shared" si="32"/>
        <v>0.55789999999999995</v>
      </c>
      <c r="H745" s="20">
        <f t="shared" si="32"/>
        <v>0.51959999999999995</v>
      </c>
      <c r="I745" s="20">
        <f t="shared" si="32"/>
        <v>0.4672</v>
      </c>
      <c r="J745" s="20">
        <f t="shared" si="32"/>
        <v>0.50139999999999996</v>
      </c>
      <c r="K745" s="20">
        <f t="shared" si="32"/>
        <v>0.49130000000000001</v>
      </c>
      <c r="L745" s="20">
        <f t="shared" si="32"/>
        <v>0.43269999999999997</v>
      </c>
      <c r="M745" s="20">
        <f t="shared" si="32"/>
        <v>0.42549999999999999</v>
      </c>
      <c r="N745" s="20">
        <f t="shared" si="32"/>
        <v>0.42930000000000001</v>
      </c>
      <c r="O745" s="20">
        <f t="shared" si="32"/>
        <v>0.43219999999999997</v>
      </c>
      <c r="P745" s="20">
        <f>P695</f>
        <v>0</v>
      </c>
    </row>
    <row r="746" spans="1:16" ht="14.4" x14ac:dyDescent="0.3">
      <c r="A746" s="14" t="s">
        <v>26</v>
      </c>
      <c r="B746" s="14"/>
      <c r="C746" s="16"/>
      <c r="D746" s="22"/>
      <c r="E746" s="22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</row>
    <row r="747" spans="1:16" ht="14.4" x14ac:dyDescent="0.3">
      <c r="A747" s="18" t="s">
        <v>27</v>
      </c>
      <c r="B747" s="18"/>
      <c r="C747" s="16" t="s">
        <v>19</v>
      </c>
      <c r="D747" s="20">
        <f t="shared" ref="D747:O748" si="33">D697</f>
        <v>0.15409999999999999</v>
      </c>
      <c r="E747" s="20">
        <f t="shared" si="33"/>
        <v>0.15409999999999999</v>
      </c>
      <c r="F747" s="20">
        <f t="shared" si="33"/>
        <v>0.15409999999999999</v>
      </c>
      <c r="G747" s="20">
        <f t="shared" si="33"/>
        <v>0.15409999999999999</v>
      </c>
      <c r="H747" s="20">
        <f t="shared" si="33"/>
        <v>0.15409999999999999</v>
      </c>
      <c r="I747" s="20">
        <f t="shared" si="33"/>
        <v>0.15409999999999999</v>
      </c>
      <c r="J747" s="20">
        <f t="shared" si="33"/>
        <v>0.1368</v>
      </c>
      <c r="K747" s="20">
        <f t="shared" si="33"/>
        <v>0.1368</v>
      </c>
      <c r="L747" s="20">
        <f t="shared" si="33"/>
        <v>0.1368</v>
      </c>
      <c r="M747" s="20">
        <f t="shared" si="33"/>
        <v>0.1368</v>
      </c>
      <c r="N747" s="20">
        <f t="shared" si="33"/>
        <v>0.1368</v>
      </c>
      <c r="O747" s="20">
        <f t="shared" si="33"/>
        <v>0.1368</v>
      </c>
      <c r="P747" s="20">
        <f>P697</f>
        <v>0.1368</v>
      </c>
    </row>
    <row r="748" spans="1:16" ht="14.4" x14ac:dyDescent="0.3">
      <c r="A748" s="18" t="s">
        <v>28</v>
      </c>
      <c r="B748" s="18"/>
      <c r="C748" s="16" t="s">
        <v>23</v>
      </c>
      <c r="D748" s="23">
        <f t="shared" si="33"/>
        <v>267.23</v>
      </c>
      <c r="E748" s="23">
        <f t="shared" si="33"/>
        <v>267.23</v>
      </c>
      <c r="F748" s="23">
        <f t="shared" si="33"/>
        <v>267.23</v>
      </c>
      <c r="G748" s="23">
        <f t="shared" si="33"/>
        <v>267.23</v>
      </c>
      <c r="H748" s="23">
        <f t="shared" si="33"/>
        <v>267.23</v>
      </c>
      <c r="I748" s="23">
        <f t="shared" si="33"/>
        <v>267.23</v>
      </c>
      <c r="J748" s="23">
        <f t="shared" si="33"/>
        <v>237.15</v>
      </c>
      <c r="K748" s="23">
        <f t="shared" si="33"/>
        <v>237.15</v>
      </c>
      <c r="L748" s="23">
        <f t="shared" si="33"/>
        <v>237.15</v>
      </c>
      <c r="M748" s="23">
        <f t="shared" si="33"/>
        <v>237.15</v>
      </c>
      <c r="N748" s="23">
        <f t="shared" si="33"/>
        <v>237.15</v>
      </c>
      <c r="O748" s="23">
        <f t="shared" si="33"/>
        <v>237.15</v>
      </c>
      <c r="P748" s="23">
        <f>P698</f>
        <v>237.15</v>
      </c>
    </row>
    <row r="749" spans="1:16" ht="14.4" x14ac:dyDescent="0.3">
      <c r="A749" s="14" t="s">
        <v>29</v>
      </c>
      <c r="B749" s="14"/>
      <c r="C749" s="16"/>
      <c r="D749" s="24"/>
      <c r="E749" s="24"/>
      <c r="F749" s="24"/>
      <c r="G749" s="24"/>
      <c r="H749" s="24"/>
      <c r="I749" s="24"/>
      <c r="J749" s="24"/>
      <c r="K749" s="24"/>
      <c r="L749" s="24"/>
      <c r="M749" s="24"/>
      <c r="N749" s="24"/>
      <c r="O749" s="24"/>
      <c r="P749" s="24"/>
    </row>
    <row r="750" spans="1:16" ht="14.4" x14ac:dyDescent="0.3">
      <c r="A750" s="18" t="s">
        <v>30</v>
      </c>
      <c r="B750" s="18"/>
      <c r="C750" s="16" t="s">
        <v>19</v>
      </c>
      <c r="D750" s="52" t="s">
        <v>61</v>
      </c>
      <c r="E750" s="52" t="s">
        <v>61</v>
      </c>
      <c r="F750" s="52" t="s">
        <v>61</v>
      </c>
      <c r="G750" s="52" t="s">
        <v>61</v>
      </c>
      <c r="H750" s="52" t="s">
        <v>61</v>
      </c>
      <c r="I750" s="52" t="s">
        <v>61</v>
      </c>
      <c r="J750" s="52" t="s">
        <v>61</v>
      </c>
      <c r="K750" s="52" t="s">
        <v>61</v>
      </c>
      <c r="L750" s="52" t="s">
        <v>61</v>
      </c>
      <c r="M750" s="52" t="s">
        <v>61</v>
      </c>
      <c r="N750" s="52" t="s">
        <v>61</v>
      </c>
      <c r="O750" s="52" t="s">
        <v>61</v>
      </c>
      <c r="P750" s="52" t="s">
        <v>61</v>
      </c>
    </row>
    <row r="751" spans="1:16" ht="14.4" x14ac:dyDescent="0.3">
      <c r="A751" s="18" t="s">
        <v>31</v>
      </c>
      <c r="B751" s="18"/>
      <c r="C751" s="16" t="s">
        <v>32</v>
      </c>
      <c r="D751" s="52" t="s">
        <v>62</v>
      </c>
      <c r="E751" s="52" t="s">
        <v>62</v>
      </c>
      <c r="F751" s="52" t="s">
        <v>62</v>
      </c>
      <c r="G751" s="52" t="s">
        <v>62</v>
      </c>
      <c r="H751" s="52" t="s">
        <v>62</v>
      </c>
      <c r="I751" s="52" t="s">
        <v>62</v>
      </c>
      <c r="J751" s="52" t="s">
        <v>62</v>
      </c>
      <c r="K751" s="52" t="s">
        <v>62</v>
      </c>
      <c r="L751" s="52" t="s">
        <v>62</v>
      </c>
      <c r="M751" s="52" t="s">
        <v>62</v>
      </c>
      <c r="N751" s="52" t="s">
        <v>62</v>
      </c>
      <c r="O751" s="52" t="s">
        <v>62</v>
      </c>
      <c r="P751" s="52" t="s">
        <v>62</v>
      </c>
    </row>
    <row r="752" spans="1:16" ht="14.4" x14ac:dyDescent="0.3">
      <c r="A752" s="14" t="s">
        <v>33</v>
      </c>
      <c r="B752" s="14"/>
      <c r="C752" s="16"/>
      <c r="D752" s="24"/>
      <c r="E752" s="24"/>
      <c r="F752" s="24"/>
      <c r="G752" s="24"/>
      <c r="H752" s="24"/>
      <c r="I752" s="24"/>
      <c r="J752" s="24"/>
      <c r="K752" s="24"/>
      <c r="L752" s="24"/>
      <c r="M752" s="24"/>
      <c r="N752" s="24"/>
      <c r="O752" s="24"/>
      <c r="P752" s="24"/>
    </row>
    <row r="753" spans="1:16" ht="14.4" x14ac:dyDescent="0.3">
      <c r="A753" s="18" t="s">
        <v>34</v>
      </c>
      <c r="B753" s="18"/>
      <c r="C753" s="16" t="s">
        <v>19</v>
      </c>
      <c r="D753" s="20">
        <v>0</v>
      </c>
      <c r="E753" s="20">
        <v>0</v>
      </c>
      <c r="F753" s="20">
        <v>0</v>
      </c>
      <c r="G753" s="20">
        <v>0</v>
      </c>
      <c r="H753" s="20">
        <v>0</v>
      </c>
      <c r="I753" s="20">
        <v>0</v>
      </c>
      <c r="J753" s="20">
        <v>0</v>
      </c>
      <c r="K753" s="20">
        <v>0</v>
      </c>
      <c r="L753" s="20">
        <v>0</v>
      </c>
      <c r="M753" s="20">
        <v>0</v>
      </c>
      <c r="N753" s="20">
        <v>0</v>
      </c>
      <c r="O753" s="20">
        <v>0</v>
      </c>
      <c r="P753" s="20">
        <v>0</v>
      </c>
    </row>
    <row r="754" spans="1:16" ht="14.4" x14ac:dyDescent="0.3">
      <c r="A754" s="18" t="s">
        <v>35</v>
      </c>
      <c r="B754" s="18"/>
      <c r="C754" s="16" t="s">
        <v>36</v>
      </c>
      <c r="D754" s="52" t="s">
        <v>63</v>
      </c>
      <c r="E754" s="52" t="s">
        <v>63</v>
      </c>
      <c r="F754" s="52" t="s">
        <v>63</v>
      </c>
      <c r="G754" s="52" t="s">
        <v>63</v>
      </c>
      <c r="H754" s="52" t="s">
        <v>63</v>
      </c>
      <c r="I754" s="52" t="s">
        <v>63</v>
      </c>
      <c r="J754" s="52" t="s">
        <v>63</v>
      </c>
      <c r="K754" s="52" t="s">
        <v>63</v>
      </c>
      <c r="L754" s="52" t="s">
        <v>63</v>
      </c>
      <c r="M754" s="52" t="s">
        <v>63</v>
      </c>
      <c r="N754" s="52" t="s">
        <v>63</v>
      </c>
      <c r="O754" s="52" t="s">
        <v>63</v>
      </c>
      <c r="P754" s="52" t="s">
        <v>63</v>
      </c>
    </row>
    <row r="755" spans="1:16" ht="14.4" x14ac:dyDescent="0.3">
      <c r="A755" s="14" t="s">
        <v>37</v>
      </c>
      <c r="B755" s="14"/>
      <c r="C755" s="16"/>
      <c r="D755" s="24"/>
      <c r="E755" s="24"/>
      <c r="F755" s="24"/>
      <c r="G755" s="24"/>
      <c r="H755" s="24"/>
      <c r="I755" s="24"/>
      <c r="J755" s="24"/>
      <c r="K755" s="24"/>
      <c r="L755" s="24"/>
      <c r="M755" s="24"/>
      <c r="N755" s="24"/>
      <c r="O755" s="24"/>
      <c r="P755" s="24"/>
    </row>
    <row r="756" spans="1:16" ht="14.4" x14ac:dyDescent="0.3">
      <c r="A756" s="25" t="s">
        <v>38</v>
      </c>
      <c r="B756" s="18"/>
      <c r="C756" s="16" t="s">
        <v>19</v>
      </c>
      <c r="D756" s="20">
        <f t="shared" ref="D756:O756" si="34">D706</f>
        <v>0.1215</v>
      </c>
      <c r="E756" s="20">
        <f t="shared" si="34"/>
        <v>0.14280000000000001</v>
      </c>
      <c r="F756" s="20">
        <f t="shared" si="34"/>
        <v>0.1462</v>
      </c>
      <c r="G756" s="20">
        <f t="shared" si="34"/>
        <v>0.15629999999999999</v>
      </c>
      <c r="H756" s="20">
        <f t="shared" si="34"/>
        <v>0.1152</v>
      </c>
      <c r="I756" s="20">
        <f t="shared" si="34"/>
        <v>9.3799999999999994E-2</v>
      </c>
      <c r="J756" s="20">
        <f t="shared" si="34"/>
        <v>7.7499999999999999E-2</v>
      </c>
      <c r="K756" s="20">
        <f t="shared" si="34"/>
        <v>9.3200000000000005E-2</v>
      </c>
      <c r="L756" s="20">
        <f t="shared" si="34"/>
        <v>8.5099999999999995E-2</v>
      </c>
      <c r="M756" s="20">
        <f t="shared" si="34"/>
        <v>8.0299999999999996E-2</v>
      </c>
      <c r="N756" s="20">
        <f t="shared" si="34"/>
        <v>8.3699999999999997E-2</v>
      </c>
      <c r="O756" s="20">
        <f t="shared" si="34"/>
        <v>8.1699999999999995E-2</v>
      </c>
      <c r="P756" s="20">
        <f>P706</f>
        <v>0</v>
      </c>
    </row>
    <row r="757" spans="1:16" ht="14.4" x14ac:dyDescent="0.3">
      <c r="A757" s="25" t="s">
        <v>39</v>
      </c>
      <c r="B757" s="18"/>
      <c r="C757" s="16" t="s">
        <v>19</v>
      </c>
      <c r="D757" s="20">
        <v>0</v>
      </c>
      <c r="E757" s="20">
        <v>0</v>
      </c>
      <c r="F757" s="20">
        <v>0</v>
      </c>
      <c r="G757" s="20">
        <v>0</v>
      </c>
      <c r="H757" s="20">
        <v>0</v>
      </c>
      <c r="I757" s="20">
        <v>0</v>
      </c>
      <c r="J757" s="20">
        <v>0</v>
      </c>
      <c r="K757" s="20">
        <v>0</v>
      </c>
      <c r="L757" s="20">
        <v>0</v>
      </c>
      <c r="M757" s="20">
        <v>0</v>
      </c>
      <c r="N757" s="20">
        <v>0</v>
      </c>
      <c r="O757" s="20">
        <v>0</v>
      </c>
      <c r="P757" s="20">
        <v>0</v>
      </c>
    </row>
    <row r="758" spans="1:16" ht="14.4" x14ac:dyDescent="0.3">
      <c r="A758" s="26" t="s">
        <v>40</v>
      </c>
      <c r="B758" s="18"/>
      <c r="C758" s="16" t="s">
        <v>19</v>
      </c>
      <c r="D758" s="20">
        <f t="shared" ref="D758:O760" si="35">D708</f>
        <v>1E-4</v>
      </c>
      <c r="E758" s="20">
        <f t="shared" si="35"/>
        <v>1E-4</v>
      </c>
      <c r="F758" s="20">
        <f t="shared" si="35"/>
        <v>1E-4</v>
      </c>
      <c r="G758" s="20">
        <f t="shared" si="35"/>
        <v>1E-4</v>
      </c>
      <c r="H758" s="20">
        <f t="shared" si="35"/>
        <v>1E-4</v>
      </c>
      <c r="I758" s="20">
        <f t="shared" si="35"/>
        <v>1E-4</v>
      </c>
      <c r="J758" s="20">
        <f t="shared" si="35"/>
        <v>1E-4</v>
      </c>
      <c r="K758" s="20">
        <f t="shared" si="35"/>
        <v>1E-4</v>
      </c>
      <c r="L758" s="20">
        <f t="shared" si="35"/>
        <v>1E-4</v>
      </c>
      <c r="M758" s="20">
        <f t="shared" si="35"/>
        <v>1E-4</v>
      </c>
      <c r="N758" s="20">
        <f t="shared" si="35"/>
        <v>1E-4</v>
      </c>
      <c r="O758" s="20">
        <f t="shared" si="35"/>
        <v>1E-4</v>
      </c>
      <c r="P758" s="20">
        <f>P708</f>
        <v>0</v>
      </c>
    </row>
    <row r="759" spans="1:16" ht="14.4" x14ac:dyDescent="0.3">
      <c r="A759" s="26" t="s">
        <v>41</v>
      </c>
      <c r="B759" s="18"/>
      <c r="C759" s="16" t="s">
        <v>19</v>
      </c>
      <c r="D759" s="20">
        <f t="shared" si="35"/>
        <v>0</v>
      </c>
      <c r="E759" s="20">
        <f t="shared" si="35"/>
        <v>0</v>
      </c>
      <c r="F759" s="20">
        <f t="shared" si="35"/>
        <v>0</v>
      </c>
      <c r="G759" s="20">
        <f t="shared" si="35"/>
        <v>0</v>
      </c>
      <c r="H759" s="20">
        <f t="shared" si="35"/>
        <v>0</v>
      </c>
      <c r="I759" s="20">
        <f t="shared" si="35"/>
        <v>0</v>
      </c>
      <c r="J759" s="20">
        <f t="shared" si="35"/>
        <v>0</v>
      </c>
      <c r="K759" s="20">
        <f t="shared" si="35"/>
        <v>0</v>
      </c>
      <c r="L759" s="20">
        <f t="shared" si="35"/>
        <v>0</v>
      </c>
      <c r="M759" s="20">
        <f t="shared" si="35"/>
        <v>0</v>
      </c>
      <c r="N759" s="20">
        <f t="shared" si="35"/>
        <v>0</v>
      </c>
      <c r="O759" s="20">
        <f t="shared" si="35"/>
        <v>0</v>
      </c>
      <c r="P759" s="20">
        <f>P709</f>
        <v>0</v>
      </c>
    </row>
    <row r="760" spans="1:16" ht="14.4" hidden="1" x14ac:dyDescent="0.3">
      <c r="A760" s="154" t="s">
        <v>181</v>
      </c>
      <c r="B760" s="155"/>
      <c r="C760" s="16" t="s">
        <v>19</v>
      </c>
      <c r="D760" s="20">
        <f t="shared" si="35"/>
        <v>0</v>
      </c>
      <c r="E760" s="20">
        <f t="shared" si="35"/>
        <v>0</v>
      </c>
      <c r="F760" s="20">
        <f t="shared" si="35"/>
        <v>0</v>
      </c>
      <c r="G760" s="20">
        <f t="shared" si="35"/>
        <v>0</v>
      </c>
      <c r="H760" s="20">
        <f t="shared" si="35"/>
        <v>0</v>
      </c>
      <c r="I760" s="20">
        <f t="shared" si="35"/>
        <v>0</v>
      </c>
      <c r="J760" s="20">
        <f t="shared" si="35"/>
        <v>0</v>
      </c>
      <c r="K760" s="20">
        <f t="shared" si="35"/>
        <v>0</v>
      </c>
      <c r="L760" s="20">
        <f t="shared" si="35"/>
        <v>0</v>
      </c>
      <c r="M760" s="20">
        <f t="shared" si="35"/>
        <v>0</v>
      </c>
      <c r="N760" s="20">
        <f t="shared" si="35"/>
        <v>0</v>
      </c>
      <c r="O760" s="20">
        <f t="shared" si="35"/>
        <v>0</v>
      </c>
      <c r="P760" s="20">
        <f>P710</f>
        <v>0</v>
      </c>
    </row>
    <row r="761" spans="1:16" ht="16.2" hidden="1" x14ac:dyDescent="0.3">
      <c r="A761" s="154" t="s">
        <v>182</v>
      </c>
      <c r="B761" s="155"/>
      <c r="C761" s="16" t="s">
        <v>19</v>
      </c>
      <c r="D761" s="20"/>
      <c r="E761" s="20"/>
      <c r="F761" s="20"/>
      <c r="G761" s="20"/>
      <c r="H761" s="20"/>
      <c r="I761" s="20"/>
      <c r="J761" s="20"/>
      <c r="K761" s="20"/>
      <c r="L761" s="20"/>
      <c r="M761" s="20"/>
      <c r="N761" s="20"/>
      <c r="O761" s="20"/>
      <c r="P761" s="20"/>
    </row>
    <row r="762" spans="1:16" ht="16.2" hidden="1" x14ac:dyDescent="0.3">
      <c r="A762" s="154" t="s">
        <v>182</v>
      </c>
      <c r="B762" s="156"/>
      <c r="C762" s="16" t="s">
        <v>19</v>
      </c>
      <c r="D762" s="20"/>
      <c r="E762" s="20"/>
      <c r="F762" s="20"/>
      <c r="G762" s="20"/>
      <c r="H762" s="20"/>
      <c r="I762" s="20"/>
      <c r="J762" s="20"/>
      <c r="K762" s="20"/>
      <c r="L762" s="20"/>
      <c r="M762" s="20"/>
      <c r="N762" s="20"/>
      <c r="O762" s="20"/>
      <c r="P762" s="20"/>
    </row>
    <row r="763" spans="1:16" ht="14.4" x14ac:dyDescent="0.3">
      <c r="A763" s="14" t="s">
        <v>42</v>
      </c>
      <c r="B763" s="14"/>
      <c r="C763" s="16"/>
      <c r="D763" s="24"/>
      <c r="E763" s="24"/>
      <c r="F763" s="24"/>
      <c r="G763" s="24"/>
      <c r="H763" s="24"/>
      <c r="I763" s="24"/>
      <c r="J763" s="24"/>
      <c r="K763" s="24"/>
      <c r="L763" s="24"/>
      <c r="M763" s="24"/>
      <c r="N763" s="24"/>
      <c r="O763" s="24"/>
      <c r="P763" s="24"/>
    </row>
    <row r="764" spans="1:16" ht="14.4" x14ac:dyDescent="0.3">
      <c r="A764" s="14" t="s">
        <v>43</v>
      </c>
      <c r="B764" s="14"/>
      <c r="C764" s="16" t="s">
        <v>44</v>
      </c>
      <c r="D764" s="27"/>
      <c r="E764" s="27"/>
      <c r="F764" s="27"/>
      <c r="G764" s="27"/>
      <c r="H764" s="27"/>
      <c r="I764" s="27"/>
      <c r="J764" s="27"/>
      <c r="K764" s="27"/>
      <c r="L764" s="27"/>
      <c r="M764" s="27"/>
      <c r="N764" s="27"/>
      <c r="O764" s="27"/>
      <c r="P764" s="27"/>
    </row>
    <row r="765" spans="1:16" ht="14.4" hidden="1" x14ac:dyDescent="0.3">
      <c r="A765" s="14" t="s">
        <v>183</v>
      </c>
      <c r="B765" s="14"/>
      <c r="C765" s="16"/>
      <c r="D765" s="28"/>
      <c r="E765" s="28"/>
      <c r="F765" s="28"/>
      <c r="G765" s="28"/>
      <c r="H765" s="28"/>
      <c r="I765" s="28"/>
      <c r="J765" s="28"/>
      <c r="K765" s="28"/>
      <c r="L765" s="28"/>
      <c r="M765" s="28"/>
      <c r="N765" s="28"/>
      <c r="O765" s="28"/>
      <c r="P765" s="28"/>
    </row>
    <row r="766" spans="1:16" ht="14.4" hidden="1" x14ac:dyDescent="0.3">
      <c r="A766" s="14" t="s">
        <v>184</v>
      </c>
      <c r="B766" s="14"/>
      <c r="C766" s="16" t="s">
        <v>19</v>
      </c>
      <c r="D766" s="20"/>
      <c r="E766" s="20"/>
      <c r="F766" s="20"/>
      <c r="G766" s="20"/>
      <c r="H766" s="20"/>
      <c r="I766" s="20"/>
      <c r="J766" s="20"/>
      <c r="K766" s="20"/>
      <c r="L766" s="20"/>
      <c r="M766" s="20"/>
      <c r="N766" s="20"/>
      <c r="O766" s="20"/>
      <c r="P766" s="20"/>
    </row>
    <row r="767" spans="1:16" ht="14.4" x14ac:dyDescent="0.3">
      <c r="A767" s="14" t="s">
        <v>45</v>
      </c>
      <c r="B767" s="14"/>
      <c r="C767" s="16"/>
      <c r="D767" s="28"/>
      <c r="E767" s="28"/>
      <c r="F767" s="28"/>
      <c r="G767" s="28"/>
      <c r="H767" s="28"/>
      <c r="I767" s="28"/>
      <c r="J767" s="28"/>
      <c r="K767" s="28"/>
      <c r="L767" s="28"/>
      <c r="M767" s="28"/>
      <c r="N767" s="28"/>
      <c r="O767" s="28"/>
      <c r="P767" s="28"/>
    </row>
    <row r="768" spans="1:16" ht="14.4" x14ac:dyDescent="0.3">
      <c r="A768" s="14" t="s">
        <v>46</v>
      </c>
      <c r="B768" s="14"/>
      <c r="C768" s="16" t="s">
        <v>19</v>
      </c>
      <c r="D768" s="20">
        <v>0</v>
      </c>
      <c r="E768" s="20">
        <v>0</v>
      </c>
      <c r="F768" s="20">
        <v>0</v>
      </c>
      <c r="G768" s="20">
        <v>0</v>
      </c>
      <c r="H768" s="20">
        <v>0</v>
      </c>
      <c r="I768" s="20">
        <v>0</v>
      </c>
      <c r="J768" s="20">
        <v>0</v>
      </c>
      <c r="K768" s="20">
        <v>0</v>
      </c>
      <c r="L768" s="20">
        <v>0</v>
      </c>
      <c r="M768" s="20">
        <v>0</v>
      </c>
      <c r="N768" s="20">
        <v>0</v>
      </c>
      <c r="O768" s="20">
        <v>0</v>
      </c>
      <c r="P768" s="20">
        <v>0</v>
      </c>
    </row>
    <row r="769" spans="1:16" ht="14.4" hidden="1" x14ac:dyDescent="0.3">
      <c r="A769" s="14" t="s">
        <v>185</v>
      </c>
      <c r="B769" s="14"/>
      <c r="C769" s="16"/>
      <c r="D769" s="28"/>
      <c r="E769" s="28"/>
      <c r="F769" s="28"/>
      <c r="G769" s="28"/>
      <c r="H769" s="28"/>
      <c r="I769" s="28"/>
      <c r="J769" s="28"/>
      <c r="K769" s="28"/>
      <c r="L769" s="28"/>
      <c r="M769" s="28"/>
      <c r="N769" s="28"/>
      <c r="O769" s="28"/>
      <c r="P769" s="28"/>
    </row>
    <row r="770" spans="1:16" ht="14.4" hidden="1" x14ac:dyDescent="0.3">
      <c r="A770" s="14" t="s">
        <v>186</v>
      </c>
      <c r="B770" s="14"/>
      <c r="C770" s="16" t="s">
        <v>19</v>
      </c>
      <c r="D770" s="20"/>
      <c r="E770" s="20"/>
      <c r="F770" s="20"/>
      <c r="G770" s="20"/>
      <c r="H770" s="20"/>
      <c r="I770" s="20"/>
      <c r="J770" s="20"/>
      <c r="K770" s="20"/>
      <c r="L770" s="20"/>
      <c r="M770" s="20"/>
      <c r="N770" s="20"/>
      <c r="O770" s="20"/>
      <c r="P770" s="20"/>
    </row>
    <row r="771" spans="1:16" ht="14.4" x14ac:dyDescent="0.3">
      <c r="A771" s="14" t="s">
        <v>47</v>
      </c>
      <c r="B771" s="14"/>
      <c r="C771" s="16"/>
      <c r="D771" s="24"/>
      <c r="E771" s="24"/>
      <c r="F771" s="24"/>
      <c r="G771" s="24"/>
      <c r="H771" s="24"/>
      <c r="I771" s="24"/>
      <c r="J771" s="24"/>
      <c r="K771" s="24"/>
      <c r="L771" s="24"/>
      <c r="M771" s="24"/>
      <c r="N771" s="24"/>
      <c r="O771" s="24"/>
      <c r="P771" s="24"/>
    </row>
    <row r="772" spans="1:16" ht="14.4" x14ac:dyDescent="0.3">
      <c r="A772" s="18" t="s">
        <v>48</v>
      </c>
      <c r="B772" s="18"/>
      <c r="C772" s="16" t="s">
        <v>19</v>
      </c>
      <c r="D772" s="20">
        <f t="shared" ref="D772:P774" si="36">D722</f>
        <v>0.15609999999999999</v>
      </c>
      <c r="E772" s="20">
        <f t="shared" si="36"/>
        <v>0.15609999999999999</v>
      </c>
      <c r="F772" s="20">
        <f t="shared" si="36"/>
        <v>0.15609999999999999</v>
      </c>
      <c r="G772" s="20">
        <f t="shared" si="36"/>
        <v>0.15609999999999999</v>
      </c>
      <c r="H772" s="20">
        <f t="shared" si="36"/>
        <v>0.15609999999999999</v>
      </c>
      <c r="I772" s="20">
        <f t="shared" si="36"/>
        <v>0.15609999999999999</v>
      </c>
      <c r="J772" s="20">
        <f t="shared" si="36"/>
        <v>0.15609999999999999</v>
      </c>
      <c r="K772" s="20">
        <f t="shared" si="36"/>
        <v>0.15609999999999999</v>
      </c>
      <c r="L772" s="20">
        <f t="shared" si="36"/>
        <v>0.15609999999999999</v>
      </c>
      <c r="M772" s="20">
        <f t="shared" si="36"/>
        <v>0.15609999999999999</v>
      </c>
      <c r="N772" s="20">
        <f t="shared" si="36"/>
        <v>0.15609999999999999</v>
      </c>
      <c r="O772" s="20">
        <f t="shared" si="36"/>
        <v>0.15609999999999999</v>
      </c>
      <c r="P772" s="20">
        <f t="shared" si="36"/>
        <v>0.15609999999999999</v>
      </c>
    </row>
    <row r="773" spans="1:16" ht="14.4" x14ac:dyDescent="0.3">
      <c r="A773" s="18" t="s">
        <v>49</v>
      </c>
      <c r="B773" s="18"/>
      <c r="C773" s="16" t="s">
        <v>19</v>
      </c>
      <c r="D773" s="20">
        <f>D723</f>
        <v>2.5000000000000001E-3</v>
      </c>
      <c r="E773" s="20">
        <f t="shared" si="36"/>
        <v>2.5000000000000001E-3</v>
      </c>
      <c r="F773" s="20">
        <f t="shared" si="36"/>
        <v>2.5000000000000001E-3</v>
      </c>
      <c r="G773" s="20">
        <f t="shared" si="36"/>
        <v>2.5000000000000001E-3</v>
      </c>
      <c r="H773" s="20">
        <f t="shared" si="36"/>
        <v>2.5000000000000001E-3</v>
      </c>
      <c r="I773" s="20">
        <f t="shared" si="36"/>
        <v>2.5000000000000001E-3</v>
      </c>
      <c r="J773" s="20">
        <f t="shared" si="36"/>
        <v>2.5000000000000001E-3</v>
      </c>
      <c r="K773" s="20">
        <f t="shared" si="36"/>
        <v>2.5000000000000001E-3</v>
      </c>
      <c r="L773" s="20">
        <f t="shared" si="36"/>
        <v>2.5000000000000001E-3</v>
      </c>
      <c r="M773" s="20">
        <f t="shared" si="36"/>
        <v>2.5000000000000001E-3</v>
      </c>
      <c r="N773" s="20">
        <f t="shared" si="36"/>
        <v>2.5000000000000001E-3</v>
      </c>
      <c r="O773" s="20">
        <f t="shared" si="36"/>
        <v>2.5000000000000001E-3</v>
      </c>
      <c r="P773" s="20">
        <f t="shared" si="36"/>
        <v>2.5000000000000001E-3</v>
      </c>
    </row>
    <row r="774" spans="1:16" ht="14.4" x14ac:dyDescent="0.3">
      <c r="A774" s="18" t="s">
        <v>50</v>
      </c>
      <c r="B774" s="18"/>
      <c r="C774" s="16" t="s">
        <v>19</v>
      </c>
      <c r="D774" s="20">
        <f>D724</f>
        <v>0.1938</v>
      </c>
      <c r="E774" s="20">
        <f t="shared" si="36"/>
        <v>0.1938</v>
      </c>
      <c r="F774" s="20">
        <f t="shared" si="36"/>
        <v>0.1938</v>
      </c>
      <c r="G774" s="20">
        <f t="shared" si="36"/>
        <v>0.1938</v>
      </c>
      <c r="H774" s="20">
        <f t="shared" si="36"/>
        <v>0.1938</v>
      </c>
      <c r="I774" s="20">
        <f t="shared" si="36"/>
        <v>0.1938</v>
      </c>
      <c r="J774" s="20">
        <f t="shared" si="36"/>
        <v>0.1938</v>
      </c>
      <c r="K774" s="20">
        <f t="shared" si="36"/>
        <v>0.1938</v>
      </c>
      <c r="L774" s="20">
        <f t="shared" si="36"/>
        <v>0.1938</v>
      </c>
      <c r="M774" s="20">
        <f t="shared" si="36"/>
        <v>0.1938</v>
      </c>
      <c r="N774" s="20">
        <f t="shared" si="36"/>
        <v>0.1938</v>
      </c>
      <c r="O774" s="20">
        <f t="shared" si="36"/>
        <v>0.1938</v>
      </c>
      <c r="P774" s="20">
        <f t="shared" si="36"/>
        <v>0.1938</v>
      </c>
    </row>
    <row r="775" spans="1:16" ht="14.4" x14ac:dyDescent="0.3">
      <c r="A775" s="14" t="s">
        <v>51</v>
      </c>
      <c r="B775" s="14"/>
      <c r="C775" s="16" t="s">
        <v>19</v>
      </c>
      <c r="D775" s="20">
        <v>0</v>
      </c>
      <c r="E775" s="20">
        <v>4.0599999999999997E-2</v>
      </c>
      <c r="F775" s="20">
        <v>4.0599999999999997E-2</v>
      </c>
      <c r="G775" s="20">
        <v>4.0599999999999997E-2</v>
      </c>
      <c r="H775" s="20">
        <v>4.0599999999999997E-2</v>
      </c>
      <c r="I775" s="20">
        <v>4.0599999999999997E-2</v>
      </c>
      <c r="J775" s="20">
        <v>4.0599999999999997E-2</v>
      </c>
      <c r="K775" s="20">
        <v>4.0599999999999997E-2</v>
      </c>
      <c r="L775" s="20">
        <v>4.0599999999999997E-2</v>
      </c>
      <c r="M775" s="20">
        <v>4.0599999999999997E-2</v>
      </c>
      <c r="N775" s="20">
        <v>4.0599999999999997E-2</v>
      </c>
      <c r="O775" s="20">
        <v>4.0599999999999997E-2</v>
      </c>
      <c r="P775" s="20">
        <v>4.0599999999999997E-2</v>
      </c>
    </row>
    <row r="776" spans="1:16" ht="14.4" x14ac:dyDescent="0.3">
      <c r="A776" s="14" t="s">
        <v>52</v>
      </c>
      <c r="B776" s="14"/>
      <c r="C776" s="29"/>
      <c r="D776" s="22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</row>
    <row r="777" spans="1:16" ht="14.4" x14ac:dyDescent="0.3">
      <c r="A777" s="18" t="s">
        <v>53</v>
      </c>
      <c r="B777" s="18"/>
      <c r="C777" s="16" t="s">
        <v>44</v>
      </c>
      <c r="D777" s="30">
        <f t="shared" ref="D777:O779" si="37">D727</f>
        <v>0.1154</v>
      </c>
      <c r="E777" s="30">
        <f t="shared" si="37"/>
        <v>0.1143</v>
      </c>
      <c r="F777" s="30">
        <f t="shared" si="37"/>
        <v>0.11269999999999999</v>
      </c>
      <c r="G777" s="30">
        <f t="shared" si="37"/>
        <v>0.11459999999999999</v>
      </c>
      <c r="H777" s="30">
        <f t="shared" si="37"/>
        <v>0.1134</v>
      </c>
      <c r="I777" s="30">
        <f t="shared" si="37"/>
        <v>0.11219999999999999</v>
      </c>
      <c r="J777" s="30">
        <f t="shared" si="37"/>
        <v>0.1079</v>
      </c>
      <c r="K777" s="30">
        <f t="shared" si="37"/>
        <v>0.10639999999999999</v>
      </c>
      <c r="L777" s="30">
        <f t="shared" si="37"/>
        <v>0.1089</v>
      </c>
      <c r="M777" s="30">
        <f t="shared" si="37"/>
        <v>0.1143</v>
      </c>
      <c r="N777" s="30">
        <f t="shared" si="37"/>
        <v>0.1145</v>
      </c>
      <c r="O777" s="30">
        <f t="shared" si="37"/>
        <v>0.11310000000000001</v>
      </c>
      <c r="P777" s="30" t="e">
        <f>P727</f>
        <v>#DIV/0!</v>
      </c>
    </row>
    <row r="778" spans="1:16" ht="14.4" x14ac:dyDescent="0.3">
      <c r="A778" s="18" t="s">
        <v>54</v>
      </c>
      <c r="B778" s="18"/>
      <c r="C778" s="16" t="s">
        <v>44</v>
      </c>
      <c r="D778" s="30">
        <f t="shared" si="37"/>
        <v>3.3E-3</v>
      </c>
      <c r="E778" s="30">
        <f t="shared" si="37"/>
        <v>3.5999999999999999E-3</v>
      </c>
      <c r="F778" s="30">
        <f t="shared" si="37"/>
        <v>5.5999999999999999E-3</v>
      </c>
      <c r="G778" s="30">
        <f t="shared" si="37"/>
        <v>1.0699999999999999E-2</v>
      </c>
      <c r="H778" s="30">
        <f t="shared" si="37"/>
        <v>2.8400000000000002E-2</v>
      </c>
      <c r="I778" s="30">
        <f t="shared" si="37"/>
        <v>2.7400000000000001E-2</v>
      </c>
      <c r="J778" s="30">
        <f t="shared" si="37"/>
        <v>2.18E-2</v>
      </c>
      <c r="K778" s="30">
        <f t="shared" si="37"/>
        <v>8.9999999999999993E-3</v>
      </c>
      <c r="L778" s="30">
        <f t="shared" si="37"/>
        <v>8.3999999999999995E-3</v>
      </c>
      <c r="M778" s="30">
        <f t="shared" si="37"/>
        <v>6.1999999999999998E-3</v>
      </c>
      <c r="N778" s="30">
        <f t="shared" si="37"/>
        <v>4.7000000000000002E-3</v>
      </c>
      <c r="O778" s="30">
        <f t="shared" si="37"/>
        <v>6.1999999999999998E-3</v>
      </c>
      <c r="P778" s="30">
        <f>P728</f>
        <v>-3.0300000000000001E-2</v>
      </c>
    </row>
    <row r="779" spans="1:16" ht="14.4" x14ac:dyDescent="0.3">
      <c r="A779" s="18" t="s">
        <v>55</v>
      </c>
      <c r="B779" s="18"/>
      <c r="C779" s="16" t="s">
        <v>44</v>
      </c>
      <c r="D779" s="30">
        <f t="shared" si="37"/>
        <v>9.8100000000000007E-2</v>
      </c>
      <c r="E779" s="30">
        <f t="shared" si="37"/>
        <v>9.64E-2</v>
      </c>
      <c r="F779" s="30">
        <f t="shared" si="37"/>
        <v>9.69E-2</v>
      </c>
      <c r="G779" s="30">
        <f t="shared" si="37"/>
        <v>9.9299999999999999E-2</v>
      </c>
      <c r="H779" s="30">
        <f t="shared" si="37"/>
        <v>9.9099999999999994E-2</v>
      </c>
      <c r="I779" s="30">
        <f t="shared" si="37"/>
        <v>9.8500000000000004E-2</v>
      </c>
      <c r="J779" s="30">
        <f t="shared" si="37"/>
        <v>9.5299999999999996E-2</v>
      </c>
      <c r="K779" s="30">
        <f t="shared" si="37"/>
        <v>9.1800000000000007E-2</v>
      </c>
      <c r="L779" s="30">
        <f t="shared" si="37"/>
        <v>9.3399999999999997E-2</v>
      </c>
      <c r="M779" s="30">
        <f t="shared" si="37"/>
        <v>9.7199999999999995E-2</v>
      </c>
      <c r="N779" s="30">
        <f t="shared" si="37"/>
        <v>9.6799999999999997E-2</v>
      </c>
      <c r="O779" s="30">
        <f t="shared" si="37"/>
        <v>9.6199999999999994E-2</v>
      </c>
      <c r="P779" s="30" t="e">
        <f>P729</f>
        <v>#DIV/0!</v>
      </c>
    </row>
    <row r="780" spans="1:16" ht="14.4" hidden="1" x14ac:dyDescent="0.3">
      <c r="A780" s="18" t="s">
        <v>187</v>
      </c>
      <c r="B780" s="18"/>
      <c r="C780" s="16" t="s">
        <v>44</v>
      </c>
      <c r="D780" s="27">
        <v>0</v>
      </c>
      <c r="E780" s="27">
        <v>0</v>
      </c>
      <c r="F780" s="27">
        <v>0</v>
      </c>
      <c r="G780" s="27">
        <v>0</v>
      </c>
      <c r="H780" s="27">
        <v>0</v>
      </c>
      <c r="I780" s="27">
        <v>0</v>
      </c>
      <c r="J780" s="27">
        <v>0</v>
      </c>
      <c r="K780" s="27">
        <v>0</v>
      </c>
      <c r="L780" s="27">
        <v>0</v>
      </c>
      <c r="M780" s="27">
        <v>0</v>
      </c>
      <c r="N780" s="27">
        <v>0</v>
      </c>
      <c r="O780" s="27">
        <v>0</v>
      </c>
      <c r="P780" s="27">
        <v>0</v>
      </c>
    </row>
    <row r="781" spans="1:16" ht="14.4" x14ac:dyDescent="0.3">
      <c r="A781" s="18" t="s">
        <v>56</v>
      </c>
      <c r="B781" s="18"/>
      <c r="C781" s="16" t="s">
        <v>44</v>
      </c>
      <c r="D781" s="30">
        <f t="shared" ref="D781:O782" si="38">D731</f>
        <v>0.12</v>
      </c>
      <c r="E781" s="30">
        <f t="shared" si="38"/>
        <v>0.12</v>
      </c>
      <c r="F781" s="30">
        <f t="shared" si="38"/>
        <v>0.12</v>
      </c>
      <c r="G781" s="30">
        <f t="shared" si="38"/>
        <v>0.12</v>
      </c>
      <c r="H781" s="30">
        <f t="shared" si="38"/>
        <v>0.12</v>
      </c>
      <c r="I781" s="30">
        <f t="shared" si="38"/>
        <v>0.12</v>
      </c>
      <c r="J781" s="30">
        <f t="shared" si="38"/>
        <v>0.12</v>
      </c>
      <c r="K781" s="30">
        <f t="shared" si="38"/>
        <v>0.12</v>
      </c>
      <c r="L781" s="30">
        <f t="shared" si="38"/>
        <v>0.12</v>
      </c>
      <c r="M781" s="30">
        <f t="shared" si="38"/>
        <v>0.12</v>
      </c>
      <c r="N781" s="30">
        <f t="shared" si="38"/>
        <v>0.12</v>
      </c>
      <c r="O781" s="30">
        <f t="shared" si="38"/>
        <v>0.12</v>
      </c>
      <c r="P781" s="30">
        <f>P731</f>
        <v>0.12</v>
      </c>
    </row>
    <row r="782" spans="1:16" ht="14.4" x14ac:dyDescent="0.3">
      <c r="A782" s="18" t="s">
        <v>57</v>
      </c>
      <c r="B782" s="18"/>
      <c r="C782" s="16" t="s">
        <v>44</v>
      </c>
      <c r="D782" s="30">
        <f t="shared" si="38"/>
        <v>0.12</v>
      </c>
      <c r="E782" s="30">
        <f t="shared" si="38"/>
        <v>0.12</v>
      </c>
      <c r="F782" s="30">
        <f t="shared" si="38"/>
        <v>0.12</v>
      </c>
      <c r="G782" s="30">
        <f t="shared" si="38"/>
        <v>0.12</v>
      </c>
      <c r="H782" s="30">
        <f t="shared" si="38"/>
        <v>0.12</v>
      </c>
      <c r="I782" s="30">
        <f t="shared" si="38"/>
        <v>0.12</v>
      </c>
      <c r="J782" s="30">
        <f t="shared" si="38"/>
        <v>0.12</v>
      </c>
      <c r="K782" s="30">
        <f t="shared" si="38"/>
        <v>0.12</v>
      </c>
      <c r="L782" s="30">
        <f t="shared" si="38"/>
        <v>0.12</v>
      </c>
      <c r="M782" s="30">
        <f t="shared" si="38"/>
        <v>0.12</v>
      </c>
      <c r="N782" s="30">
        <f t="shared" si="38"/>
        <v>0.12</v>
      </c>
      <c r="O782" s="30">
        <f t="shared" si="38"/>
        <v>0.12</v>
      </c>
      <c r="P782" s="30">
        <f>P732</f>
        <v>0.12</v>
      </c>
    </row>
    <row r="783" spans="1:16" s="5" customFormat="1" ht="14.4" x14ac:dyDescent="0.3">
      <c r="A783" s="55"/>
      <c r="B783" s="55"/>
      <c r="C783" s="56"/>
      <c r="D783" s="57"/>
      <c r="E783" s="57"/>
      <c r="F783" s="57"/>
      <c r="G783" s="57"/>
      <c r="H783" s="57"/>
      <c r="I783" s="57"/>
      <c r="J783" s="57"/>
      <c r="K783" s="57"/>
      <c r="L783" s="57"/>
      <c r="M783" s="57"/>
      <c r="N783" s="57"/>
      <c r="O783" s="57"/>
      <c r="P783" s="57"/>
    </row>
    <row r="784" spans="1:16" x14ac:dyDescent="0.3">
      <c r="A784" s="3" t="s">
        <v>58</v>
      </c>
    </row>
    <row r="786" spans="1:16" ht="18" x14ac:dyDescent="0.35">
      <c r="A786" s="59" t="str">
        <f>'[43]Statistical data'!A235</f>
        <v>General Power-Below 13.2kV</v>
      </c>
      <c r="B786" s="60"/>
      <c r="C786" s="5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</row>
    <row r="787" spans="1:16" s="13" customFormat="1" ht="14.4" x14ac:dyDescent="0.3">
      <c r="A787" s="11" t="s">
        <v>3</v>
      </c>
      <c r="B787" s="11"/>
      <c r="C787" s="11" t="s">
        <v>4</v>
      </c>
      <c r="D787" s="12" t="str">
        <f t="shared" ref="D787:P787" si="39">D737</f>
        <v>JAN</v>
      </c>
      <c r="E787" s="12" t="str">
        <f t="shared" si="39"/>
        <v>FEB</v>
      </c>
      <c r="F787" s="12" t="str">
        <f t="shared" si="39"/>
        <v>MAR</v>
      </c>
      <c r="G787" s="12" t="str">
        <f t="shared" si="39"/>
        <v>APR</v>
      </c>
      <c r="H787" s="12" t="str">
        <f t="shared" si="39"/>
        <v>MAY</v>
      </c>
      <c r="I787" s="12" t="str">
        <f t="shared" si="39"/>
        <v>JUN</v>
      </c>
      <c r="J787" s="12" t="str">
        <f t="shared" si="39"/>
        <v>JUL</v>
      </c>
      <c r="K787" s="12" t="str">
        <f t="shared" si="39"/>
        <v>AUG</v>
      </c>
      <c r="L787" s="12" t="str">
        <f t="shared" si="39"/>
        <v>SEP</v>
      </c>
      <c r="M787" s="12" t="str">
        <f t="shared" si="39"/>
        <v>OCT</v>
      </c>
      <c r="N787" s="12" t="str">
        <f t="shared" si="39"/>
        <v>NOV</v>
      </c>
      <c r="O787" s="12" t="str">
        <f t="shared" si="39"/>
        <v>DEC</v>
      </c>
      <c r="P787" s="12" t="str">
        <f t="shared" si="39"/>
        <v>JAN</v>
      </c>
    </row>
    <row r="788" spans="1:16" ht="14.4" x14ac:dyDescent="0.3">
      <c r="A788" s="14" t="s">
        <v>17</v>
      </c>
      <c r="B788" s="15"/>
      <c r="C788" s="16"/>
      <c r="D788" s="17"/>
      <c r="E788" s="17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</row>
    <row r="789" spans="1:16" ht="14.4" x14ac:dyDescent="0.3">
      <c r="A789" s="18" t="s">
        <v>18</v>
      </c>
      <c r="B789" s="19"/>
      <c r="C789" s="16" t="s">
        <v>19</v>
      </c>
      <c r="D789" s="20">
        <f>[43]GR!D24</f>
        <v>4.7182000000000004</v>
      </c>
      <c r="E789" s="20">
        <f>[43]GR!E24</f>
        <v>5.2384000000000004</v>
      </c>
      <c r="F789" s="20">
        <f>[43]GR!F24</f>
        <v>5.2096999999999998</v>
      </c>
      <c r="G789" s="20">
        <f>[43]GR!G24</f>
        <v>5.4120999999999997</v>
      </c>
      <c r="H789" s="20">
        <f>[43]GR!H24</f>
        <v>4.8131000000000004</v>
      </c>
      <c r="I789" s="20">
        <f>[43]GR!I24</f>
        <v>4.4555999999999996</v>
      </c>
      <c r="J789" s="20">
        <f>[43]GR!J24</f>
        <v>4.7397999999999998</v>
      </c>
      <c r="K789" s="20">
        <f>[43]GR!K24</f>
        <v>4.5526999999999997</v>
      </c>
      <c r="L789" s="20">
        <f>[43]GR!L24</f>
        <v>4.1325000000000003</v>
      </c>
      <c r="M789" s="20">
        <f>[43]GR!M24</f>
        <v>3.9954999999999998</v>
      </c>
      <c r="N789" s="20">
        <f>[43]GR!N24</f>
        <v>4.0838999999999999</v>
      </c>
      <c r="O789" s="20">
        <f>[43]GR!O24</f>
        <v>4.1299000000000001</v>
      </c>
      <c r="P789" s="20" t="e">
        <f>[43]GR!P24</f>
        <v>#DIV/0!</v>
      </c>
    </row>
    <row r="790" spans="1:16" ht="14.4" hidden="1" x14ac:dyDescent="0.3">
      <c r="A790" s="18" t="s">
        <v>66</v>
      </c>
      <c r="B790" s="19"/>
      <c r="C790" s="16" t="s">
        <v>19</v>
      </c>
      <c r="D790" s="20">
        <v>0</v>
      </c>
      <c r="E790" s="20">
        <v>0</v>
      </c>
      <c r="F790" s="20">
        <v>0</v>
      </c>
      <c r="G790" s="20">
        <v>0</v>
      </c>
      <c r="H790" s="20">
        <v>0</v>
      </c>
      <c r="I790" s="20">
        <v>0</v>
      </c>
      <c r="J790" s="20">
        <v>0</v>
      </c>
      <c r="K790" s="20">
        <v>0</v>
      </c>
      <c r="L790" s="20">
        <v>0</v>
      </c>
      <c r="M790" s="20">
        <v>0</v>
      </c>
      <c r="N790" s="20">
        <v>0</v>
      </c>
      <c r="O790" s="20">
        <v>0</v>
      </c>
      <c r="P790" s="20">
        <v>0</v>
      </c>
    </row>
    <row r="791" spans="1:16" ht="14.4" x14ac:dyDescent="0.3">
      <c r="A791" s="14" t="s">
        <v>20</v>
      </c>
      <c r="B791" s="15"/>
      <c r="C791" s="16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</row>
    <row r="792" spans="1:16" ht="14.4" x14ac:dyDescent="0.3">
      <c r="A792" s="18" t="s">
        <v>21</v>
      </c>
      <c r="B792" s="19"/>
      <c r="C792" s="16" t="s">
        <v>19</v>
      </c>
      <c r="D792" s="20">
        <v>0</v>
      </c>
      <c r="E792" s="20">
        <v>0</v>
      </c>
      <c r="F792" s="20">
        <v>0</v>
      </c>
      <c r="G792" s="20">
        <v>0</v>
      </c>
      <c r="H792" s="20">
        <v>0</v>
      </c>
      <c r="I792" s="20">
        <v>0</v>
      </c>
      <c r="J792" s="20">
        <v>0</v>
      </c>
      <c r="K792" s="20">
        <v>0</v>
      </c>
      <c r="L792" s="20">
        <v>0</v>
      </c>
      <c r="M792" s="20">
        <v>0</v>
      </c>
      <c r="N792" s="20">
        <v>0</v>
      </c>
      <c r="O792" s="20">
        <v>0</v>
      </c>
      <c r="P792" s="20">
        <v>0</v>
      </c>
    </row>
    <row r="793" spans="1:16" ht="14.4" x14ac:dyDescent="0.3">
      <c r="A793" s="18" t="s">
        <v>22</v>
      </c>
      <c r="B793" s="19"/>
      <c r="C793" s="16" t="s">
        <v>23</v>
      </c>
      <c r="D793" s="23">
        <f>[43]TR!D60</f>
        <v>316.27</v>
      </c>
      <c r="E793" s="23">
        <f>[43]TR!E60</f>
        <v>348.83</v>
      </c>
      <c r="F793" s="23">
        <f>[43]TR!F60</f>
        <v>334.33</v>
      </c>
      <c r="G793" s="23">
        <f>[43]TR!G60</f>
        <v>322.13</v>
      </c>
      <c r="H793" s="23">
        <f>[43]TR!H60</f>
        <v>341.66</v>
      </c>
      <c r="I793" s="20">
        <f>[43]TR!I60</f>
        <v>319.70569999999998</v>
      </c>
      <c r="J793" s="20">
        <f>[43]TR!J60</f>
        <v>306.32569999999998</v>
      </c>
      <c r="K793" s="20">
        <f>[43]TR!K60</f>
        <v>291.4957</v>
      </c>
      <c r="L793" s="20">
        <f>[43]TR!L60</f>
        <v>283.62569999999999</v>
      </c>
      <c r="M793" s="20">
        <f>[43]TR!M60</f>
        <v>281.85570000000001</v>
      </c>
      <c r="N793" s="20">
        <f>[43]TR!N60</f>
        <v>291.01569999999998</v>
      </c>
      <c r="O793" s="20">
        <f>[43]TR!O60</f>
        <v>299.10570000000001</v>
      </c>
      <c r="P793" s="20">
        <f>[43]TR!P60</f>
        <v>0</v>
      </c>
    </row>
    <row r="794" spans="1:16" ht="14.4" x14ac:dyDescent="0.3">
      <c r="A794" s="14" t="s">
        <v>24</v>
      </c>
      <c r="B794" s="15"/>
      <c r="C794" s="16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</row>
    <row r="795" spans="1:16" ht="14.4" x14ac:dyDescent="0.3">
      <c r="A795" s="18" t="s">
        <v>25</v>
      </c>
      <c r="B795" s="19"/>
      <c r="C795" s="16" t="s">
        <v>19</v>
      </c>
      <c r="D795" s="20">
        <f>[43]SLR!D74</f>
        <v>0.19750000000000001</v>
      </c>
      <c r="E795" s="20">
        <f>[43]SLR!E74</f>
        <v>0.22689999999999999</v>
      </c>
      <c r="F795" s="20">
        <f>[43]SLR!F74</f>
        <v>0.218</v>
      </c>
      <c r="G795" s="20">
        <f>[43]SLR!G74</f>
        <v>0.22689999999999999</v>
      </c>
      <c r="H795" s="20">
        <f>[43]SLR!H74</f>
        <v>0.21260000000000001</v>
      </c>
      <c r="I795" s="20">
        <f>[43]SLR!I74</f>
        <v>0.1822</v>
      </c>
      <c r="J795" s="20">
        <f>[43]SLR!J74</f>
        <v>0.19689999999999999</v>
      </c>
      <c r="K795" s="20">
        <f>[43]SLR!K74</f>
        <v>0.1895</v>
      </c>
      <c r="L795" s="20">
        <f>[43]SLR!L74</f>
        <v>0.16350000000000001</v>
      </c>
      <c r="M795" s="20">
        <f>[43]SLR!M74</f>
        <v>0.16070000000000001</v>
      </c>
      <c r="N795" s="20">
        <f>[43]SLR!N74</f>
        <v>0.1653</v>
      </c>
      <c r="O795" s="20">
        <f>[43]SLR!O74</f>
        <v>0.1681</v>
      </c>
      <c r="P795" s="20">
        <f>[43]SLR!P74</f>
        <v>0</v>
      </c>
    </row>
    <row r="796" spans="1:16" ht="14.4" x14ac:dyDescent="0.3">
      <c r="A796" s="14" t="s">
        <v>26</v>
      </c>
      <c r="B796" s="14"/>
      <c r="C796" s="16"/>
      <c r="D796" s="22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</row>
    <row r="797" spans="1:16" ht="14.4" x14ac:dyDescent="0.3">
      <c r="A797" s="18" t="s">
        <v>27</v>
      </c>
      <c r="B797" s="18"/>
      <c r="C797" s="16" t="s">
        <v>19</v>
      </c>
      <c r="D797" s="20">
        <v>5.7799999999999997E-2</v>
      </c>
      <c r="E797" s="20">
        <v>5.7799999999999997E-2</v>
      </c>
      <c r="F797" s="20">
        <v>5.7799999999999997E-2</v>
      </c>
      <c r="G797" s="20">
        <v>5.7799999999999997E-2</v>
      </c>
      <c r="H797" s="20">
        <v>5.7799999999999997E-2</v>
      </c>
      <c r="I797" s="20">
        <v>5.7799999999999997E-2</v>
      </c>
      <c r="J797" s="20">
        <v>5.1299999999999998E-2</v>
      </c>
      <c r="K797" s="20">
        <v>5.1299999999999998E-2</v>
      </c>
      <c r="L797" s="20">
        <v>5.1299999999999998E-2</v>
      </c>
      <c r="M797" s="20">
        <v>5.1299999999999998E-2</v>
      </c>
      <c r="N797" s="20">
        <v>5.1299999999999998E-2</v>
      </c>
      <c r="O797" s="20">
        <v>5.1299999999999998E-2</v>
      </c>
      <c r="P797" s="20">
        <v>5.1299999999999998E-2</v>
      </c>
    </row>
    <row r="798" spans="1:16" ht="14.4" x14ac:dyDescent="0.3">
      <c r="A798" s="18" t="s">
        <v>28</v>
      </c>
      <c r="B798" s="18"/>
      <c r="C798" s="16" t="s">
        <v>23</v>
      </c>
      <c r="D798" s="23">
        <v>205.83</v>
      </c>
      <c r="E798" s="23">
        <v>205.83</v>
      </c>
      <c r="F798" s="23">
        <v>205.83</v>
      </c>
      <c r="G798" s="23">
        <v>205.83</v>
      </c>
      <c r="H798" s="23">
        <v>205.83</v>
      </c>
      <c r="I798" s="23">
        <v>205.83</v>
      </c>
      <c r="J798" s="23">
        <v>182.66</v>
      </c>
      <c r="K798" s="23">
        <v>182.66</v>
      </c>
      <c r="L798" s="23">
        <v>182.66</v>
      </c>
      <c r="M798" s="23">
        <v>182.66</v>
      </c>
      <c r="N798" s="23">
        <v>182.66</v>
      </c>
      <c r="O798" s="23">
        <v>182.66</v>
      </c>
      <c r="P798" s="23">
        <v>182.66</v>
      </c>
    </row>
    <row r="799" spans="1:16" ht="14.4" x14ac:dyDescent="0.3">
      <c r="A799" s="14" t="s">
        <v>29</v>
      </c>
      <c r="B799" s="14"/>
      <c r="C799" s="16"/>
      <c r="D799" s="24"/>
      <c r="E799" s="24"/>
      <c r="F799" s="24"/>
      <c r="G799" s="24"/>
      <c r="H799" s="24"/>
      <c r="I799" s="24"/>
      <c r="J799" s="24"/>
      <c r="K799" s="24"/>
      <c r="L799" s="24"/>
      <c r="M799" s="24"/>
      <c r="N799" s="24"/>
      <c r="O799" s="24"/>
      <c r="P799" s="24"/>
    </row>
    <row r="800" spans="1:16" ht="14.4" x14ac:dyDescent="0.3">
      <c r="A800" s="18" t="s">
        <v>30</v>
      </c>
      <c r="B800" s="18"/>
      <c r="C800" s="16" t="s">
        <v>19</v>
      </c>
      <c r="D800" s="20">
        <v>0</v>
      </c>
      <c r="E800" s="20">
        <v>0</v>
      </c>
      <c r="F800" s="20">
        <v>0</v>
      </c>
      <c r="G800" s="20">
        <v>0</v>
      </c>
      <c r="H800" s="20">
        <v>0</v>
      </c>
      <c r="I800" s="20">
        <v>0</v>
      </c>
      <c r="J800" s="20">
        <v>0</v>
      </c>
      <c r="K800" s="20">
        <v>0</v>
      </c>
      <c r="L800" s="20">
        <v>0</v>
      </c>
      <c r="M800" s="20">
        <v>0</v>
      </c>
      <c r="N800" s="20">
        <v>0</v>
      </c>
      <c r="O800" s="20">
        <v>0</v>
      </c>
      <c r="P800" s="20">
        <v>0</v>
      </c>
    </row>
    <row r="801" spans="1:16" ht="14.4" x14ac:dyDescent="0.3">
      <c r="A801" s="18" t="s">
        <v>31</v>
      </c>
      <c r="B801" s="18"/>
      <c r="C801" s="16" t="s">
        <v>32</v>
      </c>
      <c r="D801" s="52" t="s">
        <v>62</v>
      </c>
      <c r="E801" s="52" t="s">
        <v>62</v>
      </c>
      <c r="F801" s="52" t="s">
        <v>62</v>
      </c>
      <c r="G801" s="52" t="s">
        <v>62</v>
      </c>
      <c r="H801" s="52" t="s">
        <v>62</v>
      </c>
      <c r="I801" s="52" t="s">
        <v>62</v>
      </c>
      <c r="J801" s="52" t="s">
        <v>62</v>
      </c>
      <c r="K801" s="52" t="s">
        <v>62</v>
      </c>
      <c r="L801" s="52" t="s">
        <v>62</v>
      </c>
      <c r="M801" s="52" t="s">
        <v>62</v>
      </c>
      <c r="N801" s="52" t="s">
        <v>62</v>
      </c>
      <c r="O801" s="52" t="s">
        <v>62</v>
      </c>
      <c r="P801" s="52" t="s">
        <v>62</v>
      </c>
    </row>
    <row r="802" spans="1:16" ht="14.4" x14ac:dyDescent="0.3">
      <c r="A802" s="14" t="s">
        <v>33</v>
      </c>
      <c r="B802" s="14"/>
      <c r="C802" s="16"/>
      <c r="D802" s="24"/>
      <c r="E802" s="24"/>
      <c r="F802" s="24"/>
      <c r="G802" s="24"/>
      <c r="H802" s="24"/>
      <c r="I802" s="24"/>
      <c r="J802" s="24"/>
      <c r="K802" s="24"/>
      <c r="L802" s="24"/>
      <c r="M802" s="24"/>
      <c r="N802" s="24"/>
      <c r="O802" s="24"/>
      <c r="P802" s="24"/>
    </row>
    <row r="803" spans="1:16" ht="14.4" x14ac:dyDescent="0.3">
      <c r="A803" s="18" t="s">
        <v>34</v>
      </c>
      <c r="B803" s="18"/>
      <c r="C803" s="16" t="s">
        <v>19</v>
      </c>
      <c r="D803" s="20">
        <v>0</v>
      </c>
      <c r="E803" s="20">
        <v>0</v>
      </c>
      <c r="F803" s="20">
        <v>0</v>
      </c>
      <c r="G803" s="20">
        <v>0</v>
      </c>
      <c r="H803" s="20">
        <v>0</v>
      </c>
      <c r="I803" s="20">
        <v>0</v>
      </c>
      <c r="J803" s="20">
        <v>0</v>
      </c>
      <c r="K803" s="20">
        <v>0</v>
      </c>
      <c r="L803" s="20">
        <v>0</v>
      </c>
      <c r="M803" s="20">
        <v>0</v>
      </c>
      <c r="N803" s="20">
        <v>0</v>
      </c>
      <c r="O803" s="20">
        <v>0</v>
      </c>
      <c r="P803" s="20">
        <v>0</v>
      </c>
    </row>
    <row r="804" spans="1:16" ht="14.4" x14ac:dyDescent="0.3">
      <c r="A804" s="18" t="s">
        <v>35</v>
      </c>
      <c r="B804" s="18"/>
      <c r="C804" s="16" t="s">
        <v>36</v>
      </c>
      <c r="D804" s="52" t="s">
        <v>63</v>
      </c>
      <c r="E804" s="52" t="s">
        <v>63</v>
      </c>
      <c r="F804" s="52" t="s">
        <v>63</v>
      </c>
      <c r="G804" s="52" t="s">
        <v>63</v>
      </c>
      <c r="H804" s="52" t="s">
        <v>63</v>
      </c>
      <c r="I804" s="52" t="s">
        <v>63</v>
      </c>
      <c r="J804" s="52" t="s">
        <v>63</v>
      </c>
      <c r="K804" s="52" t="s">
        <v>63</v>
      </c>
      <c r="L804" s="52" t="s">
        <v>63</v>
      </c>
      <c r="M804" s="52" t="s">
        <v>63</v>
      </c>
      <c r="N804" s="52" t="s">
        <v>63</v>
      </c>
      <c r="O804" s="52" t="s">
        <v>63</v>
      </c>
      <c r="P804" s="52" t="s">
        <v>63</v>
      </c>
    </row>
    <row r="805" spans="1:16" ht="14.4" x14ac:dyDescent="0.3">
      <c r="A805" s="14" t="s">
        <v>37</v>
      </c>
      <c r="B805" s="14"/>
      <c r="C805" s="16"/>
      <c r="D805" s="24"/>
      <c r="E805" s="24"/>
      <c r="F805" s="24"/>
      <c r="G805" s="24"/>
      <c r="H805" s="24"/>
      <c r="I805" s="24"/>
      <c r="J805" s="24"/>
      <c r="K805" s="24"/>
      <c r="L805" s="24"/>
      <c r="M805" s="24"/>
      <c r="N805" s="24"/>
      <c r="O805" s="24"/>
      <c r="P805" s="24"/>
    </row>
    <row r="806" spans="1:16" ht="14.4" x14ac:dyDescent="0.3">
      <c r="A806" s="25" t="s">
        <v>38</v>
      </c>
      <c r="B806" s="18"/>
      <c r="C806" s="16" t="s">
        <v>19</v>
      </c>
      <c r="D806" s="20">
        <f t="shared" ref="D806:O806" si="40">D756</f>
        <v>0.1215</v>
      </c>
      <c r="E806" s="20">
        <f t="shared" si="40"/>
        <v>0.14280000000000001</v>
      </c>
      <c r="F806" s="20">
        <f t="shared" si="40"/>
        <v>0.1462</v>
      </c>
      <c r="G806" s="20">
        <f t="shared" si="40"/>
        <v>0.15629999999999999</v>
      </c>
      <c r="H806" s="20">
        <f t="shared" si="40"/>
        <v>0.1152</v>
      </c>
      <c r="I806" s="20">
        <f t="shared" si="40"/>
        <v>9.3799999999999994E-2</v>
      </c>
      <c r="J806" s="20">
        <f t="shared" si="40"/>
        <v>7.7499999999999999E-2</v>
      </c>
      <c r="K806" s="20">
        <f t="shared" si="40"/>
        <v>9.3200000000000005E-2</v>
      </c>
      <c r="L806" s="20">
        <f t="shared" si="40"/>
        <v>8.5099999999999995E-2</v>
      </c>
      <c r="M806" s="20">
        <f t="shared" si="40"/>
        <v>8.0299999999999996E-2</v>
      </c>
      <c r="N806" s="20">
        <f t="shared" si="40"/>
        <v>8.3699999999999997E-2</v>
      </c>
      <c r="O806" s="20">
        <f t="shared" si="40"/>
        <v>8.1699999999999995E-2</v>
      </c>
      <c r="P806" s="20">
        <f>P756</f>
        <v>0</v>
      </c>
    </row>
    <row r="807" spans="1:16" ht="14.4" x14ac:dyDescent="0.3">
      <c r="A807" s="25" t="s">
        <v>39</v>
      </c>
      <c r="B807" s="18"/>
      <c r="C807" s="16" t="s">
        <v>19</v>
      </c>
      <c r="D807" s="20">
        <v>0</v>
      </c>
      <c r="E807" s="20">
        <v>0</v>
      </c>
      <c r="F807" s="20">
        <v>0</v>
      </c>
      <c r="G807" s="20">
        <v>0</v>
      </c>
      <c r="H807" s="20">
        <v>0</v>
      </c>
      <c r="I807" s="20">
        <v>0</v>
      </c>
      <c r="J807" s="20">
        <v>0</v>
      </c>
      <c r="K807" s="20">
        <v>0</v>
      </c>
      <c r="L807" s="20">
        <v>0</v>
      </c>
      <c r="M807" s="20">
        <v>0</v>
      </c>
      <c r="N807" s="20">
        <v>0</v>
      </c>
      <c r="O807" s="20">
        <v>0</v>
      </c>
      <c r="P807" s="20">
        <v>0</v>
      </c>
    </row>
    <row r="808" spans="1:16" ht="14.4" x14ac:dyDescent="0.3">
      <c r="A808" s="26" t="s">
        <v>40</v>
      </c>
      <c r="B808" s="18"/>
      <c r="C808" s="16" t="s">
        <v>19</v>
      </c>
      <c r="D808" s="20">
        <f t="shared" ref="D808:O810" si="41">D758</f>
        <v>1E-4</v>
      </c>
      <c r="E808" s="20">
        <f t="shared" si="41"/>
        <v>1E-4</v>
      </c>
      <c r="F808" s="20">
        <f t="shared" si="41"/>
        <v>1E-4</v>
      </c>
      <c r="G808" s="20">
        <f t="shared" si="41"/>
        <v>1E-4</v>
      </c>
      <c r="H808" s="20">
        <f t="shared" si="41"/>
        <v>1E-4</v>
      </c>
      <c r="I808" s="20">
        <f t="shared" si="41"/>
        <v>1E-4</v>
      </c>
      <c r="J808" s="20">
        <f t="shared" si="41"/>
        <v>1E-4</v>
      </c>
      <c r="K808" s="20">
        <f t="shared" si="41"/>
        <v>1E-4</v>
      </c>
      <c r="L808" s="20">
        <f t="shared" si="41"/>
        <v>1E-4</v>
      </c>
      <c r="M808" s="20">
        <f t="shared" si="41"/>
        <v>1E-4</v>
      </c>
      <c r="N808" s="20">
        <f t="shared" si="41"/>
        <v>1E-4</v>
      </c>
      <c r="O808" s="20">
        <f t="shared" si="41"/>
        <v>1E-4</v>
      </c>
      <c r="P808" s="20">
        <f>P758</f>
        <v>0</v>
      </c>
    </row>
    <row r="809" spans="1:16" ht="14.4" x14ac:dyDescent="0.3">
      <c r="A809" s="26" t="s">
        <v>41</v>
      </c>
      <c r="B809" s="18"/>
      <c r="C809" s="16" t="s">
        <v>19</v>
      </c>
      <c r="D809" s="20">
        <f t="shared" si="41"/>
        <v>0</v>
      </c>
      <c r="E809" s="20">
        <f t="shared" si="41"/>
        <v>0</v>
      </c>
      <c r="F809" s="20">
        <f t="shared" si="41"/>
        <v>0</v>
      </c>
      <c r="G809" s="20">
        <f t="shared" si="41"/>
        <v>0</v>
      </c>
      <c r="H809" s="20">
        <f t="shared" si="41"/>
        <v>0</v>
      </c>
      <c r="I809" s="20">
        <f t="shared" si="41"/>
        <v>0</v>
      </c>
      <c r="J809" s="20">
        <f t="shared" si="41"/>
        <v>0</v>
      </c>
      <c r="K809" s="20">
        <f t="shared" si="41"/>
        <v>0</v>
      </c>
      <c r="L809" s="20">
        <f t="shared" si="41"/>
        <v>0</v>
      </c>
      <c r="M809" s="20">
        <f t="shared" si="41"/>
        <v>0</v>
      </c>
      <c r="N809" s="20">
        <f t="shared" si="41"/>
        <v>0</v>
      </c>
      <c r="O809" s="20">
        <f t="shared" si="41"/>
        <v>0</v>
      </c>
      <c r="P809" s="20">
        <f>P759</f>
        <v>0</v>
      </c>
    </row>
    <row r="810" spans="1:16" ht="14.4" hidden="1" x14ac:dyDescent="0.3">
      <c r="A810" s="154" t="s">
        <v>181</v>
      </c>
      <c r="B810" s="155"/>
      <c r="C810" s="16" t="s">
        <v>19</v>
      </c>
      <c r="D810" s="20">
        <f t="shared" si="41"/>
        <v>0</v>
      </c>
      <c r="E810" s="20">
        <f t="shared" si="41"/>
        <v>0</v>
      </c>
      <c r="F810" s="20">
        <f t="shared" si="41"/>
        <v>0</v>
      </c>
      <c r="G810" s="20">
        <f t="shared" si="41"/>
        <v>0</v>
      </c>
      <c r="H810" s="20">
        <f t="shared" si="41"/>
        <v>0</v>
      </c>
      <c r="I810" s="20">
        <f t="shared" si="41"/>
        <v>0</v>
      </c>
      <c r="J810" s="20">
        <f t="shared" si="41"/>
        <v>0</v>
      </c>
      <c r="K810" s="20">
        <f t="shared" si="41"/>
        <v>0</v>
      </c>
      <c r="L810" s="20">
        <f t="shared" si="41"/>
        <v>0</v>
      </c>
      <c r="M810" s="20">
        <f t="shared" si="41"/>
        <v>0</v>
      </c>
      <c r="N810" s="20">
        <f t="shared" si="41"/>
        <v>0</v>
      </c>
      <c r="O810" s="20">
        <f t="shared" si="41"/>
        <v>0</v>
      </c>
      <c r="P810" s="20">
        <f>P760</f>
        <v>0</v>
      </c>
    </row>
    <row r="811" spans="1:16" ht="16.2" hidden="1" x14ac:dyDescent="0.3">
      <c r="A811" s="154" t="s">
        <v>182</v>
      </c>
      <c r="B811" s="155"/>
      <c r="C811" s="16" t="s">
        <v>19</v>
      </c>
      <c r="D811" s="20"/>
      <c r="E811" s="20"/>
      <c r="F811" s="20"/>
      <c r="G811" s="20"/>
      <c r="H811" s="20"/>
      <c r="I811" s="20"/>
      <c r="J811" s="20"/>
      <c r="K811" s="20"/>
      <c r="L811" s="20"/>
      <c r="M811" s="20"/>
      <c r="N811" s="20"/>
      <c r="O811" s="20"/>
      <c r="P811" s="20"/>
    </row>
    <row r="812" spans="1:16" ht="16.2" hidden="1" x14ac:dyDescent="0.3">
      <c r="A812" s="154" t="s">
        <v>182</v>
      </c>
      <c r="B812" s="156"/>
      <c r="C812" s="16" t="s">
        <v>19</v>
      </c>
      <c r="D812" s="20"/>
      <c r="E812" s="20"/>
      <c r="F812" s="20"/>
      <c r="G812" s="20"/>
      <c r="H812" s="20"/>
      <c r="I812" s="20"/>
      <c r="J812" s="20"/>
      <c r="K812" s="20"/>
      <c r="L812" s="20"/>
      <c r="M812" s="20"/>
      <c r="N812" s="20"/>
      <c r="O812" s="20"/>
      <c r="P812" s="20"/>
    </row>
    <row r="813" spans="1:16" ht="14.4" x14ac:dyDescent="0.3">
      <c r="A813" s="14" t="s">
        <v>42</v>
      </c>
      <c r="B813" s="14"/>
      <c r="C813" s="16"/>
      <c r="D813" s="24"/>
      <c r="E813" s="24"/>
      <c r="F813" s="24"/>
      <c r="G813" s="24"/>
      <c r="H813" s="24"/>
      <c r="I813" s="24"/>
      <c r="J813" s="24"/>
      <c r="K813" s="24"/>
      <c r="L813" s="24"/>
      <c r="M813" s="24"/>
      <c r="N813" s="24"/>
      <c r="O813" s="24"/>
      <c r="P813" s="24"/>
    </row>
    <row r="814" spans="1:16" ht="14.4" x14ac:dyDescent="0.3">
      <c r="A814" s="14" t="s">
        <v>43</v>
      </c>
      <c r="B814" s="14"/>
      <c r="C814" s="16" t="s">
        <v>44</v>
      </c>
      <c r="D814" s="27"/>
      <c r="E814" s="27"/>
      <c r="F814" s="27"/>
      <c r="G814" s="27"/>
      <c r="H814" s="27"/>
      <c r="I814" s="27"/>
      <c r="J814" s="27"/>
      <c r="K814" s="27"/>
      <c r="L814" s="27"/>
      <c r="M814" s="27"/>
      <c r="N814" s="27"/>
      <c r="O814" s="27"/>
      <c r="P814" s="27"/>
    </row>
    <row r="815" spans="1:16" ht="14.4" hidden="1" x14ac:dyDescent="0.3">
      <c r="A815" s="14" t="s">
        <v>183</v>
      </c>
      <c r="B815" s="14"/>
      <c r="C815" s="16"/>
      <c r="D815" s="28"/>
      <c r="E815" s="28"/>
      <c r="F815" s="28"/>
      <c r="G815" s="28"/>
      <c r="H815" s="28"/>
      <c r="I815" s="28"/>
      <c r="J815" s="28"/>
      <c r="K815" s="28"/>
      <c r="L815" s="28"/>
      <c r="M815" s="28"/>
      <c r="N815" s="28"/>
      <c r="O815" s="28"/>
      <c r="P815" s="28"/>
    </row>
    <row r="816" spans="1:16" ht="14.4" hidden="1" x14ac:dyDescent="0.3">
      <c r="A816" s="14" t="s">
        <v>184</v>
      </c>
      <c r="B816" s="14"/>
      <c r="C816" s="16" t="s">
        <v>19</v>
      </c>
      <c r="D816" s="20"/>
      <c r="E816" s="20"/>
      <c r="F816" s="20"/>
      <c r="G816" s="20"/>
      <c r="H816" s="20"/>
      <c r="I816" s="20"/>
      <c r="J816" s="20"/>
      <c r="K816" s="20"/>
      <c r="L816" s="20"/>
      <c r="M816" s="20"/>
      <c r="N816" s="20"/>
      <c r="O816" s="20"/>
      <c r="P816" s="20"/>
    </row>
    <row r="817" spans="1:16" ht="14.4" x14ac:dyDescent="0.3">
      <c r="A817" s="14" t="s">
        <v>45</v>
      </c>
      <c r="B817" s="14"/>
      <c r="C817" s="16"/>
      <c r="D817" s="28"/>
      <c r="E817" s="28"/>
      <c r="F817" s="28"/>
      <c r="G817" s="28"/>
      <c r="H817" s="28"/>
      <c r="I817" s="28"/>
      <c r="J817" s="28"/>
      <c r="K817" s="28"/>
      <c r="L817" s="28"/>
      <c r="M817" s="28"/>
      <c r="N817" s="28"/>
      <c r="O817" s="28"/>
      <c r="P817" s="28"/>
    </row>
    <row r="818" spans="1:16" ht="14.4" x14ac:dyDescent="0.3">
      <c r="A818" s="14" t="s">
        <v>46</v>
      </c>
      <c r="B818" s="14"/>
      <c r="C818" s="16" t="s">
        <v>19</v>
      </c>
      <c r="D818" s="20">
        <v>0</v>
      </c>
      <c r="E818" s="20">
        <v>0</v>
      </c>
      <c r="F818" s="20">
        <v>0</v>
      </c>
      <c r="G818" s="20">
        <v>0</v>
      </c>
      <c r="H818" s="20">
        <v>0</v>
      </c>
      <c r="I818" s="20">
        <v>0</v>
      </c>
      <c r="J818" s="20">
        <v>0</v>
      </c>
      <c r="K818" s="20">
        <v>0</v>
      </c>
      <c r="L818" s="20">
        <v>0</v>
      </c>
      <c r="M818" s="20">
        <v>0</v>
      </c>
      <c r="N818" s="20">
        <v>0</v>
      </c>
      <c r="O818" s="20">
        <v>0</v>
      </c>
      <c r="P818" s="20">
        <v>0</v>
      </c>
    </row>
    <row r="819" spans="1:16" ht="14.4" hidden="1" x14ac:dyDescent="0.3">
      <c r="A819" s="14" t="s">
        <v>185</v>
      </c>
      <c r="B819" s="14"/>
      <c r="C819" s="16"/>
      <c r="D819" s="28"/>
      <c r="E819" s="28"/>
      <c r="F819" s="28"/>
      <c r="G819" s="28"/>
      <c r="H819" s="28"/>
      <c r="I819" s="28"/>
      <c r="J819" s="28"/>
      <c r="K819" s="28"/>
      <c r="L819" s="28"/>
      <c r="M819" s="28"/>
      <c r="N819" s="28"/>
      <c r="O819" s="28"/>
      <c r="P819" s="28"/>
    </row>
    <row r="820" spans="1:16" ht="14.4" hidden="1" x14ac:dyDescent="0.3">
      <c r="A820" s="14" t="s">
        <v>186</v>
      </c>
      <c r="B820" s="14"/>
      <c r="C820" s="16" t="s">
        <v>19</v>
      </c>
      <c r="D820" s="20"/>
      <c r="E820" s="20"/>
      <c r="F820" s="20"/>
      <c r="G820" s="20"/>
      <c r="H820" s="20"/>
      <c r="I820" s="20"/>
      <c r="J820" s="20"/>
      <c r="K820" s="20"/>
      <c r="L820" s="20"/>
      <c r="M820" s="20"/>
      <c r="N820" s="20"/>
      <c r="O820" s="20"/>
      <c r="P820" s="20"/>
    </row>
    <row r="821" spans="1:16" ht="14.4" x14ac:dyDescent="0.3">
      <c r="A821" s="14" t="s">
        <v>47</v>
      </c>
      <c r="B821" s="14"/>
      <c r="C821" s="16"/>
      <c r="D821" s="24"/>
      <c r="E821" s="24"/>
      <c r="F821" s="24"/>
      <c r="G821" s="24"/>
      <c r="H821" s="24"/>
      <c r="I821" s="24"/>
      <c r="J821" s="24"/>
      <c r="K821" s="24"/>
      <c r="L821" s="24"/>
      <c r="M821" s="24"/>
      <c r="N821" s="24"/>
      <c r="O821" s="24"/>
      <c r="P821" s="24"/>
    </row>
    <row r="822" spans="1:16" ht="14.4" x14ac:dyDescent="0.3">
      <c r="A822" s="18" t="s">
        <v>48</v>
      </c>
      <c r="B822" s="18"/>
      <c r="C822" s="16" t="s">
        <v>19</v>
      </c>
      <c r="D822" s="20">
        <f t="shared" ref="D822:P824" si="42">D772</f>
        <v>0.15609999999999999</v>
      </c>
      <c r="E822" s="20">
        <f t="shared" si="42"/>
        <v>0.15609999999999999</v>
      </c>
      <c r="F822" s="20">
        <f t="shared" si="42"/>
        <v>0.15609999999999999</v>
      </c>
      <c r="G822" s="20">
        <f t="shared" si="42"/>
        <v>0.15609999999999999</v>
      </c>
      <c r="H822" s="20">
        <f t="shared" si="42"/>
        <v>0.15609999999999999</v>
      </c>
      <c r="I822" s="20">
        <f t="shared" si="42"/>
        <v>0.15609999999999999</v>
      </c>
      <c r="J822" s="20">
        <f t="shared" si="42"/>
        <v>0.15609999999999999</v>
      </c>
      <c r="K822" s="20">
        <f t="shared" si="42"/>
        <v>0.15609999999999999</v>
      </c>
      <c r="L822" s="20">
        <f t="shared" si="42"/>
        <v>0.15609999999999999</v>
      </c>
      <c r="M822" s="20">
        <f t="shared" si="42"/>
        <v>0.15609999999999999</v>
      </c>
      <c r="N822" s="20">
        <f t="shared" si="42"/>
        <v>0.15609999999999999</v>
      </c>
      <c r="O822" s="20">
        <f t="shared" si="42"/>
        <v>0.15609999999999999</v>
      </c>
      <c r="P822" s="20">
        <f t="shared" si="42"/>
        <v>0.15609999999999999</v>
      </c>
    </row>
    <row r="823" spans="1:16" ht="14.4" x14ac:dyDescent="0.3">
      <c r="A823" s="18" t="s">
        <v>49</v>
      </c>
      <c r="B823" s="18"/>
      <c r="C823" s="16" t="s">
        <v>19</v>
      </c>
      <c r="D823" s="20">
        <f>D773</f>
        <v>2.5000000000000001E-3</v>
      </c>
      <c r="E823" s="20">
        <f t="shared" si="42"/>
        <v>2.5000000000000001E-3</v>
      </c>
      <c r="F823" s="20">
        <f t="shared" si="42"/>
        <v>2.5000000000000001E-3</v>
      </c>
      <c r="G823" s="20">
        <f t="shared" si="42"/>
        <v>2.5000000000000001E-3</v>
      </c>
      <c r="H823" s="20">
        <f t="shared" si="42"/>
        <v>2.5000000000000001E-3</v>
      </c>
      <c r="I823" s="20">
        <f t="shared" si="42"/>
        <v>2.5000000000000001E-3</v>
      </c>
      <c r="J823" s="20">
        <f t="shared" si="42"/>
        <v>2.5000000000000001E-3</v>
      </c>
      <c r="K823" s="20">
        <f t="shared" si="42"/>
        <v>2.5000000000000001E-3</v>
      </c>
      <c r="L823" s="20">
        <f t="shared" si="42"/>
        <v>2.5000000000000001E-3</v>
      </c>
      <c r="M823" s="20">
        <f t="shared" si="42"/>
        <v>2.5000000000000001E-3</v>
      </c>
      <c r="N823" s="20">
        <f t="shared" si="42"/>
        <v>2.5000000000000001E-3</v>
      </c>
      <c r="O823" s="20">
        <f t="shared" si="42"/>
        <v>2.5000000000000001E-3</v>
      </c>
      <c r="P823" s="20">
        <f t="shared" si="42"/>
        <v>2.5000000000000001E-3</v>
      </c>
    </row>
    <row r="824" spans="1:16" ht="14.4" x14ac:dyDescent="0.3">
      <c r="A824" s="18" t="s">
        <v>50</v>
      </c>
      <c r="B824" s="18"/>
      <c r="C824" s="16" t="s">
        <v>19</v>
      </c>
      <c r="D824" s="20">
        <f>D774</f>
        <v>0.1938</v>
      </c>
      <c r="E824" s="20">
        <f t="shared" si="42"/>
        <v>0.1938</v>
      </c>
      <c r="F824" s="20">
        <f t="shared" si="42"/>
        <v>0.1938</v>
      </c>
      <c r="G824" s="20">
        <f t="shared" si="42"/>
        <v>0.1938</v>
      </c>
      <c r="H824" s="20">
        <f t="shared" si="42"/>
        <v>0.1938</v>
      </c>
      <c r="I824" s="20">
        <f t="shared" si="42"/>
        <v>0.1938</v>
      </c>
      <c r="J824" s="20">
        <f t="shared" si="42"/>
        <v>0.1938</v>
      </c>
      <c r="K824" s="20">
        <f t="shared" si="42"/>
        <v>0.1938</v>
      </c>
      <c r="L824" s="20">
        <f t="shared" si="42"/>
        <v>0.1938</v>
      </c>
      <c r="M824" s="20">
        <f t="shared" si="42"/>
        <v>0.1938</v>
      </c>
      <c r="N824" s="20">
        <f t="shared" si="42"/>
        <v>0.1938</v>
      </c>
      <c r="O824" s="20">
        <f t="shared" si="42"/>
        <v>0.1938</v>
      </c>
      <c r="P824" s="20">
        <f t="shared" si="42"/>
        <v>0.1938</v>
      </c>
    </row>
    <row r="825" spans="1:16" ht="14.4" x14ac:dyDescent="0.3">
      <c r="A825" s="14" t="s">
        <v>51</v>
      </c>
      <c r="B825" s="14"/>
      <c r="C825" s="16" t="s">
        <v>19</v>
      </c>
      <c r="D825" s="20">
        <v>0</v>
      </c>
      <c r="E825" s="20">
        <v>4.0599999999999997E-2</v>
      </c>
      <c r="F825" s="20">
        <v>4.0599999999999997E-2</v>
      </c>
      <c r="G825" s="20">
        <v>4.0599999999999997E-2</v>
      </c>
      <c r="H825" s="20">
        <v>4.0599999999999997E-2</v>
      </c>
      <c r="I825" s="20">
        <v>4.0599999999999997E-2</v>
      </c>
      <c r="J825" s="20">
        <v>4.0599999999999997E-2</v>
      </c>
      <c r="K825" s="20">
        <v>4.0599999999999997E-2</v>
      </c>
      <c r="L825" s="20">
        <v>4.0599999999999997E-2</v>
      </c>
      <c r="M825" s="20">
        <v>4.0599999999999997E-2</v>
      </c>
      <c r="N825" s="20">
        <v>4.0599999999999997E-2</v>
      </c>
      <c r="O825" s="20">
        <v>4.0599999999999997E-2</v>
      </c>
      <c r="P825" s="20">
        <v>4.0599999999999997E-2</v>
      </c>
    </row>
    <row r="826" spans="1:16" ht="14.4" x14ac:dyDescent="0.3">
      <c r="A826" s="14" t="s">
        <v>52</v>
      </c>
      <c r="B826" s="14"/>
      <c r="C826" s="29"/>
      <c r="D826" s="22"/>
      <c r="E826" s="22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</row>
    <row r="827" spans="1:16" ht="14.4" x14ac:dyDescent="0.3">
      <c r="A827" s="18" t="s">
        <v>53</v>
      </c>
      <c r="B827" s="18"/>
      <c r="C827" s="16" t="s">
        <v>44</v>
      </c>
      <c r="D827" s="30">
        <f t="shared" ref="D827:O829" si="43">D777</f>
        <v>0.1154</v>
      </c>
      <c r="E827" s="30">
        <f t="shared" si="43"/>
        <v>0.1143</v>
      </c>
      <c r="F827" s="30">
        <f t="shared" si="43"/>
        <v>0.11269999999999999</v>
      </c>
      <c r="G827" s="30">
        <f t="shared" si="43"/>
        <v>0.11459999999999999</v>
      </c>
      <c r="H827" s="30">
        <f t="shared" si="43"/>
        <v>0.1134</v>
      </c>
      <c r="I827" s="30">
        <f t="shared" si="43"/>
        <v>0.11219999999999999</v>
      </c>
      <c r="J827" s="30">
        <f t="shared" si="43"/>
        <v>0.1079</v>
      </c>
      <c r="K827" s="30">
        <f t="shared" si="43"/>
        <v>0.10639999999999999</v>
      </c>
      <c r="L827" s="30">
        <f t="shared" si="43"/>
        <v>0.1089</v>
      </c>
      <c r="M827" s="30">
        <f t="shared" si="43"/>
        <v>0.1143</v>
      </c>
      <c r="N827" s="30">
        <f t="shared" si="43"/>
        <v>0.1145</v>
      </c>
      <c r="O827" s="30">
        <f t="shared" si="43"/>
        <v>0.11310000000000001</v>
      </c>
      <c r="P827" s="30" t="e">
        <f>P777</f>
        <v>#DIV/0!</v>
      </c>
    </row>
    <row r="828" spans="1:16" ht="14.4" x14ac:dyDescent="0.3">
      <c r="A828" s="18" t="s">
        <v>54</v>
      </c>
      <c r="B828" s="18"/>
      <c r="C828" s="16" t="s">
        <v>44</v>
      </c>
      <c r="D828" s="30">
        <f t="shared" si="43"/>
        <v>3.3E-3</v>
      </c>
      <c r="E828" s="30">
        <f t="shared" si="43"/>
        <v>3.5999999999999999E-3</v>
      </c>
      <c r="F828" s="30">
        <f t="shared" si="43"/>
        <v>5.5999999999999999E-3</v>
      </c>
      <c r="G828" s="30">
        <f t="shared" si="43"/>
        <v>1.0699999999999999E-2</v>
      </c>
      <c r="H828" s="30">
        <f t="shared" si="43"/>
        <v>2.8400000000000002E-2</v>
      </c>
      <c r="I828" s="30">
        <f t="shared" si="43"/>
        <v>2.7400000000000001E-2</v>
      </c>
      <c r="J828" s="30">
        <f t="shared" si="43"/>
        <v>2.18E-2</v>
      </c>
      <c r="K828" s="30">
        <f t="shared" si="43"/>
        <v>8.9999999999999993E-3</v>
      </c>
      <c r="L828" s="30">
        <f t="shared" si="43"/>
        <v>8.3999999999999995E-3</v>
      </c>
      <c r="M828" s="30">
        <f t="shared" si="43"/>
        <v>6.1999999999999998E-3</v>
      </c>
      <c r="N828" s="30">
        <f t="shared" si="43"/>
        <v>4.7000000000000002E-3</v>
      </c>
      <c r="O828" s="30">
        <f t="shared" si="43"/>
        <v>6.1999999999999998E-3</v>
      </c>
      <c r="P828" s="30">
        <f>P778</f>
        <v>-3.0300000000000001E-2</v>
      </c>
    </row>
    <row r="829" spans="1:16" ht="14.4" x14ac:dyDescent="0.3">
      <c r="A829" s="18" t="s">
        <v>55</v>
      </c>
      <c r="B829" s="18"/>
      <c r="C829" s="16" t="s">
        <v>44</v>
      </c>
      <c r="D829" s="30">
        <f t="shared" si="43"/>
        <v>9.8100000000000007E-2</v>
      </c>
      <c r="E829" s="30">
        <f t="shared" si="43"/>
        <v>9.64E-2</v>
      </c>
      <c r="F829" s="30">
        <f t="shared" si="43"/>
        <v>9.69E-2</v>
      </c>
      <c r="G829" s="30">
        <f t="shared" si="43"/>
        <v>9.9299999999999999E-2</v>
      </c>
      <c r="H829" s="30">
        <f t="shared" si="43"/>
        <v>9.9099999999999994E-2</v>
      </c>
      <c r="I829" s="30">
        <f t="shared" si="43"/>
        <v>9.8500000000000004E-2</v>
      </c>
      <c r="J829" s="30">
        <f t="shared" si="43"/>
        <v>9.5299999999999996E-2</v>
      </c>
      <c r="K829" s="30">
        <f t="shared" si="43"/>
        <v>9.1800000000000007E-2</v>
      </c>
      <c r="L829" s="30">
        <f t="shared" si="43"/>
        <v>9.3399999999999997E-2</v>
      </c>
      <c r="M829" s="30">
        <f t="shared" si="43"/>
        <v>9.7199999999999995E-2</v>
      </c>
      <c r="N829" s="30">
        <f t="shared" si="43"/>
        <v>9.6799999999999997E-2</v>
      </c>
      <c r="O829" s="30">
        <f t="shared" si="43"/>
        <v>9.6199999999999994E-2</v>
      </c>
      <c r="P829" s="30" t="e">
        <f>P779</f>
        <v>#DIV/0!</v>
      </c>
    </row>
    <row r="830" spans="1:16" ht="14.4" hidden="1" x14ac:dyDescent="0.3">
      <c r="A830" s="18" t="s">
        <v>187</v>
      </c>
      <c r="B830" s="18"/>
      <c r="C830" s="16" t="s">
        <v>44</v>
      </c>
      <c r="D830" s="27">
        <v>0</v>
      </c>
      <c r="E830" s="27">
        <v>0</v>
      </c>
      <c r="F830" s="27">
        <v>0</v>
      </c>
      <c r="G830" s="27">
        <v>0</v>
      </c>
      <c r="H830" s="27">
        <v>0</v>
      </c>
      <c r="I830" s="27">
        <v>0</v>
      </c>
      <c r="J830" s="27">
        <v>0</v>
      </c>
      <c r="K830" s="27">
        <v>0</v>
      </c>
      <c r="L830" s="27">
        <v>0</v>
      </c>
      <c r="M830" s="27">
        <v>0</v>
      </c>
      <c r="N830" s="27">
        <v>0</v>
      </c>
      <c r="O830" s="27">
        <v>0</v>
      </c>
      <c r="P830" s="27">
        <v>0</v>
      </c>
    </row>
    <row r="831" spans="1:16" ht="14.4" x14ac:dyDescent="0.3">
      <c r="A831" s="18" t="s">
        <v>56</v>
      </c>
      <c r="B831" s="18"/>
      <c r="C831" s="16" t="s">
        <v>44</v>
      </c>
      <c r="D831" s="30">
        <f t="shared" ref="D831:P832" si="44">D781</f>
        <v>0.12</v>
      </c>
      <c r="E831" s="30">
        <f t="shared" si="44"/>
        <v>0.12</v>
      </c>
      <c r="F831" s="30">
        <f t="shared" si="44"/>
        <v>0.12</v>
      </c>
      <c r="G831" s="30">
        <f t="shared" si="44"/>
        <v>0.12</v>
      </c>
      <c r="H831" s="30">
        <f t="shared" si="44"/>
        <v>0.12</v>
      </c>
      <c r="I831" s="30">
        <f t="shared" si="44"/>
        <v>0.12</v>
      </c>
      <c r="J831" s="30">
        <f t="shared" si="44"/>
        <v>0.12</v>
      </c>
      <c r="K831" s="30">
        <f t="shared" si="44"/>
        <v>0.12</v>
      </c>
      <c r="L831" s="30">
        <f t="shared" si="44"/>
        <v>0.12</v>
      </c>
      <c r="M831" s="30">
        <f t="shared" si="44"/>
        <v>0.12</v>
      </c>
      <c r="N831" s="30">
        <f t="shared" si="44"/>
        <v>0.12</v>
      </c>
      <c r="O831" s="30">
        <f t="shared" si="44"/>
        <v>0.12</v>
      </c>
      <c r="P831" s="30">
        <f t="shared" si="44"/>
        <v>0.12</v>
      </c>
    </row>
    <row r="832" spans="1:16" ht="14.4" x14ac:dyDescent="0.3">
      <c r="A832" s="18" t="s">
        <v>57</v>
      </c>
      <c r="B832" s="18"/>
      <c r="C832" s="16" t="s">
        <v>44</v>
      </c>
      <c r="D832" s="30">
        <f t="shared" si="44"/>
        <v>0.12</v>
      </c>
      <c r="E832" s="30">
        <f t="shared" si="44"/>
        <v>0.12</v>
      </c>
      <c r="F832" s="30">
        <f t="shared" si="44"/>
        <v>0.12</v>
      </c>
      <c r="G832" s="30">
        <f t="shared" si="44"/>
        <v>0.12</v>
      </c>
      <c r="H832" s="30">
        <f t="shared" si="44"/>
        <v>0.12</v>
      </c>
      <c r="I832" s="30">
        <f t="shared" si="44"/>
        <v>0.12</v>
      </c>
      <c r="J832" s="30">
        <f t="shared" si="44"/>
        <v>0.12</v>
      </c>
      <c r="K832" s="30">
        <f t="shared" si="44"/>
        <v>0.12</v>
      </c>
      <c r="L832" s="30">
        <f t="shared" si="44"/>
        <v>0.12</v>
      </c>
      <c r="M832" s="30">
        <f t="shared" si="44"/>
        <v>0.12</v>
      </c>
      <c r="N832" s="30">
        <f t="shared" si="44"/>
        <v>0.12</v>
      </c>
      <c r="O832" s="30">
        <f t="shared" si="44"/>
        <v>0.12</v>
      </c>
      <c r="P832" s="30">
        <f t="shared" si="44"/>
        <v>0.12</v>
      </c>
    </row>
    <row r="833" spans="1:16" s="5" customFormat="1" ht="14.4" x14ac:dyDescent="0.3">
      <c r="A833" s="55"/>
      <c r="B833" s="55"/>
      <c r="C833" s="56"/>
      <c r="D833" s="57"/>
      <c r="E833" s="57"/>
      <c r="F833" s="57"/>
      <c r="G833" s="57"/>
      <c r="H833" s="57"/>
      <c r="I833" s="57"/>
      <c r="J833" s="57"/>
      <c r="K833" s="57"/>
      <c r="L833" s="57"/>
      <c r="M833" s="57"/>
      <c r="N833" s="57"/>
      <c r="O833" s="57"/>
      <c r="P833" s="57"/>
    </row>
    <row r="834" spans="1:16" x14ac:dyDescent="0.3">
      <c r="A834" s="3" t="s">
        <v>58</v>
      </c>
    </row>
    <row r="835" spans="1:16" s="5" customFormat="1" ht="14.4" x14ac:dyDescent="0.3">
      <c r="A835" s="55"/>
      <c r="B835" s="55"/>
      <c r="C835" s="56"/>
      <c r="D835" s="57"/>
      <c r="E835" s="57"/>
      <c r="F835" s="57"/>
      <c r="G835" s="57"/>
      <c r="H835" s="57"/>
      <c r="I835" s="57"/>
      <c r="J835" s="57"/>
      <c r="K835" s="57"/>
      <c r="L835" s="57"/>
      <c r="M835" s="57"/>
      <c r="N835" s="57"/>
      <c r="O835" s="57"/>
      <c r="P835" s="57"/>
    </row>
    <row r="836" spans="1:16" ht="18" x14ac:dyDescent="0.35">
      <c r="A836" s="59" t="str">
        <f>'[43]Statistical data'!A236</f>
        <v>General Power-13.8/13.2 kV</v>
      </c>
      <c r="B836" s="60"/>
      <c r="C836" s="5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</row>
    <row r="837" spans="1:16" s="13" customFormat="1" ht="14.4" x14ac:dyDescent="0.3">
      <c r="A837" s="11" t="s">
        <v>3</v>
      </c>
      <c r="B837" s="11"/>
      <c r="C837" s="11" t="s">
        <v>4</v>
      </c>
      <c r="D837" s="12" t="str">
        <f t="shared" ref="D837:P837" si="45">D787</f>
        <v>JAN</v>
      </c>
      <c r="E837" s="12" t="str">
        <f t="shared" si="45"/>
        <v>FEB</v>
      </c>
      <c r="F837" s="12" t="str">
        <f t="shared" si="45"/>
        <v>MAR</v>
      </c>
      <c r="G837" s="12" t="str">
        <f t="shared" si="45"/>
        <v>APR</v>
      </c>
      <c r="H837" s="12" t="str">
        <f t="shared" si="45"/>
        <v>MAY</v>
      </c>
      <c r="I837" s="12" t="str">
        <f t="shared" si="45"/>
        <v>JUN</v>
      </c>
      <c r="J837" s="12" t="str">
        <f t="shared" si="45"/>
        <v>JUL</v>
      </c>
      <c r="K837" s="12" t="str">
        <f t="shared" si="45"/>
        <v>AUG</v>
      </c>
      <c r="L837" s="12" t="str">
        <f t="shared" si="45"/>
        <v>SEP</v>
      </c>
      <c r="M837" s="12" t="str">
        <f t="shared" si="45"/>
        <v>OCT</v>
      </c>
      <c r="N837" s="12" t="str">
        <f t="shared" si="45"/>
        <v>NOV</v>
      </c>
      <c r="O837" s="12" t="str">
        <f t="shared" si="45"/>
        <v>DEC</v>
      </c>
      <c r="P837" s="12" t="str">
        <f t="shared" si="45"/>
        <v>JAN</v>
      </c>
    </row>
    <row r="838" spans="1:16" ht="14.4" x14ac:dyDescent="0.3">
      <c r="A838" s="14" t="s">
        <v>17</v>
      </c>
      <c r="B838" s="15"/>
      <c r="C838" s="16"/>
      <c r="D838" s="17"/>
      <c r="E838" s="17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</row>
    <row r="839" spans="1:16" ht="14.4" x14ac:dyDescent="0.3">
      <c r="A839" s="18" t="s">
        <v>18</v>
      </c>
      <c r="B839" s="19"/>
      <c r="C839" s="16" t="s">
        <v>19</v>
      </c>
      <c r="D839" s="52" t="s">
        <v>59</v>
      </c>
      <c r="E839" s="52" t="s">
        <v>59</v>
      </c>
      <c r="F839" s="52" t="s">
        <v>59</v>
      </c>
      <c r="G839" s="52" t="s">
        <v>59</v>
      </c>
      <c r="H839" s="52" t="s">
        <v>59</v>
      </c>
      <c r="I839" s="52" t="s">
        <v>59</v>
      </c>
      <c r="J839" s="52" t="s">
        <v>59</v>
      </c>
      <c r="K839" s="52" t="s">
        <v>59</v>
      </c>
      <c r="L839" s="52" t="s">
        <v>59</v>
      </c>
      <c r="M839" s="52" t="s">
        <v>59</v>
      </c>
      <c r="N839" s="52" t="s">
        <v>59</v>
      </c>
      <c r="O839" s="52" t="s">
        <v>59</v>
      </c>
      <c r="P839" s="52" t="s">
        <v>59</v>
      </c>
    </row>
    <row r="840" spans="1:16" ht="14.4" hidden="1" x14ac:dyDescent="0.3">
      <c r="A840" s="18" t="s">
        <v>66</v>
      </c>
      <c r="B840" s="19"/>
      <c r="C840" s="16" t="s">
        <v>19</v>
      </c>
      <c r="D840" s="20">
        <v>0</v>
      </c>
      <c r="E840" s="20">
        <v>0</v>
      </c>
      <c r="F840" s="20">
        <v>0</v>
      </c>
      <c r="G840" s="20">
        <v>0</v>
      </c>
      <c r="H840" s="20">
        <v>0</v>
      </c>
      <c r="I840" s="20">
        <v>0</v>
      </c>
      <c r="J840" s="20">
        <v>0</v>
      </c>
      <c r="K840" s="20">
        <v>0</v>
      </c>
      <c r="L840" s="20">
        <v>0</v>
      </c>
      <c r="M840" s="20">
        <v>0</v>
      </c>
      <c r="N840" s="20">
        <v>0</v>
      </c>
      <c r="O840" s="20">
        <v>0</v>
      </c>
      <c r="P840" s="20">
        <v>0</v>
      </c>
    </row>
    <row r="841" spans="1:16" ht="14.4" x14ac:dyDescent="0.3">
      <c r="A841" s="14" t="s">
        <v>20</v>
      </c>
      <c r="B841" s="15"/>
      <c r="C841" s="16"/>
      <c r="D841" s="21"/>
      <c r="E841" s="21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</row>
    <row r="842" spans="1:16" ht="14.4" x14ac:dyDescent="0.3">
      <c r="A842" s="18" t="s">
        <v>21</v>
      </c>
      <c r="B842" s="19"/>
      <c r="C842" s="16" t="s">
        <v>19</v>
      </c>
      <c r="D842" s="20">
        <f t="shared" ref="D842:P843" si="46">D792</f>
        <v>0</v>
      </c>
      <c r="E842" s="20">
        <f t="shared" si="46"/>
        <v>0</v>
      </c>
      <c r="F842" s="20">
        <f t="shared" si="46"/>
        <v>0</v>
      </c>
      <c r="G842" s="20">
        <f t="shared" si="46"/>
        <v>0</v>
      </c>
      <c r="H842" s="20">
        <f t="shared" si="46"/>
        <v>0</v>
      </c>
      <c r="I842" s="20">
        <f t="shared" si="46"/>
        <v>0</v>
      </c>
      <c r="J842" s="20">
        <f t="shared" si="46"/>
        <v>0</v>
      </c>
      <c r="K842" s="20">
        <f t="shared" si="46"/>
        <v>0</v>
      </c>
      <c r="L842" s="20">
        <f t="shared" si="46"/>
        <v>0</v>
      </c>
      <c r="M842" s="20">
        <f t="shared" si="46"/>
        <v>0</v>
      </c>
      <c r="N842" s="20">
        <f t="shared" si="46"/>
        <v>0</v>
      </c>
      <c r="O842" s="20">
        <f t="shared" si="46"/>
        <v>0</v>
      </c>
      <c r="P842" s="20">
        <f t="shared" si="46"/>
        <v>0</v>
      </c>
    </row>
    <row r="843" spans="1:16" ht="14.4" x14ac:dyDescent="0.3">
      <c r="A843" s="18" t="s">
        <v>22</v>
      </c>
      <c r="B843" s="19"/>
      <c r="C843" s="16" t="s">
        <v>23</v>
      </c>
      <c r="D843" s="23">
        <f t="shared" si="46"/>
        <v>316.27</v>
      </c>
      <c r="E843" s="23">
        <f t="shared" si="46"/>
        <v>348.83</v>
      </c>
      <c r="F843" s="23">
        <f t="shared" si="46"/>
        <v>334.33</v>
      </c>
      <c r="G843" s="23">
        <f t="shared" si="46"/>
        <v>322.13</v>
      </c>
      <c r="H843" s="23">
        <f t="shared" si="46"/>
        <v>341.66</v>
      </c>
      <c r="I843" s="20">
        <f t="shared" si="46"/>
        <v>319.70569999999998</v>
      </c>
      <c r="J843" s="20">
        <f t="shared" si="46"/>
        <v>306.32569999999998</v>
      </c>
      <c r="K843" s="20">
        <f t="shared" si="46"/>
        <v>291.4957</v>
      </c>
      <c r="L843" s="20">
        <f t="shared" si="46"/>
        <v>283.62569999999999</v>
      </c>
      <c r="M843" s="20">
        <f t="shared" si="46"/>
        <v>281.85570000000001</v>
      </c>
      <c r="N843" s="20">
        <f t="shared" si="46"/>
        <v>291.01569999999998</v>
      </c>
      <c r="O843" s="20">
        <f t="shared" si="46"/>
        <v>299.10570000000001</v>
      </c>
      <c r="P843" s="20">
        <f t="shared" si="46"/>
        <v>0</v>
      </c>
    </row>
    <row r="844" spans="1:16" ht="14.4" x14ac:dyDescent="0.3">
      <c r="A844" s="14" t="s">
        <v>24</v>
      </c>
      <c r="B844" s="15"/>
      <c r="C844" s="16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</row>
    <row r="845" spans="1:16" ht="14.4" x14ac:dyDescent="0.3">
      <c r="A845" s="18" t="s">
        <v>25</v>
      </c>
      <c r="B845" s="19"/>
      <c r="C845" s="16" t="s">
        <v>19</v>
      </c>
      <c r="D845" s="20">
        <f t="shared" ref="D845:P845" si="47">D795</f>
        <v>0.19750000000000001</v>
      </c>
      <c r="E845" s="20">
        <f t="shared" si="47"/>
        <v>0.22689999999999999</v>
      </c>
      <c r="F845" s="20">
        <f t="shared" si="47"/>
        <v>0.218</v>
      </c>
      <c r="G845" s="20">
        <f t="shared" si="47"/>
        <v>0.22689999999999999</v>
      </c>
      <c r="H845" s="20">
        <f t="shared" si="47"/>
        <v>0.21260000000000001</v>
      </c>
      <c r="I845" s="20">
        <f t="shared" si="47"/>
        <v>0.1822</v>
      </c>
      <c r="J845" s="20">
        <f t="shared" si="47"/>
        <v>0.19689999999999999</v>
      </c>
      <c r="K845" s="20">
        <f t="shared" si="47"/>
        <v>0.1895</v>
      </c>
      <c r="L845" s="20">
        <f t="shared" si="47"/>
        <v>0.16350000000000001</v>
      </c>
      <c r="M845" s="20">
        <f t="shared" si="47"/>
        <v>0.16070000000000001</v>
      </c>
      <c r="N845" s="20">
        <f t="shared" si="47"/>
        <v>0.1653</v>
      </c>
      <c r="O845" s="20">
        <f t="shared" si="47"/>
        <v>0.1681</v>
      </c>
      <c r="P845" s="20">
        <f t="shared" si="47"/>
        <v>0</v>
      </c>
    </row>
    <row r="846" spans="1:16" ht="14.4" x14ac:dyDescent="0.3">
      <c r="A846" s="14" t="s">
        <v>26</v>
      </c>
      <c r="B846" s="14"/>
      <c r="C846" s="16"/>
      <c r="D846" s="22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</row>
    <row r="847" spans="1:16" ht="14.4" x14ac:dyDescent="0.3">
      <c r="A847" s="18" t="s">
        <v>27</v>
      </c>
      <c r="B847" s="18"/>
      <c r="C847" s="16" t="s">
        <v>19</v>
      </c>
      <c r="D847" s="20">
        <f t="shared" ref="D847:P848" si="48">D797</f>
        <v>5.7799999999999997E-2</v>
      </c>
      <c r="E847" s="20">
        <f t="shared" si="48"/>
        <v>5.7799999999999997E-2</v>
      </c>
      <c r="F847" s="20">
        <f t="shared" si="48"/>
        <v>5.7799999999999997E-2</v>
      </c>
      <c r="G847" s="20">
        <f t="shared" si="48"/>
        <v>5.7799999999999997E-2</v>
      </c>
      <c r="H847" s="20">
        <f t="shared" si="48"/>
        <v>5.7799999999999997E-2</v>
      </c>
      <c r="I847" s="20">
        <f t="shared" si="48"/>
        <v>5.7799999999999997E-2</v>
      </c>
      <c r="J847" s="20">
        <f t="shared" si="48"/>
        <v>5.1299999999999998E-2</v>
      </c>
      <c r="K847" s="20">
        <f t="shared" si="48"/>
        <v>5.1299999999999998E-2</v>
      </c>
      <c r="L847" s="20">
        <f t="shared" si="48"/>
        <v>5.1299999999999998E-2</v>
      </c>
      <c r="M847" s="20">
        <f t="shared" si="48"/>
        <v>5.1299999999999998E-2</v>
      </c>
      <c r="N847" s="20">
        <f t="shared" si="48"/>
        <v>5.1299999999999998E-2</v>
      </c>
      <c r="O847" s="20">
        <f t="shared" si="48"/>
        <v>5.1299999999999998E-2</v>
      </c>
      <c r="P847" s="20">
        <f t="shared" si="48"/>
        <v>5.1299999999999998E-2</v>
      </c>
    </row>
    <row r="848" spans="1:16" ht="14.4" x14ac:dyDescent="0.3">
      <c r="A848" s="18" t="s">
        <v>28</v>
      </c>
      <c r="B848" s="18"/>
      <c r="C848" s="16" t="s">
        <v>23</v>
      </c>
      <c r="D848" s="23">
        <f t="shared" si="48"/>
        <v>205.83</v>
      </c>
      <c r="E848" s="23">
        <f t="shared" si="48"/>
        <v>205.83</v>
      </c>
      <c r="F848" s="23">
        <f t="shared" si="48"/>
        <v>205.83</v>
      </c>
      <c r="G848" s="23">
        <f t="shared" si="48"/>
        <v>205.83</v>
      </c>
      <c r="H848" s="23">
        <f t="shared" si="48"/>
        <v>205.83</v>
      </c>
      <c r="I848" s="23">
        <f t="shared" si="48"/>
        <v>205.83</v>
      </c>
      <c r="J848" s="23">
        <f t="shared" si="48"/>
        <v>182.66</v>
      </c>
      <c r="K848" s="23">
        <f t="shared" si="48"/>
        <v>182.66</v>
      </c>
      <c r="L848" s="23">
        <f t="shared" si="48"/>
        <v>182.66</v>
      </c>
      <c r="M848" s="23">
        <f t="shared" si="48"/>
        <v>182.66</v>
      </c>
      <c r="N848" s="23">
        <f t="shared" si="48"/>
        <v>182.66</v>
      </c>
      <c r="O848" s="23">
        <f t="shared" si="48"/>
        <v>182.66</v>
      </c>
      <c r="P848" s="23">
        <f t="shared" si="48"/>
        <v>182.66</v>
      </c>
    </row>
    <row r="849" spans="1:16" ht="14.4" x14ac:dyDescent="0.3">
      <c r="A849" s="14" t="s">
        <v>29</v>
      </c>
      <c r="B849" s="14"/>
      <c r="C849" s="16"/>
      <c r="D849" s="24"/>
      <c r="E849" s="24"/>
      <c r="F849" s="24"/>
      <c r="G849" s="24"/>
      <c r="H849" s="24"/>
      <c r="I849" s="24"/>
      <c r="J849" s="24"/>
      <c r="K849" s="24"/>
      <c r="L849" s="24"/>
      <c r="M849" s="24"/>
      <c r="N849" s="24"/>
      <c r="O849" s="24"/>
      <c r="P849" s="24"/>
    </row>
    <row r="850" spans="1:16" ht="14.4" x14ac:dyDescent="0.3">
      <c r="A850" s="18" t="s">
        <v>30</v>
      </c>
      <c r="B850" s="18"/>
      <c r="C850" s="16" t="s">
        <v>19</v>
      </c>
      <c r="D850" s="52" t="s">
        <v>61</v>
      </c>
      <c r="E850" s="52" t="s">
        <v>61</v>
      </c>
      <c r="F850" s="52" t="s">
        <v>61</v>
      </c>
      <c r="G850" s="52" t="s">
        <v>61</v>
      </c>
      <c r="H850" s="52" t="s">
        <v>61</v>
      </c>
      <c r="I850" s="52" t="s">
        <v>61</v>
      </c>
      <c r="J850" s="52" t="s">
        <v>61</v>
      </c>
      <c r="K850" s="52" t="s">
        <v>61</v>
      </c>
      <c r="L850" s="52" t="s">
        <v>61</v>
      </c>
      <c r="M850" s="52" t="s">
        <v>61</v>
      </c>
      <c r="N850" s="52" t="s">
        <v>61</v>
      </c>
      <c r="O850" s="52" t="s">
        <v>61</v>
      </c>
      <c r="P850" s="52" t="s">
        <v>61</v>
      </c>
    </row>
    <row r="851" spans="1:16" ht="14.4" x14ac:dyDescent="0.3">
      <c r="A851" s="18" t="s">
        <v>31</v>
      </c>
      <c r="B851" s="18"/>
      <c r="C851" s="16" t="s">
        <v>32</v>
      </c>
      <c r="D851" s="52" t="s">
        <v>62</v>
      </c>
      <c r="E851" s="52" t="s">
        <v>62</v>
      </c>
      <c r="F851" s="52" t="s">
        <v>62</v>
      </c>
      <c r="G851" s="52" t="s">
        <v>62</v>
      </c>
      <c r="H851" s="52" t="s">
        <v>62</v>
      </c>
      <c r="I851" s="52" t="s">
        <v>62</v>
      </c>
      <c r="J851" s="52" t="s">
        <v>62</v>
      </c>
      <c r="K851" s="52" t="s">
        <v>62</v>
      </c>
      <c r="L851" s="52" t="s">
        <v>62</v>
      </c>
      <c r="M851" s="52" t="s">
        <v>62</v>
      </c>
      <c r="N851" s="52" t="s">
        <v>62</v>
      </c>
      <c r="O851" s="52" t="s">
        <v>62</v>
      </c>
      <c r="P851" s="52" t="s">
        <v>62</v>
      </c>
    </row>
    <row r="852" spans="1:16" ht="14.4" x14ac:dyDescent="0.3">
      <c r="A852" s="14" t="s">
        <v>33</v>
      </c>
      <c r="B852" s="14"/>
      <c r="C852" s="16"/>
      <c r="D852" s="24"/>
      <c r="E852" s="24"/>
      <c r="F852" s="24"/>
      <c r="G852" s="24"/>
      <c r="H852" s="24"/>
      <c r="I852" s="24"/>
      <c r="J852" s="24"/>
      <c r="K852" s="24"/>
      <c r="L852" s="24"/>
      <c r="M852" s="24"/>
      <c r="N852" s="24"/>
      <c r="O852" s="24"/>
      <c r="P852" s="24"/>
    </row>
    <row r="853" spans="1:16" ht="14.4" x14ac:dyDescent="0.3">
      <c r="A853" s="18" t="s">
        <v>34</v>
      </c>
      <c r="B853" s="18"/>
      <c r="C853" s="16" t="s">
        <v>19</v>
      </c>
      <c r="D853" s="20">
        <v>0</v>
      </c>
      <c r="E853" s="20">
        <v>0</v>
      </c>
      <c r="F853" s="20">
        <v>0</v>
      </c>
      <c r="G853" s="20">
        <v>0</v>
      </c>
      <c r="H853" s="20">
        <v>0</v>
      </c>
      <c r="I853" s="20">
        <v>0</v>
      </c>
      <c r="J853" s="20">
        <v>0</v>
      </c>
      <c r="K853" s="20">
        <v>0</v>
      </c>
      <c r="L853" s="20">
        <v>0</v>
      </c>
      <c r="M853" s="20">
        <v>0</v>
      </c>
      <c r="N853" s="20">
        <v>0</v>
      </c>
      <c r="O853" s="20">
        <v>0</v>
      </c>
      <c r="P853" s="20">
        <v>0</v>
      </c>
    </row>
    <row r="854" spans="1:16" ht="14.4" x14ac:dyDescent="0.3">
      <c r="A854" s="18" t="s">
        <v>35</v>
      </c>
      <c r="B854" s="18"/>
      <c r="C854" s="16" t="s">
        <v>36</v>
      </c>
      <c r="D854" s="52" t="s">
        <v>63</v>
      </c>
      <c r="E854" s="52" t="s">
        <v>63</v>
      </c>
      <c r="F854" s="52" t="s">
        <v>63</v>
      </c>
      <c r="G854" s="52" t="s">
        <v>63</v>
      </c>
      <c r="H854" s="52" t="s">
        <v>63</v>
      </c>
      <c r="I854" s="52" t="s">
        <v>63</v>
      </c>
      <c r="J854" s="52" t="s">
        <v>63</v>
      </c>
      <c r="K854" s="52" t="s">
        <v>63</v>
      </c>
      <c r="L854" s="52" t="s">
        <v>63</v>
      </c>
      <c r="M854" s="52" t="s">
        <v>63</v>
      </c>
      <c r="N854" s="52" t="s">
        <v>63</v>
      </c>
      <c r="O854" s="52" t="s">
        <v>63</v>
      </c>
      <c r="P854" s="52" t="s">
        <v>63</v>
      </c>
    </row>
    <row r="855" spans="1:16" ht="14.25" customHeight="1" x14ac:dyDescent="0.3">
      <c r="A855" s="14" t="s">
        <v>37</v>
      </c>
      <c r="B855" s="14"/>
      <c r="C855" s="16"/>
      <c r="D855" s="24"/>
      <c r="E855" s="24"/>
      <c r="F855" s="24"/>
      <c r="G855" s="24"/>
      <c r="H855" s="24"/>
      <c r="I855" s="24"/>
      <c r="J855" s="24"/>
      <c r="K855" s="24"/>
      <c r="L855" s="24"/>
      <c r="M855" s="24"/>
      <c r="N855" s="24"/>
      <c r="O855" s="24"/>
      <c r="P855" s="24"/>
    </row>
    <row r="856" spans="1:16" ht="14.4" x14ac:dyDescent="0.3">
      <c r="A856" s="25" t="s">
        <v>38</v>
      </c>
      <c r="B856" s="18"/>
      <c r="C856" s="16" t="s">
        <v>19</v>
      </c>
      <c r="D856" s="20">
        <f t="shared" ref="D856:P856" si="49">D806</f>
        <v>0.1215</v>
      </c>
      <c r="E856" s="20">
        <f t="shared" si="49"/>
        <v>0.14280000000000001</v>
      </c>
      <c r="F856" s="20">
        <f t="shared" si="49"/>
        <v>0.1462</v>
      </c>
      <c r="G856" s="20">
        <f t="shared" si="49"/>
        <v>0.15629999999999999</v>
      </c>
      <c r="H856" s="20">
        <f t="shared" si="49"/>
        <v>0.1152</v>
      </c>
      <c r="I856" s="20">
        <f t="shared" si="49"/>
        <v>9.3799999999999994E-2</v>
      </c>
      <c r="J856" s="20">
        <f t="shared" si="49"/>
        <v>7.7499999999999999E-2</v>
      </c>
      <c r="K856" s="20">
        <f t="shared" si="49"/>
        <v>9.3200000000000005E-2</v>
      </c>
      <c r="L856" s="20">
        <f t="shared" si="49"/>
        <v>8.5099999999999995E-2</v>
      </c>
      <c r="M856" s="20">
        <f t="shared" si="49"/>
        <v>8.0299999999999996E-2</v>
      </c>
      <c r="N856" s="20">
        <f t="shared" si="49"/>
        <v>8.3699999999999997E-2</v>
      </c>
      <c r="O856" s="20">
        <f t="shared" si="49"/>
        <v>8.1699999999999995E-2</v>
      </c>
      <c r="P856" s="20">
        <f t="shared" si="49"/>
        <v>0</v>
      </c>
    </row>
    <row r="857" spans="1:16" ht="14.4" x14ac:dyDescent="0.3">
      <c r="A857" s="25" t="s">
        <v>39</v>
      </c>
      <c r="B857" s="18"/>
      <c r="C857" s="16" t="s">
        <v>19</v>
      </c>
      <c r="D857" s="20">
        <v>0</v>
      </c>
      <c r="E857" s="20">
        <v>0</v>
      </c>
      <c r="F857" s="20">
        <v>0</v>
      </c>
      <c r="G857" s="20">
        <v>0</v>
      </c>
      <c r="H857" s="20">
        <v>0</v>
      </c>
      <c r="I857" s="20">
        <v>0</v>
      </c>
      <c r="J857" s="20">
        <v>0</v>
      </c>
      <c r="K857" s="20">
        <v>0</v>
      </c>
      <c r="L857" s="20">
        <v>0</v>
      </c>
      <c r="M857" s="20">
        <v>0</v>
      </c>
      <c r="N857" s="20">
        <v>0</v>
      </c>
      <c r="O857" s="20">
        <v>0</v>
      </c>
      <c r="P857" s="20">
        <v>0</v>
      </c>
    </row>
    <row r="858" spans="1:16" ht="14.4" x14ac:dyDescent="0.3">
      <c r="A858" s="26" t="s">
        <v>40</v>
      </c>
      <c r="B858" s="18"/>
      <c r="C858" s="16" t="s">
        <v>19</v>
      </c>
      <c r="D858" s="20">
        <f t="shared" ref="D858:P860" si="50">D808</f>
        <v>1E-4</v>
      </c>
      <c r="E858" s="20">
        <f t="shared" si="50"/>
        <v>1E-4</v>
      </c>
      <c r="F858" s="20">
        <f t="shared" si="50"/>
        <v>1E-4</v>
      </c>
      <c r="G858" s="20">
        <f t="shared" si="50"/>
        <v>1E-4</v>
      </c>
      <c r="H858" s="20">
        <f t="shared" si="50"/>
        <v>1E-4</v>
      </c>
      <c r="I858" s="20">
        <f t="shared" si="50"/>
        <v>1E-4</v>
      </c>
      <c r="J858" s="20">
        <f t="shared" si="50"/>
        <v>1E-4</v>
      </c>
      <c r="K858" s="20">
        <f t="shared" si="50"/>
        <v>1E-4</v>
      </c>
      <c r="L858" s="20">
        <f t="shared" si="50"/>
        <v>1E-4</v>
      </c>
      <c r="M858" s="20">
        <f t="shared" si="50"/>
        <v>1E-4</v>
      </c>
      <c r="N858" s="20">
        <f t="shared" si="50"/>
        <v>1E-4</v>
      </c>
      <c r="O858" s="20">
        <f t="shared" si="50"/>
        <v>1E-4</v>
      </c>
      <c r="P858" s="20">
        <f t="shared" si="50"/>
        <v>0</v>
      </c>
    </row>
    <row r="859" spans="1:16" ht="14.4" x14ac:dyDescent="0.3">
      <c r="A859" s="26" t="s">
        <v>41</v>
      </c>
      <c r="B859" s="18"/>
      <c r="C859" s="16" t="s">
        <v>19</v>
      </c>
      <c r="D859" s="20">
        <f t="shared" si="50"/>
        <v>0</v>
      </c>
      <c r="E859" s="20">
        <f t="shared" si="50"/>
        <v>0</v>
      </c>
      <c r="F859" s="20">
        <f t="shared" si="50"/>
        <v>0</v>
      </c>
      <c r="G859" s="20">
        <f t="shared" si="50"/>
        <v>0</v>
      </c>
      <c r="H859" s="20">
        <f t="shared" si="50"/>
        <v>0</v>
      </c>
      <c r="I859" s="20">
        <f t="shared" si="50"/>
        <v>0</v>
      </c>
      <c r="J859" s="20">
        <f t="shared" si="50"/>
        <v>0</v>
      </c>
      <c r="K859" s="20">
        <f t="shared" si="50"/>
        <v>0</v>
      </c>
      <c r="L859" s="20">
        <f t="shared" si="50"/>
        <v>0</v>
      </c>
      <c r="M859" s="20">
        <f t="shared" si="50"/>
        <v>0</v>
      </c>
      <c r="N859" s="20">
        <f t="shared" si="50"/>
        <v>0</v>
      </c>
      <c r="O859" s="20">
        <f t="shared" si="50"/>
        <v>0</v>
      </c>
      <c r="P859" s="20">
        <f t="shared" si="50"/>
        <v>0</v>
      </c>
    </row>
    <row r="860" spans="1:16" ht="14.4" hidden="1" x14ac:dyDescent="0.3">
      <c r="A860" s="154" t="s">
        <v>181</v>
      </c>
      <c r="B860" s="155"/>
      <c r="C860" s="16" t="s">
        <v>19</v>
      </c>
      <c r="D860" s="20">
        <f t="shared" si="50"/>
        <v>0</v>
      </c>
      <c r="E860" s="20">
        <f t="shared" si="50"/>
        <v>0</v>
      </c>
      <c r="F860" s="20">
        <f t="shared" si="50"/>
        <v>0</v>
      </c>
      <c r="G860" s="20">
        <f t="shared" si="50"/>
        <v>0</v>
      </c>
      <c r="H860" s="20">
        <f t="shared" si="50"/>
        <v>0</v>
      </c>
      <c r="I860" s="20">
        <f t="shared" si="50"/>
        <v>0</v>
      </c>
      <c r="J860" s="20">
        <f t="shared" si="50"/>
        <v>0</v>
      </c>
      <c r="K860" s="20">
        <f t="shared" si="50"/>
        <v>0</v>
      </c>
      <c r="L860" s="20">
        <f t="shared" si="50"/>
        <v>0</v>
      </c>
      <c r="M860" s="20">
        <f t="shared" si="50"/>
        <v>0</v>
      </c>
      <c r="N860" s="20">
        <f t="shared" si="50"/>
        <v>0</v>
      </c>
      <c r="O860" s="20">
        <f t="shared" si="50"/>
        <v>0</v>
      </c>
      <c r="P860" s="20">
        <f t="shared" si="50"/>
        <v>0</v>
      </c>
    </row>
    <row r="861" spans="1:16" ht="16.2" hidden="1" x14ac:dyDescent="0.3">
      <c r="A861" s="154" t="s">
        <v>182</v>
      </c>
      <c r="B861" s="155"/>
      <c r="C861" s="16" t="s">
        <v>19</v>
      </c>
      <c r="D861" s="20"/>
      <c r="E861" s="20"/>
      <c r="F861" s="20"/>
      <c r="G861" s="20"/>
      <c r="H861" s="20"/>
      <c r="I861" s="20"/>
      <c r="J861" s="20"/>
      <c r="K861" s="20"/>
      <c r="L861" s="20"/>
      <c r="M861" s="20"/>
      <c r="N861" s="20"/>
      <c r="O861" s="20"/>
      <c r="P861" s="20"/>
    </row>
    <row r="862" spans="1:16" ht="16.2" hidden="1" x14ac:dyDescent="0.3">
      <c r="A862" s="154" t="s">
        <v>182</v>
      </c>
      <c r="B862" s="156"/>
      <c r="C862" s="16" t="s">
        <v>19</v>
      </c>
      <c r="D862" s="20"/>
      <c r="E862" s="20"/>
      <c r="F862" s="20"/>
      <c r="G862" s="20"/>
      <c r="H862" s="20"/>
      <c r="I862" s="20"/>
      <c r="J862" s="20"/>
      <c r="K862" s="20"/>
      <c r="L862" s="20"/>
      <c r="M862" s="20"/>
      <c r="N862" s="20"/>
      <c r="O862" s="20"/>
      <c r="P862" s="20"/>
    </row>
    <row r="863" spans="1:16" ht="14.4" x14ac:dyDescent="0.3">
      <c r="A863" s="14" t="s">
        <v>42</v>
      </c>
      <c r="B863" s="14"/>
      <c r="C863" s="16"/>
      <c r="D863" s="24"/>
      <c r="E863" s="24"/>
      <c r="F863" s="24"/>
      <c r="G863" s="24"/>
      <c r="H863" s="24"/>
      <c r="I863" s="24"/>
      <c r="J863" s="24"/>
      <c r="K863" s="24"/>
      <c r="L863" s="24"/>
      <c r="M863" s="24"/>
      <c r="N863" s="24"/>
      <c r="O863" s="24"/>
      <c r="P863" s="24"/>
    </row>
    <row r="864" spans="1:16" ht="14.4" x14ac:dyDescent="0.3">
      <c r="A864" s="14" t="s">
        <v>43</v>
      </c>
      <c r="B864" s="14"/>
      <c r="C864" s="16" t="s">
        <v>44</v>
      </c>
      <c r="D864" s="27"/>
      <c r="E864" s="27"/>
      <c r="F864" s="27"/>
      <c r="G864" s="27"/>
      <c r="H864" s="27"/>
      <c r="I864" s="27"/>
      <c r="J864" s="27"/>
      <c r="K864" s="27"/>
      <c r="L864" s="27"/>
      <c r="M864" s="27"/>
      <c r="N864" s="27"/>
      <c r="O864" s="27"/>
      <c r="P864" s="27"/>
    </row>
    <row r="865" spans="1:16" ht="14.4" hidden="1" x14ac:dyDescent="0.3">
      <c r="A865" s="14" t="s">
        <v>183</v>
      </c>
      <c r="B865" s="14"/>
      <c r="C865" s="16"/>
      <c r="D865" s="28"/>
      <c r="E865" s="28"/>
      <c r="F865" s="28"/>
      <c r="G865" s="28"/>
      <c r="H865" s="28"/>
      <c r="I865" s="28"/>
      <c r="J865" s="28"/>
      <c r="K865" s="28"/>
      <c r="L865" s="28"/>
      <c r="M865" s="28"/>
      <c r="N865" s="28"/>
      <c r="O865" s="28"/>
      <c r="P865" s="28"/>
    </row>
    <row r="866" spans="1:16" ht="14.4" hidden="1" x14ac:dyDescent="0.3">
      <c r="A866" s="14" t="s">
        <v>184</v>
      </c>
      <c r="B866" s="14"/>
      <c r="C866" s="16" t="s">
        <v>19</v>
      </c>
      <c r="D866" s="20"/>
      <c r="E866" s="20"/>
      <c r="F866" s="20"/>
      <c r="G866" s="20"/>
      <c r="H866" s="20"/>
      <c r="I866" s="20"/>
      <c r="J866" s="20"/>
      <c r="K866" s="20"/>
      <c r="L866" s="20"/>
      <c r="M866" s="20"/>
      <c r="N866" s="20"/>
      <c r="O866" s="20"/>
      <c r="P866" s="20"/>
    </row>
    <row r="867" spans="1:16" ht="14.4" x14ac:dyDescent="0.3">
      <c r="A867" s="14" t="s">
        <v>45</v>
      </c>
      <c r="B867" s="14"/>
      <c r="C867" s="16"/>
      <c r="D867" s="28"/>
      <c r="E867" s="28"/>
      <c r="F867" s="28"/>
      <c r="G867" s="28"/>
      <c r="H867" s="28"/>
      <c r="I867" s="28"/>
      <c r="J867" s="28"/>
      <c r="K867" s="28"/>
      <c r="L867" s="28"/>
      <c r="M867" s="28"/>
      <c r="N867" s="28"/>
      <c r="O867" s="28"/>
      <c r="P867" s="28"/>
    </row>
    <row r="868" spans="1:16" ht="14.4" x14ac:dyDescent="0.3">
      <c r="A868" s="14" t="s">
        <v>46</v>
      </c>
      <c r="B868" s="14"/>
      <c r="C868" s="16" t="s">
        <v>19</v>
      </c>
      <c r="D868" s="20">
        <v>0</v>
      </c>
      <c r="E868" s="20">
        <v>0</v>
      </c>
      <c r="F868" s="20">
        <v>0</v>
      </c>
      <c r="G868" s="20">
        <v>0</v>
      </c>
      <c r="H868" s="20">
        <v>0</v>
      </c>
      <c r="I868" s="20">
        <v>0</v>
      </c>
      <c r="J868" s="20">
        <v>0</v>
      </c>
      <c r="K868" s="20">
        <v>0</v>
      </c>
      <c r="L868" s="20">
        <v>0</v>
      </c>
      <c r="M868" s="20">
        <v>0</v>
      </c>
      <c r="N868" s="20">
        <v>0</v>
      </c>
      <c r="O868" s="20">
        <v>0</v>
      </c>
      <c r="P868" s="20">
        <v>0</v>
      </c>
    </row>
    <row r="869" spans="1:16" ht="14.4" hidden="1" x14ac:dyDescent="0.3">
      <c r="A869" s="14" t="s">
        <v>185</v>
      </c>
      <c r="B869" s="14"/>
      <c r="C869" s="16"/>
      <c r="D869" s="28"/>
      <c r="E869" s="28"/>
      <c r="F869" s="28"/>
      <c r="G869" s="28"/>
      <c r="H869" s="28"/>
      <c r="I869" s="28"/>
      <c r="J869" s="28"/>
      <c r="K869" s="28"/>
      <c r="L869" s="28"/>
      <c r="M869" s="28"/>
      <c r="N869" s="28"/>
      <c r="O869" s="28"/>
      <c r="P869" s="28"/>
    </row>
    <row r="870" spans="1:16" ht="14.4" hidden="1" x14ac:dyDescent="0.3">
      <c r="A870" s="14" t="s">
        <v>186</v>
      </c>
      <c r="B870" s="14"/>
      <c r="C870" s="16" t="s">
        <v>19</v>
      </c>
      <c r="D870" s="20"/>
      <c r="E870" s="20"/>
      <c r="F870" s="20"/>
      <c r="G870" s="20"/>
      <c r="H870" s="20"/>
      <c r="I870" s="20"/>
      <c r="J870" s="20"/>
      <c r="K870" s="20"/>
      <c r="L870" s="20"/>
      <c r="M870" s="20"/>
      <c r="N870" s="20"/>
      <c r="O870" s="20"/>
      <c r="P870" s="20"/>
    </row>
    <row r="871" spans="1:16" ht="14.4" x14ac:dyDescent="0.3">
      <c r="A871" s="14" t="s">
        <v>47</v>
      </c>
      <c r="B871" s="14"/>
      <c r="C871" s="16"/>
      <c r="D871" s="24"/>
      <c r="E871" s="24"/>
      <c r="F871" s="24"/>
      <c r="G871" s="24"/>
      <c r="H871" s="24"/>
      <c r="I871" s="24"/>
      <c r="J871" s="24"/>
      <c r="K871" s="24"/>
      <c r="L871" s="24"/>
      <c r="M871" s="24"/>
      <c r="N871" s="24"/>
      <c r="O871" s="24"/>
      <c r="P871" s="24"/>
    </row>
    <row r="872" spans="1:16" ht="14.4" x14ac:dyDescent="0.3">
      <c r="A872" s="18" t="s">
        <v>48</v>
      </c>
      <c r="B872" s="18"/>
      <c r="C872" s="16" t="s">
        <v>19</v>
      </c>
      <c r="D872" s="20">
        <f>D822</f>
        <v>0.15609999999999999</v>
      </c>
      <c r="E872" s="20">
        <f t="shared" ref="E872:P874" si="51">E822</f>
        <v>0.15609999999999999</v>
      </c>
      <c r="F872" s="20">
        <f t="shared" si="51"/>
        <v>0.15609999999999999</v>
      </c>
      <c r="G872" s="20">
        <f t="shared" si="51"/>
        <v>0.15609999999999999</v>
      </c>
      <c r="H872" s="20">
        <f t="shared" si="51"/>
        <v>0.15609999999999999</v>
      </c>
      <c r="I872" s="20">
        <f t="shared" si="51"/>
        <v>0.15609999999999999</v>
      </c>
      <c r="J872" s="20">
        <f t="shared" si="51"/>
        <v>0.15609999999999999</v>
      </c>
      <c r="K872" s="20">
        <f t="shared" si="51"/>
        <v>0.15609999999999999</v>
      </c>
      <c r="L872" s="20">
        <f t="shared" si="51"/>
        <v>0.15609999999999999</v>
      </c>
      <c r="M872" s="20">
        <f t="shared" si="51"/>
        <v>0.15609999999999999</v>
      </c>
      <c r="N872" s="20">
        <f t="shared" si="51"/>
        <v>0.15609999999999999</v>
      </c>
      <c r="O872" s="20">
        <f t="shared" si="51"/>
        <v>0.15609999999999999</v>
      </c>
      <c r="P872" s="20">
        <f t="shared" si="51"/>
        <v>0.15609999999999999</v>
      </c>
    </row>
    <row r="873" spans="1:16" ht="14.4" x14ac:dyDescent="0.3">
      <c r="A873" s="18" t="s">
        <v>49</v>
      </c>
      <c r="B873" s="18"/>
      <c r="C873" s="16" t="s">
        <v>19</v>
      </c>
      <c r="D873" s="20">
        <f>D823</f>
        <v>2.5000000000000001E-3</v>
      </c>
      <c r="E873" s="20">
        <f t="shared" si="51"/>
        <v>2.5000000000000001E-3</v>
      </c>
      <c r="F873" s="20">
        <f t="shared" si="51"/>
        <v>2.5000000000000001E-3</v>
      </c>
      <c r="G873" s="20">
        <f t="shared" si="51"/>
        <v>2.5000000000000001E-3</v>
      </c>
      <c r="H873" s="20">
        <f t="shared" si="51"/>
        <v>2.5000000000000001E-3</v>
      </c>
      <c r="I873" s="20">
        <f t="shared" si="51"/>
        <v>2.5000000000000001E-3</v>
      </c>
      <c r="J873" s="20">
        <f t="shared" si="51"/>
        <v>2.5000000000000001E-3</v>
      </c>
      <c r="K873" s="20">
        <f t="shared" si="51"/>
        <v>2.5000000000000001E-3</v>
      </c>
      <c r="L873" s="20">
        <f t="shared" si="51"/>
        <v>2.5000000000000001E-3</v>
      </c>
      <c r="M873" s="20">
        <f t="shared" si="51"/>
        <v>2.5000000000000001E-3</v>
      </c>
      <c r="N873" s="20">
        <f t="shared" si="51"/>
        <v>2.5000000000000001E-3</v>
      </c>
      <c r="O873" s="20">
        <f t="shared" si="51"/>
        <v>2.5000000000000001E-3</v>
      </c>
      <c r="P873" s="20">
        <f t="shared" si="51"/>
        <v>2.5000000000000001E-3</v>
      </c>
    </row>
    <row r="874" spans="1:16" ht="14.4" x14ac:dyDescent="0.3">
      <c r="A874" s="18" t="s">
        <v>50</v>
      </c>
      <c r="B874" s="18"/>
      <c r="C874" s="16" t="s">
        <v>19</v>
      </c>
      <c r="D874" s="20">
        <f>D824</f>
        <v>0.1938</v>
      </c>
      <c r="E874" s="20">
        <f t="shared" si="51"/>
        <v>0.1938</v>
      </c>
      <c r="F874" s="20">
        <f t="shared" si="51"/>
        <v>0.1938</v>
      </c>
      <c r="G874" s="20">
        <f t="shared" si="51"/>
        <v>0.1938</v>
      </c>
      <c r="H874" s="20">
        <f t="shared" si="51"/>
        <v>0.1938</v>
      </c>
      <c r="I874" s="20">
        <f t="shared" si="51"/>
        <v>0.1938</v>
      </c>
      <c r="J874" s="20">
        <f t="shared" si="51"/>
        <v>0.1938</v>
      </c>
      <c r="K874" s="20">
        <f t="shared" si="51"/>
        <v>0.1938</v>
      </c>
      <c r="L874" s="20">
        <f t="shared" si="51"/>
        <v>0.1938</v>
      </c>
      <c r="M874" s="20">
        <f t="shared" si="51"/>
        <v>0.1938</v>
      </c>
      <c r="N874" s="20">
        <f t="shared" si="51"/>
        <v>0.1938</v>
      </c>
      <c r="O874" s="20">
        <f t="shared" si="51"/>
        <v>0.1938</v>
      </c>
      <c r="P874" s="20">
        <f t="shared" si="51"/>
        <v>0.1938</v>
      </c>
    </row>
    <row r="875" spans="1:16" ht="14.4" x14ac:dyDescent="0.3">
      <c r="A875" s="14" t="s">
        <v>51</v>
      </c>
      <c r="B875" s="14"/>
      <c r="C875" s="16" t="s">
        <v>19</v>
      </c>
      <c r="D875" s="20">
        <v>0</v>
      </c>
      <c r="E875" s="20">
        <v>4.0599999999999997E-2</v>
      </c>
      <c r="F875" s="20">
        <v>4.0599999999999997E-2</v>
      </c>
      <c r="G875" s="20">
        <v>4.0599999999999997E-2</v>
      </c>
      <c r="H875" s="20">
        <v>4.0599999999999997E-2</v>
      </c>
      <c r="I875" s="20">
        <v>4.0599999999999997E-2</v>
      </c>
      <c r="J875" s="20">
        <v>4.0599999999999997E-2</v>
      </c>
      <c r="K875" s="20">
        <v>4.0599999999999997E-2</v>
      </c>
      <c r="L875" s="20">
        <v>4.0599999999999997E-2</v>
      </c>
      <c r="M875" s="20">
        <v>4.0599999999999997E-2</v>
      </c>
      <c r="N875" s="20">
        <v>4.0599999999999997E-2</v>
      </c>
      <c r="O875" s="20">
        <v>4.0599999999999997E-2</v>
      </c>
      <c r="P875" s="20">
        <v>4.0599999999999997E-2</v>
      </c>
    </row>
    <row r="876" spans="1:16" ht="14.4" x14ac:dyDescent="0.3">
      <c r="A876" s="14" t="s">
        <v>52</v>
      </c>
      <c r="B876" s="14"/>
      <c r="C876" s="29"/>
      <c r="D876" s="22"/>
      <c r="E876" s="22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</row>
    <row r="877" spans="1:16" ht="14.4" x14ac:dyDescent="0.3">
      <c r="A877" s="18" t="s">
        <v>53</v>
      </c>
      <c r="B877" s="18"/>
      <c r="C877" s="16" t="s">
        <v>44</v>
      </c>
      <c r="D877" s="30">
        <f t="shared" ref="D877:P879" si="52">D827</f>
        <v>0.1154</v>
      </c>
      <c r="E877" s="30">
        <f t="shared" si="52"/>
        <v>0.1143</v>
      </c>
      <c r="F877" s="30">
        <f t="shared" si="52"/>
        <v>0.11269999999999999</v>
      </c>
      <c r="G877" s="30">
        <f t="shared" si="52"/>
        <v>0.11459999999999999</v>
      </c>
      <c r="H877" s="30">
        <f t="shared" si="52"/>
        <v>0.1134</v>
      </c>
      <c r="I877" s="30">
        <f t="shared" si="52"/>
        <v>0.11219999999999999</v>
      </c>
      <c r="J877" s="30">
        <f t="shared" si="52"/>
        <v>0.1079</v>
      </c>
      <c r="K877" s="30">
        <f t="shared" si="52"/>
        <v>0.10639999999999999</v>
      </c>
      <c r="L877" s="30">
        <f t="shared" si="52"/>
        <v>0.1089</v>
      </c>
      <c r="M877" s="30">
        <f t="shared" si="52"/>
        <v>0.1143</v>
      </c>
      <c r="N877" s="30">
        <f t="shared" si="52"/>
        <v>0.1145</v>
      </c>
      <c r="O877" s="30">
        <f t="shared" si="52"/>
        <v>0.11310000000000001</v>
      </c>
      <c r="P877" s="30" t="e">
        <f t="shared" si="52"/>
        <v>#DIV/0!</v>
      </c>
    </row>
    <row r="878" spans="1:16" ht="14.4" x14ac:dyDescent="0.3">
      <c r="A878" s="18" t="s">
        <v>54</v>
      </c>
      <c r="B878" s="18"/>
      <c r="C878" s="16" t="s">
        <v>44</v>
      </c>
      <c r="D878" s="30">
        <f t="shared" si="52"/>
        <v>3.3E-3</v>
      </c>
      <c r="E878" s="30">
        <f t="shared" si="52"/>
        <v>3.5999999999999999E-3</v>
      </c>
      <c r="F878" s="30">
        <f t="shared" si="52"/>
        <v>5.5999999999999999E-3</v>
      </c>
      <c r="G878" s="30">
        <f t="shared" si="52"/>
        <v>1.0699999999999999E-2</v>
      </c>
      <c r="H878" s="30">
        <f t="shared" si="52"/>
        <v>2.8400000000000002E-2</v>
      </c>
      <c r="I878" s="30">
        <f t="shared" si="52"/>
        <v>2.7400000000000001E-2</v>
      </c>
      <c r="J878" s="30">
        <f t="shared" si="52"/>
        <v>2.18E-2</v>
      </c>
      <c r="K878" s="30">
        <f t="shared" si="52"/>
        <v>8.9999999999999993E-3</v>
      </c>
      <c r="L878" s="30">
        <f t="shared" si="52"/>
        <v>8.3999999999999995E-3</v>
      </c>
      <c r="M878" s="30">
        <f t="shared" si="52"/>
        <v>6.1999999999999998E-3</v>
      </c>
      <c r="N878" s="30">
        <f t="shared" si="52"/>
        <v>4.7000000000000002E-3</v>
      </c>
      <c r="O878" s="30">
        <f t="shared" si="52"/>
        <v>6.1999999999999998E-3</v>
      </c>
      <c r="P878" s="30">
        <f t="shared" si="52"/>
        <v>-3.0300000000000001E-2</v>
      </c>
    </row>
    <row r="879" spans="1:16" ht="14.4" x14ac:dyDescent="0.3">
      <c r="A879" s="18" t="s">
        <v>55</v>
      </c>
      <c r="B879" s="18"/>
      <c r="C879" s="16" t="s">
        <v>44</v>
      </c>
      <c r="D879" s="30">
        <f t="shared" si="52"/>
        <v>9.8100000000000007E-2</v>
      </c>
      <c r="E879" s="30">
        <f t="shared" si="52"/>
        <v>9.64E-2</v>
      </c>
      <c r="F879" s="30">
        <f t="shared" si="52"/>
        <v>9.69E-2</v>
      </c>
      <c r="G879" s="30">
        <f t="shared" si="52"/>
        <v>9.9299999999999999E-2</v>
      </c>
      <c r="H879" s="30">
        <f t="shared" si="52"/>
        <v>9.9099999999999994E-2</v>
      </c>
      <c r="I879" s="30">
        <f t="shared" si="52"/>
        <v>9.8500000000000004E-2</v>
      </c>
      <c r="J879" s="30">
        <f t="shared" si="52"/>
        <v>9.5299999999999996E-2</v>
      </c>
      <c r="K879" s="30">
        <f t="shared" si="52"/>
        <v>9.1800000000000007E-2</v>
      </c>
      <c r="L879" s="30">
        <f t="shared" si="52"/>
        <v>9.3399999999999997E-2</v>
      </c>
      <c r="M879" s="30">
        <f t="shared" si="52"/>
        <v>9.7199999999999995E-2</v>
      </c>
      <c r="N879" s="30">
        <f t="shared" si="52"/>
        <v>9.6799999999999997E-2</v>
      </c>
      <c r="O879" s="30">
        <f t="shared" si="52"/>
        <v>9.6199999999999994E-2</v>
      </c>
      <c r="P879" s="30" t="e">
        <f t="shared" si="52"/>
        <v>#DIV/0!</v>
      </c>
    </row>
    <row r="880" spans="1:16" ht="14.4" hidden="1" x14ac:dyDescent="0.3">
      <c r="A880" s="18" t="s">
        <v>187</v>
      </c>
      <c r="B880" s="18"/>
      <c r="C880" s="16" t="s">
        <v>44</v>
      </c>
      <c r="D880" s="27">
        <v>0</v>
      </c>
      <c r="E880" s="27">
        <v>0</v>
      </c>
      <c r="F880" s="27">
        <v>0</v>
      </c>
      <c r="G880" s="27">
        <v>0</v>
      </c>
      <c r="H880" s="27">
        <v>0</v>
      </c>
      <c r="I880" s="27">
        <v>0</v>
      </c>
      <c r="J880" s="27">
        <v>0</v>
      </c>
      <c r="K880" s="27">
        <v>0</v>
      </c>
      <c r="L880" s="27">
        <v>0</v>
      </c>
      <c r="M880" s="27">
        <v>0</v>
      </c>
      <c r="N880" s="27">
        <v>0</v>
      </c>
      <c r="O880" s="27">
        <v>0</v>
      </c>
      <c r="P880" s="27">
        <v>0</v>
      </c>
    </row>
    <row r="881" spans="1:16" ht="14.4" x14ac:dyDescent="0.3">
      <c r="A881" s="18" t="s">
        <v>56</v>
      </c>
      <c r="B881" s="18"/>
      <c r="C881" s="16" t="s">
        <v>44</v>
      </c>
      <c r="D881" s="30">
        <f t="shared" ref="D881:P882" si="53">D831</f>
        <v>0.12</v>
      </c>
      <c r="E881" s="30">
        <f t="shared" si="53"/>
        <v>0.12</v>
      </c>
      <c r="F881" s="30">
        <f t="shared" si="53"/>
        <v>0.12</v>
      </c>
      <c r="G881" s="30">
        <f t="shared" si="53"/>
        <v>0.12</v>
      </c>
      <c r="H881" s="30">
        <f t="shared" si="53"/>
        <v>0.12</v>
      </c>
      <c r="I881" s="30">
        <f t="shared" si="53"/>
        <v>0.12</v>
      </c>
      <c r="J881" s="30">
        <f t="shared" si="53"/>
        <v>0.12</v>
      </c>
      <c r="K881" s="30">
        <f t="shared" si="53"/>
        <v>0.12</v>
      </c>
      <c r="L881" s="30">
        <f t="shared" si="53"/>
        <v>0.12</v>
      </c>
      <c r="M881" s="30">
        <f t="shared" si="53"/>
        <v>0.12</v>
      </c>
      <c r="N881" s="30">
        <f t="shared" si="53"/>
        <v>0.12</v>
      </c>
      <c r="O881" s="30">
        <f t="shared" si="53"/>
        <v>0.12</v>
      </c>
      <c r="P881" s="30">
        <f t="shared" si="53"/>
        <v>0.12</v>
      </c>
    </row>
    <row r="882" spans="1:16" ht="14.4" x14ac:dyDescent="0.3">
      <c r="A882" s="18" t="s">
        <v>57</v>
      </c>
      <c r="B882" s="18"/>
      <c r="C882" s="16" t="s">
        <v>44</v>
      </c>
      <c r="D882" s="30">
        <f t="shared" si="53"/>
        <v>0.12</v>
      </c>
      <c r="E882" s="30">
        <f t="shared" si="53"/>
        <v>0.12</v>
      </c>
      <c r="F882" s="30">
        <f t="shared" si="53"/>
        <v>0.12</v>
      </c>
      <c r="G882" s="30">
        <f t="shared" si="53"/>
        <v>0.12</v>
      </c>
      <c r="H882" s="30">
        <f t="shared" si="53"/>
        <v>0.12</v>
      </c>
      <c r="I882" s="30">
        <f t="shared" si="53"/>
        <v>0.12</v>
      </c>
      <c r="J882" s="30">
        <f t="shared" si="53"/>
        <v>0.12</v>
      </c>
      <c r="K882" s="30">
        <f t="shared" si="53"/>
        <v>0.12</v>
      </c>
      <c r="L882" s="30">
        <f t="shared" si="53"/>
        <v>0.12</v>
      </c>
      <c r="M882" s="30">
        <f t="shared" si="53"/>
        <v>0.12</v>
      </c>
      <c r="N882" s="30">
        <f t="shared" si="53"/>
        <v>0.12</v>
      </c>
      <c r="O882" s="30">
        <f t="shared" si="53"/>
        <v>0.12</v>
      </c>
      <c r="P882" s="30">
        <f t="shared" si="53"/>
        <v>0.12</v>
      </c>
    </row>
    <row r="883" spans="1:16" s="5" customFormat="1" ht="14.4" x14ac:dyDescent="0.3">
      <c r="A883" s="55"/>
      <c r="B883" s="55"/>
      <c r="C883" s="56"/>
      <c r="D883" s="57"/>
      <c r="E883" s="57"/>
      <c r="F883" s="57"/>
      <c r="G883" s="57"/>
      <c r="H883" s="57"/>
      <c r="I883" s="57"/>
      <c r="J883" s="57"/>
      <c r="K883" s="57"/>
      <c r="L883" s="57"/>
      <c r="M883" s="57"/>
      <c r="N883" s="57"/>
      <c r="O883" s="57"/>
      <c r="P883" s="57"/>
    </row>
    <row r="884" spans="1:16" x14ac:dyDescent="0.3">
      <c r="A884" s="3" t="s">
        <v>58</v>
      </c>
    </row>
    <row r="885" spans="1:16" s="5" customFormat="1" ht="14.4" x14ac:dyDescent="0.3">
      <c r="A885" s="55"/>
      <c r="B885" s="55"/>
      <c r="C885" s="56"/>
      <c r="D885" s="57"/>
      <c r="E885" s="57"/>
      <c r="F885" s="57"/>
      <c r="G885" s="57"/>
      <c r="H885" s="57"/>
      <c r="I885" s="57"/>
      <c r="J885" s="57"/>
      <c r="K885" s="57"/>
      <c r="L885" s="57"/>
      <c r="M885" s="57"/>
      <c r="N885" s="57"/>
      <c r="O885" s="57"/>
      <c r="P885" s="57"/>
    </row>
    <row r="886" spans="1:16" ht="18" x14ac:dyDescent="0.35">
      <c r="A886" s="59" t="str">
        <f>'[43]Statistical data'!A237</f>
        <v>General Power-34.5kV</v>
      </c>
      <c r="B886" s="60"/>
      <c r="C886" s="5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</row>
    <row r="887" spans="1:16" s="13" customFormat="1" ht="14.4" x14ac:dyDescent="0.3">
      <c r="A887" s="11" t="s">
        <v>3</v>
      </c>
      <c r="B887" s="11"/>
      <c r="C887" s="11" t="s">
        <v>4</v>
      </c>
      <c r="D887" s="12" t="str">
        <f t="shared" ref="D887:P887" si="54">D837</f>
        <v>JAN</v>
      </c>
      <c r="E887" s="12" t="str">
        <f t="shared" si="54"/>
        <v>FEB</v>
      </c>
      <c r="F887" s="12" t="str">
        <f t="shared" si="54"/>
        <v>MAR</v>
      </c>
      <c r="G887" s="12" t="str">
        <f t="shared" si="54"/>
        <v>APR</v>
      </c>
      <c r="H887" s="12" t="str">
        <f t="shared" si="54"/>
        <v>MAY</v>
      </c>
      <c r="I887" s="12" t="str">
        <f t="shared" si="54"/>
        <v>JUN</v>
      </c>
      <c r="J887" s="12" t="str">
        <f t="shared" si="54"/>
        <v>JUL</v>
      </c>
      <c r="K887" s="12" t="str">
        <f t="shared" si="54"/>
        <v>AUG</v>
      </c>
      <c r="L887" s="12" t="str">
        <f t="shared" si="54"/>
        <v>SEP</v>
      </c>
      <c r="M887" s="12" t="str">
        <f t="shared" si="54"/>
        <v>OCT</v>
      </c>
      <c r="N887" s="12" t="str">
        <f t="shared" si="54"/>
        <v>NOV</v>
      </c>
      <c r="O887" s="12" t="str">
        <f t="shared" si="54"/>
        <v>DEC</v>
      </c>
      <c r="P887" s="12" t="str">
        <f t="shared" si="54"/>
        <v>JAN</v>
      </c>
    </row>
    <row r="888" spans="1:16" ht="14.4" x14ac:dyDescent="0.3">
      <c r="A888" s="14" t="s">
        <v>17</v>
      </c>
      <c r="B888" s="15"/>
      <c r="C888" s="16"/>
      <c r="D888" s="17"/>
      <c r="E888" s="17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</row>
    <row r="889" spans="1:16" ht="14.4" x14ac:dyDescent="0.3">
      <c r="A889" s="18" t="s">
        <v>18</v>
      </c>
      <c r="B889" s="19"/>
      <c r="C889" s="16" t="s">
        <v>19</v>
      </c>
      <c r="D889" s="52" t="s">
        <v>59</v>
      </c>
      <c r="E889" s="52" t="s">
        <v>59</v>
      </c>
      <c r="F889" s="52" t="s">
        <v>59</v>
      </c>
      <c r="G889" s="52" t="s">
        <v>59</v>
      </c>
      <c r="H889" s="52" t="s">
        <v>59</v>
      </c>
      <c r="I889" s="52" t="s">
        <v>59</v>
      </c>
      <c r="J889" s="52" t="s">
        <v>59</v>
      </c>
      <c r="K889" s="52" t="s">
        <v>59</v>
      </c>
      <c r="L889" s="52" t="s">
        <v>59</v>
      </c>
      <c r="M889" s="52" t="s">
        <v>59</v>
      </c>
      <c r="N889" s="52" t="s">
        <v>59</v>
      </c>
      <c r="O889" s="52" t="s">
        <v>59</v>
      </c>
      <c r="P889" s="52" t="s">
        <v>59</v>
      </c>
    </row>
    <row r="890" spans="1:16" ht="14.4" hidden="1" x14ac:dyDescent="0.3">
      <c r="A890" s="18" t="s">
        <v>66</v>
      </c>
      <c r="B890" s="19"/>
      <c r="C890" s="16" t="s">
        <v>19</v>
      </c>
      <c r="D890" s="20">
        <v>0</v>
      </c>
      <c r="E890" s="20">
        <v>0</v>
      </c>
      <c r="F890" s="20">
        <v>0</v>
      </c>
      <c r="G890" s="20">
        <v>0</v>
      </c>
      <c r="H890" s="20">
        <v>0</v>
      </c>
      <c r="I890" s="20">
        <v>0</v>
      </c>
      <c r="J890" s="20">
        <v>0</v>
      </c>
      <c r="K890" s="20">
        <v>0</v>
      </c>
      <c r="L890" s="20">
        <v>0</v>
      </c>
      <c r="M890" s="20">
        <v>0</v>
      </c>
      <c r="N890" s="20">
        <v>0</v>
      </c>
      <c r="O890" s="20">
        <v>0</v>
      </c>
      <c r="P890" s="20">
        <v>0</v>
      </c>
    </row>
    <row r="891" spans="1:16" ht="14.4" x14ac:dyDescent="0.3">
      <c r="A891" s="14" t="s">
        <v>20</v>
      </c>
      <c r="B891" s="15"/>
      <c r="C891" s="16"/>
      <c r="D891" s="21"/>
      <c r="E891" s="21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</row>
    <row r="892" spans="1:16" ht="14.4" x14ac:dyDescent="0.3">
      <c r="A892" s="18" t="s">
        <v>21</v>
      </c>
      <c r="B892" s="19"/>
      <c r="C892" s="16" t="s">
        <v>19</v>
      </c>
      <c r="D892" s="20">
        <v>0</v>
      </c>
      <c r="E892" s="20">
        <v>0</v>
      </c>
      <c r="F892" s="20">
        <v>0</v>
      </c>
      <c r="G892" s="20">
        <v>0</v>
      </c>
      <c r="H892" s="20">
        <v>0</v>
      </c>
      <c r="I892" s="20">
        <v>0</v>
      </c>
      <c r="J892" s="20">
        <v>0</v>
      </c>
      <c r="K892" s="20">
        <v>0</v>
      </c>
      <c r="L892" s="20">
        <v>0</v>
      </c>
      <c r="M892" s="20">
        <v>0</v>
      </c>
      <c r="N892" s="20">
        <v>0</v>
      </c>
      <c r="O892" s="20">
        <v>0</v>
      </c>
      <c r="P892" s="20">
        <v>0</v>
      </c>
    </row>
    <row r="893" spans="1:16" ht="14.4" x14ac:dyDescent="0.3">
      <c r="A893" s="18" t="s">
        <v>22</v>
      </c>
      <c r="B893" s="19"/>
      <c r="C893" s="16" t="s">
        <v>23</v>
      </c>
      <c r="D893" s="23">
        <f>[43]TR!D62</f>
        <v>350.5</v>
      </c>
      <c r="E893" s="23">
        <f>[43]TR!E62</f>
        <v>383.91</v>
      </c>
      <c r="F893" s="23">
        <f>[43]TR!F62</f>
        <v>386.85</v>
      </c>
      <c r="G893" s="23">
        <f>[43]TR!G62</f>
        <v>360.38</v>
      </c>
      <c r="H893" s="23">
        <f>[43]TR!H62</f>
        <v>382.02</v>
      </c>
      <c r="I893" s="20">
        <f>[43]TR!I62</f>
        <v>361.91800000000001</v>
      </c>
      <c r="J893" s="20">
        <f>[43]TR!J62</f>
        <v>357.55799999999999</v>
      </c>
      <c r="K893" s="20">
        <f>[43]TR!K62</f>
        <v>328.89800000000002</v>
      </c>
      <c r="L893" s="20">
        <f>[43]TR!L62</f>
        <v>319.32799999999997</v>
      </c>
      <c r="M893" s="20">
        <f>[43]TR!M62</f>
        <v>325.91800000000001</v>
      </c>
      <c r="N893" s="20">
        <f>[43]TR!N62</f>
        <v>329.52800000000002</v>
      </c>
      <c r="O893" s="20">
        <f>[43]TR!O62</f>
        <v>339.07799999999997</v>
      </c>
      <c r="P893" s="20">
        <f>[43]TR!P62</f>
        <v>0</v>
      </c>
    </row>
    <row r="894" spans="1:16" ht="14.4" x14ac:dyDescent="0.3">
      <c r="A894" s="14" t="s">
        <v>24</v>
      </c>
      <c r="B894" s="15"/>
      <c r="C894" s="16"/>
      <c r="D894" s="21"/>
      <c r="E894" s="21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1"/>
    </row>
    <row r="895" spans="1:16" ht="14.4" x14ac:dyDescent="0.3">
      <c r="A895" s="18" t="s">
        <v>25</v>
      </c>
      <c r="B895" s="19"/>
      <c r="C895" s="16" t="s">
        <v>19</v>
      </c>
      <c r="D895" s="20">
        <f t="shared" ref="D895:O895" si="55">D845</f>
        <v>0.19750000000000001</v>
      </c>
      <c r="E895" s="20">
        <f t="shared" si="55"/>
        <v>0.22689999999999999</v>
      </c>
      <c r="F895" s="20">
        <f t="shared" si="55"/>
        <v>0.218</v>
      </c>
      <c r="G895" s="20">
        <f t="shared" si="55"/>
        <v>0.22689999999999999</v>
      </c>
      <c r="H895" s="20">
        <f t="shared" si="55"/>
        <v>0.21260000000000001</v>
      </c>
      <c r="I895" s="20">
        <f t="shared" si="55"/>
        <v>0.1822</v>
      </c>
      <c r="J895" s="20">
        <f t="shared" si="55"/>
        <v>0.19689999999999999</v>
      </c>
      <c r="K895" s="20">
        <f t="shared" si="55"/>
        <v>0.1895</v>
      </c>
      <c r="L895" s="20">
        <f t="shared" si="55"/>
        <v>0.16350000000000001</v>
      </c>
      <c r="M895" s="20">
        <f t="shared" si="55"/>
        <v>0.16070000000000001</v>
      </c>
      <c r="N895" s="20">
        <f t="shared" si="55"/>
        <v>0.1653</v>
      </c>
      <c r="O895" s="20">
        <f t="shared" si="55"/>
        <v>0.1681</v>
      </c>
      <c r="P895" s="20">
        <f>P845</f>
        <v>0</v>
      </c>
    </row>
    <row r="896" spans="1:16" ht="14.4" x14ac:dyDescent="0.3">
      <c r="A896" s="14" t="s">
        <v>26</v>
      </c>
      <c r="B896" s="14"/>
      <c r="C896" s="16"/>
      <c r="D896" s="22"/>
      <c r="E896" s="22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</row>
    <row r="897" spans="1:16" ht="14.4" x14ac:dyDescent="0.3">
      <c r="A897" s="18" t="s">
        <v>27</v>
      </c>
      <c r="B897" s="18"/>
      <c r="C897" s="16" t="s">
        <v>19</v>
      </c>
      <c r="D897" s="20">
        <f t="shared" ref="D897:O898" si="56">D847</f>
        <v>5.7799999999999997E-2</v>
      </c>
      <c r="E897" s="20">
        <f t="shared" si="56"/>
        <v>5.7799999999999997E-2</v>
      </c>
      <c r="F897" s="20">
        <f t="shared" si="56"/>
        <v>5.7799999999999997E-2</v>
      </c>
      <c r="G897" s="20">
        <f t="shared" si="56"/>
        <v>5.7799999999999997E-2</v>
      </c>
      <c r="H897" s="20">
        <f t="shared" si="56"/>
        <v>5.7799999999999997E-2</v>
      </c>
      <c r="I897" s="20">
        <f t="shared" si="56"/>
        <v>5.7799999999999997E-2</v>
      </c>
      <c r="J897" s="20">
        <f t="shared" si="56"/>
        <v>5.1299999999999998E-2</v>
      </c>
      <c r="K897" s="20">
        <f t="shared" si="56"/>
        <v>5.1299999999999998E-2</v>
      </c>
      <c r="L897" s="20">
        <f t="shared" si="56"/>
        <v>5.1299999999999998E-2</v>
      </c>
      <c r="M897" s="20">
        <f t="shared" si="56"/>
        <v>5.1299999999999998E-2</v>
      </c>
      <c r="N897" s="20">
        <f t="shared" si="56"/>
        <v>5.1299999999999998E-2</v>
      </c>
      <c r="O897" s="20">
        <f t="shared" si="56"/>
        <v>5.1299999999999998E-2</v>
      </c>
      <c r="P897" s="20">
        <f>P847</f>
        <v>5.1299999999999998E-2</v>
      </c>
    </row>
    <row r="898" spans="1:16" ht="14.4" x14ac:dyDescent="0.3">
      <c r="A898" s="18" t="s">
        <v>28</v>
      </c>
      <c r="B898" s="18"/>
      <c r="C898" s="16" t="s">
        <v>23</v>
      </c>
      <c r="D898" s="23">
        <f t="shared" si="56"/>
        <v>205.83</v>
      </c>
      <c r="E898" s="23">
        <f t="shared" si="56"/>
        <v>205.83</v>
      </c>
      <c r="F898" s="23">
        <f t="shared" si="56"/>
        <v>205.83</v>
      </c>
      <c r="G898" s="23">
        <f t="shared" si="56"/>
        <v>205.83</v>
      </c>
      <c r="H898" s="23">
        <f t="shared" si="56"/>
        <v>205.83</v>
      </c>
      <c r="I898" s="23">
        <f t="shared" si="56"/>
        <v>205.83</v>
      </c>
      <c r="J898" s="23">
        <f t="shared" si="56"/>
        <v>182.66</v>
      </c>
      <c r="K898" s="23">
        <f t="shared" si="56"/>
        <v>182.66</v>
      </c>
      <c r="L898" s="23">
        <f t="shared" si="56"/>
        <v>182.66</v>
      </c>
      <c r="M898" s="23">
        <f t="shared" si="56"/>
        <v>182.66</v>
      </c>
      <c r="N898" s="23">
        <f t="shared" si="56"/>
        <v>182.66</v>
      </c>
      <c r="O898" s="23">
        <f t="shared" si="56"/>
        <v>182.66</v>
      </c>
      <c r="P898" s="23">
        <f>P848</f>
        <v>182.66</v>
      </c>
    </row>
    <row r="899" spans="1:16" ht="14.4" x14ac:dyDescent="0.3">
      <c r="A899" s="14" t="s">
        <v>29</v>
      </c>
      <c r="B899" s="14"/>
      <c r="C899" s="16"/>
      <c r="D899" s="24"/>
      <c r="E899" s="24"/>
      <c r="F899" s="24"/>
      <c r="G899" s="24"/>
      <c r="H899" s="24"/>
      <c r="I899" s="24"/>
      <c r="J899" s="24"/>
      <c r="K899" s="24"/>
      <c r="L899" s="24"/>
      <c r="M899" s="24"/>
      <c r="N899" s="24"/>
      <c r="O899" s="24"/>
      <c r="P899" s="24"/>
    </row>
    <row r="900" spans="1:16" ht="14.4" x14ac:dyDescent="0.3">
      <c r="A900" s="18" t="s">
        <v>30</v>
      </c>
      <c r="B900" s="18"/>
      <c r="C900" s="16" t="s">
        <v>19</v>
      </c>
      <c r="D900" s="52" t="s">
        <v>61</v>
      </c>
      <c r="E900" s="52" t="s">
        <v>61</v>
      </c>
      <c r="F900" s="52" t="s">
        <v>61</v>
      </c>
      <c r="G900" s="52" t="s">
        <v>61</v>
      </c>
      <c r="H900" s="52" t="s">
        <v>61</v>
      </c>
      <c r="I900" s="52" t="s">
        <v>61</v>
      </c>
      <c r="J900" s="52" t="s">
        <v>61</v>
      </c>
      <c r="K900" s="52" t="s">
        <v>61</v>
      </c>
      <c r="L900" s="52" t="s">
        <v>61</v>
      </c>
      <c r="M900" s="52" t="s">
        <v>61</v>
      </c>
      <c r="N900" s="52" t="s">
        <v>61</v>
      </c>
      <c r="O900" s="52" t="s">
        <v>61</v>
      </c>
      <c r="P900" s="52" t="s">
        <v>61</v>
      </c>
    </row>
    <row r="901" spans="1:16" ht="14.4" x14ac:dyDescent="0.3">
      <c r="A901" s="18" t="s">
        <v>31</v>
      </c>
      <c r="B901" s="18"/>
      <c r="C901" s="16" t="s">
        <v>32</v>
      </c>
      <c r="D901" s="52" t="s">
        <v>62</v>
      </c>
      <c r="E901" s="52" t="s">
        <v>62</v>
      </c>
      <c r="F901" s="52" t="s">
        <v>62</v>
      </c>
      <c r="G901" s="52" t="s">
        <v>62</v>
      </c>
      <c r="H901" s="52" t="s">
        <v>62</v>
      </c>
      <c r="I901" s="52" t="s">
        <v>62</v>
      </c>
      <c r="J901" s="52" t="s">
        <v>62</v>
      </c>
      <c r="K901" s="52" t="s">
        <v>62</v>
      </c>
      <c r="L901" s="52" t="s">
        <v>62</v>
      </c>
      <c r="M901" s="52" t="s">
        <v>62</v>
      </c>
      <c r="N901" s="52" t="s">
        <v>62</v>
      </c>
      <c r="O901" s="52" t="s">
        <v>62</v>
      </c>
      <c r="P901" s="52" t="s">
        <v>62</v>
      </c>
    </row>
    <row r="902" spans="1:16" ht="14.4" x14ac:dyDescent="0.3">
      <c r="A902" s="14" t="s">
        <v>33</v>
      </c>
      <c r="B902" s="14"/>
      <c r="C902" s="16"/>
      <c r="D902" s="24"/>
      <c r="E902" s="24"/>
      <c r="F902" s="24"/>
      <c r="G902" s="24"/>
      <c r="H902" s="24"/>
      <c r="I902" s="24"/>
      <c r="J902" s="24"/>
      <c r="K902" s="24"/>
      <c r="L902" s="24"/>
      <c r="M902" s="24"/>
      <c r="N902" s="24"/>
      <c r="O902" s="24"/>
      <c r="P902" s="24"/>
    </row>
    <row r="903" spans="1:16" ht="14.4" x14ac:dyDescent="0.3">
      <c r="A903" s="18" t="s">
        <v>34</v>
      </c>
      <c r="B903" s="18"/>
      <c r="C903" s="16" t="s">
        <v>19</v>
      </c>
      <c r="D903" s="20">
        <v>0</v>
      </c>
      <c r="E903" s="20">
        <v>0</v>
      </c>
      <c r="F903" s="20">
        <v>0</v>
      </c>
      <c r="G903" s="20">
        <v>0</v>
      </c>
      <c r="H903" s="20">
        <v>0</v>
      </c>
      <c r="I903" s="20">
        <v>0</v>
      </c>
      <c r="J903" s="20">
        <v>0</v>
      </c>
      <c r="K903" s="20">
        <v>0</v>
      </c>
      <c r="L903" s="20">
        <v>0</v>
      </c>
      <c r="M903" s="20">
        <v>0</v>
      </c>
      <c r="N903" s="20">
        <v>0</v>
      </c>
      <c r="O903" s="20">
        <v>0</v>
      </c>
      <c r="P903" s="20">
        <v>0</v>
      </c>
    </row>
    <row r="904" spans="1:16" ht="14.4" x14ac:dyDescent="0.3">
      <c r="A904" s="18" t="s">
        <v>35</v>
      </c>
      <c r="B904" s="18"/>
      <c r="C904" s="16" t="s">
        <v>36</v>
      </c>
      <c r="D904" s="52" t="s">
        <v>63</v>
      </c>
      <c r="E904" s="52" t="s">
        <v>63</v>
      </c>
      <c r="F904" s="52" t="s">
        <v>63</v>
      </c>
      <c r="G904" s="52" t="s">
        <v>63</v>
      </c>
      <c r="H904" s="52" t="s">
        <v>63</v>
      </c>
      <c r="I904" s="52" t="s">
        <v>63</v>
      </c>
      <c r="J904" s="52" t="s">
        <v>63</v>
      </c>
      <c r="K904" s="52" t="s">
        <v>63</v>
      </c>
      <c r="L904" s="52" t="s">
        <v>63</v>
      </c>
      <c r="M904" s="52" t="s">
        <v>63</v>
      </c>
      <c r="N904" s="52" t="s">
        <v>63</v>
      </c>
      <c r="O904" s="52" t="s">
        <v>63</v>
      </c>
      <c r="P904" s="52" t="s">
        <v>63</v>
      </c>
    </row>
    <row r="905" spans="1:16" ht="14.4" x14ac:dyDescent="0.3">
      <c r="A905" s="14" t="s">
        <v>37</v>
      </c>
      <c r="B905" s="14"/>
      <c r="C905" s="16"/>
      <c r="D905" s="24"/>
      <c r="E905" s="24"/>
      <c r="F905" s="24"/>
      <c r="G905" s="24"/>
      <c r="H905" s="24"/>
      <c r="I905" s="24"/>
      <c r="J905" s="24"/>
      <c r="K905" s="24"/>
      <c r="L905" s="24"/>
      <c r="M905" s="24"/>
      <c r="N905" s="24"/>
      <c r="O905" s="24"/>
      <c r="P905" s="24"/>
    </row>
    <row r="906" spans="1:16" ht="14.4" x14ac:dyDescent="0.3">
      <c r="A906" s="25" t="s">
        <v>38</v>
      </c>
      <c r="B906" s="18"/>
      <c r="C906" s="16" t="s">
        <v>19</v>
      </c>
      <c r="D906" s="20">
        <f t="shared" ref="D906:O906" si="57">D856</f>
        <v>0.1215</v>
      </c>
      <c r="E906" s="20">
        <f t="shared" si="57"/>
        <v>0.14280000000000001</v>
      </c>
      <c r="F906" s="20">
        <f t="shared" si="57"/>
        <v>0.1462</v>
      </c>
      <c r="G906" s="20">
        <f t="shared" si="57"/>
        <v>0.15629999999999999</v>
      </c>
      <c r="H906" s="20">
        <f t="shared" si="57"/>
        <v>0.1152</v>
      </c>
      <c r="I906" s="20">
        <f t="shared" si="57"/>
        <v>9.3799999999999994E-2</v>
      </c>
      <c r="J906" s="20">
        <f t="shared" si="57"/>
        <v>7.7499999999999999E-2</v>
      </c>
      <c r="K906" s="20">
        <f t="shared" si="57"/>
        <v>9.3200000000000005E-2</v>
      </c>
      <c r="L906" s="20">
        <f t="shared" si="57"/>
        <v>8.5099999999999995E-2</v>
      </c>
      <c r="M906" s="20">
        <f t="shared" si="57"/>
        <v>8.0299999999999996E-2</v>
      </c>
      <c r="N906" s="20">
        <f t="shared" si="57"/>
        <v>8.3699999999999997E-2</v>
      </c>
      <c r="O906" s="20">
        <f t="shared" si="57"/>
        <v>8.1699999999999995E-2</v>
      </c>
      <c r="P906" s="20">
        <f>P856</f>
        <v>0</v>
      </c>
    </row>
    <row r="907" spans="1:16" ht="14.4" x14ac:dyDescent="0.3">
      <c r="A907" s="25" t="s">
        <v>39</v>
      </c>
      <c r="B907" s="18"/>
      <c r="C907" s="16" t="s">
        <v>19</v>
      </c>
      <c r="D907" s="20">
        <v>0</v>
      </c>
      <c r="E907" s="20">
        <v>0</v>
      </c>
      <c r="F907" s="20">
        <v>0</v>
      </c>
      <c r="G907" s="20">
        <v>0</v>
      </c>
      <c r="H907" s="20">
        <v>0</v>
      </c>
      <c r="I907" s="20">
        <v>0</v>
      </c>
      <c r="J907" s="20">
        <v>0</v>
      </c>
      <c r="K907" s="20">
        <v>0</v>
      </c>
      <c r="L907" s="20">
        <v>0</v>
      </c>
      <c r="M907" s="20">
        <v>0</v>
      </c>
      <c r="N907" s="20">
        <v>0</v>
      </c>
      <c r="O907" s="20">
        <v>0</v>
      </c>
      <c r="P907" s="20">
        <v>0</v>
      </c>
    </row>
    <row r="908" spans="1:16" ht="14.4" x14ac:dyDescent="0.3">
      <c r="A908" s="26" t="s">
        <v>40</v>
      </c>
      <c r="B908" s="18"/>
      <c r="C908" s="16" t="s">
        <v>19</v>
      </c>
      <c r="D908" s="20">
        <f t="shared" ref="D908:O910" si="58">D858</f>
        <v>1E-4</v>
      </c>
      <c r="E908" s="20">
        <f t="shared" si="58"/>
        <v>1E-4</v>
      </c>
      <c r="F908" s="20">
        <f t="shared" si="58"/>
        <v>1E-4</v>
      </c>
      <c r="G908" s="20">
        <f t="shared" si="58"/>
        <v>1E-4</v>
      </c>
      <c r="H908" s="20">
        <f t="shared" si="58"/>
        <v>1E-4</v>
      </c>
      <c r="I908" s="20">
        <f t="shared" si="58"/>
        <v>1E-4</v>
      </c>
      <c r="J908" s="20">
        <f t="shared" si="58"/>
        <v>1E-4</v>
      </c>
      <c r="K908" s="20">
        <f t="shared" si="58"/>
        <v>1E-4</v>
      </c>
      <c r="L908" s="20">
        <f t="shared" si="58"/>
        <v>1E-4</v>
      </c>
      <c r="M908" s="20">
        <f t="shared" si="58"/>
        <v>1E-4</v>
      </c>
      <c r="N908" s="20">
        <f t="shared" si="58"/>
        <v>1E-4</v>
      </c>
      <c r="O908" s="20">
        <f t="shared" si="58"/>
        <v>1E-4</v>
      </c>
      <c r="P908" s="20">
        <f>P858</f>
        <v>0</v>
      </c>
    </row>
    <row r="909" spans="1:16" ht="14.4" x14ac:dyDescent="0.3">
      <c r="A909" s="26" t="s">
        <v>41</v>
      </c>
      <c r="B909" s="18"/>
      <c r="C909" s="16" t="s">
        <v>19</v>
      </c>
      <c r="D909" s="20">
        <f t="shared" si="58"/>
        <v>0</v>
      </c>
      <c r="E909" s="20">
        <f t="shared" si="58"/>
        <v>0</v>
      </c>
      <c r="F909" s="20">
        <f t="shared" si="58"/>
        <v>0</v>
      </c>
      <c r="G909" s="20">
        <f t="shared" si="58"/>
        <v>0</v>
      </c>
      <c r="H909" s="20">
        <f t="shared" si="58"/>
        <v>0</v>
      </c>
      <c r="I909" s="20">
        <f t="shared" si="58"/>
        <v>0</v>
      </c>
      <c r="J909" s="20">
        <f t="shared" si="58"/>
        <v>0</v>
      </c>
      <c r="K909" s="20">
        <f t="shared" si="58"/>
        <v>0</v>
      </c>
      <c r="L909" s="20">
        <f t="shared" si="58"/>
        <v>0</v>
      </c>
      <c r="M909" s="20">
        <f t="shared" si="58"/>
        <v>0</v>
      </c>
      <c r="N909" s="20">
        <f t="shared" si="58"/>
        <v>0</v>
      </c>
      <c r="O909" s="20">
        <f t="shared" si="58"/>
        <v>0</v>
      </c>
      <c r="P909" s="20">
        <f>P859</f>
        <v>0</v>
      </c>
    </row>
    <row r="910" spans="1:16" ht="14.4" hidden="1" x14ac:dyDescent="0.3">
      <c r="A910" s="154" t="s">
        <v>181</v>
      </c>
      <c r="B910" s="155"/>
      <c r="C910" s="16" t="s">
        <v>19</v>
      </c>
      <c r="D910" s="20">
        <f t="shared" si="58"/>
        <v>0</v>
      </c>
      <c r="E910" s="20">
        <f t="shared" si="58"/>
        <v>0</v>
      </c>
      <c r="F910" s="20">
        <f t="shared" si="58"/>
        <v>0</v>
      </c>
      <c r="G910" s="20">
        <f t="shared" si="58"/>
        <v>0</v>
      </c>
      <c r="H910" s="20">
        <f t="shared" si="58"/>
        <v>0</v>
      </c>
      <c r="I910" s="20">
        <f t="shared" si="58"/>
        <v>0</v>
      </c>
      <c r="J910" s="20">
        <f t="shared" si="58"/>
        <v>0</v>
      </c>
      <c r="K910" s="20">
        <f t="shared" si="58"/>
        <v>0</v>
      </c>
      <c r="L910" s="20">
        <f t="shared" si="58"/>
        <v>0</v>
      </c>
      <c r="M910" s="20">
        <f t="shared" si="58"/>
        <v>0</v>
      </c>
      <c r="N910" s="20">
        <f t="shared" si="58"/>
        <v>0</v>
      </c>
      <c r="O910" s="20">
        <f t="shared" si="58"/>
        <v>0</v>
      </c>
      <c r="P910" s="20">
        <f>P860</f>
        <v>0</v>
      </c>
    </row>
    <row r="911" spans="1:16" ht="16.2" hidden="1" x14ac:dyDescent="0.3">
      <c r="A911" s="154" t="s">
        <v>182</v>
      </c>
      <c r="B911" s="155"/>
      <c r="C911" s="16" t="s">
        <v>19</v>
      </c>
      <c r="D911" s="20"/>
      <c r="E911" s="20"/>
      <c r="F911" s="20"/>
      <c r="G911" s="20"/>
      <c r="H911" s="20"/>
      <c r="I911" s="20"/>
      <c r="J911" s="20"/>
      <c r="K911" s="20"/>
      <c r="L911" s="20"/>
      <c r="M911" s="20"/>
      <c r="N911" s="20"/>
      <c r="O911" s="20"/>
      <c r="P911" s="20"/>
    </row>
    <row r="912" spans="1:16" ht="16.2" hidden="1" x14ac:dyDescent="0.3">
      <c r="A912" s="154" t="s">
        <v>182</v>
      </c>
      <c r="B912" s="156"/>
      <c r="C912" s="16" t="s">
        <v>19</v>
      </c>
      <c r="D912" s="20"/>
      <c r="E912" s="20"/>
      <c r="F912" s="20"/>
      <c r="G912" s="20"/>
      <c r="H912" s="20"/>
      <c r="I912" s="20"/>
      <c r="J912" s="20"/>
      <c r="K912" s="20"/>
      <c r="L912" s="20"/>
      <c r="M912" s="20"/>
      <c r="N912" s="20"/>
      <c r="O912" s="20"/>
      <c r="P912" s="20"/>
    </row>
    <row r="913" spans="1:16" ht="14.4" x14ac:dyDescent="0.3">
      <c r="A913" s="14" t="s">
        <v>42</v>
      </c>
      <c r="B913" s="14"/>
      <c r="C913" s="16"/>
      <c r="D913" s="24"/>
      <c r="E913" s="24"/>
      <c r="F913" s="24"/>
      <c r="G913" s="24"/>
      <c r="H913" s="24"/>
      <c r="I913" s="24"/>
      <c r="J913" s="24"/>
      <c r="K913" s="24"/>
      <c r="L913" s="24"/>
      <c r="M913" s="24"/>
      <c r="N913" s="24"/>
      <c r="O913" s="24"/>
      <c r="P913" s="24"/>
    </row>
    <row r="914" spans="1:16" ht="14.4" x14ac:dyDescent="0.3">
      <c r="A914" s="14" t="s">
        <v>43</v>
      </c>
      <c r="B914" s="14"/>
      <c r="C914" s="16" t="s">
        <v>44</v>
      </c>
      <c r="D914" s="27"/>
      <c r="E914" s="27"/>
      <c r="F914" s="27"/>
      <c r="G914" s="27"/>
      <c r="H914" s="27"/>
      <c r="I914" s="27"/>
      <c r="J914" s="27"/>
      <c r="K914" s="27"/>
      <c r="L914" s="27"/>
      <c r="M914" s="27"/>
      <c r="N914" s="27"/>
      <c r="O914" s="27"/>
      <c r="P914" s="27"/>
    </row>
    <row r="915" spans="1:16" ht="14.4" hidden="1" x14ac:dyDescent="0.3">
      <c r="A915" s="14" t="s">
        <v>183</v>
      </c>
      <c r="B915" s="14"/>
      <c r="C915" s="16"/>
      <c r="D915" s="28"/>
      <c r="E915" s="28"/>
      <c r="F915" s="28"/>
      <c r="G915" s="28"/>
      <c r="H915" s="28"/>
      <c r="I915" s="28"/>
      <c r="J915" s="28"/>
      <c r="K915" s="28"/>
      <c r="L915" s="28"/>
      <c r="M915" s="28"/>
      <c r="N915" s="28"/>
      <c r="O915" s="28"/>
      <c r="P915" s="28"/>
    </row>
    <row r="916" spans="1:16" ht="14.4" hidden="1" x14ac:dyDescent="0.3">
      <c r="A916" s="14" t="s">
        <v>184</v>
      </c>
      <c r="B916" s="14"/>
      <c r="C916" s="16" t="s">
        <v>19</v>
      </c>
      <c r="D916" s="20"/>
      <c r="E916" s="20"/>
      <c r="F916" s="20"/>
      <c r="G916" s="20"/>
      <c r="H916" s="20"/>
      <c r="I916" s="20"/>
      <c r="J916" s="20"/>
      <c r="K916" s="20"/>
      <c r="L916" s="20"/>
      <c r="M916" s="20"/>
      <c r="N916" s="20"/>
      <c r="O916" s="20"/>
      <c r="P916" s="20"/>
    </row>
    <row r="917" spans="1:16" ht="14.4" x14ac:dyDescent="0.3">
      <c r="A917" s="14" t="s">
        <v>45</v>
      </c>
      <c r="B917" s="14"/>
      <c r="C917" s="16"/>
      <c r="D917" s="28"/>
      <c r="E917" s="28"/>
      <c r="F917" s="28"/>
      <c r="G917" s="28"/>
      <c r="H917" s="28"/>
      <c r="I917" s="28"/>
      <c r="J917" s="28"/>
      <c r="K917" s="28"/>
      <c r="L917" s="28"/>
      <c r="M917" s="28"/>
      <c r="N917" s="28"/>
      <c r="O917" s="28"/>
      <c r="P917" s="28"/>
    </row>
    <row r="918" spans="1:16" ht="14.4" x14ac:dyDescent="0.3">
      <c r="A918" s="14" t="s">
        <v>46</v>
      </c>
      <c r="B918" s="14"/>
      <c r="C918" s="16" t="s">
        <v>19</v>
      </c>
      <c r="D918" s="20">
        <v>0</v>
      </c>
      <c r="E918" s="20">
        <v>0</v>
      </c>
      <c r="F918" s="20">
        <v>0</v>
      </c>
      <c r="G918" s="20">
        <v>0</v>
      </c>
      <c r="H918" s="20">
        <v>0</v>
      </c>
      <c r="I918" s="20">
        <v>0</v>
      </c>
      <c r="J918" s="20">
        <v>0</v>
      </c>
      <c r="K918" s="20">
        <v>0</v>
      </c>
      <c r="L918" s="20">
        <v>0</v>
      </c>
      <c r="M918" s="20">
        <v>0</v>
      </c>
      <c r="N918" s="20">
        <v>0</v>
      </c>
      <c r="O918" s="20">
        <v>0</v>
      </c>
      <c r="P918" s="20">
        <v>0</v>
      </c>
    </row>
    <row r="919" spans="1:16" ht="14.4" hidden="1" x14ac:dyDescent="0.3">
      <c r="A919" s="14" t="s">
        <v>185</v>
      </c>
      <c r="B919" s="14"/>
      <c r="C919" s="16"/>
      <c r="D919" s="28"/>
      <c r="E919" s="28"/>
      <c r="F919" s="28"/>
      <c r="G919" s="28"/>
      <c r="H919" s="28"/>
      <c r="I919" s="28"/>
      <c r="J919" s="28"/>
      <c r="K919" s="28"/>
      <c r="L919" s="28"/>
      <c r="M919" s="28"/>
      <c r="N919" s="28"/>
      <c r="O919" s="28"/>
      <c r="P919" s="28"/>
    </row>
    <row r="920" spans="1:16" ht="14.4" hidden="1" x14ac:dyDescent="0.3">
      <c r="A920" s="14" t="s">
        <v>186</v>
      </c>
      <c r="B920" s="14"/>
      <c r="C920" s="16" t="s">
        <v>19</v>
      </c>
      <c r="D920" s="20"/>
      <c r="E920" s="20"/>
      <c r="F920" s="20"/>
      <c r="G920" s="20"/>
      <c r="H920" s="20"/>
      <c r="I920" s="20"/>
      <c r="J920" s="20"/>
      <c r="K920" s="20"/>
      <c r="L920" s="20"/>
      <c r="M920" s="20"/>
      <c r="N920" s="20"/>
      <c r="O920" s="20"/>
      <c r="P920" s="20"/>
    </row>
    <row r="921" spans="1:16" ht="14.4" x14ac:dyDescent="0.3">
      <c r="A921" s="14" t="s">
        <v>47</v>
      </c>
      <c r="B921" s="14"/>
      <c r="C921" s="16"/>
      <c r="D921" s="24"/>
      <c r="E921" s="24"/>
      <c r="F921" s="24"/>
      <c r="G921" s="24"/>
      <c r="H921" s="24"/>
      <c r="I921" s="24"/>
      <c r="J921" s="24"/>
      <c r="K921" s="24"/>
      <c r="L921" s="24"/>
      <c r="M921" s="24"/>
      <c r="N921" s="24"/>
      <c r="O921" s="24"/>
      <c r="P921" s="24"/>
    </row>
    <row r="922" spans="1:16" ht="14.4" x14ac:dyDescent="0.3">
      <c r="A922" s="18" t="s">
        <v>48</v>
      </c>
      <c r="B922" s="18"/>
      <c r="C922" s="16" t="s">
        <v>19</v>
      </c>
      <c r="D922" s="20">
        <f t="shared" ref="D922:P924" si="59">D872</f>
        <v>0.15609999999999999</v>
      </c>
      <c r="E922" s="20">
        <f t="shared" si="59"/>
        <v>0.15609999999999999</v>
      </c>
      <c r="F922" s="20">
        <f t="shared" si="59"/>
        <v>0.15609999999999999</v>
      </c>
      <c r="G922" s="20">
        <f t="shared" si="59"/>
        <v>0.15609999999999999</v>
      </c>
      <c r="H922" s="20">
        <f t="shared" si="59"/>
        <v>0.15609999999999999</v>
      </c>
      <c r="I922" s="20">
        <f t="shared" si="59"/>
        <v>0.15609999999999999</v>
      </c>
      <c r="J922" s="20">
        <f t="shared" si="59"/>
        <v>0.15609999999999999</v>
      </c>
      <c r="K922" s="20">
        <f t="shared" si="59"/>
        <v>0.15609999999999999</v>
      </c>
      <c r="L922" s="20">
        <f t="shared" si="59"/>
        <v>0.15609999999999999</v>
      </c>
      <c r="M922" s="20">
        <f t="shared" si="59"/>
        <v>0.15609999999999999</v>
      </c>
      <c r="N922" s="20">
        <f t="shared" si="59"/>
        <v>0.15609999999999999</v>
      </c>
      <c r="O922" s="20">
        <f t="shared" si="59"/>
        <v>0.15609999999999999</v>
      </c>
      <c r="P922" s="20">
        <f t="shared" si="59"/>
        <v>0.15609999999999999</v>
      </c>
    </row>
    <row r="923" spans="1:16" ht="14.4" x14ac:dyDescent="0.3">
      <c r="A923" s="18" t="s">
        <v>49</v>
      </c>
      <c r="B923" s="18"/>
      <c r="C923" s="16" t="s">
        <v>19</v>
      </c>
      <c r="D923" s="20">
        <f t="shared" si="59"/>
        <v>2.5000000000000001E-3</v>
      </c>
      <c r="E923" s="20">
        <f t="shared" si="59"/>
        <v>2.5000000000000001E-3</v>
      </c>
      <c r="F923" s="20">
        <f t="shared" si="59"/>
        <v>2.5000000000000001E-3</v>
      </c>
      <c r="G923" s="20">
        <f t="shared" si="59"/>
        <v>2.5000000000000001E-3</v>
      </c>
      <c r="H923" s="20">
        <f t="shared" si="59"/>
        <v>2.5000000000000001E-3</v>
      </c>
      <c r="I923" s="20">
        <f t="shared" si="59"/>
        <v>2.5000000000000001E-3</v>
      </c>
      <c r="J923" s="20">
        <f t="shared" si="59"/>
        <v>2.5000000000000001E-3</v>
      </c>
      <c r="K923" s="20">
        <f t="shared" si="59"/>
        <v>2.5000000000000001E-3</v>
      </c>
      <c r="L923" s="20">
        <f t="shared" si="59"/>
        <v>2.5000000000000001E-3</v>
      </c>
      <c r="M923" s="20">
        <f t="shared" si="59"/>
        <v>2.5000000000000001E-3</v>
      </c>
      <c r="N923" s="20">
        <f t="shared" si="59"/>
        <v>2.5000000000000001E-3</v>
      </c>
      <c r="O923" s="20">
        <f t="shared" si="59"/>
        <v>2.5000000000000001E-3</v>
      </c>
      <c r="P923" s="20">
        <f t="shared" si="59"/>
        <v>2.5000000000000001E-3</v>
      </c>
    </row>
    <row r="924" spans="1:16" ht="14.4" x14ac:dyDescent="0.3">
      <c r="A924" s="18" t="s">
        <v>50</v>
      </c>
      <c r="B924" s="18"/>
      <c r="C924" s="16" t="s">
        <v>19</v>
      </c>
      <c r="D924" s="20">
        <f t="shared" si="59"/>
        <v>0.1938</v>
      </c>
      <c r="E924" s="20">
        <f t="shared" si="59"/>
        <v>0.1938</v>
      </c>
      <c r="F924" s="20">
        <f t="shared" si="59"/>
        <v>0.1938</v>
      </c>
      <c r="G924" s="20">
        <f t="shared" si="59"/>
        <v>0.1938</v>
      </c>
      <c r="H924" s="20">
        <f t="shared" si="59"/>
        <v>0.1938</v>
      </c>
      <c r="I924" s="20">
        <f t="shared" si="59"/>
        <v>0.1938</v>
      </c>
      <c r="J924" s="20">
        <f t="shared" si="59"/>
        <v>0.1938</v>
      </c>
      <c r="K924" s="20">
        <f t="shared" si="59"/>
        <v>0.1938</v>
      </c>
      <c r="L924" s="20">
        <f t="shared" si="59"/>
        <v>0.1938</v>
      </c>
      <c r="M924" s="20">
        <f t="shared" si="59"/>
        <v>0.1938</v>
      </c>
      <c r="N924" s="20">
        <f t="shared" si="59"/>
        <v>0.1938</v>
      </c>
      <c r="O924" s="20">
        <f t="shared" si="59"/>
        <v>0.1938</v>
      </c>
      <c r="P924" s="20">
        <f t="shared" si="59"/>
        <v>0.1938</v>
      </c>
    </row>
    <row r="925" spans="1:16" ht="14.4" x14ac:dyDescent="0.3">
      <c r="A925" s="14" t="s">
        <v>51</v>
      </c>
      <c r="B925" s="14"/>
      <c r="C925" s="16" t="s">
        <v>19</v>
      </c>
      <c r="D925" s="20">
        <v>0</v>
      </c>
      <c r="E925" s="20">
        <v>4.0599999999999997E-2</v>
      </c>
      <c r="F925" s="20">
        <v>4.0599999999999997E-2</v>
      </c>
      <c r="G925" s="20">
        <v>4.0599999999999997E-2</v>
      </c>
      <c r="H925" s="20">
        <v>4.0599999999999997E-2</v>
      </c>
      <c r="I925" s="20">
        <v>4.0599999999999997E-2</v>
      </c>
      <c r="J925" s="20">
        <v>4.0599999999999997E-2</v>
      </c>
      <c r="K925" s="20">
        <v>4.0599999999999997E-2</v>
      </c>
      <c r="L925" s="20">
        <v>4.0599999999999997E-2</v>
      </c>
      <c r="M925" s="20">
        <v>4.0599999999999997E-2</v>
      </c>
      <c r="N925" s="20">
        <v>4.0599999999999997E-2</v>
      </c>
      <c r="O925" s="20">
        <v>4.0599999999999997E-2</v>
      </c>
      <c r="P925" s="20">
        <v>4.0599999999999997E-2</v>
      </c>
    </row>
    <row r="926" spans="1:16" ht="14.4" x14ac:dyDescent="0.3">
      <c r="A926" s="14" t="s">
        <v>52</v>
      </c>
      <c r="B926" s="14"/>
      <c r="C926" s="29"/>
      <c r="D926" s="22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</row>
    <row r="927" spans="1:16" ht="14.4" x14ac:dyDescent="0.3">
      <c r="A927" s="18" t="s">
        <v>53</v>
      </c>
      <c r="B927" s="18"/>
      <c r="C927" s="16" t="s">
        <v>44</v>
      </c>
      <c r="D927" s="30">
        <f t="shared" ref="D927:O929" si="60">D877</f>
        <v>0.1154</v>
      </c>
      <c r="E927" s="30">
        <f t="shared" si="60"/>
        <v>0.1143</v>
      </c>
      <c r="F927" s="30">
        <f t="shared" si="60"/>
        <v>0.11269999999999999</v>
      </c>
      <c r="G927" s="30">
        <f t="shared" si="60"/>
        <v>0.11459999999999999</v>
      </c>
      <c r="H927" s="30">
        <f t="shared" si="60"/>
        <v>0.1134</v>
      </c>
      <c r="I927" s="30">
        <f t="shared" si="60"/>
        <v>0.11219999999999999</v>
      </c>
      <c r="J927" s="30">
        <f t="shared" si="60"/>
        <v>0.1079</v>
      </c>
      <c r="K927" s="30">
        <f t="shared" si="60"/>
        <v>0.10639999999999999</v>
      </c>
      <c r="L927" s="30">
        <f t="shared" si="60"/>
        <v>0.1089</v>
      </c>
      <c r="M927" s="30">
        <f t="shared" si="60"/>
        <v>0.1143</v>
      </c>
      <c r="N927" s="30">
        <f t="shared" si="60"/>
        <v>0.1145</v>
      </c>
      <c r="O927" s="30">
        <f t="shared" si="60"/>
        <v>0.11310000000000001</v>
      </c>
      <c r="P927" s="30" t="e">
        <f>P877</f>
        <v>#DIV/0!</v>
      </c>
    </row>
    <row r="928" spans="1:16" ht="14.4" x14ac:dyDescent="0.3">
      <c r="A928" s="18" t="s">
        <v>54</v>
      </c>
      <c r="B928" s="18"/>
      <c r="C928" s="16" t="s">
        <v>44</v>
      </c>
      <c r="D928" s="30">
        <f t="shared" si="60"/>
        <v>3.3E-3</v>
      </c>
      <c r="E928" s="30">
        <f t="shared" si="60"/>
        <v>3.5999999999999999E-3</v>
      </c>
      <c r="F928" s="30">
        <f t="shared" si="60"/>
        <v>5.5999999999999999E-3</v>
      </c>
      <c r="G928" s="30">
        <f t="shared" si="60"/>
        <v>1.0699999999999999E-2</v>
      </c>
      <c r="H928" s="30">
        <f t="shared" si="60"/>
        <v>2.8400000000000002E-2</v>
      </c>
      <c r="I928" s="30">
        <f t="shared" si="60"/>
        <v>2.7400000000000001E-2</v>
      </c>
      <c r="J928" s="30">
        <f t="shared" si="60"/>
        <v>2.18E-2</v>
      </c>
      <c r="K928" s="30">
        <f t="shared" si="60"/>
        <v>8.9999999999999993E-3</v>
      </c>
      <c r="L928" s="30">
        <f t="shared" si="60"/>
        <v>8.3999999999999995E-3</v>
      </c>
      <c r="M928" s="30">
        <f t="shared" si="60"/>
        <v>6.1999999999999998E-3</v>
      </c>
      <c r="N928" s="30">
        <f t="shared" si="60"/>
        <v>4.7000000000000002E-3</v>
      </c>
      <c r="O928" s="30">
        <f t="shared" si="60"/>
        <v>6.1999999999999998E-3</v>
      </c>
      <c r="P928" s="30">
        <f>P878</f>
        <v>-3.0300000000000001E-2</v>
      </c>
    </row>
    <row r="929" spans="1:16" ht="14.4" x14ac:dyDescent="0.3">
      <c r="A929" s="18" t="s">
        <v>55</v>
      </c>
      <c r="B929" s="18"/>
      <c r="C929" s="16" t="s">
        <v>44</v>
      </c>
      <c r="D929" s="30">
        <f t="shared" si="60"/>
        <v>9.8100000000000007E-2</v>
      </c>
      <c r="E929" s="30">
        <f t="shared" si="60"/>
        <v>9.64E-2</v>
      </c>
      <c r="F929" s="30">
        <f t="shared" si="60"/>
        <v>9.69E-2</v>
      </c>
      <c r="G929" s="30">
        <f t="shared" si="60"/>
        <v>9.9299999999999999E-2</v>
      </c>
      <c r="H929" s="30">
        <f t="shared" si="60"/>
        <v>9.9099999999999994E-2</v>
      </c>
      <c r="I929" s="30">
        <f t="shared" si="60"/>
        <v>9.8500000000000004E-2</v>
      </c>
      <c r="J929" s="30">
        <f t="shared" si="60"/>
        <v>9.5299999999999996E-2</v>
      </c>
      <c r="K929" s="30">
        <f t="shared" si="60"/>
        <v>9.1800000000000007E-2</v>
      </c>
      <c r="L929" s="30">
        <f t="shared" si="60"/>
        <v>9.3399999999999997E-2</v>
      </c>
      <c r="M929" s="30">
        <f t="shared" si="60"/>
        <v>9.7199999999999995E-2</v>
      </c>
      <c r="N929" s="30">
        <f t="shared" si="60"/>
        <v>9.6799999999999997E-2</v>
      </c>
      <c r="O929" s="30">
        <f t="shared" si="60"/>
        <v>9.6199999999999994E-2</v>
      </c>
      <c r="P929" s="30" t="e">
        <f>P879</f>
        <v>#DIV/0!</v>
      </c>
    </row>
    <row r="930" spans="1:16" ht="14.4" hidden="1" x14ac:dyDescent="0.3">
      <c r="A930" s="18" t="s">
        <v>187</v>
      </c>
      <c r="B930" s="18"/>
      <c r="C930" s="16" t="s">
        <v>44</v>
      </c>
      <c r="D930" s="27">
        <v>0</v>
      </c>
      <c r="E930" s="27">
        <v>0</v>
      </c>
      <c r="F930" s="27">
        <v>0</v>
      </c>
      <c r="G930" s="27">
        <v>0</v>
      </c>
      <c r="H930" s="27">
        <v>0</v>
      </c>
      <c r="I930" s="27">
        <v>0</v>
      </c>
      <c r="J930" s="27">
        <v>0</v>
      </c>
      <c r="K930" s="27">
        <v>0</v>
      </c>
      <c r="L930" s="27">
        <v>0</v>
      </c>
      <c r="M930" s="27">
        <v>0</v>
      </c>
      <c r="N930" s="27">
        <v>0</v>
      </c>
      <c r="O930" s="27">
        <v>0</v>
      </c>
      <c r="P930" s="27">
        <v>0</v>
      </c>
    </row>
    <row r="931" spans="1:16" ht="14.4" x14ac:dyDescent="0.3">
      <c r="A931" s="18" t="s">
        <v>56</v>
      </c>
      <c r="B931" s="18"/>
      <c r="C931" s="16" t="s">
        <v>44</v>
      </c>
      <c r="D931" s="30">
        <f t="shared" ref="D931:O932" si="61">D881</f>
        <v>0.12</v>
      </c>
      <c r="E931" s="30">
        <f t="shared" si="61"/>
        <v>0.12</v>
      </c>
      <c r="F931" s="30">
        <f t="shared" si="61"/>
        <v>0.12</v>
      </c>
      <c r="G931" s="30">
        <f t="shared" si="61"/>
        <v>0.12</v>
      </c>
      <c r="H931" s="30">
        <f t="shared" si="61"/>
        <v>0.12</v>
      </c>
      <c r="I931" s="30">
        <f t="shared" si="61"/>
        <v>0.12</v>
      </c>
      <c r="J931" s="30">
        <f t="shared" si="61"/>
        <v>0.12</v>
      </c>
      <c r="K931" s="30">
        <f t="shared" si="61"/>
        <v>0.12</v>
      </c>
      <c r="L931" s="30">
        <f t="shared" si="61"/>
        <v>0.12</v>
      </c>
      <c r="M931" s="30">
        <f t="shared" si="61"/>
        <v>0.12</v>
      </c>
      <c r="N931" s="30">
        <f t="shared" si="61"/>
        <v>0.12</v>
      </c>
      <c r="O931" s="30">
        <f t="shared" si="61"/>
        <v>0.12</v>
      </c>
      <c r="P931" s="30">
        <f>P881</f>
        <v>0.12</v>
      </c>
    </row>
    <row r="932" spans="1:16" ht="14.4" x14ac:dyDescent="0.3">
      <c r="A932" s="18" t="s">
        <v>57</v>
      </c>
      <c r="B932" s="18"/>
      <c r="C932" s="16" t="s">
        <v>44</v>
      </c>
      <c r="D932" s="30">
        <f t="shared" si="61"/>
        <v>0.12</v>
      </c>
      <c r="E932" s="30">
        <f t="shared" si="61"/>
        <v>0.12</v>
      </c>
      <c r="F932" s="30">
        <f t="shared" si="61"/>
        <v>0.12</v>
      </c>
      <c r="G932" s="30">
        <f t="shared" si="61"/>
        <v>0.12</v>
      </c>
      <c r="H932" s="30">
        <f t="shared" si="61"/>
        <v>0.12</v>
      </c>
      <c r="I932" s="30">
        <f t="shared" si="61"/>
        <v>0.12</v>
      </c>
      <c r="J932" s="30">
        <f t="shared" si="61"/>
        <v>0.12</v>
      </c>
      <c r="K932" s="30">
        <f t="shared" si="61"/>
        <v>0.12</v>
      </c>
      <c r="L932" s="30">
        <f t="shared" si="61"/>
        <v>0.12</v>
      </c>
      <c r="M932" s="30">
        <f t="shared" si="61"/>
        <v>0.12</v>
      </c>
      <c r="N932" s="30">
        <f t="shared" si="61"/>
        <v>0.12</v>
      </c>
      <c r="O932" s="30">
        <f t="shared" si="61"/>
        <v>0.12</v>
      </c>
      <c r="P932" s="30">
        <f>P882</f>
        <v>0.12</v>
      </c>
    </row>
    <row r="933" spans="1:16" s="5" customFormat="1" ht="14.4" x14ac:dyDescent="0.3">
      <c r="A933" s="55"/>
      <c r="B933" s="55"/>
      <c r="C933" s="56"/>
      <c r="D933" s="57"/>
      <c r="E933" s="57"/>
      <c r="F933" s="57"/>
      <c r="G933" s="57"/>
      <c r="H933" s="57"/>
      <c r="I933" s="57"/>
      <c r="J933" s="57"/>
      <c r="K933" s="57"/>
      <c r="L933" s="57"/>
      <c r="M933" s="57"/>
      <c r="N933" s="57"/>
      <c r="O933" s="57"/>
      <c r="P933" s="57"/>
    </row>
    <row r="934" spans="1:16" x14ac:dyDescent="0.3">
      <c r="A934" s="3" t="s">
        <v>58</v>
      </c>
    </row>
    <row r="935" spans="1:16" s="5" customFormat="1" ht="14.4" x14ac:dyDescent="0.3">
      <c r="A935" s="55"/>
      <c r="B935" s="55"/>
      <c r="C935" s="56"/>
      <c r="D935" s="57"/>
      <c r="E935" s="57"/>
      <c r="F935" s="57"/>
      <c r="G935" s="57"/>
      <c r="H935" s="57"/>
      <c r="I935" s="57"/>
      <c r="J935" s="57"/>
      <c r="K935" s="57"/>
      <c r="L935" s="57"/>
      <c r="M935" s="57"/>
      <c r="N935" s="57"/>
      <c r="O935" s="57"/>
      <c r="P935" s="57"/>
    </row>
    <row r="936" spans="1:16" ht="18" x14ac:dyDescent="0.35">
      <c r="A936" s="59" t="str">
        <f>'[43]Statistical data'!A238</f>
        <v>General Power-69/115kV</v>
      </c>
      <c r="B936" s="60"/>
      <c r="C936" s="5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</row>
    <row r="937" spans="1:16" s="13" customFormat="1" ht="14.4" x14ac:dyDescent="0.3">
      <c r="A937" s="11" t="s">
        <v>3</v>
      </c>
      <c r="B937" s="11"/>
      <c r="C937" s="11" t="s">
        <v>4</v>
      </c>
      <c r="D937" s="12" t="str">
        <f t="shared" ref="D937:P937" si="62">D887</f>
        <v>JAN</v>
      </c>
      <c r="E937" s="12" t="str">
        <f t="shared" si="62"/>
        <v>FEB</v>
      </c>
      <c r="F937" s="12" t="str">
        <f t="shared" si="62"/>
        <v>MAR</v>
      </c>
      <c r="G937" s="12" t="str">
        <f t="shared" si="62"/>
        <v>APR</v>
      </c>
      <c r="H937" s="12" t="str">
        <f t="shared" si="62"/>
        <v>MAY</v>
      </c>
      <c r="I937" s="12" t="str">
        <f t="shared" si="62"/>
        <v>JUN</v>
      </c>
      <c r="J937" s="12" t="str">
        <f t="shared" si="62"/>
        <v>JUL</v>
      </c>
      <c r="K937" s="12" t="str">
        <f t="shared" si="62"/>
        <v>AUG</v>
      </c>
      <c r="L937" s="12" t="str">
        <f t="shared" si="62"/>
        <v>SEP</v>
      </c>
      <c r="M937" s="12" t="str">
        <f t="shared" si="62"/>
        <v>OCT</v>
      </c>
      <c r="N937" s="12" t="str">
        <f t="shared" si="62"/>
        <v>NOV</v>
      </c>
      <c r="O937" s="12" t="str">
        <f t="shared" si="62"/>
        <v>DEC</v>
      </c>
      <c r="P937" s="12" t="str">
        <f t="shared" si="62"/>
        <v>JAN</v>
      </c>
    </row>
    <row r="938" spans="1:16" ht="14.4" x14ac:dyDescent="0.3">
      <c r="A938" s="14" t="s">
        <v>17</v>
      </c>
      <c r="B938" s="15"/>
      <c r="C938" s="16"/>
      <c r="D938" s="17"/>
      <c r="E938" s="17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</row>
    <row r="939" spans="1:16" ht="14.4" x14ac:dyDescent="0.3">
      <c r="A939" s="18" t="s">
        <v>18</v>
      </c>
      <c r="B939" s="19"/>
      <c r="C939" s="16" t="s">
        <v>19</v>
      </c>
      <c r="D939" s="52" t="s">
        <v>59</v>
      </c>
      <c r="E939" s="52" t="s">
        <v>59</v>
      </c>
      <c r="F939" s="52" t="s">
        <v>59</v>
      </c>
      <c r="G939" s="52" t="s">
        <v>59</v>
      </c>
      <c r="H939" s="52" t="s">
        <v>59</v>
      </c>
      <c r="I939" s="52" t="s">
        <v>59</v>
      </c>
      <c r="J939" s="52" t="s">
        <v>59</v>
      </c>
      <c r="K939" s="52" t="s">
        <v>59</v>
      </c>
      <c r="L939" s="52" t="s">
        <v>59</v>
      </c>
      <c r="M939" s="52" t="s">
        <v>59</v>
      </c>
      <c r="N939" s="52" t="s">
        <v>59</v>
      </c>
      <c r="O939" s="52" t="s">
        <v>59</v>
      </c>
      <c r="P939" s="52" t="s">
        <v>59</v>
      </c>
    </row>
    <row r="940" spans="1:16" ht="14.4" hidden="1" x14ac:dyDescent="0.3">
      <c r="A940" s="18" t="s">
        <v>66</v>
      </c>
      <c r="B940" s="19"/>
      <c r="C940" s="16" t="s">
        <v>19</v>
      </c>
      <c r="D940" s="20">
        <v>0</v>
      </c>
      <c r="E940" s="20">
        <v>0</v>
      </c>
      <c r="F940" s="20">
        <v>0</v>
      </c>
      <c r="G940" s="20">
        <v>0</v>
      </c>
      <c r="H940" s="20">
        <v>0</v>
      </c>
      <c r="I940" s="20">
        <v>0</v>
      </c>
      <c r="J940" s="20">
        <v>0</v>
      </c>
      <c r="K940" s="20">
        <v>0</v>
      </c>
      <c r="L940" s="20">
        <v>0</v>
      </c>
      <c r="M940" s="20">
        <v>0</v>
      </c>
      <c r="N940" s="20">
        <v>0</v>
      </c>
      <c r="O940" s="20">
        <v>0</v>
      </c>
      <c r="P940" s="20">
        <v>0</v>
      </c>
    </row>
    <row r="941" spans="1:16" ht="14.4" x14ac:dyDescent="0.3">
      <c r="A941" s="14" t="s">
        <v>20</v>
      </c>
      <c r="B941" s="15"/>
      <c r="C941" s="16"/>
      <c r="D941" s="21"/>
      <c r="E941" s="21"/>
      <c r="F941" s="21"/>
      <c r="G941" s="21"/>
      <c r="H941" s="21"/>
      <c r="I941" s="21"/>
      <c r="J941" s="21"/>
      <c r="K941" s="21"/>
      <c r="L941" s="21"/>
      <c r="M941" s="21"/>
      <c r="N941" s="21"/>
      <c r="O941" s="21"/>
      <c r="P941" s="21"/>
    </row>
    <row r="942" spans="1:16" ht="14.4" x14ac:dyDescent="0.3">
      <c r="A942" s="18" t="s">
        <v>21</v>
      </c>
      <c r="B942" s="19"/>
      <c r="C942" s="16" t="s">
        <v>19</v>
      </c>
      <c r="D942" s="20">
        <v>0</v>
      </c>
      <c r="E942" s="20">
        <v>0</v>
      </c>
      <c r="F942" s="20">
        <v>0</v>
      </c>
      <c r="G942" s="20">
        <v>0</v>
      </c>
      <c r="H942" s="20">
        <v>0</v>
      </c>
      <c r="I942" s="20">
        <v>0</v>
      </c>
      <c r="J942" s="20">
        <v>0</v>
      </c>
      <c r="K942" s="20">
        <v>0</v>
      </c>
      <c r="L942" s="20">
        <v>0</v>
      </c>
      <c r="M942" s="20">
        <v>0</v>
      </c>
      <c r="N942" s="20">
        <v>0</v>
      </c>
      <c r="O942" s="20">
        <v>0</v>
      </c>
      <c r="P942" s="20">
        <v>0</v>
      </c>
    </row>
    <row r="943" spans="1:16" ht="14.4" x14ac:dyDescent="0.3">
      <c r="A943" s="18" t="s">
        <v>22</v>
      </c>
      <c r="B943" s="19"/>
      <c r="C943" s="16" t="s">
        <v>23</v>
      </c>
      <c r="D943" s="23">
        <f>[43]TR!D63</f>
        <v>267.64</v>
      </c>
      <c r="E943" s="23">
        <f>[43]TR!E63</f>
        <v>301.05</v>
      </c>
      <c r="F943" s="23">
        <f>[43]TR!F63</f>
        <v>303.99</v>
      </c>
      <c r="G943" s="23">
        <f>[43]TR!G63</f>
        <v>277.52</v>
      </c>
      <c r="H943" s="23">
        <f>[43]TR!H63</f>
        <v>299.16000000000003</v>
      </c>
      <c r="I943" s="20">
        <f>[43]TR!I63</f>
        <v>278.86750000000001</v>
      </c>
      <c r="J943" s="20">
        <f>[43]TR!J63</f>
        <v>274.50749999999999</v>
      </c>
      <c r="K943" s="20">
        <f>[43]TR!K63</f>
        <v>245.8475</v>
      </c>
      <c r="L943" s="20">
        <f>[43]TR!L63</f>
        <v>236.2775</v>
      </c>
      <c r="M943" s="20">
        <f>[43]TR!M63</f>
        <v>242.86750000000001</v>
      </c>
      <c r="N943" s="20">
        <f>[43]TR!N63</f>
        <v>246.47749999999999</v>
      </c>
      <c r="O943" s="20">
        <f>[43]TR!O63</f>
        <v>256.02749999999997</v>
      </c>
      <c r="P943" s="20">
        <f>[43]TR!P63</f>
        <v>0</v>
      </c>
    </row>
    <row r="944" spans="1:16" ht="14.4" x14ac:dyDescent="0.3">
      <c r="A944" s="14" t="s">
        <v>24</v>
      </c>
      <c r="B944" s="15"/>
      <c r="C944" s="16"/>
      <c r="D944" s="21"/>
      <c r="E944" s="21"/>
      <c r="F944" s="21"/>
      <c r="G944" s="21"/>
      <c r="H944" s="21"/>
      <c r="I944" s="21"/>
      <c r="J944" s="21"/>
      <c r="K944" s="21"/>
      <c r="L944" s="21"/>
      <c r="M944" s="21"/>
      <c r="N944" s="21"/>
      <c r="O944" s="21"/>
      <c r="P944" s="21"/>
    </row>
    <row r="945" spans="1:16" ht="14.4" x14ac:dyDescent="0.3">
      <c r="A945" s="18" t="s">
        <v>25</v>
      </c>
      <c r="B945" s="19"/>
      <c r="C945" s="16" t="s">
        <v>19</v>
      </c>
      <c r="D945" s="20">
        <f>[43]SLR!D77</f>
        <v>5.8599999999999999E-2</v>
      </c>
      <c r="E945" s="20">
        <f>[43]SLR!E77</f>
        <v>6.7699999999999996E-2</v>
      </c>
      <c r="F945" s="20">
        <f>[43]SLR!F77</f>
        <v>6.5299999999999997E-2</v>
      </c>
      <c r="G945" s="20">
        <f>[43]SLR!G77</f>
        <v>6.7799999999999999E-2</v>
      </c>
      <c r="H945" s="20">
        <f>[43]SLR!H77</f>
        <v>6.3600000000000004E-2</v>
      </c>
      <c r="I945" s="20">
        <f>[43]SLR!I77</f>
        <v>5.0200000000000002E-2</v>
      </c>
      <c r="J945" s="20">
        <f>[43]SLR!J77</f>
        <v>5.4899999999999997E-2</v>
      </c>
      <c r="K945" s="20">
        <f>[43]SLR!K77</f>
        <v>5.28E-2</v>
      </c>
      <c r="L945" s="20">
        <f>[43]SLR!L77</f>
        <v>4.4999999999999998E-2</v>
      </c>
      <c r="M945" s="20">
        <f>[43]SLR!M77</f>
        <v>4.41E-2</v>
      </c>
      <c r="N945" s="20">
        <f>[43]SLR!N77</f>
        <v>4.5699999999999998E-2</v>
      </c>
      <c r="O945" s="20">
        <f>[43]SLR!O77</f>
        <v>4.65E-2</v>
      </c>
      <c r="P945" s="20">
        <f>[43]SLR!P77</f>
        <v>0</v>
      </c>
    </row>
    <row r="946" spans="1:16" ht="14.4" x14ac:dyDescent="0.3">
      <c r="A946" s="14" t="s">
        <v>26</v>
      </c>
      <c r="B946" s="14"/>
      <c r="C946" s="16"/>
      <c r="D946" s="22"/>
      <c r="E946" s="22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</row>
    <row r="947" spans="1:16" ht="14.4" x14ac:dyDescent="0.3">
      <c r="A947" s="18" t="s">
        <v>27</v>
      </c>
      <c r="B947" s="18"/>
      <c r="C947" s="16" t="s">
        <v>19</v>
      </c>
      <c r="D947" s="20">
        <f t="shared" ref="D947:O947" si="63">D897</f>
        <v>5.7799999999999997E-2</v>
      </c>
      <c r="E947" s="20">
        <f t="shared" si="63"/>
        <v>5.7799999999999997E-2</v>
      </c>
      <c r="F947" s="20">
        <f t="shared" si="63"/>
        <v>5.7799999999999997E-2</v>
      </c>
      <c r="G947" s="20">
        <f t="shared" si="63"/>
        <v>5.7799999999999997E-2</v>
      </c>
      <c r="H947" s="20">
        <f t="shared" si="63"/>
        <v>5.7799999999999997E-2</v>
      </c>
      <c r="I947" s="20">
        <f t="shared" si="63"/>
        <v>5.7799999999999997E-2</v>
      </c>
      <c r="J947" s="20">
        <f t="shared" si="63"/>
        <v>5.1299999999999998E-2</v>
      </c>
      <c r="K947" s="20">
        <f t="shared" si="63"/>
        <v>5.1299999999999998E-2</v>
      </c>
      <c r="L947" s="20">
        <f t="shared" si="63"/>
        <v>5.1299999999999998E-2</v>
      </c>
      <c r="M947" s="20">
        <f t="shared" si="63"/>
        <v>5.1299999999999998E-2</v>
      </c>
      <c r="N947" s="20">
        <f t="shared" si="63"/>
        <v>5.1299999999999998E-2</v>
      </c>
      <c r="O947" s="20">
        <f t="shared" si="63"/>
        <v>5.1299999999999998E-2</v>
      </c>
      <c r="P947" s="20">
        <f>P897</f>
        <v>5.1299999999999998E-2</v>
      </c>
    </row>
    <row r="948" spans="1:16" ht="14.4" x14ac:dyDescent="0.3">
      <c r="A948" s="18" t="s">
        <v>28</v>
      </c>
      <c r="B948" s="18"/>
      <c r="C948" s="16" t="s">
        <v>23</v>
      </c>
      <c r="D948" s="23">
        <v>161.5</v>
      </c>
      <c r="E948" s="23">
        <v>161.5</v>
      </c>
      <c r="F948" s="23">
        <v>161.5</v>
      </c>
      <c r="G948" s="23">
        <v>161.5</v>
      </c>
      <c r="H948" s="23">
        <v>161.5</v>
      </c>
      <c r="I948" s="23">
        <v>161.5</v>
      </c>
      <c r="J948" s="23">
        <v>143.32</v>
      </c>
      <c r="K948" s="23">
        <v>143.32</v>
      </c>
      <c r="L948" s="23">
        <v>143.32</v>
      </c>
      <c r="M948" s="23">
        <v>143.32</v>
      </c>
      <c r="N948" s="23">
        <v>143.32</v>
      </c>
      <c r="O948" s="23">
        <v>143.32</v>
      </c>
      <c r="P948" s="23">
        <v>143.32</v>
      </c>
    </row>
    <row r="949" spans="1:16" ht="14.4" x14ac:dyDescent="0.3">
      <c r="A949" s="14" t="s">
        <v>29</v>
      </c>
      <c r="B949" s="14"/>
      <c r="C949" s="16"/>
      <c r="D949" s="24"/>
      <c r="E949" s="24"/>
      <c r="F949" s="24"/>
      <c r="G949" s="24"/>
      <c r="H949" s="24"/>
      <c r="I949" s="24"/>
      <c r="J949" s="24"/>
      <c r="K949" s="24"/>
      <c r="L949" s="24"/>
      <c r="M949" s="24"/>
      <c r="N949" s="24"/>
      <c r="O949" s="24"/>
      <c r="P949" s="24"/>
    </row>
    <row r="950" spans="1:16" ht="14.4" x14ac:dyDescent="0.3">
      <c r="A950" s="18" t="s">
        <v>30</v>
      </c>
      <c r="B950" s="18"/>
      <c r="C950" s="16" t="s">
        <v>19</v>
      </c>
      <c r="D950" s="52" t="s">
        <v>61</v>
      </c>
      <c r="E950" s="52" t="s">
        <v>61</v>
      </c>
      <c r="F950" s="52" t="s">
        <v>61</v>
      </c>
      <c r="G950" s="52" t="s">
        <v>61</v>
      </c>
      <c r="H950" s="52" t="s">
        <v>61</v>
      </c>
      <c r="I950" s="52" t="s">
        <v>61</v>
      </c>
      <c r="J950" s="52" t="s">
        <v>61</v>
      </c>
      <c r="K950" s="52" t="s">
        <v>61</v>
      </c>
      <c r="L950" s="52" t="s">
        <v>61</v>
      </c>
      <c r="M950" s="52" t="s">
        <v>61</v>
      </c>
      <c r="N950" s="52" t="s">
        <v>61</v>
      </c>
      <c r="O950" s="52" t="s">
        <v>61</v>
      </c>
      <c r="P950" s="52" t="s">
        <v>61</v>
      </c>
    </row>
    <row r="951" spans="1:16" ht="14.4" x14ac:dyDescent="0.3">
      <c r="A951" s="18" t="s">
        <v>31</v>
      </c>
      <c r="B951" s="18"/>
      <c r="C951" s="16" t="s">
        <v>32</v>
      </c>
      <c r="D951" s="52" t="s">
        <v>62</v>
      </c>
      <c r="E951" s="52" t="s">
        <v>62</v>
      </c>
      <c r="F951" s="52" t="s">
        <v>62</v>
      </c>
      <c r="G951" s="52" t="s">
        <v>62</v>
      </c>
      <c r="H951" s="52" t="s">
        <v>62</v>
      </c>
      <c r="I951" s="52" t="s">
        <v>62</v>
      </c>
      <c r="J951" s="52" t="s">
        <v>62</v>
      </c>
      <c r="K951" s="52" t="s">
        <v>62</v>
      </c>
      <c r="L951" s="52" t="s">
        <v>62</v>
      </c>
      <c r="M951" s="52" t="s">
        <v>62</v>
      </c>
      <c r="N951" s="52" t="s">
        <v>62</v>
      </c>
      <c r="O951" s="52" t="s">
        <v>62</v>
      </c>
      <c r="P951" s="52" t="s">
        <v>62</v>
      </c>
    </row>
    <row r="952" spans="1:16" ht="14.4" x14ac:dyDescent="0.3">
      <c r="A952" s="14" t="s">
        <v>33</v>
      </c>
      <c r="B952" s="14"/>
      <c r="C952" s="16"/>
      <c r="D952" s="24"/>
      <c r="E952" s="24"/>
      <c r="F952" s="24"/>
      <c r="G952" s="24"/>
      <c r="H952" s="24"/>
      <c r="I952" s="24"/>
      <c r="J952" s="24"/>
      <c r="K952" s="24"/>
      <c r="L952" s="24"/>
      <c r="M952" s="24"/>
      <c r="N952" s="24"/>
      <c r="O952" s="24"/>
      <c r="P952" s="24"/>
    </row>
    <row r="953" spans="1:16" ht="14.4" x14ac:dyDescent="0.3">
      <c r="A953" s="18" t="s">
        <v>34</v>
      </c>
      <c r="B953" s="18"/>
      <c r="C953" s="16" t="s">
        <v>19</v>
      </c>
      <c r="D953" s="20">
        <v>0</v>
      </c>
      <c r="E953" s="20">
        <v>0</v>
      </c>
      <c r="F953" s="20">
        <v>0</v>
      </c>
      <c r="G953" s="20">
        <v>0</v>
      </c>
      <c r="H953" s="20">
        <v>0</v>
      </c>
      <c r="I953" s="20">
        <v>0</v>
      </c>
      <c r="J953" s="20">
        <v>0</v>
      </c>
      <c r="K953" s="20">
        <v>0</v>
      </c>
      <c r="L953" s="20">
        <v>0</v>
      </c>
      <c r="M953" s="20">
        <v>0</v>
      </c>
      <c r="N953" s="20">
        <v>0</v>
      </c>
      <c r="O953" s="20">
        <v>0</v>
      </c>
      <c r="P953" s="20">
        <v>0</v>
      </c>
    </row>
    <row r="954" spans="1:16" ht="14.4" x14ac:dyDescent="0.3">
      <c r="A954" s="18" t="s">
        <v>35</v>
      </c>
      <c r="B954" s="18"/>
      <c r="C954" s="16" t="s">
        <v>36</v>
      </c>
      <c r="D954" s="52" t="s">
        <v>63</v>
      </c>
      <c r="E954" s="52" t="s">
        <v>63</v>
      </c>
      <c r="F954" s="52" t="s">
        <v>63</v>
      </c>
      <c r="G954" s="52" t="s">
        <v>63</v>
      </c>
      <c r="H954" s="52" t="s">
        <v>63</v>
      </c>
      <c r="I954" s="52" t="s">
        <v>63</v>
      </c>
      <c r="J954" s="52" t="s">
        <v>63</v>
      </c>
      <c r="K954" s="52" t="s">
        <v>63</v>
      </c>
      <c r="L954" s="52" t="s">
        <v>63</v>
      </c>
      <c r="M954" s="52" t="s">
        <v>63</v>
      </c>
      <c r="N954" s="52" t="s">
        <v>63</v>
      </c>
      <c r="O954" s="52" t="s">
        <v>63</v>
      </c>
      <c r="P954" s="52" t="s">
        <v>63</v>
      </c>
    </row>
    <row r="955" spans="1:16" ht="14.4" x14ac:dyDescent="0.3">
      <c r="A955" s="14" t="s">
        <v>37</v>
      </c>
      <c r="B955" s="14"/>
      <c r="C955" s="16"/>
      <c r="D955" s="24"/>
      <c r="E955" s="24"/>
      <c r="F955" s="24"/>
      <c r="G955" s="24"/>
      <c r="H955" s="24"/>
      <c r="I955" s="24"/>
      <c r="J955" s="24"/>
      <c r="K955" s="24"/>
      <c r="L955" s="24"/>
      <c r="M955" s="24"/>
      <c r="N955" s="24"/>
      <c r="O955" s="24"/>
      <c r="P955" s="24"/>
    </row>
    <row r="956" spans="1:16" ht="14.4" x14ac:dyDescent="0.3">
      <c r="A956" s="25" t="s">
        <v>38</v>
      </c>
      <c r="B956" s="18"/>
      <c r="C956" s="16" t="s">
        <v>19</v>
      </c>
      <c r="D956" s="20">
        <f t="shared" ref="D956:O956" si="64">D906</f>
        <v>0.1215</v>
      </c>
      <c r="E956" s="20">
        <f t="shared" si="64"/>
        <v>0.14280000000000001</v>
      </c>
      <c r="F956" s="20">
        <f t="shared" si="64"/>
        <v>0.1462</v>
      </c>
      <c r="G956" s="20">
        <f t="shared" si="64"/>
        <v>0.15629999999999999</v>
      </c>
      <c r="H956" s="20">
        <f t="shared" si="64"/>
        <v>0.1152</v>
      </c>
      <c r="I956" s="20">
        <f t="shared" si="64"/>
        <v>9.3799999999999994E-2</v>
      </c>
      <c r="J956" s="20">
        <f t="shared" si="64"/>
        <v>7.7499999999999999E-2</v>
      </c>
      <c r="K956" s="20">
        <f t="shared" si="64"/>
        <v>9.3200000000000005E-2</v>
      </c>
      <c r="L956" s="20">
        <f t="shared" si="64"/>
        <v>8.5099999999999995E-2</v>
      </c>
      <c r="M956" s="20">
        <f t="shared" si="64"/>
        <v>8.0299999999999996E-2</v>
      </c>
      <c r="N956" s="20">
        <f t="shared" si="64"/>
        <v>8.3699999999999997E-2</v>
      </c>
      <c r="O956" s="20">
        <f t="shared" si="64"/>
        <v>8.1699999999999995E-2</v>
      </c>
      <c r="P956" s="20">
        <f>P906</f>
        <v>0</v>
      </c>
    </row>
    <row r="957" spans="1:16" ht="14.4" x14ac:dyDescent="0.3">
      <c r="A957" s="25" t="s">
        <v>39</v>
      </c>
      <c r="B957" s="18"/>
      <c r="C957" s="16" t="s">
        <v>19</v>
      </c>
      <c r="D957" s="20">
        <v>0</v>
      </c>
      <c r="E957" s="20">
        <v>0</v>
      </c>
      <c r="F957" s="20">
        <v>0</v>
      </c>
      <c r="G957" s="20">
        <v>0</v>
      </c>
      <c r="H957" s="20">
        <v>0</v>
      </c>
      <c r="I957" s="20">
        <v>0</v>
      </c>
      <c r="J957" s="20">
        <v>0</v>
      </c>
      <c r="K957" s="20">
        <v>0</v>
      </c>
      <c r="L957" s="20">
        <v>0</v>
      </c>
      <c r="M957" s="20">
        <v>0</v>
      </c>
      <c r="N957" s="20">
        <v>0</v>
      </c>
      <c r="O957" s="20">
        <v>0</v>
      </c>
      <c r="P957" s="20">
        <v>0</v>
      </c>
    </row>
    <row r="958" spans="1:16" ht="14.4" x14ac:dyDescent="0.3">
      <c r="A958" s="26" t="s">
        <v>40</v>
      </c>
      <c r="B958" s="18"/>
      <c r="C958" s="16" t="s">
        <v>19</v>
      </c>
      <c r="D958" s="20">
        <f t="shared" ref="D958:O960" si="65">D908</f>
        <v>1E-4</v>
      </c>
      <c r="E958" s="20">
        <f t="shared" si="65"/>
        <v>1E-4</v>
      </c>
      <c r="F958" s="20">
        <f t="shared" si="65"/>
        <v>1E-4</v>
      </c>
      <c r="G958" s="20">
        <f t="shared" si="65"/>
        <v>1E-4</v>
      </c>
      <c r="H958" s="20">
        <f t="shared" si="65"/>
        <v>1E-4</v>
      </c>
      <c r="I958" s="20">
        <f t="shared" si="65"/>
        <v>1E-4</v>
      </c>
      <c r="J958" s="20">
        <f t="shared" si="65"/>
        <v>1E-4</v>
      </c>
      <c r="K958" s="20">
        <f t="shared" si="65"/>
        <v>1E-4</v>
      </c>
      <c r="L958" s="20">
        <f t="shared" si="65"/>
        <v>1E-4</v>
      </c>
      <c r="M958" s="20">
        <f t="shared" si="65"/>
        <v>1E-4</v>
      </c>
      <c r="N958" s="20">
        <f t="shared" si="65"/>
        <v>1E-4</v>
      </c>
      <c r="O958" s="20">
        <f t="shared" si="65"/>
        <v>1E-4</v>
      </c>
      <c r="P958" s="20">
        <f>P908</f>
        <v>0</v>
      </c>
    </row>
    <row r="959" spans="1:16" ht="14.4" x14ac:dyDescent="0.3">
      <c r="A959" s="26" t="s">
        <v>41</v>
      </c>
      <c r="B959" s="18"/>
      <c r="C959" s="16" t="s">
        <v>19</v>
      </c>
      <c r="D959" s="20">
        <f t="shared" si="65"/>
        <v>0</v>
      </c>
      <c r="E959" s="20">
        <f t="shared" si="65"/>
        <v>0</v>
      </c>
      <c r="F959" s="20">
        <f t="shared" si="65"/>
        <v>0</v>
      </c>
      <c r="G959" s="20">
        <f t="shared" si="65"/>
        <v>0</v>
      </c>
      <c r="H959" s="20">
        <f t="shared" si="65"/>
        <v>0</v>
      </c>
      <c r="I959" s="20">
        <f t="shared" si="65"/>
        <v>0</v>
      </c>
      <c r="J959" s="20">
        <f t="shared" si="65"/>
        <v>0</v>
      </c>
      <c r="K959" s="20">
        <f t="shared" si="65"/>
        <v>0</v>
      </c>
      <c r="L959" s="20">
        <f t="shared" si="65"/>
        <v>0</v>
      </c>
      <c r="M959" s="20">
        <f t="shared" si="65"/>
        <v>0</v>
      </c>
      <c r="N959" s="20">
        <f t="shared" si="65"/>
        <v>0</v>
      </c>
      <c r="O959" s="20">
        <f t="shared" si="65"/>
        <v>0</v>
      </c>
      <c r="P959" s="20">
        <f>P909</f>
        <v>0</v>
      </c>
    </row>
    <row r="960" spans="1:16" ht="14.4" hidden="1" x14ac:dyDescent="0.3">
      <c r="A960" s="154" t="s">
        <v>181</v>
      </c>
      <c r="B960" s="155"/>
      <c r="C960" s="16" t="s">
        <v>19</v>
      </c>
      <c r="D960" s="20">
        <f t="shared" si="65"/>
        <v>0</v>
      </c>
      <c r="E960" s="20">
        <f t="shared" si="65"/>
        <v>0</v>
      </c>
      <c r="F960" s="20">
        <f t="shared" si="65"/>
        <v>0</v>
      </c>
      <c r="G960" s="20">
        <f t="shared" si="65"/>
        <v>0</v>
      </c>
      <c r="H960" s="20">
        <f t="shared" si="65"/>
        <v>0</v>
      </c>
      <c r="I960" s="20">
        <f t="shared" si="65"/>
        <v>0</v>
      </c>
      <c r="J960" s="20">
        <f t="shared" si="65"/>
        <v>0</v>
      </c>
      <c r="K960" s="20">
        <f t="shared" si="65"/>
        <v>0</v>
      </c>
      <c r="L960" s="20">
        <f t="shared" si="65"/>
        <v>0</v>
      </c>
      <c r="M960" s="20">
        <f t="shared" si="65"/>
        <v>0</v>
      </c>
      <c r="N960" s="20">
        <f t="shared" si="65"/>
        <v>0</v>
      </c>
      <c r="O960" s="20">
        <f t="shared" si="65"/>
        <v>0</v>
      </c>
      <c r="P960" s="20">
        <f>P910</f>
        <v>0</v>
      </c>
    </row>
    <row r="961" spans="1:16" ht="16.2" hidden="1" x14ac:dyDescent="0.3">
      <c r="A961" s="154" t="s">
        <v>182</v>
      </c>
      <c r="B961" s="155"/>
      <c r="C961" s="16" t="s">
        <v>19</v>
      </c>
      <c r="D961" s="20"/>
      <c r="E961" s="20"/>
      <c r="F961" s="20"/>
      <c r="G961" s="20"/>
      <c r="H961" s="20"/>
      <c r="I961" s="20"/>
      <c r="J961" s="20"/>
      <c r="K961" s="20"/>
      <c r="L961" s="20"/>
      <c r="M961" s="20"/>
      <c r="N961" s="20"/>
      <c r="O961" s="20"/>
      <c r="P961" s="20"/>
    </row>
    <row r="962" spans="1:16" ht="16.2" hidden="1" x14ac:dyDescent="0.3">
      <c r="A962" s="154" t="s">
        <v>182</v>
      </c>
      <c r="B962" s="156"/>
      <c r="C962" s="16" t="s">
        <v>19</v>
      </c>
      <c r="D962" s="20"/>
      <c r="E962" s="20"/>
      <c r="F962" s="20"/>
      <c r="G962" s="20"/>
      <c r="H962" s="20"/>
      <c r="I962" s="20"/>
      <c r="J962" s="20"/>
      <c r="K962" s="20"/>
      <c r="L962" s="20"/>
      <c r="M962" s="20"/>
      <c r="N962" s="20"/>
      <c r="O962" s="20"/>
      <c r="P962" s="20"/>
    </row>
    <row r="963" spans="1:16" ht="14.4" x14ac:dyDescent="0.3">
      <c r="A963" s="14" t="s">
        <v>42</v>
      </c>
      <c r="B963" s="14"/>
      <c r="C963" s="16"/>
      <c r="D963" s="24"/>
      <c r="E963" s="24"/>
      <c r="F963" s="24"/>
      <c r="G963" s="24"/>
      <c r="H963" s="24"/>
      <c r="I963" s="24"/>
      <c r="J963" s="24"/>
      <c r="K963" s="24"/>
      <c r="L963" s="24"/>
      <c r="M963" s="24"/>
      <c r="N963" s="24"/>
      <c r="O963" s="24"/>
      <c r="P963" s="24"/>
    </row>
    <row r="964" spans="1:16" ht="14.4" x14ac:dyDescent="0.3">
      <c r="A964" s="14" t="s">
        <v>43</v>
      </c>
      <c r="B964" s="14"/>
      <c r="C964" s="16" t="s">
        <v>44</v>
      </c>
      <c r="D964" s="27"/>
      <c r="E964" s="27"/>
      <c r="F964" s="27"/>
      <c r="G964" s="27"/>
      <c r="H964" s="27"/>
      <c r="I964" s="27"/>
      <c r="J964" s="27"/>
      <c r="K964" s="27"/>
      <c r="L964" s="27"/>
      <c r="M964" s="27"/>
      <c r="N964" s="27"/>
      <c r="O964" s="27"/>
      <c r="P964" s="27"/>
    </row>
    <row r="965" spans="1:16" ht="14.4" hidden="1" x14ac:dyDescent="0.3">
      <c r="A965" s="14" t="s">
        <v>183</v>
      </c>
      <c r="B965" s="14"/>
      <c r="C965" s="16"/>
      <c r="D965" s="28"/>
      <c r="E965" s="28"/>
      <c r="F965" s="28"/>
      <c r="G965" s="28"/>
      <c r="H965" s="28"/>
      <c r="I965" s="28"/>
      <c r="J965" s="28"/>
      <c r="K965" s="28"/>
      <c r="L965" s="28"/>
      <c r="M965" s="28"/>
      <c r="N965" s="28"/>
      <c r="O965" s="28"/>
      <c r="P965" s="28"/>
    </row>
    <row r="966" spans="1:16" ht="14.4" hidden="1" x14ac:dyDescent="0.3">
      <c r="A966" s="14" t="s">
        <v>184</v>
      </c>
      <c r="B966" s="14"/>
      <c r="C966" s="16" t="s">
        <v>19</v>
      </c>
      <c r="D966" s="20"/>
      <c r="E966" s="20"/>
      <c r="F966" s="20"/>
      <c r="G966" s="20"/>
      <c r="H966" s="20"/>
      <c r="I966" s="20"/>
      <c r="J966" s="20"/>
      <c r="K966" s="20"/>
      <c r="L966" s="20"/>
      <c r="M966" s="20"/>
      <c r="N966" s="20"/>
      <c r="O966" s="20"/>
      <c r="P966" s="20"/>
    </row>
    <row r="967" spans="1:16" ht="14.4" x14ac:dyDescent="0.3">
      <c r="A967" s="14" t="s">
        <v>45</v>
      </c>
      <c r="B967" s="14"/>
      <c r="C967" s="16"/>
      <c r="D967" s="28"/>
      <c r="E967" s="28"/>
      <c r="F967" s="28"/>
      <c r="G967" s="28"/>
      <c r="H967" s="28"/>
      <c r="I967" s="28"/>
      <c r="J967" s="28"/>
      <c r="K967" s="28"/>
      <c r="L967" s="28"/>
      <c r="M967" s="28"/>
      <c r="N967" s="28"/>
      <c r="O967" s="28"/>
      <c r="P967" s="28"/>
    </row>
    <row r="968" spans="1:16" ht="14.4" x14ac:dyDescent="0.3">
      <c r="A968" s="14" t="s">
        <v>46</v>
      </c>
      <c r="B968" s="14"/>
      <c r="C968" s="16" t="s">
        <v>19</v>
      </c>
      <c r="D968" s="20">
        <v>0</v>
      </c>
      <c r="E968" s="20">
        <v>0</v>
      </c>
      <c r="F968" s="20">
        <v>0</v>
      </c>
      <c r="G968" s="20">
        <v>0</v>
      </c>
      <c r="H968" s="20">
        <v>0</v>
      </c>
      <c r="I968" s="20">
        <v>0</v>
      </c>
      <c r="J968" s="20">
        <v>0</v>
      </c>
      <c r="K968" s="20">
        <v>0</v>
      </c>
      <c r="L968" s="20">
        <v>0</v>
      </c>
      <c r="M968" s="20">
        <v>0</v>
      </c>
      <c r="N968" s="20">
        <v>0</v>
      </c>
      <c r="O968" s="20">
        <v>0</v>
      </c>
      <c r="P968" s="20">
        <v>0</v>
      </c>
    </row>
    <row r="969" spans="1:16" ht="14.4" hidden="1" x14ac:dyDescent="0.3">
      <c r="A969" s="14" t="s">
        <v>185</v>
      </c>
      <c r="B969" s="14"/>
      <c r="C969" s="16"/>
      <c r="D969" s="28"/>
      <c r="E969" s="28"/>
      <c r="F969" s="28"/>
      <c r="G969" s="28"/>
      <c r="H969" s="28"/>
      <c r="I969" s="28"/>
      <c r="J969" s="28"/>
      <c r="K969" s="28"/>
      <c r="L969" s="28"/>
      <c r="M969" s="28"/>
      <c r="N969" s="28"/>
      <c r="O969" s="28"/>
      <c r="P969" s="28"/>
    </row>
    <row r="970" spans="1:16" ht="14.4" hidden="1" x14ac:dyDescent="0.3">
      <c r="A970" s="14" t="s">
        <v>186</v>
      </c>
      <c r="B970" s="14"/>
      <c r="C970" s="16" t="s">
        <v>19</v>
      </c>
      <c r="D970" s="20"/>
      <c r="E970" s="20"/>
      <c r="F970" s="20"/>
      <c r="G970" s="20"/>
      <c r="H970" s="20"/>
      <c r="I970" s="20"/>
      <c r="J970" s="20"/>
      <c r="K970" s="20"/>
      <c r="L970" s="20"/>
      <c r="M970" s="20"/>
      <c r="N970" s="20"/>
      <c r="O970" s="20"/>
      <c r="P970" s="20"/>
    </row>
    <row r="971" spans="1:16" ht="14.4" x14ac:dyDescent="0.3">
      <c r="A971" s="14" t="s">
        <v>47</v>
      </c>
      <c r="B971" s="14"/>
      <c r="C971" s="16"/>
      <c r="D971" s="24"/>
      <c r="E971" s="24"/>
      <c r="F971" s="24"/>
      <c r="G971" s="24"/>
      <c r="H971" s="24"/>
      <c r="I971" s="24"/>
      <c r="J971" s="24"/>
      <c r="K971" s="24"/>
      <c r="L971" s="24"/>
      <c r="M971" s="24"/>
      <c r="N971" s="24"/>
      <c r="O971" s="24"/>
      <c r="P971" s="24"/>
    </row>
    <row r="972" spans="1:16" ht="14.4" x14ac:dyDescent="0.3">
      <c r="A972" s="18" t="s">
        <v>48</v>
      </c>
      <c r="B972" s="18"/>
      <c r="C972" s="16" t="s">
        <v>19</v>
      </c>
      <c r="D972" s="20">
        <f t="shared" ref="D972:P974" si="66">D922</f>
        <v>0.15609999999999999</v>
      </c>
      <c r="E972" s="20">
        <f t="shared" si="66"/>
        <v>0.15609999999999999</v>
      </c>
      <c r="F972" s="20">
        <f t="shared" si="66"/>
        <v>0.15609999999999999</v>
      </c>
      <c r="G972" s="20">
        <f t="shared" si="66"/>
        <v>0.15609999999999999</v>
      </c>
      <c r="H972" s="20">
        <f t="shared" si="66"/>
        <v>0.15609999999999999</v>
      </c>
      <c r="I972" s="20">
        <f t="shared" si="66"/>
        <v>0.15609999999999999</v>
      </c>
      <c r="J972" s="20">
        <f t="shared" si="66"/>
        <v>0.15609999999999999</v>
      </c>
      <c r="K972" s="20">
        <f t="shared" si="66"/>
        <v>0.15609999999999999</v>
      </c>
      <c r="L972" s="20">
        <f t="shared" si="66"/>
        <v>0.15609999999999999</v>
      </c>
      <c r="M972" s="20">
        <f t="shared" si="66"/>
        <v>0.15609999999999999</v>
      </c>
      <c r="N972" s="20">
        <f t="shared" si="66"/>
        <v>0.15609999999999999</v>
      </c>
      <c r="O972" s="20">
        <f t="shared" si="66"/>
        <v>0.15609999999999999</v>
      </c>
      <c r="P972" s="20">
        <f t="shared" si="66"/>
        <v>0.15609999999999999</v>
      </c>
    </row>
    <row r="973" spans="1:16" ht="14.4" x14ac:dyDescent="0.3">
      <c r="A973" s="18" t="s">
        <v>49</v>
      </c>
      <c r="B973" s="18"/>
      <c r="C973" s="16" t="s">
        <v>19</v>
      </c>
      <c r="D973" s="20">
        <f>D923</f>
        <v>2.5000000000000001E-3</v>
      </c>
      <c r="E973" s="20">
        <f t="shared" si="66"/>
        <v>2.5000000000000001E-3</v>
      </c>
      <c r="F973" s="20">
        <f t="shared" si="66"/>
        <v>2.5000000000000001E-3</v>
      </c>
      <c r="G973" s="20">
        <f t="shared" si="66"/>
        <v>2.5000000000000001E-3</v>
      </c>
      <c r="H973" s="20">
        <f t="shared" si="66"/>
        <v>2.5000000000000001E-3</v>
      </c>
      <c r="I973" s="20">
        <f t="shared" si="66"/>
        <v>2.5000000000000001E-3</v>
      </c>
      <c r="J973" s="20">
        <f t="shared" si="66"/>
        <v>2.5000000000000001E-3</v>
      </c>
      <c r="K973" s="20">
        <f t="shared" si="66"/>
        <v>2.5000000000000001E-3</v>
      </c>
      <c r="L973" s="20">
        <f t="shared" si="66"/>
        <v>2.5000000000000001E-3</v>
      </c>
      <c r="M973" s="20">
        <f t="shared" si="66"/>
        <v>2.5000000000000001E-3</v>
      </c>
      <c r="N973" s="20">
        <f t="shared" si="66"/>
        <v>2.5000000000000001E-3</v>
      </c>
      <c r="O973" s="20">
        <f t="shared" si="66"/>
        <v>2.5000000000000001E-3</v>
      </c>
      <c r="P973" s="20">
        <f t="shared" si="66"/>
        <v>2.5000000000000001E-3</v>
      </c>
    </row>
    <row r="974" spans="1:16" ht="14.4" x14ac:dyDescent="0.3">
      <c r="A974" s="18" t="s">
        <v>50</v>
      </c>
      <c r="B974" s="18"/>
      <c r="C974" s="16" t="s">
        <v>19</v>
      </c>
      <c r="D974" s="20">
        <f>D924</f>
        <v>0.1938</v>
      </c>
      <c r="E974" s="20">
        <f t="shared" si="66"/>
        <v>0.1938</v>
      </c>
      <c r="F974" s="20">
        <f t="shared" si="66"/>
        <v>0.1938</v>
      </c>
      <c r="G974" s="20">
        <f t="shared" si="66"/>
        <v>0.1938</v>
      </c>
      <c r="H974" s="20">
        <f t="shared" si="66"/>
        <v>0.1938</v>
      </c>
      <c r="I974" s="20">
        <f t="shared" si="66"/>
        <v>0.1938</v>
      </c>
      <c r="J974" s="20">
        <f t="shared" si="66"/>
        <v>0.1938</v>
      </c>
      <c r="K974" s="20">
        <f t="shared" si="66"/>
        <v>0.1938</v>
      </c>
      <c r="L974" s="20">
        <f t="shared" si="66"/>
        <v>0.1938</v>
      </c>
      <c r="M974" s="20">
        <f t="shared" si="66"/>
        <v>0.1938</v>
      </c>
      <c r="N974" s="20">
        <f t="shared" si="66"/>
        <v>0.1938</v>
      </c>
      <c r="O974" s="20">
        <f t="shared" si="66"/>
        <v>0.1938</v>
      </c>
      <c r="P974" s="20">
        <f t="shared" si="66"/>
        <v>0.1938</v>
      </c>
    </row>
    <row r="975" spans="1:16" ht="14.4" x14ac:dyDescent="0.3">
      <c r="A975" s="14" t="s">
        <v>51</v>
      </c>
      <c r="B975" s="14"/>
      <c r="C975" s="16" t="s">
        <v>19</v>
      </c>
      <c r="D975" s="20">
        <v>0</v>
      </c>
      <c r="E975" s="20">
        <v>4.0599999999999997E-2</v>
      </c>
      <c r="F975" s="20">
        <v>4.0599999999999997E-2</v>
      </c>
      <c r="G975" s="20">
        <v>4.0599999999999997E-2</v>
      </c>
      <c r="H975" s="20">
        <v>4.0599999999999997E-2</v>
      </c>
      <c r="I975" s="20">
        <v>4.0599999999999997E-2</v>
      </c>
      <c r="J975" s="20">
        <v>4.0599999999999997E-2</v>
      </c>
      <c r="K975" s="20">
        <v>4.0599999999999997E-2</v>
      </c>
      <c r="L975" s="20">
        <v>4.0599999999999997E-2</v>
      </c>
      <c r="M975" s="20">
        <v>4.0599999999999997E-2</v>
      </c>
      <c r="N975" s="20">
        <v>4.0599999999999997E-2</v>
      </c>
      <c r="O975" s="20">
        <v>4.0599999999999997E-2</v>
      </c>
      <c r="P975" s="20">
        <v>4.0599999999999997E-2</v>
      </c>
    </row>
    <row r="976" spans="1:16" ht="14.4" x14ac:dyDescent="0.3">
      <c r="A976" s="14" t="s">
        <v>52</v>
      </c>
      <c r="B976" s="14"/>
      <c r="C976" s="29"/>
      <c r="D976" s="22"/>
      <c r="E976" s="22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</row>
    <row r="977" spans="1:16" ht="14.4" x14ac:dyDescent="0.3">
      <c r="A977" s="18" t="s">
        <v>53</v>
      </c>
      <c r="B977" s="18"/>
      <c r="C977" s="16" t="s">
        <v>44</v>
      </c>
      <c r="D977" s="30">
        <f t="shared" ref="D977:O979" si="67">D927</f>
        <v>0.1154</v>
      </c>
      <c r="E977" s="30">
        <f t="shared" si="67"/>
        <v>0.1143</v>
      </c>
      <c r="F977" s="30">
        <f t="shared" si="67"/>
        <v>0.11269999999999999</v>
      </c>
      <c r="G977" s="30">
        <f t="shared" si="67"/>
        <v>0.11459999999999999</v>
      </c>
      <c r="H977" s="30">
        <f t="shared" si="67"/>
        <v>0.1134</v>
      </c>
      <c r="I977" s="30">
        <f t="shared" si="67"/>
        <v>0.11219999999999999</v>
      </c>
      <c r="J977" s="30">
        <f t="shared" si="67"/>
        <v>0.1079</v>
      </c>
      <c r="K977" s="30">
        <f t="shared" si="67"/>
        <v>0.10639999999999999</v>
      </c>
      <c r="L977" s="30">
        <f t="shared" si="67"/>
        <v>0.1089</v>
      </c>
      <c r="M977" s="30">
        <f t="shared" si="67"/>
        <v>0.1143</v>
      </c>
      <c r="N977" s="30">
        <f t="shared" si="67"/>
        <v>0.1145</v>
      </c>
      <c r="O977" s="30">
        <f t="shared" si="67"/>
        <v>0.11310000000000001</v>
      </c>
      <c r="P977" s="30" t="e">
        <f>P927</f>
        <v>#DIV/0!</v>
      </c>
    </row>
    <row r="978" spans="1:16" ht="14.4" x14ac:dyDescent="0.3">
      <c r="A978" s="18" t="s">
        <v>54</v>
      </c>
      <c r="B978" s="18"/>
      <c r="C978" s="16" t="s">
        <v>44</v>
      </c>
      <c r="D978" s="30">
        <f t="shared" si="67"/>
        <v>3.3E-3</v>
      </c>
      <c r="E978" s="30">
        <f t="shared" si="67"/>
        <v>3.5999999999999999E-3</v>
      </c>
      <c r="F978" s="30">
        <f t="shared" si="67"/>
        <v>5.5999999999999999E-3</v>
      </c>
      <c r="G978" s="30">
        <f t="shared" si="67"/>
        <v>1.0699999999999999E-2</v>
      </c>
      <c r="H978" s="30">
        <f t="shared" si="67"/>
        <v>2.8400000000000002E-2</v>
      </c>
      <c r="I978" s="30">
        <f t="shared" si="67"/>
        <v>2.7400000000000001E-2</v>
      </c>
      <c r="J978" s="30">
        <f t="shared" si="67"/>
        <v>2.18E-2</v>
      </c>
      <c r="K978" s="30">
        <f t="shared" si="67"/>
        <v>8.9999999999999993E-3</v>
      </c>
      <c r="L978" s="30">
        <f t="shared" si="67"/>
        <v>8.3999999999999995E-3</v>
      </c>
      <c r="M978" s="30">
        <f t="shared" si="67"/>
        <v>6.1999999999999998E-3</v>
      </c>
      <c r="N978" s="30">
        <f t="shared" si="67"/>
        <v>4.7000000000000002E-3</v>
      </c>
      <c r="O978" s="30">
        <f t="shared" si="67"/>
        <v>6.1999999999999998E-3</v>
      </c>
      <c r="P978" s="30">
        <f>P928</f>
        <v>-3.0300000000000001E-2</v>
      </c>
    </row>
    <row r="979" spans="1:16" ht="14.4" x14ac:dyDescent="0.3">
      <c r="A979" s="18" t="s">
        <v>55</v>
      </c>
      <c r="B979" s="18"/>
      <c r="C979" s="16" t="s">
        <v>44</v>
      </c>
      <c r="D979" s="30">
        <f t="shared" si="67"/>
        <v>9.8100000000000007E-2</v>
      </c>
      <c r="E979" s="30">
        <f t="shared" si="67"/>
        <v>9.64E-2</v>
      </c>
      <c r="F979" s="30">
        <f t="shared" si="67"/>
        <v>9.69E-2</v>
      </c>
      <c r="G979" s="30">
        <f t="shared" si="67"/>
        <v>9.9299999999999999E-2</v>
      </c>
      <c r="H979" s="30">
        <f t="shared" si="67"/>
        <v>9.9099999999999994E-2</v>
      </c>
      <c r="I979" s="30">
        <f t="shared" si="67"/>
        <v>9.8500000000000004E-2</v>
      </c>
      <c r="J979" s="30">
        <f t="shared" si="67"/>
        <v>9.5299999999999996E-2</v>
      </c>
      <c r="K979" s="30">
        <f t="shared" si="67"/>
        <v>9.1800000000000007E-2</v>
      </c>
      <c r="L979" s="30">
        <f t="shared" si="67"/>
        <v>9.3399999999999997E-2</v>
      </c>
      <c r="M979" s="30">
        <f t="shared" si="67"/>
        <v>9.7199999999999995E-2</v>
      </c>
      <c r="N979" s="30">
        <f t="shared" si="67"/>
        <v>9.6799999999999997E-2</v>
      </c>
      <c r="O979" s="30">
        <f t="shared" si="67"/>
        <v>9.6199999999999994E-2</v>
      </c>
      <c r="P979" s="30" t="e">
        <f>P929</f>
        <v>#DIV/0!</v>
      </c>
    </row>
    <row r="980" spans="1:16" ht="14.4" hidden="1" x14ac:dyDescent="0.3">
      <c r="A980" s="18" t="s">
        <v>187</v>
      </c>
      <c r="B980" s="18"/>
      <c r="C980" s="16" t="s">
        <v>44</v>
      </c>
      <c r="D980" s="27">
        <v>0</v>
      </c>
      <c r="E980" s="27">
        <v>0</v>
      </c>
      <c r="F980" s="27">
        <v>0</v>
      </c>
      <c r="G980" s="27">
        <v>0</v>
      </c>
      <c r="H980" s="27">
        <v>0</v>
      </c>
      <c r="I980" s="27">
        <v>0</v>
      </c>
      <c r="J980" s="27">
        <v>0</v>
      </c>
      <c r="K980" s="27">
        <v>0</v>
      </c>
      <c r="L980" s="27">
        <v>0</v>
      </c>
      <c r="M980" s="27">
        <v>0</v>
      </c>
      <c r="N980" s="27">
        <v>0</v>
      </c>
      <c r="O980" s="27">
        <v>0</v>
      </c>
      <c r="P980" s="27">
        <v>0</v>
      </c>
    </row>
    <row r="981" spans="1:16" ht="14.4" x14ac:dyDescent="0.3">
      <c r="A981" s="18" t="s">
        <v>56</v>
      </c>
      <c r="B981" s="18"/>
      <c r="C981" s="16" t="s">
        <v>44</v>
      </c>
      <c r="D981" s="30">
        <f t="shared" ref="D981:O982" si="68">D931</f>
        <v>0.12</v>
      </c>
      <c r="E981" s="30">
        <f t="shared" si="68"/>
        <v>0.12</v>
      </c>
      <c r="F981" s="30">
        <f t="shared" si="68"/>
        <v>0.12</v>
      </c>
      <c r="G981" s="30">
        <f t="shared" si="68"/>
        <v>0.12</v>
      </c>
      <c r="H981" s="30">
        <f t="shared" si="68"/>
        <v>0.12</v>
      </c>
      <c r="I981" s="30">
        <f t="shared" si="68"/>
        <v>0.12</v>
      </c>
      <c r="J981" s="30">
        <f t="shared" si="68"/>
        <v>0.12</v>
      </c>
      <c r="K981" s="30">
        <f t="shared" si="68"/>
        <v>0.12</v>
      </c>
      <c r="L981" s="30">
        <f t="shared" si="68"/>
        <v>0.12</v>
      </c>
      <c r="M981" s="30">
        <f t="shared" si="68"/>
        <v>0.12</v>
      </c>
      <c r="N981" s="30">
        <f t="shared" si="68"/>
        <v>0.12</v>
      </c>
      <c r="O981" s="30">
        <f t="shared" si="68"/>
        <v>0.12</v>
      </c>
      <c r="P981" s="30">
        <f>P931</f>
        <v>0.12</v>
      </c>
    </row>
    <row r="982" spans="1:16" ht="14.4" x14ac:dyDescent="0.3">
      <c r="A982" s="18" t="s">
        <v>57</v>
      </c>
      <c r="B982" s="18"/>
      <c r="C982" s="16" t="s">
        <v>44</v>
      </c>
      <c r="D982" s="30">
        <f t="shared" si="68"/>
        <v>0.12</v>
      </c>
      <c r="E982" s="30">
        <f t="shared" si="68"/>
        <v>0.12</v>
      </c>
      <c r="F982" s="30">
        <f t="shared" si="68"/>
        <v>0.12</v>
      </c>
      <c r="G982" s="30">
        <f t="shared" si="68"/>
        <v>0.12</v>
      </c>
      <c r="H982" s="30">
        <f t="shared" si="68"/>
        <v>0.12</v>
      </c>
      <c r="I982" s="30">
        <f t="shared" si="68"/>
        <v>0.12</v>
      </c>
      <c r="J982" s="30">
        <f t="shared" si="68"/>
        <v>0.12</v>
      </c>
      <c r="K982" s="30">
        <f t="shared" si="68"/>
        <v>0.12</v>
      </c>
      <c r="L982" s="30">
        <f t="shared" si="68"/>
        <v>0.12</v>
      </c>
      <c r="M982" s="30">
        <f t="shared" si="68"/>
        <v>0.12</v>
      </c>
      <c r="N982" s="30">
        <f t="shared" si="68"/>
        <v>0.12</v>
      </c>
      <c r="O982" s="30">
        <f t="shared" si="68"/>
        <v>0.12</v>
      </c>
      <c r="P982" s="30">
        <f>P932</f>
        <v>0.12</v>
      </c>
    </row>
    <row r="984" spans="1:16" hidden="1" x14ac:dyDescent="0.3"/>
    <row r="985" spans="1:16" hidden="1" x14ac:dyDescent="0.3"/>
    <row r="986" spans="1:16" x14ac:dyDescent="0.3">
      <c r="A986" s="3" t="s">
        <v>58</v>
      </c>
    </row>
    <row r="988" spans="1:16" s="13" customFormat="1" ht="14.4" x14ac:dyDescent="0.3">
      <c r="A988" s="11" t="s">
        <v>3</v>
      </c>
      <c r="B988" s="11"/>
      <c r="C988" s="11" t="s">
        <v>4</v>
      </c>
      <c r="D988" s="12" t="str">
        <f t="shared" ref="D988:P988" si="69">D937</f>
        <v>JAN</v>
      </c>
      <c r="E988" s="12" t="str">
        <f t="shared" si="69"/>
        <v>FEB</v>
      </c>
      <c r="F988" s="12" t="str">
        <f t="shared" si="69"/>
        <v>MAR</v>
      </c>
      <c r="G988" s="12" t="str">
        <f t="shared" si="69"/>
        <v>APR</v>
      </c>
      <c r="H988" s="12" t="str">
        <f t="shared" si="69"/>
        <v>MAY</v>
      </c>
      <c r="I988" s="12" t="str">
        <f t="shared" si="69"/>
        <v>JUN</v>
      </c>
      <c r="J988" s="12" t="str">
        <f t="shared" si="69"/>
        <v>JUL</v>
      </c>
      <c r="K988" s="12" t="str">
        <f t="shared" si="69"/>
        <v>AUG</v>
      </c>
      <c r="L988" s="12" t="str">
        <f t="shared" si="69"/>
        <v>SEP</v>
      </c>
      <c r="M988" s="12" t="str">
        <f t="shared" si="69"/>
        <v>OCT</v>
      </c>
      <c r="N988" s="12" t="str">
        <f t="shared" si="69"/>
        <v>NOV</v>
      </c>
      <c r="O988" s="12" t="str">
        <f t="shared" si="69"/>
        <v>DEC</v>
      </c>
      <c r="P988" s="12" t="str">
        <f t="shared" si="69"/>
        <v>JAN</v>
      </c>
    </row>
    <row r="989" spans="1:16" ht="14.4" x14ac:dyDescent="0.3">
      <c r="A989" s="61" t="s">
        <v>67</v>
      </c>
      <c r="B989" s="62"/>
      <c r="C989" s="63"/>
      <c r="D989" s="62"/>
      <c r="E989" s="62"/>
      <c r="F989" s="62"/>
      <c r="G989" s="62"/>
      <c r="H989" s="62"/>
      <c r="I989" s="62"/>
      <c r="J989" s="62"/>
      <c r="K989" s="62"/>
      <c r="L989" s="62"/>
      <c r="M989" s="62"/>
      <c r="N989" s="62"/>
      <c r="O989" s="62"/>
      <c r="P989" s="62"/>
    </row>
    <row r="990" spans="1:16" ht="14.4" x14ac:dyDescent="0.3">
      <c r="A990" s="25" t="s">
        <v>68</v>
      </c>
      <c r="B990" s="25"/>
      <c r="C990" s="16" t="s">
        <v>19</v>
      </c>
      <c r="D990" s="20">
        <f>[43]GR!D24</f>
        <v>4.7182000000000004</v>
      </c>
      <c r="E990" s="20">
        <f>[43]GR!E24</f>
        <v>5.2384000000000004</v>
      </c>
      <c r="F990" s="20">
        <f>[43]GR!F24</f>
        <v>5.2096999999999998</v>
      </c>
      <c r="G990" s="20">
        <f>[43]GR!G24</f>
        <v>5.4120999999999997</v>
      </c>
      <c r="H990" s="20">
        <f>[43]GR!H24</f>
        <v>4.8131000000000004</v>
      </c>
      <c r="I990" s="20">
        <f>[43]GR!I24</f>
        <v>4.4555999999999996</v>
      </c>
      <c r="J990" s="20">
        <f>[43]GR!J24</f>
        <v>4.7397999999999998</v>
      </c>
      <c r="K990" s="20">
        <f>[43]GR!K24</f>
        <v>4.5526999999999997</v>
      </c>
      <c r="L990" s="20">
        <f>[43]GR!L24</f>
        <v>4.1325000000000003</v>
      </c>
      <c r="M990" s="20">
        <f>[43]GR!M24</f>
        <v>3.9954999999999998</v>
      </c>
      <c r="N990" s="20">
        <f>[43]GR!N24</f>
        <v>4.0838999999999999</v>
      </c>
      <c r="O990" s="20">
        <f>[43]GR!O24</f>
        <v>4.1299000000000001</v>
      </c>
      <c r="P990" s="20" t="e">
        <f>[43]GR!P24</f>
        <v>#DIV/0!</v>
      </c>
    </row>
    <row r="991" spans="1:16" ht="14.4" x14ac:dyDescent="0.3">
      <c r="A991" s="25" t="s">
        <v>69</v>
      </c>
      <c r="B991" s="25"/>
      <c r="C991" s="16"/>
      <c r="D991" s="24"/>
      <c r="E991" s="24"/>
      <c r="F991" s="24"/>
      <c r="G991" s="24"/>
      <c r="H991" s="24"/>
      <c r="I991" s="24"/>
      <c r="J991" s="24"/>
      <c r="K991" s="24"/>
      <c r="L991" s="24"/>
      <c r="M991" s="24"/>
      <c r="N991" s="24"/>
      <c r="O991" s="24"/>
      <c r="P991" s="24"/>
    </row>
    <row r="992" spans="1:16" ht="14.4" x14ac:dyDescent="0.3">
      <c r="A992" s="25" t="s">
        <v>70</v>
      </c>
      <c r="B992" s="25"/>
      <c r="C992" s="16" t="s">
        <v>19</v>
      </c>
      <c r="D992" s="20">
        <f>7.4854-0.9932</f>
        <v>6.4922000000000004</v>
      </c>
      <c r="E992" s="20">
        <f>7.4854-0.4692</f>
        <v>7.0162000000000004</v>
      </c>
      <c r="F992" s="20">
        <f>7.4854-0.497</f>
        <v>6.9884000000000004</v>
      </c>
      <c r="G992" s="20">
        <f>7.4854-0.2948</f>
        <v>7.1905999999999999</v>
      </c>
      <c r="H992" s="20">
        <f>7.4854-0.8931</f>
        <v>6.5922999999999998</v>
      </c>
      <c r="I992" s="20">
        <f>7.4854-1.2493</f>
        <v>6.2361000000000004</v>
      </c>
      <c r="J992" s="20">
        <f>7.2779-0.8356</f>
        <v>6.4422999999999995</v>
      </c>
      <c r="K992" s="20">
        <f>7.2779-1.0283</f>
        <v>6.2496</v>
      </c>
      <c r="L992" s="20">
        <f>7.2779-1.4483</f>
        <v>5.8296000000000001</v>
      </c>
      <c r="M992" s="20">
        <f>7.2779-1.5841</f>
        <v>5.6937999999999995</v>
      </c>
      <c r="N992" s="20">
        <f>7.2779-1.4975</f>
        <v>5.7804000000000002</v>
      </c>
      <c r="O992" s="20">
        <f>7.2779-1.4498</f>
        <v>5.8281000000000001</v>
      </c>
      <c r="P992" s="20"/>
    </row>
    <row r="993" spans="1:18" ht="14.4" x14ac:dyDescent="0.3">
      <c r="A993" s="25" t="s">
        <v>71</v>
      </c>
      <c r="B993" s="25"/>
      <c r="C993" s="16" t="s">
        <v>19</v>
      </c>
      <c r="D993" s="20">
        <f>3.5461-0.9932</f>
        <v>2.5529000000000002</v>
      </c>
      <c r="E993" s="20">
        <f>3.5461-0.4692</f>
        <v>3.0769000000000002</v>
      </c>
      <c r="F993" s="20">
        <f>3.5461-0.497</f>
        <v>3.0491000000000001</v>
      </c>
      <c r="G993" s="20">
        <f>3.5461-0.2948</f>
        <v>3.2513000000000001</v>
      </c>
      <c r="H993" s="20">
        <f>3.5461-0.8931</f>
        <v>2.653</v>
      </c>
      <c r="I993" s="20">
        <f>3.5461-1.2493</f>
        <v>2.2968000000000002</v>
      </c>
      <c r="J993" s="20">
        <f>3.5461-0.8356</f>
        <v>2.7105000000000001</v>
      </c>
      <c r="K993" s="20">
        <f>3.5461-1.0283</f>
        <v>2.5178000000000003</v>
      </c>
      <c r="L993" s="20">
        <f>3.5461-1.4483</f>
        <v>2.0978000000000003</v>
      </c>
      <c r="M993" s="20">
        <f>3.5461-1.5841</f>
        <v>1.962</v>
      </c>
      <c r="N993" s="20">
        <f>3.5461-1.4975</f>
        <v>2.0486</v>
      </c>
      <c r="O993" s="20">
        <f>3.5461-1.4498</f>
        <v>2.0963000000000003</v>
      </c>
      <c r="P993" s="20"/>
    </row>
    <row r="994" spans="1:18" x14ac:dyDescent="0.3">
      <c r="A994" s="62"/>
      <c r="B994" s="62"/>
      <c r="C994" s="63"/>
      <c r="D994" s="62"/>
      <c r="E994" s="62"/>
      <c r="F994" s="62"/>
      <c r="G994" s="62"/>
      <c r="H994" s="62"/>
      <c r="I994" s="62"/>
      <c r="J994" s="62"/>
      <c r="K994" s="62"/>
      <c r="L994" s="62"/>
      <c r="M994" s="62"/>
      <c r="N994" s="62"/>
      <c r="O994" s="62"/>
      <c r="P994" s="62"/>
    </row>
    <row r="995" spans="1:18" ht="14.4" x14ac:dyDescent="0.3">
      <c r="A995" s="64" t="s">
        <v>72</v>
      </c>
      <c r="B995" s="64"/>
      <c r="C995" s="65"/>
      <c r="D995" s="66"/>
      <c r="E995" s="66"/>
      <c r="F995" s="66"/>
      <c r="G995" s="66"/>
      <c r="H995" s="66"/>
      <c r="I995" s="66"/>
      <c r="J995" s="66"/>
      <c r="K995" s="66"/>
      <c r="L995" s="66"/>
      <c r="M995" s="66"/>
      <c r="N995" s="66"/>
      <c r="O995" s="66"/>
      <c r="P995" s="66"/>
    </row>
    <row r="996" spans="1:18" ht="14.4" x14ac:dyDescent="0.3">
      <c r="A996" s="64" t="s">
        <v>197</v>
      </c>
      <c r="B996" s="64"/>
      <c r="C996" s="65" t="s">
        <v>19</v>
      </c>
      <c r="D996" s="67">
        <v>4.2732000000000001</v>
      </c>
      <c r="E996" s="67">
        <v>4.7695999999999996</v>
      </c>
      <c r="F996" s="67">
        <v>4.6868999999999996</v>
      </c>
      <c r="G996" s="67">
        <v>4.8677999999999999</v>
      </c>
      <c r="H996" s="67">
        <v>4.2622</v>
      </c>
      <c r="I996" s="67">
        <v>3.9110999999999998</v>
      </c>
      <c r="J996" s="67">
        <v>4.2245999999999997</v>
      </c>
      <c r="K996" s="67">
        <v>4.0491000000000001</v>
      </c>
      <c r="L996" s="67">
        <v>3.6387</v>
      </c>
      <c r="M996" s="67">
        <v>3.5072999999999999</v>
      </c>
      <c r="N996" s="67">
        <v>3.6084999999999998</v>
      </c>
      <c r="O996" s="67"/>
      <c r="P996" s="67"/>
      <c r="Q996" s="68"/>
      <c r="R996" s="68"/>
    </row>
    <row r="997" spans="1:18" ht="14.4" x14ac:dyDescent="0.3">
      <c r="A997" s="64" t="s">
        <v>75</v>
      </c>
      <c r="B997" s="64"/>
      <c r="C997" s="65" t="s">
        <v>19</v>
      </c>
      <c r="D997" s="67">
        <v>4.5614999999999997</v>
      </c>
      <c r="E997" s="67">
        <v>4.8413000000000004</v>
      </c>
      <c r="F997" s="67">
        <v>4.9476000000000004</v>
      </c>
      <c r="G997" s="67">
        <v>5.1333000000000002</v>
      </c>
      <c r="H997" s="67">
        <v>4.6234999999999999</v>
      </c>
      <c r="I997" s="67">
        <v>4.2595999999999998</v>
      </c>
      <c r="J997" s="67">
        <v>4.5610999999999997</v>
      </c>
      <c r="K997" s="67">
        <v>4.3646000000000003</v>
      </c>
      <c r="L997" s="67">
        <v>3.9504000000000001</v>
      </c>
      <c r="M997" s="67">
        <v>3.8035999999999999</v>
      </c>
      <c r="N997" s="67">
        <v>3.8820999999999999</v>
      </c>
      <c r="O997" s="67"/>
      <c r="P997" s="67"/>
      <c r="Q997" s="68"/>
      <c r="R997" s="68"/>
    </row>
    <row r="998" spans="1:18" ht="14.4" x14ac:dyDescent="0.3">
      <c r="A998" s="64" t="s">
        <v>198</v>
      </c>
      <c r="B998" s="64"/>
      <c r="C998" s="65" t="s">
        <v>19</v>
      </c>
      <c r="D998" s="67">
        <v>4.4006999999999996</v>
      </c>
      <c r="E998" s="67">
        <v>4.968</v>
      </c>
      <c r="F998" s="67">
        <v>4.9347000000000003</v>
      </c>
      <c r="G998" s="67">
        <v>5.1391</v>
      </c>
      <c r="H998" s="67">
        <v>4.5686</v>
      </c>
      <c r="I998" s="67">
        <v>4.2131999999999996</v>
      </c>
      <c r="J998" s="67">
        <v>4.4954000000000001</v>
      </c>
      <c r="K998" s="67">
        <v>4.3128000000000002</v>
      </c>
      <c r="L998" s="67">
        <v>3.8780000000000001</v>
      </c>
      <c r="M998" s="67">
        <v>3.7498999999999998</v>
      </c>
      <c r="N998" s="67">
        <v>3.8664000000000001</v>
      </c>
      <c r="O998" s="67"/>
      <c r="P998" s="67"/>
      <c r="Q998" s="68"/>
      <c r="R998" s="68"/>
    </row>
    <row r="999" spans="1:18" ht="14.4" x14ac:dyDescent="0.3">
      <c r="A999" s="64" t="s">
        <v>199</v>
      </c>
      <c r="B999" s="64"/>
      <c r="C999" s="65" t="s">
        <v>19</v>
      </c>
      <c r="D999" s="67">
        <v>4.4442000000000004</v>
      </c>
      <c r="E999" s="67">
        <v>4.9911000000000003</v>
      </c>
      <c r="F999" s="67">
        <v>4.9733999999999998</v>
      </c>
      <c r="G999" s="67">
        <v>5.1497000000000002</v>
      </c>
      <c r="H999" s="67">
        <v>4.6013000000000002</v>
      </c>
      <c r="I999" s="67">
        <v>4.2453000000000003</v>
      </c>
      <c r="J999" s="67">
        <v>4.55</v>
      </c>
      <c r="K999" s="67">
        <v>4.3299000000000003</v>
      </c>
      <c r="L999" s="67">
        <v>3.9632999999999998</v>
      </c>
      <c r="M999" s="67">
        <v>3.7616999999999998</v>
      </c>
      <c r="N999" s="67">
        <v>3.9003000000000001</v>
      </c>
      <c r="O999" s="67"/>
      <c r="P999" s="67"/>
      <c r="Q999" s="68"/>
      <c r="R999" s="68"/>
    </row>
    <row r="1000" spans="1:18" ht="14.4" x14ac:dyDescent="0.3">
      <c r="A1000" s="64" t="s">
        <v>200</v>
      </c>
      <c r="B1000" s="64"/>
      <c r="C1000" s="65" t="s">
        <v>19</v>
      </c>
      <c r="D1000" s="67">
        <v>4.4123000000000001</v>
      </c>
      <c r="E1000" s="67">
        <v>4.9576000000000002</v>
      </c>
      <c r="F1000" s="67">
        <v>4.9211</v>
      </c>
      <c r="G1000" s="67">
        <v>5.1393000000000004</v>
      </c>
      <c r="H1000" s="67">
        <v>4.5387000000000004</v>
      </c>
      <c r="I1000" s="67">
        <v>4.2206999999999999</v>
      </c>
      <c r="J1000" s="67">
        <v>4.5136000000000003</v>
      </c>
      <c r="K1000" s="67">
        <v>4.3391000000000002</v>
      </c>
      <c r="L1000" s="67">
        <v>3.9359999999999999</v>
      </c>
      <c r="M1000" s="67">
        <v>3.7448999999999999</v>
      </c>
      <c r="N1000" s="67">
        <v>3.9058999999999999</v>
      </c>
      <c r="O1000" s="67"/>
      <c r="P1000" s="67"/>
      <c r="Q1000" s="68"/>
      <c r="R1000" s="68"/>
    </row>
    <row r="1001" spans="1:18" ht="14.4" x14ac:dyDescent="0.3">
      <c r="A1001" s="64" t="s">
        <v>201</v>
      </c>
      <c r="B1001" s="64"/>
      <c r="C1001" s="65" t="s">
        <v>19</v>
      </c>
      <c r="D1001" s="67">
        <v>4.4027000000000003</v>
      </c>
      <c r="E1001" s="67">
        <v>4.9286000000000003</v>
      </c>
      <c r="F1001" s="67">
        <v>4.9694000000000003</v>
      </c>
      <c r="G1001" s="67">
        <v>5.1018999999999997</v>
      </c>
      <c r="H1001" s="67">
        <v>4.4413999999999998</v>
      </c>
      <c r="I1001" s="67">
        <v>4.1900000000000004</v>
      </c>
      <c r="J1001" s="67">
        <v>4.4641999999999999</v>
      </c>
      <c r="K1001" s="67">
        <v>4.2370000000000001</v>
      </c>
      <c r="L1001" s="67">
        <v>3.8515999999999999</v>
      </c>
      <c r="M1001" s="67">
        <v>3.7118000000000002</v>
      </c>
      <c r="N1001" s="67">
        <v>3.8552</v>
      </c>
      <c r="O1001" s="67"/>
      <c r="P1001" s="67"/>
      <c r="Q1001" s="68"/>
      <c r="R1001" s="68"/>
    </row>
    <row r="1002" spans="1:18" x14ac:dyDescent="0.3">
      <c r="A1002" s="62"/>
      <c r="B1002" s="62"/>
      <c r="C1002" s="63"/>
      <c r="D1002" s="62"/>
      <c r="E1002" s="62"/>
      <c r="F1002" s="62"/>
      <c r="G1002" s="62"/>
      <c r="H1002" s="62"/>
      <c r="I1002" s="62"/>
      <c r="J1002" s="62"/>
      <c r="K1002" s="62"/>
      <c r="L1002" s="62"/>
      <c r="M1002" s="62"/>
      <c r="N1002" s="62"/>
      <c r="O1002" s="62"/>
      <c r="P1002" s="62"/>
    </row>
    <row r="1003" spans="1:18" x14ac:dyDescent="0.3">
      <c r="A1003" s="33" t="s">
        <v>229</v>
      </c>
      <c r="B1003" s="62"/>
      <c r="C1003" s="63"/>
      <c r="D1003" s="62"/>
      <c r="E1003" s="62"/>
      <c r="F1003" s="62"/>
      <c r="G1003" s="62"/>
      <c r="H1003" s="62"/>
      <c r="I1003" s="62"/>
      <c r="J1003" s="62"/>
      <c r="K1003" s="62"/>
      <c r="L1003" s="62"/>
      <c r="M1003" s="62"/>
      <c r="N1003" s="62"/>
      <c r="O1003" s="62"/>
      <c r="P1003" s="62"/>
    </row>
    <row r="1004" spans="1:18" x14ac:dyDescent="0.3">
      <c r="A1004" s="62"/>
      <c r="B1004" s="62"/>
      <c r="C1004" s="63"/>
      <c r="D1004" s="62"/>
      <c r="E1004" s="62"/>
      <c r="F1004" s="62"/>
      <c r="G1004" s="62"/>
      <c r="H1004" s="62"/>
      <c r="I1004" s="62"/>
      <c r="J1004" s="62"/>
      <c r="K1004" s="62"/>
      <c r="L1004" s="62"/>
      <c r="M1004" s="62"/>
      <c r="N1004" s="62"/>
      <c r="O1004" s="62"/>
      <c r="P1004" s="62"/>
    </row>
    <row r="1005" spans="1:18" ht="14.4" x14ac:dyDescent="0.3">
      <c r="A1005" s="61" t="s">
        <v>82</v>
      </c>
      <c r="B1005" s="62"/>
      <c r="C1005" s="63"/>
      <c r="D1005" s="62"/>
      <c r="E1005" s="62"/>
      <c r="F1005" s="62"/>
      <c r="G1005" s="62"/>
      <c r="H1005" s="62"/>
      <c r="I1005" s="62"/>
      <c r="J1005" s="62"/>
      <c r="K1005" s="62"/>
      <c r="L1005" s="62"/>
      <c r="M1005" s="62"/>
      <c r="N1005" s="62"/>
      <c r="O1005" s="62"/>
      <c r="P1005" s="62"/>
    </row>
    <row r="1006" spans="1:18" ht="14.4" x14ac:dyDescent="0.3">
      <c r="A1006" s="25" t="s">
        <v>83</v>
      </c>
      <c r="B1006" s="25"/>
      <c r="C1006" s="16" t="s">
        <v>19</v>
      </c>
      <c r="D1006" s="20">
        <v>1.1282000000000001</v>
      </c>
      <c r="E1006" s="20">
        <v>1.1282000000000001</v>
      </c>
      <c r="F1006" s="20">
        <v>1.1282000000000001</v>
      </c>
      <c r="G1006" s="20">
        <v>1.1282000000000001</v>
      </c>
      <c r="H1006" s="20">
        <v>1.1282000000000001</v>
      </c>
      <c r="I1006" s="20">
        <v>1.1282000000000001</v>
      </c>
      <c r="J1006" s="20">
        <v>1.0012000000000001</v>
      </c>
      <c r="K1006" s="20">
        <v>1.0012000000000001</v>
      </c>
      <c r="L1006" s="20">
        <v>1.0012000000000001</v>
      </c>
      <c r="M1006" s="20">
        <v>1.0012000000000001</v>
      </c>
      <c r="N1006" s="20">
        <v>1.0012000000000001</v>
      </c>
      <c r="O1006" s="20">
        <v>1.0012000000000001</v>
      </c>
      <c r="P1006" s="20">
        <v>1.0012000000000001</v>
      </c>
    </row>
    <row r="1007" spans="1:18" ht="14.4" x14ac:dyDescent="0.3">
      <c r="A1007" s="25" t="s">
        <v>84</v>
      </c>
      <c r="B1007" s="25"/>
      <c r="C1007" s="16" t="s">
        <v>19</v>
      </c>
      <c r="D1007" s="20">
        <v>1.4855</v>
      </c>
      <c r="E1007" s="20">
        <v>1.4855</v>
      </c>
      <c r="F1007" s="20">
        <v>1.4855</v>
      </c>
      <c r="G1007" s="20">
        <v>1.4855</v>
      </c>
      <c r="H1007" s="20">
        <v>1.4855</v>
      </c>
      <c r="I1007" s="20">
        <v>1.4855</v>
      </c>
      <c r="J1007" s="20">
        <v>1.3183</v>
      </c>
      <c r="K1007" s="20">
        <v>1.3183</v>
      </c>
      <c r="L1007" s="20">
        <v>1.3183</v>
      </c>
      <c r="M1007" s="20">
        <v>1.3183</v>
      </c>
      <c r="N1007" s="20">
        <v>1.3183</v>
      </c>
      <c r="O1007" s="20">
        <v>1.3183</v>
      </c>
      <c r="P1007" s="20">
        <v>1.3183</v>
      </c>
    </row>
    <row r="1008" spans="1:18" ht="14.4" x14ac:dyDescent="0.3">
      <c r="A1008" s="25" t="s">
        <v>85</v>
      </c>
      <c r="B1008" s="25"/>
      <c r="C1008" s="16" t="s">
        <v>19</v>
      </c>
      <c r="D1008" s="20">
        <v>1.8227</v>
      </c>
      <c r="E1008" s="20">
        <v>1.8227</v>
      </c>
      <c r="F1008" s="20">
        <v>1.8227</v>
      </c>
      <c r="G1008" s="20">
        <v>1.8227</v>
      </c>
      <c r="H1008" s="20">
        <v>1.8227</v>
      </c>
      <c r="I1008" s="20">
        <v>1.8227</v>
      </c>
      <c r="J1008" s="20">
        <v>1.6174999999999999</v>
      </c>
      <c r="K1008" s="20">
        <v>1.6174999999999999</v>
      </c>
      <c r="L1008" s="20">
        <v>1.6174999999999999</v>
      </c>
      <c r="M1008" s="20">
        <v>1.6174999999999999</v>
      </c>
      <c r="N1008" s="20">
        <v>1.6174999999999999</v>
      </c>
      <c r="O1008" s="20">
        <v>1.6174999999999999</v>
      </c>
      <c r="P1008" s="20">
        <v>1.6174999999999999</v>
      </c>
    </row>
    <row r="1009" spans="1:16" ht="14.4" x14ac:dyDescent="0.3">
      <c r="A1009" s="25" t="s">
        <v>86</v>
      </c>
      <c r="B1009" s="25"/>
      <c r="C1009" s="16" t="s">
        <v>19</v>
      </c>
      <c r="D1009" s="20">
        <v>2.41</v>
      </c>
      <c r="E1009" s="20">
        <v>2.41</v>
      </c>
      <c r="F1009" s="20">
        <v>2.41</v>
      </c>
      <c r="G1009" s="20">
        <v>2.41</v>
      </c>
      <c r="H1009" s="20">
        <v>2.41</v>
      </c>
      <c r="I1009" s="20">
        <v>2.41</v>
      </c>
      <c r="J1009" s="20">
        <v>2.1387</v>
      </c>
      <c r="K1009" s="20">
        <v>2.1387</v>
      </c>
      <c r="L1009" s="20">
        <v>2.1387</v>
      </c>
      <c r="M1009" s="20">
        <v>2.1387</v>
      </c>
      <c r="N1009" s="20">
        <v>2.1387</v>
      </c>
      <c r="O1009" s="20">
        <v>2.1387</v>
      </c>
      <c r="P1009" s="20">
        <v>2.1387</v>
      </c>
    </row>
    <row r="1010" spans="1:16" x14ac:dyDescent="0.3">
      <c r="A1010" s="62"/>
      <c r="B1010" s="62"/>
      <c r="C1010" s="63"/>
      <c r="D1010" s="62"/>
      <c r="E1010" s="62"/>
      <c r="F1010" s="62"/>
      <c r="G1010" s="62"/>
      <c r="H1010" s="62"/>
      <c r="I1010" s="62"/>
      <c r="J1010" s="62"/>
      <c r="K1010" s="62"/>
      <c r="L1010" s="62"/>
      <c r="M1010" s="62"/>
      <c r="N1010" s="62"/>
      <c r="O1010" s="62"/>
      <c r="P1010" s="62"/>
    </row>
    <row r="1011" spans="1:16" ht="14.4" x14ac:dyDescent="0.3">
      <c r="A1011" s="61" t="s">
        <v>202</v>
      </c>
      <c r="B1011" s="62"/>
      <c r="C1011" s="63"/>
      <c r="D1011" s="62"/>
      <c r="E1011" s="62"/>
      <c r="F1011" s="62"/>
      <c r="G1011" s="62"/>
      <c r="H1011" s="62"/>
      <c r="I1011" s="62"/>
      <c r="J1011" s="62"/>
      <c r="K1011" s="62"/>
      <c r="L1011" s="62"/>
      <c r="M1011" s="62"/>
      <c r="N1011" s="62"/>
      <c r="O1011" s="62"/>
      <c r="P1011" s="62"/>
    </row>
    <row r="1012" spans="1:16" ht="14.4" x14ac:dyDescent="0.3">
      <c r="A1012" s="25" t="s">
        <v>68</v>
      </c>
      <c r="B1012" s="25"/>
      <c r="C1012" s="16"/>
      <c r="D1012" s="24"/>
      <c r="E1012" s="24"/>
      <c r="F1012" s="24"/>
      <c r="G1012" s="24"/>
      <c r="H1012" s="24"/>
      <c r="I1012" s="24"/>
      <c r="J1012" s="24"/>
      <c r="K1012" s="24"/>
      <c r="L1012" s="24"/>
      <c r="M1012" s="24"/>
      <c r="N1012" s="24"/>
      <c r="O1012" s="24"/>
      <c r="P1012" s="24"/>
    </row>
    <row r="1013" spans="1:16" ht="14.4" x14ac:dyDescent="0.3">
      <c r="A1013" s="25" t="s">
        <v>88</v>
      </c>
      <c r="B1013" s="25"/>
      <c r="C1013" s="16" t="s">
        <v>19</v>
      </c>
      <c r="D1013" s="20">
        <v>0.57299999999999995</v>
      </c>
      <c r="E1013" s="20">
        <v>0.57299999999999995</v>
      </c>
      <c r="F1013" s="20">
        <v>0.57299999999999995</v>
      </c>
      <c r="G1013" s="20">
        <v>0.57299999999999995</v>
      </c>
      <c r="H1013" s="20">
        <v>0.57299999999999995</v>
      </c>
      <c r="I1013" s="20">
        <v>0.57299999999999995</v>
      </c>
      <c r="J1013" s="20">
        <v>0.50849999999999995</v>
      </c>
      <c r="K1013" s="20">
        <v>0.50849999999999995</v>
      </c>
      <c r="L1013" s="20">
        <v>0.50849999999999995</v>
      </c>
      <c r="M1013" s="20">
        <v>0.50849999999999995</v>
      </c>
      <c r="N1013" s="20">
        <v>0.50849999999999995</v>
      </c>
      <c r="O1013" s="20">
        <v>0.50849999999999995</v>
      </c>
      <c r="P1013" s="20">
        <v>0.50849999999999995</v>
      </c>
    </row>
    <row r="1014" spans="1:16" ht="14.4" x14ac:dyDescent="0.3">
      <c r="A1014" s="25" t="s">
        <v>203</v>
      </c>
      <c r="B1014" s="25"/>
      <c r="C1014" s="16" t="s">
        <v>19</v>
      </c>
      <c r="D1014" s="20">
        <v>0</v>
      </c>
      <c r="E1014" s="20">
        <v>0</v>
      </c>
      <c r="F1014" s="20">
        <v>0</v>
      </c>
      <c r="G1014" s="20">
        <v>0</v>
      </c>
      <c r="H1014" s="20">
        <v>0</v>
      </c>
      <c r="I1014" s="20">
        <v>0</v>
      </c>
      <c r="J1014" s="20">
        <v>0</v>
      </c>
      <c r="K1014" s="20">
        <v>0</v>
      </c>
      <c r="L1014" s="20">
        <v>0</v>
      </c>
      <c r="M1014" s="20">
        <v>0</v>
      </c>
      <c r="N1014" s="20">
        <v>0</v>
      </c>
      <c r="O1014" s="20">
        <v>0</v>
      </c>
      <c r="P1014" s="20">
        <v>0</v>
      </c>
    </row>
    <row r="1015" spans="1:16" ht="14.4" x14ac:dyDescent="0.3">
      <c r="A1015" s="25" t="s">
        <v>69</v>
      </c>
      <c r="B1015" s="25"/>
      <c r="C1015" s="16"/>
      <c r="D1015" s="24"/>
      <c r="E1015" s="24"/>
      <c r="F1015" s="24"/>
      <c r="G1015" s="24"/>
      <c r="H1015" s="24"/>
      <c r="I1015" s="24"/>
      <c r="J1015" s="24"/>
      <c r="K1015" s="24"/>
      <c r="L1015" s="24"/>
      <c r="M1015" s="24"/>
      <c r="N1015" s="24"/>
      <c r="O1015" s="24"/>
      <c r="P1015" s="24"/>
    </row>
    <row r="1016" spans="1:16" ht="14.4" x14ac:dyDescent="0.3">
      <c r="A1016" s="25" t="s">
        <v>88</v>
      </c>
      <c r="B1016" s="25"/>
      <c r="C1016" s="16" t="s">
        <v>19</v>
      </c>
      <c r="D1016" s="20">
        <f t="shared" ref="D1016:P1016" si="70">D1013+0.01</f>
        <v>0.58299999999999996</v>
      </c>
      <c r="E1016" s="20">
        <f t="shared" si="70"/>
        <v>0.58299999999999996</v>
      </c>
      <c r="F1016" s="20">
        <f t="shared" si="70"/>
        <v>0.58299999999999996</v>
      </c>
      <c r="G1016" s="20">
        <f t="shared" si="70"/>
        <v>0.58299999999999996</v>
      </c>
      <c r="H1016" s="20">
        <f t="shared" si="70"/>
        <v>0.58299999999999996</v>
      </c>
      <c r="I1016" s="20">
        <f t="shared" si="70"/>
        <v>0.58299999999999996</v>
      </c>
      <c r="J1016" s="20">
        <f t="shared" si="70"/>
        <v>0.51849999999999996</v>
      </c>
      <c r="K1016" s="20">
        <f t="shared" si="70"/>
        <v>0.51849999999999996</v>
      </c>
      <c r="L1016" s="20">
        <f t="shared" si="70"/>
        <v>0.51849999999999996</v>
      </c>
      <c r="M1016" s="20">
        <f t="shared" si="70"/>
        <v>0.51849999999999996</v>
      </c>
      <c r="N1016" s="20">
        <f t="shared" si="70"/>
        <v>0.51849999999999996</v>
      </c>
      <c r="O1016" s="20">
        <f t="shared" si="70"/>
        <v>0.51849999999999996</v>
      </c>
      <c r="P1016" s="20">
        <f t="shared" si="70"/>
        <v>0.51849999999999996</v>
      </c>
    </row>
    <row r="1017" spans="1:16" ht="14.4" x14ac:dyDescent="0.3">
      <c r="A1017" s="25" t="s">
        <v>203</v>
      </c>
      <c r="B1017" s="25"/>
      <c r="C1017" s="16" t="s">
        <v>19</v>
      </c>
      <c r="D1017" s="20">
        <f t="shared" ref="D1017:P1017" si="71">D1015+0.01</f>
        <v>0.01</v>
      </c>
      <c r="E1017" s="20">
        <f t="shared" si="71"/>
        <v>0.01</v>
      </c>
      <c r="F1017" s="20">
        <f t="shared" si="71"/>
        <v>0.01</v>
      </c>
      <c r="G1017" s="20">
        <f t="shared" si="71"/>
        <v>0.01</v>
      </c>
      <c r="H1017" s="20">
        <f t="shared" si="71"/>
        <v>0.01</v>
      </c>
      <c r="I1017" s="20">
        <f t="shared" si="71"/>
        <v>0.01</v>
      </c>
      <c r="J1017" s="20">
        <f t="shared" si="71"/>
        <v>0.01</v>
      </c>
      <c r="K1017" s="20">
        <f t="shared" si="71"/>
        <v>0.01</v>
      </c>
      <c r="L1017" s="20">
        <f t="shared" si="71"/>
        <v>0.01</v>
      </c>
      <c r="M1017" s="20">
        <f t="shared" si="71"/>
        <v>0.01</v>
      </c>
      <c r="N1017" s="20">
        <f t="shared" si="71"/>
        <v>0.01</v>
      </c>
      <c r="O1017" s="20">
        <f t="shared" si="71"/>
        <v>0.01</v>
      </c>
      <c r="P1017" s="20">
        <f t="shared" si="71"/>
        <v>0.01</v>
      </c>
    </row>
    <row r="1018" spans="1:16" x14ac:dyDescent="0.3">
      <c r="A1018" s="62"/>
      <c r="B1018" s="62"/>
      <c r="C1018" s="63"/>
      <c r="D1018" s="62"/>
      <c r="E1018" s="62"/>
      <c r="F1018" s="62"/>
      <c r="G1018" s="62"/>
      <c r="H1018" s="62"/>
      <c r="I1018" s="62"/>
      <c r="J1018" s="62"/>
      <c r="K1018" s="62"/>
      <c r="L1018" s="62"/>
      <c r="M1018" s="62"/>
      <c r="N1018" s="62"/>
      <c r="O1018" s="62"/>
      <c r="P1018" s="62"/>
    </row>
    <row r="1019" spans="1:16" ht="14.4" x14ac:dyDescent="0.3">
      <c r="A1019" s="61" t="s">
        <v>90</v>
      </c>
      <c r="B1019" s="62"/>
      <c r="C1019" s="63"/>
      <c r="D1019" s="62"/>
      <c r="E1019" s="62"/>
      <c r="F1019" s="62"/>
      <c r="G1019" s="62"/>
      <c r="H1019" s="62"/>
      <c r="I1019" s="62"/>
      <c r="J1019" s="62"/>
      <c r="K1019" s="62"/>
      <c r="L1019" s="62"/>
      <c r="M1019" s="62"/>
      <c r="N1019" s="62"/>
      <c r="O1019" s="62"/>
      <c r="P1019" s="62"/>
    </row>
    <row r="1020" spans="1:16" ht="14.4" x14ac:dyDescent="0.3">
      <c r="A1020" s="25" t="s">
        <v>68</v>
      </c>
      <c r="B1020" s="25"/>
      <c r="C1020" s="16"/>
      <c r="D1020" s="24"/>
      <c r="E1020" s="24"/>
      <c r="F1020" s="24"/>
      <c r="G1020" s="24"/>
      <c r="H1020" s="24"/>
      <c r="I1020" s="24"/>
      <c r="J1020" s="24"/>
      <c r="K1020" s="24"/>
      <c r="L1020" s="24"/>
      <c r="M1020" s="24"/>
      <c r="N1020" s="24"/>
      <c r="O1020" s="24"/>
      <c r="P1020" s="24"/>
    </row>
    <row r="1021" spans="1:16" ht="14.4" x14ac:dyDescent="0.3">
      <c r="A1021" s="25" t="s">
        <v>204</v>
      </c>
      <c r="B1021" s="25"/>
      <c r="C1021" s="16" t="s">
        <v>32</v>
      </c>
      <c r="D1021" s="69">
        <v>18.850000000000001</v>
      </c>
      <c r="E1021" s="69">
        <v>18.850000000000001</v>
      </c>
      <c r="F1021" s="69">
        <v>18.850000000000001</v>
      </c>
      <c r="G1021" s="69">
        <v>18.850000000000001</v>
      </c>
      <c r="H1021" s="69">
        <v>18.850000000000001</v>
      </c>
      <c r="I1021" s="69">
        <v>18.850000000000001</v>
      </c>
      <c r="J1021" s="69">
        <v>16.73</v>
      </c>
      <c r="K1021" s="69">
        <v>16.73</v>
      </c>
      <c r="L1021" s="69">
        <v>16.73</v>
      </c>
      <c r="M1021" s="69">
        <v>16.73</v>
      </c>
      <c r="N1021" s="69">
        <v>16.73</v>
      </c>
      <c r="O1021" s="69">
        <v>16.73</v>
      </c>
      <c r="P1021" s="69">
        <v>16.73</v>
      </c>
    </row>
    <row r="1022" spans="1:16" ht="14.4" x14ac:dyDescent="0.3">
      <c r="A1022" s="25" t="s">
        <v>205</v>
      </c>
      <c r="B1022" s="25"/>
      <c r="C1022" s="16" t="s">
        <v>32</v>
      </c>
      <c r="D1022" s="69">
        <v>418.61</v>
      </c>
      <c r="E1022" s="69">
        <v>418.61</v>
      </c>
      <c r="F1022" s="69">
        <v>418.61</v>
      </c>
      <c r="G1022" s="69">
        <v>418.61</v>
      </c>
      <c r="H1022" s="69">
        <v>418.61</v>
      </c>
      <c r="I1022" s="69">
        <v>418.61</v>
      </c>
      <c r="J1022" s="69">
        <v>371.48</v>
      </c>
      <c r="K1022" s="69">
        <v>371.48</v>
      </c>
      <c r="L1022" s="69">
        <v>371.48</v>
      </c>
      <c r="M1022" s="69">
        <v>371.48</v>
      </c>
      <c r="N1022" s="69">
        <v>371.48</v>
      </c>
      <c r="O1022" s="69">
        <v>371.48</v>
      </c>
      <c r="P1022" s="69">
        <v>371.48</v>
      </c>
    </row>
    <row r="1023" spans="1:16" ht="14.4" x14ac:dyDescent="0.3">
      <c r="A1023" s="25" t="s">
        <v>206</v>
      </c>
      <c r="B1023" s="25"/>
      <c r="C1023" s="16" t="s">
        <v>32</v>
      </c>
      <c r="D1023" s="69">
        <v>952.39</v>
      </c>
      <c r="E1023" s="69">
        <v>952.39</v>
      </c>
      <c r="F1023" s="69">
        <v>952.39</v>
      </c>
      <c r="G1023" s="69">
        <v>952.39</v>
      </c>
      <c r="H1023" s="69">
        <v>952.39</v>
      </c>
      <c r="I1023" s="69">
        <v>952.39</v>
      </c>
      <c r="J1023" s="69">
        <v>845.17</v>
      </c>
      <c r="K1023" s="69">
        <v>845.17</v>
      </c>
      <c r="L1023" s="69">
        <v>845.17</v>
      </c>
      <c r="M1023" s="69">
        <v>845.17</v>
      </c>
      <c r="N1023" s="69">
        <v>845.17</v>
      </c>
      <c r="O1023" s="69">
        <v>845.17</v>
      </c>
      <c r="P1023" s="69">
        <v>845.17</v>
      </c>
    </row>
    <row r="1024" spans="1:16" ht="14.4" x14ac:dyDescent="0.3">
      <c r="A1024" s="25" t="s">
        <v>207</v>
      </c>
      <c r="B1024" s="25"/>
      <c r="C1024" s="16" t="s">
        <v>32</v>
      </c>
      <c r="D1024" s="69">
        <v>3950.15</v>
      </c>
      <c r="E1024" s="69">
        <v>3950.15</v>
      </c>
      <c r="F1024" s="69">
        <v>3950.15</v>
      </c>
      <c r="G1024" s="69">
        <v>3950.15</v>
      </c>
      <c r="H1024" s="69">
        <v>3950.15</v>
      </c>
      <c r="I1024" s="69">
        <v>3950.15</v>
      </c>
      <c r="J1024" s="69">
        <v>3505.46</v>
      </c>
      <c r="K1024" s="69">
        <v>3505.46</v>
      </c>
      <c r="L1024" s="69">
        <v>3505.46</v>
      </c>
      <c r="M1024" s="69">
        <v>3505.46</v>
      </c>
      <c r="N1024" s="69">
        <v>3505.46</v>
      </c>
      <c r="O1024" s="69">
        <v>3505.46</v>
      </c>
      <c r="P1024" s="69">
        <v>3505.46</v>
      </c>
    </row>
    <row r="1025" spans="1:17" ht="14.4" x14ac:dyDescent="0.3">
      <c r="A1025" s="25" t="s">
        <v>208</v>
      </c>
      <c r="B1025" s="25"/>
      <c r="C1025" s="16" t="s">
        <v>32</v>
      </c>
      <c r="D1025" s="69">
        <v>14340.72</v>
      </c>
      <c r="E1025" s="69">
        <v>14340.72</v>
      </c>
      <c r="F1025" s="69">
        <v>14340.72</v>
      </c>
      <c r="G1025" s="69">
        <v>14340.72</v>
      </c>
      <c r="H1025" s="69">
        <v>14340.72</v>
      </c>
      <c r="I1025" s="69">
        <v>14340.72</v>
      </c>
      <c r="J1025" s="69">
        <v>12726.3</v>
      </c>
      <c r="K1025" s="69">
        <v>12726.3</v>
      </c>
      <c r="L1025" s="69">
        <v>12726.3</v>
      </c>
      <c r="M1025" s="69">
        <v>12726.3</v>
      </c>
      <c r="N1025" s="69">
        <v>12726.3</v>
      </c>
      <c r="O1025" s="69">
        <v>12726.3</v>
      </c>
      <c r="P1025" s="69">
        <v>12726.3</v>
      </c>
    </row>
    <row r="1026" spans="1:17" ht="14.4" x14ac:dyDescent="0.3">
      <c r="A1026" s="25" t="s">
        <v>69</v>
      </c>
      <c r="B1026" s="25"/>
      <c r="C1026" s="16"/>
      <c r="D1026" s="24"/>
      <c r="E1026" s="24"/>
      <c r="F1026" s="24"/>
      <c r="G1026" s="24"/>
      <c r="H1026" s="24"/>
      <c r="I1026" s="24"/>
      <c r="J1026" s="24"/>
      <c r="K1026" s="24"/>
      <c r="L1026" s="24"/>
      <c r="M1026" s="24"/>
      <c r="N1026" s="24"/>
      <c r="O1026" s="24"/>
      <c r="P1026" s="24"/>
    </row>
    <row r="1027" spans="1:17" ht="14.4" x14ac:dyDescent="0.3">
      <c r="A1027" s="25" t="s">
        <v>204</v>
      </c>
      <c r="B1027" s="25"/>
      <c r="C1027" s="16"/>
      <c r="D1027" s="69">
        <f t="shared" ref="D1027:P1031" si="72">D1021*110%</f>
        <v>20.735000000000003</v>
      </c>
      <c r="E1027" s="69">
        <f t="shared" si="72"/>
        <v>20.735000000000003</v>
      </c>
      <c r="F1027" s="69">
        <f t="shared" si="72"/>
        <v>20.735000000000003</v>
      </c>
      <c r="G1027" s="69">
        <f t="shared" si="72"/>
        <v>20.735000000000003</v>
      </c>
      <c r="H1027" s="69">
        <f t="shared" si="72"/>
        <v>20.735000000000003</v>
      </c>
      <c r="I1027" s="69">
        <f t="shared" si="72"/>
        <v>20.735000000000003</v>
      </c>
      <c r="J1027" s="69">
        <f t="shared" si="72"/>
        <v>18.403000000000002</v>
      </c>
      <c r="K1027" s="69">
        <f t="shared" si="72"/>
        <v>18.403000000000002</v>
      </c>
      <c r="L1027" s="69">
        <f t="shared" si="72"/>
        <v>18.403000000000002</v>
      </c>
      <c r="M1027" s="69">
        <f t="shared" si="72"/>
        <v>18.403000000000002</v>
      </c>
      <c r="N1027" s="69">
        <f t="shared" si="72"/>
        <v>18.403000000000002</v>
      </c>
      <c r="O1027" s="69">
        <f t="shared" si="72"/>
        <v>18.403000000000002</v>
      </c>
      <c r="P1027" s="69">
        <f t="shared" si="72"/>
        <v>18.403000000000002</v>
      </c>
    </row>
    <row r="1028" spans="1:17" ht="14.4" x14ac:dyDescent="0.3">
      <c r="A1028" s="25" t="s">
        <v>205</v>
      </c>
      <c r="B1028" s="25"/>
      <c r="C1028" s="16" t="s">
        <v>32</v>
      </c>
      <c r="D1028" s="69">
        <f t="shared" si="72"/>
        <v>460.47100000000006</v>
      </c>
      <c r="E1028" s="69">
        <f t="shared" si="72"/>
        <v>460.47100000000006</v>
      </c>
      <c r="F1028" s="69">
        <f t="shared" si="72"/>
        <v>460.47100000000006</v>
      </c>
      <c r="G1028" s="69">
        <f t="shared" si="72"/>
        <v>460.47100000000006</v>
      </c>
      <c r="H1028" s="69">
        <f t="shared" si="72"/>
        <v>460.47100000000006</v>
      </c>
      <c r="I1028" s="69">
        <f t="shared" si="72"/>
        <v>460.47100000000006</v>
      </c>
      <c r="J1028" s="69">
        <f t="shared" si="72"/>
        <v>408.62800000000004</v>
      </c>
      <c r="K1028" s="69">
        <f t="shared" si="72"/>
        <v>408.62800000000004</v>
      </c>
      <c r="L1028" s="69">
        <f t="shared" si="72"/>
        <v>408.62800000000004</v>
      </c>
      <c r="M1028" s="69">
        <f t="shared" si="72"/>
        <v>408.62800000000004</v>
      </c>
      <c r="N1028" s="69">
        <f t="shared" si="72"/>
        <v>408.62800000000004</v>
      </c>
      <c r="O1028" s="69">
        <f t="shared" si="72"/>
        <v>408.62800000000004</v>
      </c>
      <c r="P1028" s="69">
        <f t="shared" si="72"/>
        <v>408.62800000000004</v>
      </c>
    </row>
    <row r="1029" spans="1:17" ht="14.4" x14ac:dyDescent="0.3">
      <c r="A1029" s="25" t="s">
        <v>206</v>
      </c>
      <c r="B1029" s="25"/>
      <c r="C1029" s="16" t="s">
        <v>32</v>
      </c>
      <c r="D1029" s="69">
        <f t="shared" si="72"/>
        <v>1047.6290000000001</v>
      </c>
      <c r="E1029" s="69">
        <f t="shared" si="72"/>
        <v>1047.6290000000001</v>
      </c>
      <c r="F1029" s="69">
        <f t="shared" si="72"/>
        <v>1047.6290000000001</v>
      </c>
      <c r="G1029" s="69">
        <f t="shared" si="72"/>
        <v>1047.6290000000001</v>
      </c>
      <c r="H1029" s="69">
        <f t="shared" si="72"/>
        <v>1047.6290000000001</v>
      </c>
      <c r="I1029" s="69">
        <f t="shared" si="72"/>
        <v>1047.6290000000001</v>
      </c>
      <c r="J1029" s="69">
        <f t="shared" si="72"/>
        <v>929.68700000000001</v>
      </c>
      <c r="K1029" s="69">
        <f t="shared" si="72"/>
        <v>929.68700000000001</v>
      </c>
      <c r="L1029" s="69">
        <f t="shared" si="72"/>
        <v>929.68700000000001</v>
      </c>
      <c r="M1029" s="69">
        <f t="shared" si="72"/>
        <v>929.68700000000001</v>
      </c>
      <c r="N1029" s="69">
        <f t="shared" si="72"/>
        <v>929.68700000000001</v>
      </c>
      <c r="O1029" s="69">
        <f t="shared" si="72"/>
        <v>929.68700000000001</v>
      </c>
      <c r="P1029" s="69">
        <f t="shared" si="72"/>
        <v>929.68700000000001</v>
      </c>
    </row>
    <row r="1030" spans="1:17" ht="14.4" x14ac:dyDescent="0.3">
      <c r="A1030" s="25" t="s">
        <v>207</v>
      </c>
      <c r="B1030" s="25"/>
      <c r="C1030" s="16" t="s">
        <v>32</v>
      </c>
      <c r="D1030" s="69">
        <f t="shared" si="72"/>
        <v>4345.1650000000009</v>
      </c>
      <c r="E1030" s="69">
        <f t="shared" si="72"/>
        <v>4345.1650000000009</v>
      </c>
      <c r="F1030" s="69">
        <f t="shared" si="72"/>
        <v>4345.1650000000009</v>
      </c>
      <c r="G1030" s="69">
        <f t="shared" si="72"/>
        <v>4345.1650000000009</v>
      </c>
      <c r="H1030" s="69">
        <f t="shared" si="72"/>
        <v>4345.1650000000009</v>
      </c>
      <c r="I1030" s="69">
        <f t="shared" si="72"/>
        <v>4345.1650000000009</v>
      </c>
      <c r="J1030" s="69">
        <f t="shared" si="72"/>
        <v>3856.0060000000003</v>
      </c>
      <c r="K1030" s="69">
        <f t="shared" si="72"/>
        <v>3856.0060000000003</v>
      </c>
      <c r="L1030" s="69">
        <f t="shared" si="72"/>
        <v>3856.0060000000003</v>
      </c>
      <c r="M1030" s="69">
        <f t="shared" si="72"/>
        <v>3856.0060000000003</v>
      </c>
      <c r="N1030" s="69">
        <f t="shared" si="72"/>
        <v>3856.0060000000003</v>
      </c>
      <c r="O1030" s="69">
        <f t="shared" si="72"/>
        <v>3856.0060000000003</v>
      </c>
      <c r="P1030" s="69">
        <f t="shared" si="72"/>
        <v>3856.0060000000003</v>
      </c>
    </row>
    <row r="1031" spans="1:17" ht="14.4" x14ac:dyDescent="0.3">
      <c r="A1031" s="25" t="s">
        <v>208</v>
      </c>
      <c r="B1031" s="25"/>
      <c r="C1031" s="16" t="s">
        <v>32</v>
      </c>
      <c r="D1031" s="69">
        <f t="shared" si="72"/>
        <v>15774.792000000001</v>
      </c>
      <c r="E1031" s="69">
        <f t="shared" si="72"/>
        <v>15774.792000000001</v>
      </c>
      <c r="F1031" s="69">
        <f t="shared" si="72"/>
        <v>15774.792000000001</v>
      </c>
      <c r="G1031" s="69">
        <f t="shared" si="72"/>
        <v>15774.792000000001</v>
      </c>
      <c r="H1031" s="69">
        <f t="shared" si="72"/>
        <v>15774.792000000001</v>
      </c>
      <c r="I1031" s="69">
        <f t="shared" si="72"/>
        <v>15774.792000000001</v>
      </c>
      <c r="J1031" s="69">
        <f t="shared" si="72"/>
        <v>13998.93</v>
      </c>
      <c r="K1031" s="69">
        <f t="shared" si="72"/>
        <v>13998.93</v>
      </c>
      <c r="L1031" s="69">
        <f t="shared" si="72"/>
        <v>13998.93</v>
      </c>
      <c r="M1031" s="69">
        <f t="shared" si="72"/>
        <v>13998.93</v>
      </c>
      <c r="N1031" s="69">
        <f t="shared" si="72"/>
        <v>13998.93</v>
      </c>
      <c r="O1031" s="69">
        <f t="shared" si="72"/>
        <v>13998.93</v>
      </c>
      <c r="P1031" s="69">
        <f t="shared" si="72"/>
        <v>13998.93</v>
      </c>
    </row>
    <row r="1033" spans="1:17" s="13" customFormat="1" ht="14.4" x14ac:dyDescent="0.3">
      <c r="A1033" s="11" t="s">
        <v>3</v>
      </c>
      <c r="B1033" s="11"/>
      <c r="C1033" s="11" t="s">
        <v>4</v>
      </c>
      <c r="D1033" s="12" t="str">
        <f>D988</f>
        <v>JAN</v>
      </c>
      <c r="E1033" s="12" t="str">
        <f t="shared" ref="E1033:P1033" si="73">E988</f>
        <v>FEB</v>
      </c>
      <c r="F1033" s="12" t="str">
        <f t="shared" si="73"/>
        <v>MAR</v>
      </c>
      <c r="G1033" s="12" t="str">
        <f t="shared" si="73"/>
        <v>APR</v>
      </c>
      <c r="H1033" s="12" t="str">
        <f t="shared" si="73"/>
        <v>MAY</v>
      </c>
      <c r="I1033" s="12" t="str">
        <f t="shared" si="73"/>
        <v>JUN</v>
      </c>
      <c r="J1033" s="12" t="str">
        <f t="shared" si="73"/>
        <v>JUL</v>
      </c>
      <c r="K1033" s="12" t="str">
        <f t="shared" si="73"/>
        <v>AUG</v>
      </c>
      <c r="L1033" s="12" t="str">
        <f t="shared" si="73"/>
        <v>SEP</v>
      </c>
      <c r="M1033" s="12" t="str">
        <f t="shared" si="73"/>
        <v>OCT</v>
      </c>
      <c r="N1033" s="12" t="str">
        <f t="shared" si="73"/>
        <v>NOV</v>
      </c>
      <c r="O1033" s="12" t="str">
        <f t="shared" si="73"/>
        <v>DEC</v>
      </c>
      <c r="P1033" s="12" t="str">
        <f t="shared" si="73"/>
        <v>JAN</v>
      </c>
      <c r="Q1033" s="3"/>
    </row>
    <row r="1034" spans="1:17" ht="14.4" x14ac:dyDescent="0.3">
      <c r="A1034" s="61" t="s">
        <v>96</v>
      </c>
      <c r="B1034" s="62"/>
      <c r="C1034" s="63"/>
      <c r="D1034" s="12"/>
      <c r="E1034" s="12"/>
      <c r="F1034" s="12"/>
      <c r="G1034" s="12"/>
      <c r="H1034" s="12"/>
      <c r="I1034" s="12"/>
      <c r="J1034" s="12"/>
      <c r="K1034" s="12"/>
      <c r="L1034" s="12"/>
      <c r="M1034" s="12"/>
      <c r="N1034" s="12"/>
      <c r="O1034" s="12"/>
      <c r="P1034" s="12"/>
    </row>
    <row r="1035" spans="1:17" ht="14.4" x14ac:dyDescent="0.3">
      <c r="A1035" s="25" t="s">
        <v>68</v>
      </c>
      <c r="B1035" s="25"/>
      <c r="C1035" s="16"/>
      <c r="D1035" s="24"/>
      <c r="E1035" s="24"/>
      <c r="F1035" s="24"/>
      <c r="G1035" s="24"/>
      <c r="H1035" s="24"/>
      <c r="I1035" s="24"/>
      <c r="J1035" s="24"/>
      <c r="K1035" s="24"/>
      <c r="L1035" s="24"/>
      <c r="M1035" s="24"/>
      <c r="N1035" s="24"/>
      <c r="O1035" s="24"/>
      <c r="P1035" s="24"/>
    </row>
    <row r="1036" spans="1:17" ht="14.4" x14ac:dyDescent="0.3">
      <c r="A1036" s="25" t="s">
        <v>204</v>
      </c>
      <c r="B1036" s="25"/>
      <c r="C1036" s="16" t="s">
        <v>32</v>
      </c>
      <c r="D1036" s="69">
        <v>5</v>
      </c>
      <c r="E1036" s="69">
        <v>5</v>
      </c>
      <c r="F1036" s="69">
        <v>5</v>
      </c>
      <c r="G1036" s="69">
        <v>5</v>
      </c>
      <c r="H1036" s="69">
        <v>5</v>
      </c>
      <c r="I1036" s="69">
        <v>5</v>
      </c>
      <c r="J1036" s="69">
        <v>5</v>
      </c>
      <c r="K1036" s="69">
        <v>5</v>
      </c>
      <c r="L1036" s="69">
        <v>5</v>
      </c>
      <c r="M1036" s="69">
        <v>5</v>
      </c>
      <c r="N1036" s="69">
        <v>5</v>
      </c>
      <c r="O1036" s="69">
        <v>5</v>
      </c>
      <c r="P1036" s="69">
        <v>5</v>
      </c>
    </row>
    <row r="1037" spans="1:17" ht="14.4" x14ac:dyDescent="0.3">
      <c r="A1037" s="25" t="s">
        <v>205</v>
      </c>
      <c r="B1037" s="25"/>
      <c r="C1037" s="16" t="s">
        <v>32</v>
      </c>
      <c r="D1037" s="69">
        <v>408.3</v>
      </c>
      <c r="E1037" s="69">
        <v>408.3</v>
      </c>
      <c r="F1037" s="69">
        <v>408.3</v>
      </c>
      <c r="G1037" s="69">
        <v>408.3</v>
      </c>
      <c r="H1037" s="69">
        <v>408.3</v>
      </c>
      <c r="I1037" s="69">
        <v>408.3</v>
      </c>
      <c r="J1037" s="69">
        <v>362.34</v>
      </c>
      <c r="K1037" s="69">
        <v>362.34</v>
      </c>
      <c r="L1037" s="69">
        <v>362.34</v>
      </c>
      <c r="M1037" s="69">
        <v>362.34</v>
      </c>
      <c r="N1037" s="69">
        <v>362.34</v>
      </c>
      <c r="O1037" s="69">
        <v>362.34</v>
      </c>
      <c r="P1037" s="69">
        <v>362.34</v>
      </c>
    </row>
    <row r="1038" spans="1:17" ht="14.4" x14ac:dyDescent="0.3">
      <c r="A1038" s="25" t="s">
        <v>206</v>
      </c>
      <c r="B1038" s="25"/>
      <c r="C1038" s="16" t="s">
        <v>32</v>
      </c>
      <c r="D1038" s="69">
        <v>957.2</v>
      </c>
      <c r="E1038" s="69">
        <v>957.2</v>
      </c>
      <c r="F1038" s="69">
        <v>957.2</v>
      </c>
      <c r="G1038" s="69">
        <v>957.2</v>
      </c>
      <c r="H1038" s="69">
        <v>957.2</v>
      </c>
      <c r="I1038" s="69">
        <v>957.2</v>
      </c>
      <c r="J1038" s="69">
        <v>849.44</v>
      </c>
      <c r="K1038" s="69">
        <v>849.44</v>
      </c>
      <c r="L1038" s="69">
        <v>849.44</v>
      </c>
      <c r="M1038" s="69">
        <v>849.44</v>
      </c>
      <c r="N1038" s="69">
        <v>849.44</v>
      </c>
      <c r="O1038" s="69">
        <v>849.44</v>
      </c>
      <c r="P1038" s="69">
        <v>849.44</v>
      </c>
    </row>
    <row r="1039" spans="1:17" ht="14.4" x14ac:dyDescent="0.3">
      <c r="A1039" s="25" t="s">
        <v>207</v>
      </c>
      <c r="B1039" s="25"/>
      <c r="C1039" s="16" t="s">
        <v>32</v>
      </c>
      <c r="D1039" s="69">
        <v>3972.3</v>
      </c>
      <c r="E1039" s="69">
        <v>3972.3</v>
      </c>
      <c r="F1039" s="69">
        <v>3972.3</v>
      </c>
      <c r="G1039" s="69">
        <v>3972.3</v>
      </c>
      <c r="H1039" s="69">
        <v>3972.3</v>
      </c>
      <c r="I1039" s="69">
        <v>3972.3</v>
      </c>
      <c r="J1039" s="69">
        <v>3525.12</v>
      </c>
      <c r="K1039" s="69">
        <v>3525.12</v>
      </c>
      <c r="L1039" s="69">
        <v>3525.12</v>
      </c>
      <c r="M1039" s="69">
        <v>3525.12</v>
      </c>
      <c r="N1039" s="69">
        <v>3525.12</v>
      </c>
      <c r="O1039" s="69">
        <v>3525.12</v>
      </c>
      <c r="P1039" s="69">
        <v>3525.12</v>
      </c>
    </row>
    <row r="1040" spans="1:17" ht="14.4" x14ac:dyDescent="0.3">
      <c r="A1040" s="25" t="s">
        <v>208</v>
      </c>
      <c r="B1040" s="25"/>
      <c r="C1040" s="16" t="s">
        <v>32</v>
      </c>
      <c r="D1040" s="69">
        <v>13606.92</v>
      </c>
      <c r="E1040" s="69">
        <v>13606.92</v>
      </c>
      <c r="F1040" s="69">
        <v>13606.92</v>
      </c>
      <c r="G1040" s="69">
        <v>13606.92</v>
      </c>
      <c r="H1040" s="69">
        <v>13606.92</v>
      </c>
      <c r="I1040" s="69">
        <v>13606.92</v>
      </c>
      <c r="J1040" s="69">
        <v>12075.11</v>
      </c>
      <c r="K1040" s="69">
        <v>12075.11</v>
      </c>
      <c r="L1040" s="69">
        <v>12075.11</v>
      </c>
      <c r="M1040" s="69">
        <v>12075.11</v>
      </c>
      <c r="N1040" s="69">
        <v>12075.11</v>
      </c>
      <c r="O1040" s="69">
        <v>12075.11</v>
      </c>
      <c r="P1040" s="69">
        <v>12075.11</v>
      </c>
    </row>
    <row r="1041" spans="1:16" ht="14.4" x14ac:dyDescent="0.3">
      <c r="A1041" s="25" t="s">
        <v>69</v>
      </c>
      <c r="B1041" s="25"/>
      <c r="C1041" s="16"/>
      <c r="D1041" s="24"/>
      <c r="E1041" s="24"/>
      <c r="F1041" s="24"/>
      <c r="G1041" s="24"/>
      <c r="H1041" s="24"/>
      <c r="I1041" s="24"/>
      <c r="J1041" s="24"/>
      <c r="K1041" s="24"/>
      <c r="L1041" s="24"/>
      <c r="M1041" s="24"/>
      <c r="N1041" s="24"/>
      <c r="O1041" s="24"/>
      <c r="P1041" s="24"/>
    </row>
    <row r="1042" spans="1:16" ht="14.4" x14ac:dyDescent="0.3">
      <c r="A1042" s="25" t="s">
        <v>204</v>
      </c>
      <c r="B1042" s="25"/>
      <c r="C1042" s="16"/>
      <c r="D1042" s="69">
        <f t="shared" ref="D1042:P1046" si="74">D1036*110%</f>
        <v>5.5</v>
      </c>
      <c r="E1042" s="69">
        <f t="shared" si="74"/>
        <v>5.5</v>
      </c>
      <c r="F1042" s="69">
        <f t="shared" si="74"/>
        <v>5.5</v>
      </c>
      <c r="G1042" s="69">
        <f t="shared" si="74"/>
        <v>5.5</v>
      </c>
      <c r="H1042" s="69">
        <f t="shared" si="74"/>
        <v>5.5</v>
      </c>
      <c r="I1042" s="69">
        <f t="shared" si="74"/>
        <v>5.5</v>
      </c>
      <c r="J1042" s="69">
        <f t="shared" si="74"/>
        <v>5.5</v>
      </c>
      <c r="K1042" s="69">
        <f t="shared" si="74"/>
        <v>5.5</v>
      </c>
      <c r="L1042" s="69">
        <f t="shared" si="74"/>
        <v>5.5</v>
      </c>
      <c r="M1042" s="69">
        <f t="shared" si="74"/>
        <v>5.5</v>
      </c>
      <c r="N1042" s="69">
        <f t="shared" si="74"/>
        <v>5.5</v>
      </c>
      <c r="O1042" s="69">
        <f t="shared" si="74"/>
        <v>5.5</v>
      </c>
      <c r="P1042" s="69">
        <f t="shared" si="74"/>
        <v>5.5</v>
      </c>
    </row>
    <row r="1043" spans="1:16" ht="14.4" x14ac:dyDescent="0.3">
      <c r="A1043" s="25" t="s">
        <v>205</v>
      </c>
      <c r="B1043" s="25"/>
      <c r="C1043" s="16" t="s">
        <v>32</v>
      </c>
      <c r="D1043" s="69">
        <f t="shared" si="74"/>
        <v>449.13000000000005</v>
      </c>
      <c r="E1043" s="69">
        <f t="shared" si="74"/>
        <v>449.13000000000005</v>
      </c>
      <c r="F1043" s="69">
        <f t="shared" si="74"/>
        <v>449.13000000000005</v>
      </c>
      <c r="G1043" s="69">
        <f t="shared" si="74"/>
        <v>449.13000000000005</v>
      </c>
      <c r="H1043" s="69">
        <f t="shared" si="74"/>
        <v>449.13000000000005</v>
      </c>
      <c r="I1043" s="69">
        <f t="shared" si="74"/>
        <v>449.13000000000005</v>
      </c>
      <c r="J1043" s="69">
        <f t="shared" si="74"/>
        <v>398.57400000000001</v>
      </c>
      <c r="K1043" s="69">
        <f t="shared" si="74"/>
        <v>398.57400000000001</v>
      </c>
      <c r="L1043" s="69">
        <f t="shared" si="74"/>
        <v>398.57400000000001</v>
      </c>
      <c r="M1043" s="69">
        <f t="shared" si="74"/>
        <v>398.57400000000001</v>
      </c>
      <c r="N1043" s="69">
        <f t="shared" si="74"/>
        <v>398.57400000000001</v>
      </c>
      <c r="O1043" s="69">
        <f t="shared" si="74"/>
        <v>398.57400000000001</v>
      </c>
      <c r="P1043" s="69">
        <f t="shared" si="74"/>
        <v>398.57400000000001</v>
      </c>
    </row>
    <row r="1044" spans="1:16" ht="14.4" x14ac:dyDescent="0.3">
      <c r="A1044" s="25" t="s">
        <v>206</v>
      </c>
      <c r="B1044" s="25"/>
      <c r="C1044" s="16" t="s">
        <v>32</v>
      </c>
      <c r="D1044" s="69">
        <f t="shared" si="74"/>
        <v>1052.92</v>
      </c>
      <c r="E1044" s="69">
        <f t="shared" si="74"/>
        <v>1052.92</v>
      </c>
      <c r="F1044" s="69">
        <f t="shared" si="74"/>
        <v>1052.92</v>
      </c>
      <c r="G1044" s="69">
        <f t="shared" si="74"/>
        <v>1052.92</v>
      </c>
      <c r="H1044" s="69">
        <f t="shared" si="74"/>
        <v>1052.92</v>
      </c>
      <c r="I1044" s="69">
        <f t="shared" si="74"/>
        <v>1052.92</v>
      </c>
      <c r="J1044" s="69">
        <f t="shared" si="74"/>
        <v>934.38400000000013</v>
      </c>
      <c r="K1044" s="69">
        <f t="shared" si="74"/>
        <v>934.38400000000013</v>
      </c>
      <c r="L1044" s="69">
        <f t="shared" si="74"/>
        <v>934.38400000000013</v>
      </c>
      <c r="M1044" s="69">
        <f t="shared" si="74"/>
        <v>934.38400000000013</v>
      </c>
      <c r="N1044" s="69">
        <f t="shared" si="74"/>
        <v>934.38400000000013</v>
      </c>
      <c r="O1044" s="69">
        <f t="shared" si="74"/>
        <v>934.38400000000013</v>
      </c>
      <c r="P1044" s="69">
        <f t="shared" si="74"/>
        <v>934.38400000000013</v>
      </c>
    </row>
    <row r="1045" spans="1:16" ht="14.4" x14ac:dyDescent="0.3">
      <c r="A1045" s="25" t="s">
        <v>207</v>
      </c>
      <c r="B1045" s="25"/>
      <c r="C1045" s="16" t="s">
        <v>32</v>
      </c>
      <c r="D1045" s="69">
        <f t="shared" si="74"/>
        <v>4369.5300000000007</v>
      </c>
      <c r="E1045" s="69">
        <f t="shared" si="74"/>
        <v>4369.5300000000007</v>
      </c>
      <c r="F1045" s="69">
        <f t="shared" si="74"/>
        <v>4369.5300000000007</v>
      </c>
      <c r="G1045" s="69">
        <f t="shared" si="74"/>
        <v>4369.5300000000007</v>
      </c>
      <c r="H1045" s="69">
        <f t="shared" si="74"/>
        <v>4369.5300000000007</v>
      </c>
      <c r="I1045" s="69">
        <f t="shared" si="74"/>
        <v>4369.5300000000007</v>
      </c>
      <c r="J1045" s="69">
        <f t="shared" si="74"/>
        <v>3877.6320000000001</v>
      </c>
      <c r="K1045" s="69">
        <f t="shared" si="74"/>
        <v>3877.6320000000001</v>
      </c>
      <c r="L1045" s="69">
        <f t="shared" si="74"/>
        <v>3877.6320000000001</v>
      </c>
      <c r="M1045" s="69">
        <f t="shared" si="74"/>
        <v>3877.6320000000001</v>
      </c>
      <c r="N1045" s="69">
        <f t="shared" si="74"/>
        <v>3877.6320000000001</v>
      </c>
      <c r="O1045" s="69">
        <f t="shared" si="74"/>
        <v>3877.6320000000001</v>
      </c>
      <c r="P1045" s="69">
        <f t="shared" si="74"/>
        <v>3877.6320000000001</v>
      </c>
    </row>
    <row r="1046" spans="1:16" ht="14.4" x14ac:dyDescent="0.3">
      <c r="A1046" s="25" t="s">
        <v>208</v>
      </c>
      <c r="B1046" s="25"/>
      <c r="C1046" s="16" t="s">
        <v>32</v>
      </c>
      <c r="D1046" s="69">
        <f t="shared" si="74"/>
        <v>14967.612000000001</v>
      </c>
      <c r="E1046" s="69">
        <f t="shared" si="74"/>
        <v>14967.612000000001</v>
      </c>
      <c r="F1046" s="69">
        <f t="shared" si="74"/>
        <v>14967.612000000001</v>
      </c>
      <c r="G1046" s="69">
        <f t="shared" si="74"/>
        <v>14967.612000000001</v>
      </c>
      <c r="H1046" s="69">
        <f t="shared" si="74"/>
        <v>14967.612000000001</v>
      </c>
      <c r="I1046" s="69">
        <f t="shared" si="74"/>
        <v>14967.612000000001</v>
      </c>
      <c r="J1046" s="69">
        <f t="shared" si="74"/>
        <v>13282.621000000001</v>
      </c>
      <c r="K1046" s="69">
        <f t="shared" si="74"/>
        <v>13282.621000000001</v>
      </c>
      <c r="L1046" s="69">
        <f t="shared" si="74"/>
        <v>13282.621000000001</v>
      </c>
      <c r="M1046" s="69">
        <f t="shared" si="74"/>
        <v>13282.621000000001</v>
      </c>
      <c r="N1046" s="69">
        <f t="shared" si="74"/>
        <v>13282.621000000001</v>
      </c>
      <c r="O1046" s="69">
        <f t="shared" si="74"/>
        <v>13282.621000000001</v>
      </c>
      <c r="P1046" s="69">
        <f t="shared" si="74"/>
        <v>13282.621000000001</v>
      </c>
    </row>
    <row r="1047" spans="1:16" ht="14.4" x14ac:dyDescent="0.3">
      <c r="A1047" s="25"/>
      <c r="B1047" s="25"/>
      <c r="C1047" s="16"/>
      <c r="D1047" s="24"/>
      <c r="E1047" s="24"/>
      <c r="F1047" s="24"/>
      <c r="G1047" s="24"/>
      <c r="H1047" s="24"/>
      <c r="I1047" s="24"/>
      <c r="J1047" s="24"/>
      <c r="K1047" s="24"/>
      <c r="L1047" s="24"/>
      <c r="M1047" s="24"/>
      <c r="N1047" s="24"/>
      <c r="O1047" s="24"/>
      <c r="P1047" s="24"/>
    </row>
    <row r="1048" spans="1:16" ht="14.4" x14ac:dyDescent="0.3">
      <c r="A1048" s="61" t="s">
        <v>97</v>
      </c>
      <c r="B1048" s="62"/>
      <c r="C1048" s="63"/>
      <c r="D1048" s="62"/>
      <c r="E1048" s="62"/>
      <c r="F1048" s="62"/>
      <c r="G1048" s="62"/>
      <c r="H1048" s="62"/>
      <c r="I1048" s="62"/>
      <c r="J1048" s="62"/>
      <c r="K1048" s="62"/>
      <c r="L1048" s="62"/>
      <c r="M1048" s="62"/>
      <c r="N1048" s="62"/>
      <c r="O1048" s="62"/>
      <c r="P1048" s="62"/>
    </row>
    <row r="1049" spans="1:16" ht="14.4" x14ac:dyDescent="0.3">
      <c r="A1049" s="25" t="s">
        <v>98</v>
      </c>
      <c r="B1049" s="25"/>
      <c r="C1049" s="16" t="s">
        <v>44</v>
      </c>
      <c r="D1049" s="70">
        <v>1</v>
      </c>
      <c r="E1049" s="70">
        <v>1</v>
      </c>
      <c r="F1049" s="70">
        <v>1</v>
      </c>
      <c r="G1049" s="70">
        <v>1</v>
      </c>
      <c r="H1049" s="70">
        <v>1</v>
      </c>
      <c r="I1049" s="70">
        <v>1</v>
      </c>
      <c r="J1049" s="70">
        <v>1</v>
      </c>
      <c r="K1049" s="70">
        <v>1</v>
      </c>
      <c r="L1049" s="70">
        <v>1</v>
      </c>
      <c r="M1049" s="70">
        <v>1</v>
      </c>
      <c r="N1049" s="70">
        <v>1</v>
      </c>
      <c r="O1049" s="70">
        <v>1</v>
      </c>
      <c r="P1049" s="70">
        <v>1</v>
      </c>
    </row>
    <row r="1050" spans="1:16" ht="14.4" x14ac:dyDescent="0.3">
      <c r="A1050" s="25" t="s">
        <v>99</v>
      </c>
      <c r="B1050" s="25"/>
      <c r="C1050" s="16" t="s">
        <v>44</v>
      </c>
      <c r="D1050" s="70">
        <v>0.5</v>
      </c>
      <c r="E1050" s="70">
        <v>0.5</v>
      </c>
      <c r="F1050" s="70">
        <v>0.5</v>
      </c>
      <c r="G1050" s="70">
        <v>0.5</v>
      </c>
      <c r="H1050" s="70">
        <v>0.5</v>
      </c>
      <c r="I1050" s="70">
        <v>0.5</v>
      </c>
      <c r="J1050" s="70">
        <v>0.5</v>
      </c>
      <c r="K1050" s="70">
        <v>0.5</v>
      </c>
      <c r="L1050" s="70">
        <v>0.5</v>
      </c>
      <c r="M1050" s="70">
        <v>0.5</v>
      </c>
      <c r="N1050" s="70">
        <v>0.5</v>
      </c>
      <c r="O1050" s="70">
        <v>0.5</v>
      </c>
      <c r="P1050" s="70">
        <v>0.5</v>
      </c>
    </row>
    <row r="1051" spans="1:16" ht="14.4" x14ac:dyDescent="0.3">
      <c r="A1051" s="25" t="s">
        <v>100</v>
      </c>
      <c r="B1051" s="25"/>
      <c r="C1051" s="16" t="s">
        <v>44</v>
      </c>
      <c r="D1051" s="70">
        <v>0.35</v>
      </c>
      <c r="E1051" s="70">
        <v>0.35</v>
      </c>
      <c r="F1051" s="70">
        <v>0.35</v>
      </c>
      <c r="G1051" s="70">
        <v>0.35</v>
      </c>
      <c r="H1051" s="70">
        <v>0.35</v>
      </c>
      <c r="I1051" s="70">
        <v>0.35</v>
      </c>
      <c r="J1051" s="70">
        <v>0.35</v>
      </c>
      <c r="K1051" s="70">
        <v>0.35</v>
      </c>
      <c r="L1051" s="70">
        <v>0.35</v>
      </c>
      <c r="M1051" s="70">
        <v>0.35</v>
      </c>
      <c r="N1051" s="70">
        <v>0.35</v>
      </c>
      <c r="O1051" s="70">
        <v>0.35</v>
      </c>
      <c r="P1051" s="70">
        <v>0.35</v>
      </c>
    </row>
    <row r="1052" spans="1:16" ht="14.4" x14ac:dyDescent="0.3">
      <c r="A1052" s="25" t="s">
        <v>101</v>
      </c>
      <c r="B1052" s="25"/>
      <c r="C1052" s="16" t="s">
        <v>44</v>
      </c>
      <c r="D1052" s="70">
        <v>0.2</v>
      </c>
      <c r="E1052" s="70">
        <v>0.2</v>
      </c>
      <c r="F1052" s="70">
        <v>0.2</v>
      </c>
      <c r="G1052" s="70">
        <v>0.2</v>
      </c>
      <c r="H1052" s="70">
        <v>0.2</v>
      </c>
      <c r="I1052" s="70">
        <v>0.2</v>
      </c>
      <c r="J1052" s="70">
        <v>0.2</v>
      </c>
      <c r="K1052" s="70">
        <v>0.2</v>
      </c>
      <c r="L1052" s="70">
        <v>0.2</v>
      </c>
      <c r="M1052" s="70">
        <v>0.2</v>
      </c>
      <c r="N1052" s="70">
        <v>0.2</v>
      </c>
      <c r="O1052" s="70">
        <v>0.2</v>
      </c>
      <c r="P1052" s="70">
        <v>0.2</v>
      </c>
    </row>
    <row r="1053" spans="1:16" x14ac:dyDescent="0.3">
      <c r="A1053" s="62"/>
      <c r="B1053" s="62"/>
      <c r="C1053" s="63"/>
      <c r="D1053" s="62"/>
      <c r="E1053" s="62"/>
      <c r="F1053" s="62"/>
      <c r="G1053" s="62"/>
      <c r="H1053" s="62"/>
      <c r="I1053" s="62"/>
      <c r="J1053" s="62"/>
      <c r="K1053" s="62"/>
      <c r="L1053" s="62"/>
      <c r="M1053" s="62"/>
      <c r="N1053" s="62"/>
      <c r="O1053" s="62"/>
      <c r="P1053" s="62"/>
    </row>
    <row r="1054" spans="1:16" ht="14.4" x14ac:dyDescent="0.3">
      <c r="A1054" s="61" t="s">
        <v>102</v>
      </c>
      <c r="B1054" s="62"/>
      <c r="C1054" s="63"/>
      <c r="D1054" s="62"/>
      <c r="E1054" s="62"/>
      <c r="F1054" s="62"/>
      <c r="G1054" s="62"/>
      <c r="H1054" s="62"/>
      <c r="I1054" s="62"/>
      <c r="J1054" s="62"/>
      <c r="K1054" s="62"/>
      <c r="L1054" s="62"/>
      <c r="M1054" s="62"/>
      <c r="N1054" s="62"/>
      <c r="O1054" s="62"/>
      <c r="P1054" s="62"/>
    </row>
    <row r="1055" spans="1:16" ht="14.4" x14ac:dyDescent="0.3">
      <c r="A1055" s="25" t="s">
        <v>103</v>
      </c>
      <c r="B1055" s="25" t="s">
        <v>104</v>
      </c>
      <c r="C1055" s="16" t="s">
        <v>19</v>
      </c>
      <c r="D1055" s="20" t="s">
        <v>104</v>
      </c>
      <c r="E1055" s="20" t="s">
        <v>104</v>
      </c>
      <c r="F1055" s="20" t="s">
        <v>104</v>
      </c>
      <c r="G1055" s="20" t="s">
        <v>104</v>
      </c>
      <c r="H1055" s="20" t="s">
        <v>104</v>
      </c>
      <c r="I1055" s="20" t="s">
        <v>104</v>
      </c>
      <c r="J1055" s="20" t="s">
        <v>104</v>
      </c>
      <c r="K1055" s="20" t="s">
        <v>104</v>
      </c>
      <c r="L1055" s="20" t="s">
        <v>104</v>
      </c>
      <c r="M1055" s="20" t="s">
        <v>104</v>
      </c>
      <c r="N1055" s="20" t="s">
        <v>104</v>
      </c>
      <c r="O1055" s="20" t="s">
        <v>104</v>
      </c>
      <c r="P1055" s="20" t="s">
        <v>104</v>
      </c>
    </row>
    <row r="1056" spans="1:16" ht="14.4" x14ac:dyDescent="0.3">
      <c r="A1056" s="25" t="s">
        <v>105</v>
      </c>
      <c r="B1056" s="25" t="s">
        <v>106</v>
      </c>
      <c r="C1056" s="16" t="s">
        <v>19</v>
      </c>
      <c r="D1056" s="20">
        <v>0.1</v>
      </c>
      <c r="E1056" s="20">
        <v>0.1</v>
      </c>
      <c r="F1056" s="20">
        <v>0.1</v>
      </c>
      <c r="G1056" s="20">
        <v>0.1</v>
      </c>
      <c r="H1056" s="20">
        <v>0.1</v>
      </c>
      <c r="I1056" s="20">
        <v>0.1</v>
      </c>
      <c r="J1056" s="20">
        <v>0.1</v>
      </c>
      <c r="K1056" s="20">
        <v>0.1</v>
      </c>
      <c r="L1056" s="20">
        <v>0.1</v>
      </c>
      <c r="M1056" s="20">
        <v>0.1</v>
      </c>
      <c r="N1056" s="20">
        <v>0.1</v>
      </c>
      <c r="O1056" s="20">
        <v>0.1</v>
      </c>
      <c r="P1056" s="20">
        <v>0.1</v>
      </c>
    </row>
    <row r="1057" spans="1:16" ht="14.4" x14ac:dyDescent="0.3">
      <c r="A1057" s="25" t="s">
        <v>107</v>
      </c>
      <c r="B1057" s="25" t="s">
        <v>108</v>
      </c>
      <c r="C1057" s="16" t="s">
        <v>19</v>
      </c>
      <c r="D1057" s="20">
        <v>0.2</v>
      </c>
      <c r="E1057" s="20">
        <v>0.2</v>
      </c>
      <c r="F1057" s="20">
        <v>0.2</v>
      </c>
      <c r="G1057" s="20">
        <v>0.2</v>
      </c>
      <c r="H1057" s="20">
        <v>0.2</v>
      </c>
      <c r="I1057" s="20">
        <v>0.2</v>
      </c>
      <c r="J1057" s="20">
        <v>0.2</v>
      </c>
      <c r="K1057" s="20">
        <v>0.2</v>
      </c>
      <c r="L1057" s="20">
        <v>0.2</v>
      </c>
      <c r="M1057" s="20">
        <v>0.2</v>
      </c>
      <c r="N1057" s="20">
        <v>0.2</v>
      </c>
      <c r="O1057" s="20">
        <v>0.2</v>
      </c>
      <c r="P1057" s="20">
        <v>0.2</v>
      </c>
    </row>
    <row r="1058" spans="1:16" ht="14.4" x14ac:dyDescent="0.3">
      <c r="A1058" s="25" t="s">
        <v>109</v>
      </c>
      <c r="B1058" s="25" t="s">
        <v>110</v>
      </c>
      <c r="C1058" s="16" t="s">
        <v>19</v>
      </c>
      <c r="D1058" s="20">
        <v>0.35</v>
      </c>
      <c r="E1058" s="20">
        <v>0.35</v>
      </c>
      <c r="F1058" s="20">
        <v>0.35</v>
      </c>
      <c r="G1058" s="20">
        <v>0.35</v>
      </c>
      <c r="H1058" s="20">
        <v>0.35</v>
      </c>
      <c r="I1058" s="20">
        <v>0.35</v>
      </c>
      <c r="J1058" s="20">
        <v>0.35</v>
      </c>
      <c r="K1058" s="20">
        <v>0.35</v>
      </c>
      <c r="L1058" s="20">
        <v>0.35</v>
      </c>
      <c r="M1058" s="20">
        <v>0.35</v>
      </c>
      <c r="N1058" s="20">
        <v>0.35</v>
      </c>
      <c r="O1058" s="20">
        <v>0.35</v>
      </c>
      <c r="P1058" s="20">
        <v>0.35</v>
      </c>
    </row>
    <row r="1059" spans="1:16" x14ac:dyDescent="0.3">
      <c r="A1059" s="71"/>
      <c r="B1059" s="71"/>
      <c r="C1059" s="72"/>
      <c r="D1059" s="71"/>
      <c r="E1059" s="71"/>
      <c r="F1059" s="71"/>
      <c r="G1059" s="71"/>
      <c r="H1059" s="71"/>
      <c r="I1059" s="71"/>
      <c r="J1059" s="71"/>
      <c r="K1059" s="71"/>
      <c r="L1059" s="71"/>
      <c r="M1059" s="71"/>
      <c r="N1059" s="71"/>
      <c r="O1059" s="71"/>
      <c r="P1059" s="71"/>
    </row>
    <row r="1060" spans="1:16" x14ac:dyDescent="0.3">
      <c r="A1060" s="33"/>
      <c r="B1060" s="71"/>
      <c r="C1060" s="72"/>
      <c r="D1060" s="71"/>
      <c r="E1060" s="71"/>
      <c r="F1060" s="71"/>
      <c r="G1060" s="71"/>
      <c r="H1060" s="71"/>
      <c r="I1060" s="71"/>
      <c r="J1060" s="71"/>
      <c r="K1060" s="71"/>
      <c r="L1060" s="71"/>
      <c r="M1060" s="71"/>
      <c r="N1060" s="71"/>
      <c r="O1060" s="71"/>
      <c r="P1060" s="71"/>
    </row>
    <row r="1062" spans="1:16" x14ac:dyDescent="0.3">
      <c r="A1062" s="33"/>
    </row>
  </sheetData>
  <printOptions horizontalCentered="1"/>
  <pageMargins left="0.2" right="0.2" top="0.2" bottom="0.4" header="0.5" footer="0.1"/>
  <pageSetup paperSize="14" scale="67" orientation="landscape" r:id="rId1"/>
  <headerFooter scaleWithDoc="0" alignWithMargins="0">
    <oddFooter>&amp;L&amp;"Calibri,Regular"GENERAL NOTE: All data used in the actual implemented rates were based on available information as of the time rates were computed.&amp;R&amp;"Calibri,Italic"&amp;8
Actual Implemented Rates Page &amp;P of &amp;N</oddFooter>
  </headerFooter>
  <rowBreaks count="11" manualBreakCount="11">
    <brk id="54" max="14" man="1"/>
    <brk id="104" max="14" man="1"/>
    <brk id="154" max="14" man="1"/>
    <brk id="204" max="14" man="1"/>
    <brk id="734" max="14" man="1"/>
    <brk id="784" max="14" man="1"/>
    <brk id="834" max="14" man="1"/>
    <brk id="884" max="14" man="1"/>
    <brk id="934" max="14" man="1"/>
    <brk id="986" max="14" man="1"/>
    <brk id="1031" max="14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R457"/>
  <sheetViews>
    <sheetView view="pageBreakPreview" topLeftCell="A368" zoomScaleNormal="85" zoomScaleSheetLayoutView="100" workbookViewId="0">
      <pane xSplit="1" topLeftCell="K1" activePane="topRight" state="frozen"/>
      <selection pane="topRight" activeCell="L373" sqref="L373"/>
    </sheetView>
  </sheetViews>
  <sheetFormatPr defaultColWidth="9.109375" defaultRowHeight="13.8" x14ac:dyDescent="0.3"/>
  <cols>
    <col min="1" max="1" width="39.109375" style="3" customWidth="1"/>
    <col min="2" max="2" width="1.109375" style="3" customWidth="1"/>
    <col min="3" max="3" width="14.5546875" style="32" customWidth="1"/>
    <col min="4" max="15" width="15.88671875" style="3" customWidth="1"/>
    <col min="16" max="16" width="15.88671875" style="3" hidden="1" customWidth="1"/>
    <col min="17" max="16384" width="9.109375" style="3"/>
  </cols>
  <sheetData>
    <row r="1" spans="1:16" ht="21" x14ac:dyDescent="0.4">
      <c r="A1" s="1" t="s">
        <v>0</v>
      </c>
      <c r="B1" s="1"/>
      <c r="C1" s="2"/>
    </row>
    <row r="2" spans="1:16" ht="21" x14ac:dyDescent="0.4">
      <c r="A2" s="4" t="s">
        <v>1</v>
      </c>
      <c r="B2" s="4"/>
      <c r="C2" s="5"/>
    </row>
    <row r="3" spans="1:16" ht="21" x14ac:dyDescent="0.4">
      <c r="A3" s="6" t="str">
        <f>'[44]Supplier &amp; Trans Data'!A3</f>
        <v>For January -December 2016 Billing</v>
      </c>
      <c r="B3" s="6"/>
      <c r="C3" s="7"/>
    </row>
    <row r="4" spans="1:16" ht="21" x14ac:dyDescent="0.4">
      <c r="A4" s="4"/>
      <c r="B4" s="4"/>
      <c r="C4" s="5"/>
    </row>
    <row r="5" spans="1:16" ht="21" x14ac:dyDescent="0.4">
      <c r="A5" s="8"/>
      <c r="B5" s="4"/>
      <c r="C5" s="5"/>
    </row>
    <row r="6" spans="1:16" ht="18" x14ac:dyDescent="0.35">
      <c r="A6" s="9" t="s">
        <v>2</v>
      </c>
      <c r="B6" s="9"/>
      <c r="C6" s="5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</row>
    <row r="7" spans="1:16" s="13" customFormat="1" ht="14.4" x14ac:dyDescent="0.3">
      <c r="A7" s="11" t="s">
        <v>3</v>
      </c>
      <c r="B7" s="11"/>
      <c r="C7" s="11" t="s">
        <v>4</v>
      </c>
      <c r="D7" s="12" t="s">
        <v>5</v>
      </c>
      <c r="E7" s="12" t="s">
        <v>6</v>
      </c>
      <c r="F7" s="12" t="s">
        <v>7</v>
      </c>
      <c r="G7" s="12" t="s">
        <v>8</v>
      </c>
      <c r="H7" s="12" t="s">
        <v>9</v>
      </c>
      <c r="I7" s="12" t="s">
        <v>10</v>
      </c>
      <c r="J7" s="12" t="s">
        <v>11</v>
      </c>
      <c r="K7" s="12" t="s">
        <v>12</v>
      </c>
      <c r="L7" s="12" t="s">
        <v>13</v>
      </c>
      <c r="M7" s="12" t="s">
        <v>14</v>
      </c>
      <c r="N7" s="12" t="s">
        <v>15</v>
      </c>
      <c r="O7" s="12" t="s">
        <v>16</v>
      </c>
      <c r="P7" s="12" t="s">
        <v>5</v>
      </c>
    </row>
    <row r="8" spans="1:16" ht="14.4" x14ac:dyDescent="0.3">
      <c r="A8" s="14" t="s">
        <v>17</v>
      </c>
      <c r="B8" s="15"/>
      <c r="C8" s="16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</row>
    <row r="9" spans="1:16" ht="14.4" x14ac:dyDescent="0.3">
      <c r="A9" s="18" t="s">
        <v>18</v>
      </c>
      <c r="B9" s="19"/>
      <c r="C9" s="16" t="s">
        <v>19</v>
      </c>
      <c r="D9" s="20">
        <f t="shared" ref="D9:P9" si="0">D380</f>
        <v>3.9238</v>
      </c>
      <c r="E9" s="20">
        <f t="shared" si="0"/>
        <v>4.1691000000000003</v>
      </c>
      <c r="F9" s="20">
        <f t="shared" si="0"/>
        <v>4.0004</v>
      </c>
      <c r="G9" s="20">
        <f t="shared" si="0"/>
        <v>4.0965999999999996</v>
      </c>
      <c r="H9" s="20">
        <f t="shared" si="0"/>
        <v>3.8816999999999999</v>
      </c>
      <c r="I9" s="20">
        <f t="shared" si="0"/>
        <v>3.7206999999999999</v>
      </c>
      <c r="J9" s="20">
        <f t="shared" si="0"/>
        <v>4.0603999999999996</v>
      </c>
      <c r="K9" s="20">
        <f t="shared" si="0"/>
        <v>3.8559999999999999</v>
      </c>
      <c r="L9" s="20">
        <f t="shared" si="0"/>
        <v>3.9439000000000002</v>
      </c>
      <c r="M9" s="20">
        <f t="shared" si="0"/>
        <v>3.8938000000000001</v>
      </c>
      <c r="N9" s="20">
        <f t="shared" si="0"/>
        <v>3.8435999999999999</v>
      </c>
      <c r="O9" s="20">
        <f t="shared" si="0"/>
        <v>3.9350999999999998</v>
      </c>
      <c r="P9" s="20" t="e">
        <f t="shared" si="0"/>
        <v>#DIV/0!</v>
      </c>
    </row>
    <row r="10" spans="1:16" ht="14.4" x14ac:dyDescent="0.3">
      <c r="A10" s="14" t="s">
        <v>20</v>
      </c>
      <c r="B10" s="15"/>
      <c r="C10" s="16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</row>
    <row r="11" spans="1:16" ht="14.4" x14ac:dyDescent="0.3">
      <c r="A11" s="18" t="s">
        <v>21</v>
      </c>
      <c r="B11" s="19"/>
      <c r="C11" s="16" t="s">
        <v>19</v>
      </c>
      <c r="D11" s="20">
        <f>[44]TR!D51</f>
        <v>0.84489999999999998</v>
      </c>
      <c r="E11" s="20">
        <f>[44]TR!E51</f>
        <v>0.92549999999999999</v>
      </c>
      <c r="F11" s="20">
        <f>[44]TR!F51</f>
        <v>0.95640000000000003</v>
      </c>
      <c r="G11" s="20">
        <f>[44]TR!G51</f>
        <v>0.96379999999999999</v>
      </c>
      <c r="H11" s="20">
        <f>[44]TR!H51</f>
        <v>0.86860000000000004</v>
      </c>
      <c r="I11" s="20">
        <f>[44]TR!I51</f>
        <v>0.93640000000000001</v>
      </c>
      <c r="J11" s="20">
        <f>[44]TR!J51</f>
        <v>0.85429999999999995</v>
      </c>
      <c r="K11" s="20">
        <f>[44]TR!K51</f>
        <v>0.9355</v>
      </c>
      <c r="L11" s="20">
        <f>[44]TR!L51</f>
        <v>0.83520000000000005</v>
      </c>
      <c r="M11" s="20">
        <f>[44]TR!M51</f>
        <v>0.77810000000000001</v>
      </c>
      <c r="N11" s="20">
        <f>[44]TR!N51</f>
        <v>0.75829999999999997</v>
      </c>
      <c r="O11" s="20">
        <f>[44]TR!O51</f>
        <v>0.76200000000000001</v>
      </c>
      <c r="P11" s="20">
        <f>[44]TR!P51</f>
        <v>0</v>
      </c>
    </row>
    <row r="12" spans="1:16" ht="14.4" x14ac:dyDescent="0.3">
      <c r="A12" s="18" t="s">
        <v>22</v>
      </c>
      <c r="B12" s="19"/>
      <c r="C12" s="16" t="s">
        <v>23</v>
      </c>
      <c r="D12" s="20">
        <v>0</v>
      </c>
      <c r="E12" s="20">
        <v>0</v>
      </c>
      <c r="F12" s="20">
        <v>0</v>
      </c>
      <c r="G12" s="20">
        <v>0</v>
      </c>
      <c r="H12" s="20">
        <v>0</v>
      </c>
      <c r="I12" s="20">
        <v>0</v>
      </c>
      <c r="J12" s="20">
        <v>0</v>
      </c>
      <c r="K12" s="20">
        <v>0</v>
      </c>
      <c r="L12" s="20">
        <v>0</v>
      </c>
      <c r="M12" s="20">
        <v>0</v>
      </c>
      <c r="N12" s="20">
        <v>0</v>
      </c>
      <c r="O12" s="20">
        <v>0</v>
      </c>
      <c r="P12" s="20">
        <v>0</v>
      </c>
    </row>
    <row r="13" spans="1:16" ht="14.4" x14ac:dyDescent="0.3">
      <c r="A13" s="14" t="s">
        <v>24</v>
      </c>
      <c r="B13" s="15"/>
      <c r="C13" s="16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</row>
    <row r="14" spans="1:16" ht="14.4" x14ac:dyDescent="0.3">
      <c r="A14" s="18" t="s">
        <v>25</v>
      </c>
      <c r="B14" s="19"/>
      <c r="C14" s="16" t="s">
        <v>19</v>
      </c>
      <c r="D14" s="20">
        <f>[44]SLR!D65</f>
        <v>0.4173</v>
      </c>
      <c r="E14" s="20">
        <f>[44]SLR!E65</f>
        <v>0.46089999999999998</v>
      </c>
      <c r="F14" s="20">
        <f>[44]SLR!F65</f>
        <v>0.43580000000000002</v>
      </c>
      <c r="G14" s="20">
        <f>[44]SLR!G65</f>
        <v>0.44890000000000002</v>
      </c>
      <c r="H14" s="20">
        <f>[44]SLR!H65</f>
        <v>0.41930000000000001</v>
      </c>
      <c r="I14" s="20">
        <f>[44]SLR!I65</f>
        <v>0.40460000000000002</v>
      </c>
      <c r="J14" s="20">
        <f>[44]SLR!J65</f>
        <v>0.42730000000000001</v>
      </c>
      <c r="K14" s="20">
        <f>[44]SLR!K65</f>
        <v>0.4204</v>
      </c>
      <c r="L14" s="20">
        <f>[44]SLR!L65</f>
        <v>0.41880000000000001</v>
      </c>
      <c r="M14" s="20">
        <f>[44]SLR!M65</f>
        <v>0.4032</v>
      </c>
      <c r="N14" s="20">
        <f>[44]SLR!N65</f>
        <v>0.40010000000000001</v>
      </c>
      <c r="O14" s="20">
        <f>[44]SLR!O65</f>
        <v>0.4027</v>
      </c>
      <c r="P14" s="20" t="e">
        <f>[44]SLR!P65</f>
        <v>#DIV/0!</v>
      </c>
    </row>
    <row r="15" spans="1:16" ht="14.4" x14ac:dyDescent="0.3">
      <c r="A15" s="14" t="s">
        <v>26</v>
      </c>
      <c r="B15" s="14"/>
      <c r="C15" s="16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</row>
    <row r="16" spans="1:16" ht="14.4" x14ac:dyDescent="0.3">
      <c r="A16" s="18" t="s">
        <v>27</v>
      </c>
      <c r="B16" s="18"/>
      <c r="C16" s="16" t="s">
        <v>19</v>
      </c>
      <c r="D16" s="20">
        <v>2.0082</v>
      </c>
      <c r="E16" s="20">
        <v>2.0082</v>
      </c>
      <c r="F16" s="20">
        <v>2.0082</v>
      </c>
      <c r="G16" s="20">
        <v>2.0082</v>
      </c>
      <c r="H16" s="20">
        <v>2.0082</v>
      </c>
      <c r="I16" s="20">
        <v>2.0082</v>
      </c>
      <c r="J16" s="20">
        <v>2.0082</v>
      </c>
      <c r="K16" s="20">
        <v>2.0082</v>
      </c>
      <c r="L16" s="20">
        <v>2.0082</v>
      </c>
      <c r="M16" s="20">
        <v>2.0082</v>
      </c>
      <c r="N16" s="20">
        <v>2.0082</v>
      </c>
      <c r="O16" s="20">
        <v>2.0082</v>
      </c>
      <c r="P16" s="20">
        <v>2.0082</v>
      </c>
    </row>
    <row r="17" spans="1:16" ht="14.4" x14ac:dyDescent="0.3">
      <c r="A17" s="18" t="s">
        <v>28</v>
      </c>
      <c r="B17" s="18"/>
      <c r="C17" s="16" t="s">
        <v>23</v>
      </c>
      <c r="D17" s="23">
        <v>0</v>
      </c>
      <c r="E17" s="23">
        <v>0</v>
      </c>
      <c r="F17" s="23">
        <v>0</v>
      </c>
      <c r="G17" s="23">
        <v>0</v>
      </c>
      <c r="H17" s="23">
        <v>0</v>
      </c>
      <c r="I17" s="23">
        <v>0</v>
      </c>
      <c r="J17" s="23">
        <v>0</v>
      </c>
      <c r="K17" s="23">
        <v>0</v>
      </c>
      <c r="L17" s="23">
        <v>0</v>
      </c>
      <c r="M17" s="23">
        <v>0</v>
      </c>
      <c r="N17" s="23">
        <v>0</v>
      </c>
      <c r="O17" s="23">
        <v>0</v>
      </c>
      <c r="P17" s="23">
        <v>0</v>
      </c>
    </row>
    <row r="18" spans="1:16" s="5" customFormat="1" ht="14.4" x14ac:dyDescent="0.3">
      <c r="A18" s="14" t="s">
        <v>29</v>
      </c>
      <c r="B18" s="14"/>
      <c r="C18" s="16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</row>
    <row r="19" spans="1:16" ht="14.4" x14ac:dyDescent="0.3">
      <c r="A19" s="18" t="s">
        <v>30</v>
      </c>
      <c r="B19" s="18"/>
      <c r="C19" s="16" t="s">
        <v>19</v>
      </c>
      <c r="D19" s="20">
        <v>0.64949999999999997</v>
      </c>
      <c r="E19" s="20">
        <v>0.64949999999999997</v>
      </c>
      <c r="F19" s="20">
        <v>0.64949999999999997</v>
      </c>
      <c r="G19" s="20">
        <v>0.64949999999999997</v>
      </c>
      <c r="H19" s="20">
        <v>0.64949999999999997</v>
      </c>
      <c r="I19" s="20">
        <v>0.64949999999999997</v>
      </c>
      <c r="J19" s="20">
        <v>0.64949999999999997</v>
      </c>
      <c r="K19" s="20">
        <v>0.64949999999999997</v>
      </c>
      <c r="L19" s="20">
        <v>0.64949999999999997</v>
      </c>
      <c r="M19" s="20">
        <v>0.64949999999999997</v>
      </c>
      <c r="N19" s="20">
        <v>0.64949999999999997</v>
      </c>
      <c r="O19" s="20">
        <v>0.64949999999999997</v>
      </c>
      <c r="P19" s="20">
        <v>0.64949999999999997</v>
      </c>
    </row>
    <row r="20" spans="1:16" ht="14.4" x14ac:dyDescent="0.3">
      <c r="A20" s="18" t="s">
        <v>31</v>
      </c>
      <c r="B20" s="18"/>
      <c r="C20" s="16" t="s">
        <v>32</v>
      </c>
      <c r="D20" s="23">
        <v>0</v>
      </c>
      <c r="E20" s="23">
        <v>0</v>
      </c>
      <c r="F20" s="23">
        <v>0</v>
      </c>
      <c r="G20" s="23">
        <v>0</v>
      </c>
      <c r="H20" s="23">
        <v>0</v>
      </c>
      <c r="I20" s="23">
        <v>0</v>
      </c>
      <c r="J20" s="23">
        <v>0</v>
      </c>
      <c r="K20" s="23">
        <v>0</v>
      </c>
      <c r="L20" s="23">
        <v>0</v>
      </c>
      <c r="M20" s="23">
        <v>0</v>
      </c>
      <c r="N20" s="23">
        <v>0</v>
      </c>
      <c r="O20" s="23">
        <v>0</v>
      </c>
      <c r="P20" s="23">
        <v>0</v>
      </c>
    </row>
    <row r="21" spans="1:16" ht="14.4" x14ac:dyDescent="0.3">
      <c r="A21" s="14" t="s">
        <v>33</v>
      </c>
      <c r="B21" s="14"/>
      <c r="C21" s="16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</row>
    <row r="22" spans="1:16" ht="14.4" x14ac:dyDescent="0.3">
      <c r="A22" s="18" t="s">
        <v>34</v>
      </c>
      <c r="B22" s="18"/>
      <c r="C22" s="16" t="s">
        <v>19</v>
      </c>
      <c r="D22" s="20">
        <v>0</v>
      </c>
      <c r="E22" s="20">
        <v>0</v>
      </c>
      <c r="F22" s="20">
        <v>0</v>
      </c>
      <c r="G22" s="20">
        <v>0</v>
      </c>
      <c r="H22" s="20">
        <v>0</v>
      </c>
      <c r="I22" s="20">
        <v>0</v>
      </c>
      <c r="J22" s="20">
        <v>0</v>
      </c>
      <c r="K22" s="20">
        <v>0</v>
      </c>
      <c r="L22" s="20">
        <v>0</v>
      </c>
      <c r="M22" s="20">
        <v>0</v>
      </c>
      <c r="N22" s="20">
        <v>0</v>
      </c>
      <c r="O22" s="20">
        <v>0</v>
      </c>
      <c r="P22" s="20">
        <v>0</v>
      </c>
    </row>
    <row r="23" spans="1:16" ht="14.4" x14ac:dyDescent="0.3">
      <c r="A23" s="18" t="s">
        <v>35</v>
      </c>
      <c r="B23" s="18"/>
      <c r="C23" s="16" t="s">
        <v>36</v>
      </c>
      <c r="D23" s="23">
        <v>0</v>
      </c>
      <c r="E23" s="23">
        <v>0</v>
      </c>
      <c r="F23" s="23">
        <v>0</v>
      </c>
      <c r="G23" s="23">
        <v>0</v>
      </c>
      <c r="H23" s="23">
        <v>0</v>
      </c>
      <c r="I23" s="23">
        <v>0</v>
      </c>
      <c r="J23" s="23">
        <v>0</v>
      </c>
      <c r="K23" s="23">
        <v>0</v>
      </c>
      <c r="L23" s="23">
        <v>0</v>
      </c>
      <c r="M23" s="23">
        <v>0</v>
      </c>
      <c r="N23" s="23">
        <v>0</v>
      </c>
      <c r="O23" s="23">
        <v>0</v>
      </c>
      <c r="P23" s="23">
        <v>0</v>
      </c>
    </row>
    <row r="24" spans="1:16" ht="14.4" x14ac:dyDescent="0.3">
      <c r="A24" s="14" t="s">
        <v>37</v>
      </c>
      <c r="B24" s="14"/>
      <c r="C24" s="16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</row>
    <row r="25" spans="1:16" ht="14.4" x14ac:dyDescent="0.3">
      <c r="A25" s="25" t="s">
        <v>38</v>
      </c>
      <c r="B25" s="18"/>
      <c r="C25" s="16" t="s">
        <v>19</v>
      </c>
      <c r="D25" s="20">
        <f>[44]LD!E30</f>
        <v>9.4799999999999995E-2</v>
      </c>
      <c r="E25" s="20">
        <f>[44]LD!F30</f>
        <v>9.9000000000000005E-2</v>
      </c>
      <c r="F25" s="20">
        <f>[44]LD!G30</f>
        <v>9.8100000000000007E-2</v>
      </c>
      <c r="G25" s="20">
        <f>[44]LD!H30</f>
        <v>0.10100000000000001</v>
      </c>
      <c r="H25" s="20">
        <f>[44]LD!I30</f>
        <v>7.46E-2</v>
      </c>
      <c r="I25" s="20">
        <f>[44]LD!J30</f>
        <v>6.5799999999999997E-2</v>
      </c>
      <c r="J25" s="20">
        <f>[44]LD!K30</f>
        <v>6.2E-2</v>
      </c>
      <c r="K25" s="20">
        <f>[44]LD!L30</f>
        <v>7.5999999999999998E-2</v>
      </c>
      <c r="L25" s="20">
        <f>[44]LD!M30</f>
        <v>7.1499999999999994E-2</v>
      </c>
      <c r="M25" s="20">
        <f>[44]LD!N30</f>
        <v>7.2599999999999998E-2</v>
      </c>
      <c r="N25" s="20">
        <f>[44]LD!O30</f>
        <v>7.9799999999999996E-2</v>
      </c>
      <c r="O25" s="20">
        <f>[44]LD!P30</f>
        <v>7.6999999999999999E-2</v>
      </c>
      <c r="P25" s="20">
        <f>[44]LD!Q30</f>
        <v>0</v>
      </c>
    </row>
    <row r="26" spans="1:16" ht="14.4" x14ac:dyDescent="0.3">
      <c r="A26" s="25" t="s">
        <v>39</v>
      </c>
      <c r="B26" s="18"/>
      <c r="C26" s="16" t="s">
        <v>19</v>
      </c>
      <c r="D26" s="20">
        <v>0</v>
      </c>
      <c r="E26" s="20">
        <v>0</v>
      </c>
      <c r="F26" s="20">
        <v>0</v>
      </c>
      <c r="G26" s="20">
        <v>0</v>
      </c>
      <c r="H26" s="20">
        <v>0</v>
      </c>
      <c r="I26" s="20">
        <v>0</v>
      </c>
      <c r="J26" s="20">
        <v>0</v>
      </c>
      <c r="K26" s="20">
        <v>0</v>
      </c>
      <c r="L26" s="20">
        <v>0</v>
      </c>
      <c r="M26" s="20">
        <v>0</v>
      </c>
      <c r="N26" s="20">
        <v>0</v>
      </c>
      <c r="O26" s="20">
        <v>0</v>
      </c>
      <c r="P26" s="20">
        <v>0</v>
      </c>
    </row>
    <row r="27" spans="1:16" ht="14.4" x14ac:dyDescent="0.3">
      <c r="A27" s="26" t="s">
        <v>40</v>
      </c>
      <c r="B27" s="18"/>
      <c r="C27" s="16" t="s">
        <v>19</v>
      </c>
      <c r="D27" s="20">
        <f>'[44]SR CIT. SUBSIDY'!E95</f>
        <v>1E-4</v>
      </c>
      <c r="E27" s="20">
        <f>'[44]SR CIT. SUBSIDY'!F95</f>
        <v>1E-4</v>
      </c>
      <c r="F27" s="20">
        <f>'[44]SR CIT. SUBSIDY'!G95</f>
        <v>1E-4</v>
      </c>
      <c r="G27" s="20">
        <f>'[44]SR CIT. SUBSIDY'!H95</f>
        <v>1E-4</v>
      </c>
      <c r="H27" s="20">
        <f>'[44]SR CIT. SUBSIDY'!I95</f>
        <v>1E-4</v>
      </c>
      <c r="I27" s="20">
        <f>'[44]SR CIT. SUBSIDY'!J95</f>
        <v>1E-4</v>
      </c>
      <c r="J27" s="20">
        <f>'[44]SR CIT. SUBSIDY'!K95</f>
        <v>1E-4</v>
      </c>
      <c r="K27" s="20">
        <f>'[44]SR CIT. SUBSIDY'!L95</f>
        <v>1E-4</v>
      </c>
      <c r="L27" s="20">
        <f>'[44]SR CIT. SUBSIDY'!M95</f>
        <v>1E-4</v>
      </c>
      <c r="M27" s="20">
        <f>'[44]SR CIT. SUBSIDY'!N95</f>
        <v>1E-4</v>
      </c>
      <c r="N27" s="20">
        <f>'[44]SR CIT. SUBSIDY'!O95</f>
        <v>1E-4</v>
      </c>
      <c r="O27" s="20">
        <f>'[44]SR CIT. SUBSIDY'!P95</f>
        <v>1E-4</v>
      </c>
      <c r="P27" s="20">
        <f>'[44]SR CIT. SUBSIDY'!Q95</f>
        <v>0</v>
      </c>
    </row>
    <row r="28" spans="1:16" ht="14.4" x14ac:dyDescent="0.3">
      <c r="A28" s="26" t="s">
        <v>41</v>
      </c>
      <c r="B28" s="18"/>
      <c r="C28" s="16" t="s">
        <v>19</v>
      </c>
      <c r="D28" s="20">
        <v>0</v>
      </c>
      <c r="E28" s="20">
        <v>0</v>
      </c>
      <c r="F28" s="20">
        <v>0</v>
      </c>
      <c r="G28" s="20">
        <v>0</v>
      </c>
      <c r="H28" s="20">
        <v>0</v>
      </c>
      <c r="I28" s="20">
        <v>0</v>
      </c>
      <c r="J28" s="20">
        <v>0</v>
      </c>
      <c r="K28" s="20">
        <v>0</v>
      </c>
      <c r="L28" s="20">
        <v>0</v>
      </c>
      <c r="M28" s="20">
        <v>0</v>
      </c>
      <c r="N28" s="20">
        <v>0</v>
      </c>
      <c r="O28" s="20">
        <v>0</v>
      </c>
      <c r="P28" s="20">
        <v>0</v>
      </c>
    </row>
    <row r="29" spans="1:16" ht="14.4" x14ac:dyDescent="0.3">
      <c r="A29" s="14" t="s">
        <v>42</v>
      </c>
      <c r="B29" s="14"/>
      <c r="C29" s="16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</row>
    <row r="30" spans="1:16" ht="14.4" x14ac:dyDescent="0.3">
      <c r="A30" s="14" t="s">
        <v>43</v>
      </c>
      <c r="B30" s="14"/>
      <c r="C30" s="16" t="s">
        <v>44</v>
      </c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</row>
    <row r="31" spans="1:16" ht="14.4" x14ac:dyDescent="0.3">
      <c r="A31" s="14" t="s">
        <v>45</v>
      </c>
      <c r="B31" s="14"/>
      <c r="C31" s="16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</row>
    <row r="32" spans="1:16" ht="14.4" x14ac:dyDescent="0.3">
      <c r="A32" s="14" t="s">
        <v>46</v>
      </c>
      <c r="B32" s="14"/>
      <c r="C32" s="16" t="s">
        <v>19</v>
      </c>
      <c r="D32" s="20">
        <v>0</v>
      </c>
      <c r="E32" s="20">
        <v>0</v>
      </c>
      <c r="F32" s="20">
        <v>0</v>
      </c>
      <c r="G32" s="20">
        <v>0</v>
      </c>
      <c r="H32" s="20">
        <v>0</v>
      </c>
      <c r="I32" s="20">
        <v>0</v>
      </c>
      <c r="J32" s="20">
        <v>0</v>
      </c>
      <c r="K32" s="20">
        <v>0</v>
      </c>
      <c r="L32" s="20">
        <v>0</v>
      </c>
      <c r="M32" s="20">
        <v>0</v>
      </c>
      <c r="N32" s="20">
        <v>0</v>
      </c>
      <c r="O32" s="20">
        <v>0</v>
      </c>
      <c r="P32" s="20">
        <v>0</v>
      </c>
    </row>
    <row r="33" spans="1:16" ht="14.4" x14ac:dyDescent="0.3">
      <c r="A33" s="14" t="s">
        <v>47</v>
      </c>
      <c r="B33" s="14"/>
      <c r="C33" s="16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</row>
    <row r="34" spans="1:16" ht="14.4" x14ac:dyDescent="0.3">
      <c r="A34" s="18" t="s">
        <v>48</v>
      </c>
      <c r="B34" s="18"/>
      <c r="C34" s="16" t="s">
        <v>19</v>
      </c>
      <c r="D34" s="20">
        <v>0.15609999999999999</v>
      </c>
      <c r="E34" s="20">
        <v>0.15609999999999999</v>
      </c>
      <c r="F34" s="20">
        <v>0.15609999999999999</v>
      </c>
      <c r="G34" s="20">
        <v>0.15609999999999999</v>
      </c>
      <c r="H34" s="20">
        <v>0.15609999999999999</v>
      </c>
      <c r="I34" s="20">
        <v>0.15609999999999999</v>
      </c>
      <c r="J34" s="20">
        <v>0.15609999999999999</v>
      </c>
      <c r="K34" s="20">
        <v>0.15609999999999999</v>
      </c>
      <c r="L34" s="20">
        <v>0.15609999999999999</v>
      </c>
      <c r="M34" s="20">
        <v>0.15609999999999999</v>
      </c>
      <c r="N34" s="20">
        <v>0.15609999999999999</v>
      </c>
      <c r="O34" s="20">
        <v>0.15609999999999999</v>
      </c>
      <c r="P34" s="20">
        <v>0.15609999999999999</v>
      </c>
    </row>
    <row r="35" spans="1:16" ht="14.4" x14ac:dyDescent="0.3">
      <c r="A35" s="18" t="s">
        <v>49</v>
      </c>
      <c r="B35" s="18"/>
      <c r="C35" s="16" t="s">
        <v>19</v>
      </c>
      <c r="D35" s="20">
        <v>2.5000000000000001E-3</v>
      </c>
      <c r="E35" s="20">
        <v>2.5000000000000001E-3</v>
      </c>
      <c r="F35" s="20">
        <v>2.5000000000000001E-3</v>
      </c>
      <c r="G35" s="20">
        <v>2.5000000000000001E-3</v>
      </c>
      <c r="H35" s="20">
        <v>2.5000000000000001E-3</v>
      </c>
      <c r="I35" s="20">
        <v>2.5000000000000001E-3</v>
      </c>
      <c r="J35" s="20">
        <v>2.5000000000000001E-3</v>
      </c>
      <c r="K35" s="20">
        <v>2.5000000000000001E-3</v>
      </c>
      <c r="L35" s="20">
        <v>2.5000000000000001E-3</v>
      </c>
      <c r="M35" s="20">
        <v>2.5000000000000001E-3</v>
      </c>
      <c r="N35" s="20">
        <v>2.5000000000000001E-3</v>
      </c>
      <c r="O35" s="20">
        <v>2.5000000000000001E-3</v>
      </c>
      <c r="P35" s="20">
        <v>2.5000000000000001E-3</v>
      </c>
    </row>
    <row r="36" spans="1:16" ht="14.4" x14ac:dyDescent="0.3">
      <c r="A36" s="18" t="s">
        <v>50</v>
      </c>
      <c r="B36" s="18"/>
      <c r="C36" s="16" t="s">
        <v>19</v>
      </c>
      <c r="D36" s="20">
        <v>0.1938</v>
      </c>
      <c r="E36" s="20">
        <v>0.1938</v>
      </c>
      <c r="F36" s="20">
        <v>0.1938</v>
      </c>
      <c r="G36" s="20">
        <v>0.1938</v>
      </c>
      <c r="H36" s="20">
        <v>0.1938</v>
      </c>
      <c r="I36" s="20">
        <v>0.1938</v>
      </c>
      <c r="J36" s="20">
        <v>0.1938</v>
      </c>
      <c r="K36" s="20">
        <v>0.1938</v>
      </c>
      <c r="L36" s="20">
        <v>0.1938</v>
      </c>
      <c r="M36" s="20">
        <v>0.1938</v>
      </c>
      <c r="N36" s="20">
        <v>0.1938</v>
      </c>
      <c r="O36" s="20">
        <v>0.1938</v>
      </c>
      <c r="P36" s="20">
        <v>0.1938</v>
      </c>
    </row>
    <row r="37" spans="1:16" ht="14.4" x14ac:dyDescent="0.3">
      <c r="A37" s="14" t="s">
        <v>51</v>
      </c>
      <c r="B37" s="14"/>
      <c r="C37" s="16" t="s">
        <v>19</v>
      </c>
      <c r="D37" s="20">
        <v>4.0599999999999997E-2</v>
      </c>
      <c r="E37" s="20">
        <v>4.0599999999999997E-2</v>
      </c>
      <c r="F37" s="20">
        <v>4.0599999999999997E-2</v>
      </c>
      <c r="G37" s="20">
        <v>0.124</v>
      </c>
      <c r="H37" s="20">
        <v>0.124</v>
      </c>
      <c r="I37" s="20">
        <v>0.124</v>
      </c>
      <c r="J37" s="20">
        <v>0.124</v>
      </c>
      <c r="K37" s="20">
        <v>0.124</v>
      </c>
      <c r="L37" s="20">
        <v>0.124</v>
      </c>
      <c r="M37" s="20">
        <v>0.124</v>
      </c>
      <c r="N37" s="20">
        <v>0.124</v>
      </c>
      <c r="O37" s="20">
        <v>0.124</v>
      </c>
      <c r="P37" s="20">
        <v>0.124</v>
      </c>
    </row>
    <row r="38" spans="1:16" ht="14.4" x14ac:dyDescent="0.3">
      <c r="A38" s="14" t="s">
        <v>52</v>
      </c>
      <c r="B38" s="14"/>
      <c r="C38" s="29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</row>
    <row r="39" spans="1:16" ht="14.4" x14ac:dyDescent="0.3">
      <c r="A39" s="18" t="s">
        <v>53</v>
      </c>
      <c r="B39" s="18"/>
      <c r="C39" s="16" t="s">
        <v>44</v>
      </c>
      <c r="D39" s="30">
        <f>'[44]DU VAT'!D16</f>
        <v>0.1139</v>
      </c>
      <c r="E39" s="30">
        <f>'[44]DU VAT'!E16</f>
        <v>0.115</v>
      </c>
      <c r="F39" s="30">
        <f>'[44]DU VAT'!F16</f>
        <v>0.1143</v>
      </c>
      <c r="G39" s="30">
        <f>'[44]DU VAT'!G16</f>
        <v>0.11310000000000001</v>
      </c>
      <c r="H39" s="30">
        <f>'[44]DU VAT'!H16</f>
        <v>0.11020000000000001</v>
      </c>
      <c r="I39" s="30">
        <f>'[44]DU VAT'!I16</f>
        <v>0.1116</v>
      </c>
      <c r="J39" s="30">
        <f>'[44]DU VAT'!J16</f>
        <v>0.10920000000000001</v>
      </c>
      <c r="K39" s="30">
        <f>'[44]DU VAT'!K16</f>
        <v>0.1138</v>
      </c>
      <c r="L39" s="30">
        <f>'[44]DU VAT'!L16</f>
        <v>0.1072</v>
      </c>
      <c r="M39" s="30">
        <f>'[44]DU VAT'!M16</f>
        <v>0.11219999999999999</v>
      </c>
      <c r="N39" s="30">
        <f>'[44]DU VAT'!N16</f>
        <v>0.1101</v>
      </c>
      <c r="O39" s="30">
        <f>'[44]DU VAT'!O16</f>
        <v>0.11020000000000001</v>
      </c>
      <c r="P39" s="30" t="e">
        <f>'[44]DU VAT'!P16</f>
        <v>#DIV/0!</v>
      </c>
    </row>
    <row r="40" spans="1:16" ht="14.4" x14ac:dyDescent="0.3">
      <c r="A40" s="18" t="s">
        <v>54</v>
      </c>
      <c r="B40" s="18"/>
      <c r="C40" s="16" t="s">
        <v>44</v>
      </c>
      <c r="D40" s="30">
        <f>'[44]DU VAT'!D23</f>
        <v>5.5999999999999999E-3</v>
      </c>
      <c r="E40" s="30">
        <f>'[44]DU VAT'!E23</f>
        <v>1.52E-2</v>
      </c>
      <c r="F40" s="30">
        <f>'[44]DU VAT'!F23</f>
        <v>2.0400000000000001E-2</v>
      </c>
      <c r="G40" s="30">
        <f>'[44]DU VAT'!G23</f>
        <v>2.7199999999999998E-2</v>
      </c>
      <c r="H40" s="30">
        <f>'[44]DU VAT'!H23</f>
        <v>3.44E-2</v>
      </c>
      <c r="I40" s="30">
        <f>'[44]DU VAT'!I23</f>
        <v>3.9199999999999999E-2</v>
      </c>
      <c r="J40" s="30">
        <f>'[44]DU VAT'!J23</f>
        <v>2.3900000000000001E-2</v>
      </c>
      <c r="K40" s="30">
        <f>'[44]DU VAT'!K23</f>
        <v>3.39E-2</v>
      </c>
      <c r="L40" s="30">
        <f>'[44]DU VAT'!L23</f>
        <v>2.81E-2</v>
      </c>
      <c r="M40" s="30">
        <f>'[44]DU VAT'!M23</f>
        <v>1.1599999999999999E-2</v>
      </c>
      <c r="N40" s="30">
        <f>'[44]DU VAT'!N23</f>
        <v>1.17E-2</v>
      </c>
      <c r="O40" s="30">
        <f>'[44]DU VAT'!O23</f>
        <v>6.3E-3</v>
      </c>
      <c r="P40" s="30" t="e">
        <f>'[44]DU VAT'!P23</f>
        <v>#DIV/0!</v>
      </c>
    </row>
    <row r="41" spans="1:16" ht="14.4" x14ac:dyDescent="0.3">
      <c r="A41" s="18" t="s">
        <v>55</v>
      </c>
      <c r="B41" s="18"/>
      <c r="C41" s="16" t="s">
        <v>44</v>
      </c>
      <c r="D41" s="30">
        <f>'[44]DU VAT'!D30</f>
        <v>9.5000000000000001E-2</v>
      </c>
      <c r="E41" s="30">
        <f>'[44]DU VAT'!E30</f>
        <v>9.7000000000000003E-2</v>
      </c>
      <c r="F41" s="30">
        <f>'[44]DU VAT'!F30</f>
        <v>9.7100000000000006E-2</v>
      </c>
      <c r="G41" s="30">
        <f>'[44]DU VAT'!G30</f>
        <v>9.7000000000000003E-2</v>
      </c>
      <c r="H41" s="30">
        <f>'[44]DU VAT'!H30</f>
        <v>9.7100000000000006E-2</v>
      </c>
      <c r="I41" s="30">
        <f>'[44]DU VAT'!I30</f>
        <v>9.7699999999999995E-2</v>
      </c>
      <c r="J41" s="30">
        <f>'[44]DU VAT'!J30</f>
        <v>9.5200000000000007E-2</v>
      </c>
      <c r="K41" s="30">
        <f>'[44]DU VAT'!K30</f>
        <v>9.8100000000000007E-2</v>
      </c>
      <c r="L41" s="30">
        <f>'[44]DU VAT'!L30</f>
        <v>9.3600000000000003E-2</v>
      </c>
      <c r="M41" s="30">
        <f>'[44]DU VAT'!M30</f>
        <v>9.5799999999999996E-2</v>
      </c>
      <c r="N41" s="30">
        <f>'[44]DU VAT'!N30</f>
        <v>9.4E-2</v>
      </c>
      <c r="O41" s="30">
        <f>'[44]DU VAT'!O30</f>
        <v>9.3600000000000003E-2</v>
      </c>
      <c r="P41" s="30" t="e">
        <f>'[44]DU VAT'!P30</f>
        <v>#DIV/0!</v>
      </c>
    </row>
    <row r="42" spans="1:16" ht="14.4" x14ac:dyDescent="0.3">
      <c r="A42" s="18" t="s">
        <v>56</v>
      </c>
      <c r="B42" s="18"/>
      <c r="C42" s="16" t="s">
        <v>44</v>
      </c>
      <c r="D42" s="30">
        <v>0.12</v>
      </c>
      <c r="E42" s="30">
        <v>0.12</v>
      </c>
      <c r="F42" s="30">
        <v>0.12</v>
      </c>
      <c r="G42" s="30">
        <v>0.12</v>
      </c>
      <c r="H42" s="30">
        <v>0.12</v>
      </c>
      <c r="I42" s="30">
        <v>0.12</v>
      </c>
      <c r="J42" s="30">
        <v>0.12</v>
      </c>
      <c r="K42" s="30">
        <v>0.12</v>
      </c>
      <c r="L42" s="30">
        <v>0.12</v>
      </c>
      <c r="M42" s="30">
        <v>0.12</v>
      </c>
      <c r="N42" s="30">
        <v>0.12</v>
      </c>
      <c r="O42" s="30">
        <v>0.12</v>
      </c>
      <c r="P42" s="30">
        <v>0.12</v>
      </c>
    </row>
    <row r="43" spans="1:16" ht="14.4" x14ac:dyDescent="0.3">
      <c r="A43" s="18" t="s">
        <v>57</v>
      </c>
      <c r="B43" s="18"/>
      <c r="C43" s="16" t="s">
        <v>44</v>
      </c>
      <c r="D43" s="30">
        <v>0.12</v>
      </c>
      <c r="E43" s="30">
        <v>0.12</v>
      </c>
      <c r="F43" s="30">
        <v>0.12</v>
      </c>
      <c r="G43" s="30">
        <v>0.12</v>
      </c>
      <c r="H43" s="30">
        <v>0.12</v>
      </c>
      <c r="I43" s="30">
        <v>0.12</v>
      </c>
      <c r="J43" s="30">
        <v>0.12</v>
      </c>
      <c r="K43" s="30">
        <v>0.12</v>
      </c>
      <c r="L43" s="30">
        <v>0.12</v>
      </c>
      <c r="M43" s="30">
        <v>0.12</v>
      </c>
      <c r="N43" s="30">
        <v>0.12</v>
      </c>
      <c r="O43" s="30">
        <v>0.12</v>
      </c>
      <c r="P43" s="30">
        <v>0.12</v>
      </c>
    </row>
    <row r="44" spans="1:16" s="5" customFormat="1" x14ac:dyDescent="0.3">
      <c r="A44" s="31"/>
      <c r="B44" s="31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</row>
    <row r="45" spans="1:16" x14ac:dyDescent="0.3">
      <c r="A45" s="3" t="s">
        <v>58</v>
      </c>
    </row>
    <row r="46" spans="1:16" x14ac:dyDescent="0.3">
      <c r="A46" s="33"/>
    </row>
    <row r="47" spans="1:16" ht="18" x14ac:dyDescent="0.35">
      <c r="A47" s="9" t="str">
        <f>'[44]Statistical data'!A140</f>
        <v xml:space="preserve">Residential </v>
      </c>
      <c r="B47" s="9"/>
      <c r="C47" s="5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</row>
    <row r="48" spans="1:16" s="13" customFormat="1" ht="14.4" x14ac:dyDescent="0.3">
      <c r="A48" s="11" t="s">
        <v>3</v>
      </c>
      <c r="B48" s="11"/>
      <c r="C48" s="11" t="s">
        <v>4</v>
      </c>
      <c r="D48" s="12" t="str">
        <f>D7</f>
        <v>JAN</v>
      </c>
      <c r="E48" s="12" t="str">
        <f t="shared" ref="E48:P48" si="1">E7</f>
        <v>FEB</v>
      </c>
      <c r="F48" s="12" t="str">
        <f t="shared" si="1"/>
        <v>MAR</v>
      </c>
      <c r="G48" s="12" t="str">
        <f t="shared" si="1"/>
        <v>APR</v>
      </c>
      <c r="H48" s="12" t="str">
        <f t="shared" si="1"/>
        <v>MAY</v>
      </c>
      <c r="I48" s="12" t="str">
        <f t="shared" si="1"/>
        <v>JUN</v>
      </c>
      <c r="J48" s="12" t="str">
        <f t="shared" si="1"/>
        <v>JUL</v>
      </c>
      <c r="K48" s="12" t="str">
        <f t="shared" si="1"/>
        <v>AUG</v>
      </c>
      <c r="L48" s="12" t="str">
        <f t="shared" si="1"/>
        <v>SEP</v>
      </c>
      <c r="M48" s="12" t="str">
        <f t="shared" si="1"/>
        <v>OCT</v>
      </c>
      <c r="N48" s="12" t="str">
        <f t="shared" si="1"/>
        <v>NOV</v>
      </c>
      <c r="O48" s="12" t="str">
        <f t="shared" si="1"/>
        <v>DEC</v>
      </c>
      <c r="P48" s="12" t="str">
        <f t="shared" si="1"/>
        <v>JAN</v>
      </c>
    </row>
    <row r="49" spans="1:16" ht="14.4" x14ac:dyDescent="0.3">
      <c r="A49" s="34" t="s">
        <v>17</v>
      </c>
      <c r="B49" s="35"/>
      <c r="C49" s="36"/>
      <c r="D49" s="37"/>
      <c r="E49" s="37"/>
      <c r="F49" s="37"/>
      <c r="G49" s="37"/>
      <c r="H49" s="37"/>
      <c r="I49" s="37"/>
      <c r="J49" s="37"/>
      <c r="K49" s="37"/>
      <c r="L49" s="37"/>
      <c r="M49" s="37"/>
      <c r="N49" s="37"/>
      <c r="O49" s="37"/>
      <c r="P49" s="37"/>
    </row>
    <row r="50" spans="1:16" ht="14.4" x14ac:dyDescent="0.3">
      <c r="A50" s="38" t="s">
        <v>18</v>
      </c>
      <c r="B50" s="39"/>
      <c r="C50" s="36" t="s">
        <v>19</v>
      </c>
      <c r="D50" s="40" t="s">
        <v>59</v>
      </c>
      <c r="E50" s="40" t="s">
        <v>59</v>
      </c>
      <c r="F50" s="40" t="s">
        <v>59</v>
      </c>
      <c r="G50" s="40" t="s">
        <v>59</v>
      </c>
      <c r="H50" s="40" t="s">
        <v>59</v>
      </c>
      <c r="I50" s="40" t="s">
        <v>59</v>
      </c>
      <c r="J50" s="40" t="s">
        <v>59</v>
      </c>
      <c r="K50" s="40" t="s">
        <v>59</v>
      </c>
      <c r="L50" s="40" t="s">
        <v>59</v>
      </c>
      <c r="M50" s="40" t="s">
        <v>59</v>
      </c>
      <c r="N50" s="40" t="s">
        <v>59</v>
      </c>
      <c r="O50" s="40" t="s">
        <v>59</v>
      </c>
      <c r="P50" s="40" t="s">
        <v>59</v>
      </c>
    </row>
    <row r="51" spans="1:16" ht="14.4" x14ac:dyDescent="0.3">
      <c r="A51" s="34" t="s">
        <v>20</v>
      </c>
      <c r="B51" s="35"/>
      <c r="C51" s="36"/>
      <c r="D51" s="41"/>
      <c r="E51" s="41"/>
      <c r="F51" s="41"/>
      <c r="G51" s="41"/>
      <c r="H51" s="41"/>
      <c r="I51" s="41"/>
      <c r="J51" s="41"/>
      <c r="K51" s="41"/>
      <c r="L51" s="41"/>
      <c r="M51" s="41"/>
      <c r="N51" s="41"/>
      <c r="O51" s="41"/>
      <c r="P51" s="41"/>
    </row>
    <row r="52" spans="1:16" ht="14.4" x14ac:dyDescent="0.3">
      <c r="A52" s="38" t="s">
        <v>21</v>
      </c>
      <c r="B52" s="39"/>
      <c r="C52" s="36" t="s">
        <v>19</v>
      </c>
      <c r="D52" s="42">
        <f>[44]TR!D52</f>
        <v>0.83609999999999995</v>
      </c>
      <c r="E52" s="42">
        <f>[44]TR!E52</f>
        <v>0.91820000000000002</v>
      </c>
      <c r="F52" s="42">
        <f>[44]TR!F52</f>
        <v>0.94320000000000004</v>
      </c>
      <c r="G52" s="42">
        <f>[44]TR!G52</f>
        <v>0.95489999999999997</v>
      </c>
      <c r="H52" s="42">
        <f>[44]TR!H52</f>
        <v>0.8538</v>
      </c>
      <c r="I52" s="42">
        <f>[44]TR!I52</f>
        <v>0.91969999999999996</v>
      </c>
      <c r="J52" s="42">
        <f>[44]TR!J52</f>
        <v>0.83979999999999999</v>
      </c>
      <c r="K52" s="42">
        <f>[44]TR!K52</f>
        <v>0.92190000000000005</v>
      </c>
      <c r="L52" s="42">
        <f>[44]TR!L52</f>
        <v>0.82189999999999996</v>
      </c>
      <c r="M52" s="42">
        <f>[44]TR!M52</f>
        <v>0.7661</v>
      </c>
      <c r="N52" s="42">
        <f>[44]TR!N52</f>
        <v>0.74839999999999995</v>
      </c>
      <c r="O52" s="42">
        <f>[44]TR!O52</f>
        <v>0.75149999999999995</v>
      </c>
      <c r="P52" s="42">
        <f>[44]TR!P52</f>
        <v>0</v>
      </c>
    </row>
    <row r="53" spans="1:16" ht="14.4" x14ac:dyDescent="0.3">
      <c r="A53" s="38" t="s">
        <v>22</v>
      </c>
      <c r="B53" s="39"/>
      <c r="C53" s="36" t="s">
        <v>23</v>
      </c>
      <c r="D53" s="43">
        <v>0</v>
      </c>
      <c r="E53" s="43">
        <v>0</v>
      </c>
      <c r="F53" s="43">
        <v>0</v>
      </c>
      <c r="G53" s="43">
        <v>0</v>
      </c>
      <c r="H53" s="43">
        <v>0</v>
      </c>
      <c r="I53" s="43">
        <v>0</v>
      </c>
      <c r="J53" s="43">
        <v>0</v>
      </c>
      <c r="K53" s="43">
        <v>0</v>
      </c>
      <c r="L53" s="43">
        <v>0</v>
      </c>
      <c r="M53" s="43">
        <v>0</v>
      </c>
      <c r="N53" s="43">
        <v>0</v>
      </c>
      <c r="O53" s="43">
        <v>0</v>
      </c>
      <c r="P53" s="43">
        <v>0</v>
      </c>
    </row>
    <row r="54" spans="1:16" ht="14.4" x14ac:dyDescent="0.3">
      <c r="A54" s="34" t="s">
        <v>24</v>
      </c>
      <c r="B54" s="35"/>
      <c r="C54" s="36"/>
      <c r="D54" s="41"/>
      <c r="E54" s="41"/>
      <c r="F54" s="41"/>
      <c r="G54" s="41"/>
      <c r="H54" s="41"/>
      <c r="I54" s="41"/>
      <c r="J54" s="41"/>
      <c r="K54" s="41"/>
      <c r="L54" s="41"/>
      <c r="M54" s="41"/>
      <c r="N54" s="41"/>
      <c r="O54" s="41"/>
      <c r="P54" s="41"/>
    </row>
    <row r="55" spans="1:16" ht="14.4" x14ac:dyDescent="0.3">
      <c r="A55" s="38" t="s">
        <v>25</v>
      </c>
      <c r="B55" s="39"/>
      <c r="C55" s="36" t="s">
        <v>19</v>
      </c>
      <c r="D55" s="42">
        <f>[44]SLR!D66</f>
        <v>0.4173</v>
      </c>
      <c r="E55" s="42">
        <f>[44]SLR!E66</f>
        <v>0.46089999999999998</v>
      </c>
      <c r="F55" s="42">
        <f>[44]SLR!F66</f>
        <v>0.43580000000000002</v>
      </c>
      <c r="G55" s="42">
        <f>[44]SLR!G66</f>
        <v>0.44890000000000002</v>
      </c>
      <c r="H55" s="42">
        <f>[44]SLR!H66</f>
        <v>0.41930000000000001</v>
      </c>
      <c r="I55" s="42">
        <f>[44]SLR!I66</f>
        <v>0.40460000000000002</v>
      </c>
      <c r="J55" s="42">
        <f>[44]SLR!J66</f>
        <v>0.42730000000000001</v>
      </c>
      <c r="K55" s="42">
        <f>[44]SLR!K66</f>
        <v>0.4204</v>
      </c>
      <c r="L55" s="42">
        <f>[44]SLR!L66</f>
        <v>0.41880000000000001</v>
      </c>
      <c r="M55" s="42">
        <f>[44]SLR!M66</f>
        <v>0.4032</v>
      </c>
      <c r="N55" s="42">
        <f>[44]SLR!N66</f>
        <v>0.40010000000000001</v>
      </c>
      <c r="O55" s="42">
        <f>[44]SLR!O66</f>
        <v>0.4027</v>
      </c>
      <c r="P55" s="42" t="e">
        <f>[44]SLR!P66</f>
        <v>#DIV/0!</v>
      </c>
    </row>
    <row r="56" spans="1:16" ht="14.4" x14ac:dyDescent="0.3">
      <c r="A56" s="34" t="s">
        <v>26</v>
      </c>
      <c r="B56" s="34"/>
      <c r="C56" s="36"/>
      <c r="D56" s="44"/>
      <c r="E56" s="44"/>
      <c r="F56" s="44"/>
      <c r="G56" s="44"/>
      <c r="H56" s="44"/>
      <c r="I56" s="44"/>
      <c r="J56" s="44"/>
      <c r="K56" s="44"/>
      <c r="L56" s="44"/>
      <c r="M56" s="44"/>
      <c r="N56" s="44"/>
      <c r="O56" s="44"/>
      <c r="P56" s="44"/>
    </row>
    <row r="57" spans="1:16" ht="14.4" x14ac:dyDescent="0.3">
      <c r="A57" s="38" t="s">
        <v>27</v>
      </c>
      <c r="B57" s="38"/>
      <c r="C57" s="36" t="s">
        <v>19</v>
      </c>
      <c r="D57" s="40" t="s">
        <v>60</v>
      </c>
      <c r="E57" s="40" t="s">
        <v>60</v>
      </c>
      <c r="F57" s="40" t="s">
        <v>60</v>
      </c>
      <c r="G57" s="40" t="s">
        <v>60</v>
      </c>
      <c r="H57" s="40" t="s">
        <v>60</v>
      </c>
      <c r="I57" s="40" t="s">
        <v>60</v>
      </c>
      <c r="J57" s="40" t="s">
        <v>60</v>
      </c>
      <c r="K57" s="40" t="s">
        <v>60</v>
      </c>
      <c r="L57" s="40" t="s">
        <v>60</v>
      </c>
      <c r="M57" s="40" t="s">
        <v>60</v>
      </c>
      <c r="N57" s="40" t="s">
        <v>60</v>
      </c>
      <c r="O57" s="40" t="s">
        <v>60</v>
      </c>
      <c r="P57" s="40" t="s">
        <v>60</v>
      </c>
    </row>
    <row r="58" spans="1:16" ht="14.4" x14ac:dyDescent="0.3">
      <c r="A58" s="38" t="s">
        <v>28</v>
      </c>
      <c r="B58" s="38"/>
      <c r="C58" s="36" t="s">
        <v>23</v>
      </c>
      <c r="D58" s="43">
        <v>0</v>
      </c>
      <c r="E58" s="43">
        <v>0</v>
      </c>
      <c r="F58" s="43">
        <v>0</v>
      </c>
      <c r="G58" s="43">
        <v>0</v>
      </c>
      <c r="H58" s="43">
        <v>0</v>
      </c>
      <c r="I58" s="43">
        <v>0</v>
      </c>
      <c r="J58" s="43">
        <v>0</v>
      </c>
      <c r="K58" s="43">
        <v>0</v>
      </c>
      <c r="L58" s="43">
        <v>0</v>
      </c>
      <c r="M58" s="43">
        <v>0</v>
      </c>
      <c r="N58" s="43">
        <v>0</v>
      </c>
      <c r="O58" s="43">
        <v>0</v>
      </c>
      <c r="P58" s="43">
        <v>0</v>
      </c>
    </row>
    <row r="59" spans="1:16" ht="14.4" x14ac:dyDescent="0.3">
      <c r="A59" s="34" t="s">
        <v>29</v>
      </c>
      <c r="B59" s="34"/>
      <c r="C59" s="36"/>
      <c r="D59" s="45"/>
      <c r="E59" s="45"/>
      <c r="F59" s="45"/>
      <c r="G59" s="45"/>
      <c r="H59" s="45"/>
      <c r="I59" s="45"/>
      <c r="J59" s="45"/>
      <c r="K59" s="45"/>
      <c r="L59" s="45"/>
      <c r="M59" s="45"/>
      <c r="N59" s="45"/>
      <c r="O59" s="45"/>
      <c r="P59" s="45"/>
    </row>
    <row r="60" spans="1:16" ht="14.4" x14ac:dyDescent="0.3">
      <c r="A60" s="38" t="s">
        <v>30</v>
      </c>
      <c r="B60" s="38"/>
      <c r="C60" s="36" t="s">
        <v>19</v>
      </c>
      <c r="D60" s="40" t="s">
        <v>61</v>
      </c>
      <c r="E60" s="40" t="s">
        <v>61</v>
      </c>
      <c r="F60" s="40" t="s">
        <v>61</v>
      </c>
      <c r="G60" s="40" t="s">
        <v>61</v>
      </c>
      <c r="H60" s="40" t="s">
        <v>61</v>
      </c>
      <c r="I60" s="40" t="s">
        <v>61</v>
      </c>
      <c r="J60" s="40" t="s">
        <v>61</v>
      </c>
      <c r="K60" s="40" t="s">
        <v>61</v>
      </c>
      <c r="L60" s="40" t="s">
        <v>61</v>
      </c>
      <c r="M60" s="40" t="s">
        <v>61</v>
      </c>
      <c r="N60" s="40" t="s">
        <v>61</v>
      </c>
      <c r="O60" s="40" t="s">
        <v>61</v>
      </c>
      <c r="P60" s="40" t="s">
        <v>61</v>
      </c>
    </row>
    <row r="61" spans="1:16" ht="14.4" x14ac:dyDescent="0.3">
      <c r="A61" s="38" t="s">
        <v>31</v>
      </c>
      <c r="B61" s="38"/>
      <c r="C61" s="36" t="s">
        <v>32</v>
      </c>
      <c r="D61" s="40" t="s">
        <v>62</v>
      </c>
      <c r="E61" s="40" t="s">
        <v>62</v>
      </c>
      <c r="F61" s="40" t="s">
        <v>62</v>
      </c>
      <c r="G61" s="40" t="s">
        <v>62</v>
      </c>
      <c r="H61" s="40" t="s">
        <v>62</v>
      </c>
      <c r="I61" s="40" t="s">
        <v>62</v>
      </c>
      <c r="J61" s="40" t="s">
        <v>62</v>
      </c>
      <c r="K61" s="40" t="s">
        <v>62</v>
      </c>
      <c r="L61" s="40" t="s">
        <v>62</v>
      </c>
      <c r="M61" s="40" t="s">
        <v>62</v>
      </c>
      <c r="N61" s="40" t="s">
        <v>62</v>
      </c>
      <c r="O61" s="40" t="s">
        <v>62</v>
      </c>
      <c r="P61" s="40" t="s">
        <v>62</v>
      </c>
    </row>
    <row r="62" spans="1:16" ht="14.4" x14ac:dyDescent="0.3">
      <c r="A62" s="34" t="s">
        <v>33</v>
      </c>
      <c r="B62" s="34"/>
      <c r="C62" s="36"/>
      <c r="D62" s="45"/>
      <c r="E62" s="45"/>
      <c r="F62" s="45"/>
      <c r="G62" s="45"/>
      <c r="H62" s="45"/>
      <c r="I62" s="45"/>
      <c r="J62" s="45"/>
      <c r="K62" s="45"/>
      <c r="L62" s="45"/>
      <c r="M62" s="45"/>
      <c r="N62" s="45"/>
      <c r="O62" s="45"/>
      <c r="P62" s="45"/>
    </row>
    <row r="63" spans="1:16" ht="14.4" x14ac:dyDescent="0.3">
      <c r="A63" s="38" t="s">
        <v>34</v>
      </c>
      <c r="B63" s="38"/>
      <c r="C63" s="36" t="s">
        <v>19</v>
      </c>
      <c r="D63" s="42">
        <v>0.3377</v>
      </c>
      <c r="E63" s="42">
        <v>0.3377</v>
      </c>
      <c r="F63" s="42">
        <v>0.3377</v>
      </c>
      <c r="G63" s="42">
        <v>0.3377</v>
      </c>
      <c r="H63" s="42">
        <v>0.3377</v>
      </c>
      <c r="I63" s="42">
        <v>0.3377</v>
      </c>
      <c r="J63" s="42">
        <v>0.3377</v>
      </c>
      <c r="K63" s="42">
        <v>0.3377</v>
      </c>
      <c r="L63" s="42">
        <v>0.3377</v>
      </c>
      <c r="M63" s="42">
        <v>0.3377</v>
      </c>
      <c r="N63" s="42">
        <v>0.3377</v>
      </c>
      <c r="O63" s="42">
        <v>0.3377</v>
      </c>
      <c r="P63" s="42">
        <v>0.3377</v>
      </c>
    </row>
    <row r="64" spans="1:16" ht="14.4" x14ac:dyDescent="0.3">
      <c r="A64" s="38" t="s">
        <v>35</v>
      </c>
      <c r="B64" s="38"/>
      <c r="C64" s="36" t="s">
        <v>36</v>
      </c>
      <c r="D64" s="40" t="s">
        <v>63</v>
      </c>
      <c r="E64" s="40" t="s">
        <v>63</v>
      </c>
      <c r="F64" s="40" t="s">
        <v>63</v>
      </c>
      <c r="G64" s="40" t="s">
        <v>63</v>
      </c>
      <c r="H64" s="40" t="s">
        <v>63</v>
      </c>
      <c r="I64" s="40" t="s">
        <v>63</v>
      </c>
      <c r="J64" s="40" t="s">
        <v>63</v>
      </c>
      <c r="K64" s="40" t="s">
        <v>63</v>
      </c>
      <c r="L64" s="40" t="s">
        <v>63</v>
      </c>
      <c r="M64" s="40" t="s">
        <v>63</v>
      </c>
      <c r="N64" s="40" t="s">
        <v>63</v>
      </c>
      <c r="O64" s="40" t="s">
        <v>63</v>
      </c>
      <c r="P64" s="40" t="s">
        <v>63</v>
      </c>
    </row>
    <row r="65" spans="1:16" ht="14.4" x14ac:dyDescent="0.3">
      <c r="A65" s="34" t="s">
        <v>37</v>
      </c>
      <c r="B65" s="34"/>
      <c r="C65" s="36"/>
      <c r="D65" s="45"/>
      <c r="E65" s="45"/>
      <c r="F65" s="45"/>
      <c r="G65" s="45"/>
      <c r="H65" s="45"/>
      <c r="I65" s="45"/>
      <c r="J65" s="45"/>
      <c r="K65" s="45"/>
      <c r="L65" s="45"/>
      <c r="M65" s="45"/>
      <c r="N65" s="45"/>
      <c r="O65" s="45"/>
      <c r="P65" s="45"/>
    </row>
    <row r="66" spans="1:16" ht="14.4" x14ac:dyDescent="0.3">
      <c r="A66" s="46" t="s">
        <v>38</v>
      </c>
      <c r="B66" s="38"/>
      <c r="C66" s="36" t="s">
        <v>19</v>
      </c>
      <c r="D66" s="42">
        <f>[44]LD!E30</f>
        <v>9.4799999999999995E-2</v>
      </c>
      <c r="E66" s="42">
        <f>[44]LD!F30</f>
        <v>9.9000000000000005E-2</v>
      </c>
      <c r="F66" s="42">
        <f>[44]LD!G30</f>
        <v>9.8100000000000007E-2</v>
      </c>
      <c r="G66" s="42">
        <f>[44]LD!H30</f>
        <v>0.10100000000000001</v>
      </c>
      <c r="H66" s="42">
        <f>[44]LD!I30</f>
        <v>7.46E-2</v>
      </c>
      <c r="I66" s="42">
        <f>[44]LD!J30</f>
        <v>6.5799999999999997E-2</v>
      </c>
      <c r="J66" s="42">
        <f>[44]LD!K30</f>
        <v>6.2E-2</v>
      </c>
      <c r="K66" s="42">
        <f>[44]LD!L30</f>
        <v>7.5999999999999998E-2</v>
      </c>
      <c r="L66" s="42">
        <f>[44]LD!M30</f>
        <v>7.1499999999999994E-2</v>
      </c>
      <c r="M66" s="42">
        <f>[44]LD!N30</f>
        <v>7.2599999999999998E-2</v>
      </c>
      <c r="N66" s="42">
        <f>[44]LD!O30</f>
        <v>7.9799999999999996E-2</v>
      </c>
      <c r="O66" s="42">
        <f>[44]LD!P30</f>
        <v>7.6999999999999999E-2</v>
      </c>
      <c r="P66" s="42">
        <f>[44]LD!Q30</f>
        <v>0</v>
      </c>
    </row>
    <row r="67" spans="1:16" ht="14.4" x14ac:dyDescent="0.3">
      <c r="A67" s="46" t="s">
        <v>39</v>
      </c>
      <c r="B67" s="38"/>
      <c r="C67" s="36" t="s">
        <v>19</v>
      </c>
      <c r="D67" s="40" t="s">
        <v>64</v>
      </c>
      <c r="E67" s="40" t="s">
        <v>64</v>
      </c>
      <c r="F67" s="40" t="s">
        <v>64</v>
      </c>
      <c r="G67" s="40" t="s">
        <v>64</v>
      </c>
      <c r="H67" s="40" t="s">
        <v>64</v>
      </c>
      <c r="I67" s="40" t="s">
        <v>64</v>
      </c>
      <c r="J67" s="40" t="s">
        <v>64</v>
      </c>
      <c r="K67" s="40" t="s">
        <v>64</v>
      </c>
      <c r="L67" s="40" t="s">
        <v>64</v>
      </c>
      <c r="M67" s="40" t="s">
        <v>64</v>
      </c>
      <c r="N67" s="40" t="s">
        <v>64</v>
      </c>
      <c r="O67" s="40" t="s">
        <v>64</v>
      </c>
      <c r="P67" s="40" t="s">
        <v>64</v>
      </c>
    </row>
    <row r="68" spans="1:16" ht="14.4" x14ac:dyDescent="0.3">
      <c r="A68" s="47" t="s">
        <v>40</v>
      </c>
      <c r="B68" s="38"/>
      <c r="C68" s="36" t="s">
        <v>19</v>
      </c>
      <c r="D68" s="42">
        <f>'[44]SR CIT. SUBSIDY'!E95</f>
        <v>1E-4</v>
      </c>
      <c r="E68" s="42">
        <f>'[44]SR CIT. SUBSIDY'!F95</f>
        <v>1E-4</v>
      </c>
      <c r="F68" s="42">
        <f>'[44]SR CIT. SUBSIDY'!G95</f>
        <v>1E-4</v>
      </c>
      <c r="G68" s="42">
        <f>'[44]SR CIT. SUBSIDY'!H95</f>
        <v>1E-4</v>
      </c>
      <c r="H68" s="42">
        <f>'[44]SR CIT. SUBSIDY'!I95</f>
        <v>1E-4</v>
      </c>
      <c r="I68" s="42">
        <f>'[44]SR CIT. SUBSIDY'!J95</f>
        <v>1E-4</v>
      </c>
      <c r="J68" s="42">
        <f>'[44]SR CIT. SUBSIDY'!K95</f>
        <v>1E-4</v>
      </c>
      <c r="K68" s="42">
        <f>'[44]SR CIT. SUBSIDY'!L95</f>
        <v>1E-4</v>
      </c>
      <c r="L68" s="42">
        <f>'[44]SR CIT. SUBSIDY'!M95</f>
        <v>1E-4</v>
      </c>
      <c r="M68" s="42">
        <f>'[44]SR CIT. SUBSIDY'!N95</f>
        <v>1E-4</v>
      </c>
      <c r="N68" s="42">
        <f>'[44]SR CIT. SUBSIDY'!O95</f>
        <v>1E-4</v>
      </c>
      <c r="O68" s="42">
        <f>'[44]SR CIT. SUBSIDY'!P95</f>
        <v>1E-4</v>
      </c>
      <c r="P68" s="42">
        <f>'[44]SR CIT. SUBSIDY'!Q95</f>
        <v>0</v>
      </c>
    </row>
    <row r="69" spans="1:16" ht="14.4" x14ac:dyDescent="0.3">
      <c r="A69" s="47" t="s">
        <v>41</v>
      </c>
      <c r="B69" s="38"/>
      <c r="C69" s="36" t="s">
        <v>19</v>
      </c>
      <c r="D69" s="42">
        <f>D28</f>
        <v>0</v>
      </c>
      <c r="E69" s="42">
        <f t="shared" ref="E69:P69" si="2">E28</f>
        <v>0</v>
      </c>
      <c r="F69" s="42">
        <f t="shared" si="2"/>
        <v>0</v>
      </c>
      <c r="G69" s="42">
        <f t="shared" si="2"/>
        <v>0</v>
      </c>
      <c r="H69" s="42">
        <f t="shared" si="2"/>
        <v>0</v>
      </c>
      <c r="I69" s="42">
        <f t="shared" si="2"/>
        <v>0</v>
      </c>
      <c r="J69" s="42">
        <f t="shared" si="2"/>
        <v>0</v>
      </c>
      <c r="K69" s="42">
        <f t="shared" si="2"/>
        <v>0</v>
      </c>
      <c r="L69" s="42">
        <f t="shared" si="2"/>
        <v>0</v>
      </c>
      <c r="M69" s="42">
        <f t="shared" si="2"/>
        <v>0</v>
      </c>
      <c r="N69" s="42">
        <f t="shared" si="2"/>
        <v>0</v>
      </c>
      <c r="O69" s="42">
        <f t="shared" si="2"/>
        <v>0</v>
      </c>
      <c r="P69" s="42">
        <f t="shared" si="2"/>
        <v>0</v>
      </c>
    </row>
    <row r="70" spans="1:16" ht="14.4" x14ac:dyDescent="0.3">
      <c r="A70" s="34" t="s">
        <v>42</v>
      </c>
      <c r="B70" s="34"/>
      <c r="C70" s="36"/>
      <c r="D70" s="45"/>
      <c r="E70" s="45"/>
      <c r="F70" s="45"/>
      <c r="G70" s="45"/>
      <c r="H70" s="45"/>
      <c r="I70" s="45"/>
      <c r="J70" s="45"/>
      <c r="K70" s="45"/>
      <c r="L70" s="45"/>
      <c r="M70" s="45"/>
      <c r="N70" s="45"/>
      <c r="O70" s="45"/>
      <c r="P70" s="45"/>
    </row>
    <row r="71" spans="1:16" ht="14.4" x14ac:dyDescent="0.3">
      <c r="A71" s="34" t="s">
        <v>43</v>
      </c>
      <c r="B71" s="34"/>
      <c r="C71" s="36" t="s">
        <v>44</v>
      </c>
      <c r="D71" s="48"/>
      <c r="E71" s="48"/>
      <c r="F71" s="48"/>
      <c r="G71" s="48"/>
      <c r="H71" s="48"/>
      <c r="I71" s="48"/>
      <c r="J71" s="48"/>
      <c r="K71" s="48"/>
      <c r="L71" s="48"/>
      <c r="M71" s="48"/>
      <c r="N71" s="48"/>
      <c r="O71" s="48"/>
      <c r="P71" s="48"/>
    </row>
    <row r="72" spans="1:16" ht="14.4" x14ac:dyDescent="0.3">
      <c r="A72" s="34" t="s">
        <v>45</v>
      </c>
      <c r="B72" s="34"/>
      <c r="C72" s="36"/>
      <c r="D72" s="49"/>
      <c r="E72" s="49"/>
      <c r="F72" s="49"/>
      <c r="G72" s="49"/>
      <c r="H72" s="49"/>
      <c r="I72" s="49"/>
      <c r="J72" s="49"/>
      <c r="K72" s="49"/>
      <c r="L72" s="49"/>
      <c r="M72" s="49"/>
      <c r="N72" s="49"/>
      <c r="O72" s="49"/>
      <c r="P72" s="49"/>
    </row>
    <row r="73" spans="1:16" ht="14.4" x14ac:dyDescent="0.3">
      <c r="A73" s="34" t="s">
        <v>46</v>
      </c>
      <c r="B73" s="34"/>
      <c r="C73" s="36" t="s">
        <v>19</v>
      </c>
      <c r="D73" s="40" t="s">
        <v>65</v>
      </c>
      <c r="E73" s="40" t="s">
        <v>65</v>
      </c>
      <c r="F73" s="40" t="s">
        <v>65</v>
      </c>
      <c r="G73" s="40" t="s">
        <v>65</v>
      </c>
      <c r="H73" s="40" t="s">
        <v>65</v>
      </c>
      <c r="I73" s="40" t="s">
        <v>65</v>
      </c>
      <c r="J73" s="40" t="s">
        <v>65</v>
      </c>
      <c r="K73" s="40" t="s">
        <v>65</v>
      </c>
      <c r="L73" s="40" t="s">
        <v>65</v>
      </c>
      <c r="M73" s="40" t="s">
        <v>65</v>
      </c>
      <c r="N73" s="40" t="s">
        <v>65</v>
      </c>
      <c r="O73" s="40" t="s">
        <v>65</v>
      </c>
      <c r="P73" s="40" t="s">
        <v>65</v>
      </c>
    </row>
    <row r="74" spans="1:16" ht="14.4" x14ac:dyDescent="0.3">
      <c r="A74" s="34" t="s">
        <v>47</v>
      </c>
      <c r="B74" s="34"/>
      <c r="C74" s="36"/>
      <c r="D74" s="45"/>
      <c r="E74" s="45"/>
      <c r="F74" s="45"/>
      <c r="G74" s="45"/>
      <c r="H74" s="45"/>
      <c r="I74" s="45"/>
      <c r="J74" s="45"/>
      <c r="K74" s="45"/>
      <c r="L74" s="45"/>
      <c r="M74" s="45"/>
      <c r="N74" s="45"/>
      <c r="O74" s="45"/>
      <c r="P74" s="45"/>
    </row>
    <row r="75" spans="1:16" ht="14.4" x14ac:dyDescent="0.3">
      <c r="A75" s="38" t="s">
        <v>48</v>
      </c>
      <c r="B75" s="38"/>
      <c r="C75" s="36" t="s">
        <v>19</v>
      </c>
      <c r="D75" s="42">
        <f>D34</f>
        <v>0.15609999999999999</v>
      </c>
      <c r="E75" s="42">
        <f t="shared" ref="E75:P78" si="3">E34</f>
        <v>0.15609999999999999</v>
      </c>
      <c r="F75" s="42">
        <f t="shared" si="3"/>
        <v>0.15609999999999999</v>
      </c>
      <c r="G75" s="42">
        <f t="shared" si="3"/>
        <v>0.15609999999999999</v>
      </c>
      <c r="H75" s="42">
        <f t="shared" si="3"/>
        <v>0.15609999999999999</v>
      </c>
      <c r="I75" s="42">
        <f t="shared" si="3"/>
        <v>0.15609999999999999</v>
      </c>
      <c r="J75" s="42">
        <f t="shared" si="3"/>
        <v>0.15609999999999999</v>
      </c>
      <c r="K75" s="42">
        <f t="shared" si="3"/>
        <v>0.15609999999999999</v>
      </c>
      <c r="L75" s="42">
        <f t="shared" si="3"/>
        <v>0.15609999999999999</v>
      </c>
      <c r="M75" s="42">
        <f t="shared" si="3"/>
        <v>0.15609999999999999</v>
      </c>
      <c r="N75" s="42">
        <f t="shared" si="3"/>
        <v>0.15609999999999999</v>
      </c>
      <c r="O75" s="42">
        <f t="shared" si="3"/>
        <v>0.15609999999999999</v>
      </c>
      <c r="P75" s="42">
        <f t="shared" si="3"/>
        <v>0.15609999999999999</v>
      </c>
    </row>
    <row r="76" spans="1:16" ht="14.4" x14ac:dyDescent="0.3">
      <c r="A76" s="38" t="s">
        <v>49</v>
      </c>
      <c r="B76" s="38"/>
      <c r="C76" s="36" t="s">
        <v>19</v>
      </c>
      <c r="D76" s="42">
        <f>D35</f>
        <v>2.5000000000000001E-3</v>
      </c>
      <c r="E76" s="42">
        <f t="shared" si="3"/>
        <v>2.5000000000000001E-3</v>
      </c>
      <c r="F76" s="42">
        <f t="shared" si="3"/>
        <v>2.5000000000000001E-3</v>
      </c>
      <c r="G76" s="42">
        <f t="shared" si="3"/>
        <v>2.5000000000000001E-3</v>
      </c>
      <c r="H76" s="42">
        <f t="shared" si="3"/>
        <v>2.5000000000000001E-3</v>
      </c>
      <c r="I76" s="42">
        <f t="shared" si="3"/>
        <v>2.5000000000000001E-3</v>
      </c>
      <c r="J76" s="42">
        <f t="shared" si="3"/>
        <v>2.5000000000000001E-3</v>
      </c>
      <c r="K76" s="42">
        <f t="shared" si="3"/>
        <v>2.5000000000000001E-3</v>
      </c>
      <c r="L76" s="42">
        <f t="shared" si="3"/>
        <v>2.5000000000000001E-3</v>
      </c>
      <c r="M76" s="42">
        <f t="shared" si="3"/>
        <v>2.5000000000000001E-3</v>
      </c>
      <c r="N76" s="42">
        <f t="shared" si="3"/>
        <v>2.5000000000000001E-3</v>
      </c>
      <c r="O76" s="42">
        <f t="shared" si="3"/>
        <v>2.5000000000000001E-3</v>
      </c>
      <c r="P76" s="42">
        <f t="shared" si="3"/>
        <v>2.5000000000000001E-3</v>
      </c>
    </row>
    <row r="77" spans="1:16" ht="14.4" x14ac:dyDescent="0.3">
      <c r="A77" s="18" t="s">
        <v>50</v>
      </c>
      <c r="B77" s="18"/>
      <c r="C77" s="36" t="s">
        <v>19</v>
      </c>
      <c r="D77" s="42">
        <f>D36</f>
        <v>0.1938</v>
      </c>
      <c r="E77" s="42">
        <f t="shared" si="3"/>
        <v>0.1938</v>
      </c>
      <c r="F77" s="42">
        <f t="shared" si="3"/>
        <v>0.1938</v>
      </c>
      <c r="G77" s="42">
        <f t="shared" si="3"/>
        <v>0.1938</v>
      </c>
      <c r="H77" s="42">
        <f t="shared" si="3"/>
        <v>0.1938</v>
      </c>
      <c r="I77" s="42">
        <f t="shared" si="3"/>
        <v>0.1938</v>
      </c>
      <c r="J77" s="42">
        <f t="shared" si="3"/>
        <v>0.1938</v>
      </c>
      <c r="K77" s="42">
        <f t="shared" si="3"/>
        <v>0.1938</v>
      </c>
      <c r="L77" s="42">
        <f t="shared" si="3"/>
        <v>0.1938</v>
      </c>
      <c r="M77" s="42">
        <f t="shared" si="3"/>
        <v>0.1938</v>
      </c>
      <c r="N77" s="42">
        <f t="shared" si="3"/>
        <v>0.1938</v>
      </c>
      <c r="O77" s="42">
        <f t="shared" si="3"/>
        <v>0.1938</v>
      </c>
      <c r="P77" s="42">
        <f t="shared" si="3"/>
        <v>0.1938</v>
      </c>
    </row>
    <row r="78" spans="1:16" ht="14.4" x14ac:dyDescent="0.3">
      <c r="A78" s="14" t="s">
        <v>51</v>
      </c>
      <c r="B78" s="14"/>
      <c r="C78" s="16" t="s">
        <v>19</v>
      </c>
      <c r="D78" s="20">
        <f>D37</f>
        <v>4.0599999999999997E-2</v>
      </c>
      <c r="E78" s="20">
        <f t="shared" si="3"/>
        <v>4.0599999999999997E-2</v>
      </c>
      <c r="F78" s="20">
        <f t="shared" si="3"/>
        <v>4.0599999999999997E-2</v>
      </c>
      <c r="G78" s="20">
        <f t="shared" si="3"/>
        <v>0.124</v>
      </c>
      <c r="H78" s="20">
        <f t="shared" si="3"/>
        <v>0.124</v>
      </c>
      <c r="I78" s="20">
        <f t="shared" si="3"/>
        <v>0.124</v>
      </c>
      <c r="J78" s="20">
        <f t="shared" si="3"/>
        <v>0.124</v>
      </c>
      <c r="K78" s="20">
        <f t="shared" si="3"/>
        <v>0.124</v>
      </c>
      <c r="L78" s="20">
        <f t="shared" si="3"/>
        <v>0.124</v>
      </c>
      <c r="M78" s="20">
        <f t="shared" si="3"/>
        <v>0.124</v>
      </c>
      <c r="N78" s="20">
        <f t="shared" si="3"/>
        <v>0.124</v>
      </c>
      <c r="O78" s="20">
        <f t="shared" si="3"/>
        <v>0.124</v>
      </c>
      <c r="P78" s="20">
        <f t="shared" si="3"/>
        <v>0.124</v>
      </c>
    </row>
    <row r="79" spans="1:16" ht="14.4" x14ac:dyDescent="0.3">
      <c r="A79" s="34" t="s">
        <v>52</v>
      </c>
      <c r="B79" s="34"/>
      <c r="C79" s="50"/>
      <c r="D79" s="44"/>
      <c r="E79" s="44"/>
      <c r="F79" s="44"/>
      <c r="G79" s="44"/>
      <c r="H79" s="44"/>
      <c r="I79" s="44"/>
      <c r="J79" s="44"/>
      <c r="K79" s="44"/>
      <c r="L79" s="44"/>
      <c r="M79" s="44"/>
      <c r="N79" s="44"/>
      <c r="O79" s="44"/>
      <c r="P79" s="44"/>
    </row>
    <row r="80" spans="1:16" ht="14.4" x14ac:dyDescent="0.3">
      <c r="A80" s="38" t="s">
        <v>53</v>
      </c>
      <c r="B80" s="38"/>
      <c r="C80" s="36" t="s">
        <v>44</v>
      </c>
      <c r="D80" s="51">
        <f>'[44]DU VAT'!D16</f>
        <v>0.1139</v>
      </c>
      <c r="E80" s="51">
        <f>'[44]DU VAT'!E16</f>
        <v>0.115</v>
      </c>
      <c r="F80" s="51">
        <f>'[44]DU VAT'!F16</f>
        <v>0.1143</v>
      </c>
      <c r="G80" s="51">
        <f>'[44]DU VAT'!G16</f>
        <v>0.11310000000000001</v>
      </c>
      <c r="H80" s="51">
        <f>'[44]DU VAT'!H16</f>
        <v>0.11020000000000001</v>
      </c>
      <c r="I80" s="51">
        <f>'[44]DU VAT'!I16</f>
        <v>0.1116</v>
      </c>
      <c r="J80" s="51">
        <f>'[44]DU VAT'!J16</f>
        <v>0.10920000000000001</v>
      </c>
      <c r="K80" s="51">
        <f>'[44]DU VAT'!K16</f>
        <v>0.1138</v>
      </c>
      <c r="L80" s="51">
        <f>'[44]DU VAT'!L16</f>
        <v>0.1072</v>
      </c>
      <c r="M80" s="51">
        <f>'[44]DU VAT'!M16</f>
        <v>0.11219999999999999</v>
      </c>
      <c r="N80" s="51">
        <f>'[44]DU VAT'!N16</f>
        <v>0.1101</v>
      </c>
      <c r="O80" s="51">
        <f>'[44]DU VAT'!O16</f>
        <v>0.11020000000000001</v>
      </c>
      <c r="P80" s="51" t="e">
        <f>'[44]DU VAT'!P16</f>
        <v>#DIV/0!</v>
      </c>
    </row>
    <row r="81" spans="1:16" ht="14.4" x14ac:dyDescent="0.3">
      <c r="A81" s="38" t="s">
        <v>54</v>
      </c>
      <c r="B81" s="38"/>
      <c r="C81" s="36" t="s">
        <v>44</v>
      </c>
      <c r="D81" s="51">
        <f>'[44]DU VAT'!D23</f>
        <v>5.5999999999999999E-3</v>
      </c>
      <c r="E81" s="51">
        <f>'[44]DU VAT'!E23</f>
        <v>1.52E-2</v>
      </c>
      <c r="F81" s="51">
        <f>'[44]DU VAT'!F23</f>
        <v>2.0400000000000001E-2</v>
      </c>
      <c r="G81" s="51">
        <f>'[44]DU VAT'!G23</f>
        <v>2.7199999999999998E-2</v>
      </c>
      <c r="H81" s="51">
        <f>'[44]DU VAT'!H23</f>
        <v>3.44E-2</v>
      </c>
      <c r="I81" s="51">
        <f>'[44]DU VAT'!I23</f>
        <v>3.9199999999999999E-2</v>
      </c>
      <c r="J81" s="51">
        <f>'[44]DU VAT'!J23</f>
        <v>2.3900000000000001E-2</v>
      </c>
      <c r="K81" s="51">
        <f>'[44]DU VAT'!K23</f>
        <v>3.39E-2</v>
      </c>
      <c r="L81" s="51">
        <f>'[44]DU VAT'!L23</f>
        <v>2.81E-2</v>
      </c>
      <c r="M81" s="51">
        <f>'[44]DU VAT'!M23</f>
        <v>1.1599999999999999E-2</v>
      </c>
      <c r="N81" s="51">
        <f>'[44]DU VAT'!N23</f>
        <v>1.17E-2</v>
      </c>
      <c r="O81" s="51">
        <f>'[44]DU VAT'!O23</f>
        <v>6.3E-3</v>
      </c>
      <c r="P81" s="51" t="e">
        <f>'[44]DU VAT'!P23</f>
        <v>#DIV/0!</v>
      </c>
    </row>
    <row r="82" spans="1:16" ht="14.4" x14ac:dyDescent="0.3">
      <c r="A82" s="38" t="s">
        <v>55</v>
      </c>
      <c r="B82" s="38"/>
      <c r="C82" s="36" t="s">
        <v>44</v>
      </c>
      <c r="D82" s="51">
        <f>'[44]DU VAT'!D30</f>
        <v>9.5000000000000001E-2</v>
      </c>
      <c r="E82" s="51">
        <f>'[44]DU VAT'!E30</f>
        <v>9.7000000000000003E-2</v>
      </c>
      <c r="F82" s="51">
        <f>'[44]DU VAT'!F30</f>
        <v>9.7100000000000006E-2</v>
      </c>
      <c r="G82" s="51">
        <f>'[44]DU VAT'!G30</f>
        <v>9.7000000000000003E-2</v>
      </c>
      <c r="H82" s="51">
        <f>'[44]DU VAT'!H30</f>
        <v>9.7100000000000006E-2</v>
      </c>
      <c r="I82" s="51">
        <f>'[44]DU VAT'!I30</f>
        <v>9.7699999999999995E-2</v>
      </c>
      <c r="J82" s="51">
        <f>'[44]DU VAT'!J30</f>
        <v>9.5200000000000007E-2</v>
      </c>
      <c r="K82" s="51">
        <f>'[44]DU VAT'!K30</f>
        <v>9.8100000000000007E-2</v>
      </c>
      <c r="L82" s="51">
        <f>'[44]DU VAT'!L30</f>
        <v>9.3600000000000003E-2</v>
      </c>
      <c r="M82" s="51">
        <f>'[44]DU VAT'!M30</f>
        <v>9.5799999999999996E-2</v>
      </c>
      <c r="N82" s="51">
        <f>'[44]DU VAT'!N30</f>
        <v>9.4E-2</v>
      </c>
      <c r="O82" s="51">
        <f>'[44]DU VAT'!O30</f>
        <v>9.3600000000000003E-2</v>
      </c>
      <c r="P82" s="51" t="e">
        <f>'[44]DU VAT'!P30</f>
        <v>#DIV/0!</v>
      </c>
    </row>
    <row r="83" spans="1:16" ht="14.4" x14ac:dyDescent="0.3">
      <c r="A83" s="38" t="s">
        <v>56</v>
      </c>
      <c r="B83" s="38"/>
      <c r="C83" s="36" t="s">
        <v>44</v>
      </c>
      <c r="D83" s="51">
        <f>D42</f>
        <v>0.12</v>
      </c>
      <c r="E83" s="51">
        <f t="shared" ref="E83:P84" si="4">E42</f>
        <v>0.12</v>
      </c>
      <c r="F83" s="51">
        <f t="shared" si="4"/>
        <v>0.12</v>
      </c>
      <c r="G83" s="51">
        <f t="shared" si="4"/>
        <v>0.12</v>
      </c>
      <c r="H83" s="51">
        <f t="shared" si="4"/>
        <v>0.12</v>
      </c>
      <c r="I83" s="51">
        <f t="shared" si="4"/>
        <v>0.12</v>
      </c>
      <c r="J83" s="51">
        <f t="shared" si="4"/>
        <v>0.12</v>
      </c>
      <c r="K83" s="51">
        <f t="shared" si="4"/>
        <v>0.12</v>
      </c>
      <c r="L83" s="51">
        <f t="shared" si="4"/>
        <v>0.12</v>
      </c>
      <c r="M83" s="51">
        <f t="shared" si="4"/>
        <v>0.12</v>
      </c>
      <c r="N83" s="51">
        <f t="shared" si="4"/>
        <v>0.12</v>
      </c>
      <c r="O83" s="51">
        <f t="shared" si="4"/>
        <v>0.12</v>
      </c>
      <c r="P83" s="51">
        <f t="shared" si="4"/>
        <v>0.12</v>
      </c>
    </row>
    <row r="84" spans="1:16" ht="14.4" x14ac:dyDescent="0.3">
      <c r="A84" s="38" t="s">
        <v>57</v>
      </c>
      <c r="B84" s="38"/>
      <c r="C84" s="36" t="s">
        <v>44</v>
      </c>
      <c r="D84" s="51">
        <f>D43</f>
        <v>0.12</v>
      </c>
      <c r="E84" s="51">
        <f t="shared" si="4"/>
        <v>0.12</v>
      </c>
      <c r="F84" s="51">
        <f t="shared" si="4"/>
        <v>0.12</v>
      </c>
      <c r="G84" s="51">
        <f t="shared" si="4"/>
        <v>0.12</v>
      </c>
      <c r="H84" s="51">
        <f t="shared" si="4"/>
        <v>0.12</v>
      </c>
      <c r="I84" s="51">
        <f t="shared" si="4"/>
        <v>0.12</v>
      </c>
      <c r="J84" s="51">
        <f t="shared" si="4"/>
        <v>0.12</v>
      </c>
      <c r="K84" s="51">
        <f t="shared" si="4"/>
        <v>0.12</v>
      </c>
      <c r="L84" s="51">
        <f t="shared" si="4"/>
        <v>0.12</v>
      </c>
      <c r="M84" s="51">
        <f t="shared" si="4"/>
        <v>0.12</v>
      </c>
      <c r="N84" s="51">
        <f t="shared" si="4"/>
        <v>0.12</v>
      </c>
      <c r="O84" s="51">
        <f t="shared" si="4"/>
        <v>0.12</v>
      </c>
      <c r="P84" s="51">
        <f t="shared" si="4"/>
        <v>0.12</v>
      </c>
    </row>
    <row r="86" spans="1:16" x14ac:dyDescent="0.3">
      <c r="A86" s="3" t="s">
        <v>58</v>
      </c>
    </row>
    <row r="87" spans="1:16" x14ac:dyDescent="0.3">
      <c r="A87" s="33"/>
    </row>
    <row r="88" spans="1:16" ht="18" x14ac:dyDescent="0.35">
      <c r="A88" s="9" t="str">
        <f>'[44]Statistical data'!A143</f>
        <v>General Service A</v>
      </c>
      <c r="B88" s="9"/>
      <c r="C88" s="5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</row>
    <row r="89" spans="1:16" s="13" customFormat="1" ht="14.4" x14ac:dyDescent="0.3">
      <c r="A89" s="11" t="s">
        <v>3</v>
      </c>
      <c r="B89" s="11"/>
      <c r="C89" s="11" t="s">
        <v>4</v>
      </c>
      <c r="D89" s="12" t="str">
        <f>D48</f>
        <v>JAN</v>
      </c>
      <c r="E89" s="12" t="str">
        <f t="shared" ref="E89:P89" si="5">E48</f>
        <v>FEB</v>
      </c>
      <c r="F89" s="12" t="str">
        <f t="shared" si="5"/>
        <v>MAR</v>
      </c>
      <c r="G89" s="12" t="str">
        <f t="shared" si="5"/>
        <v>APR</v>
      </c>
      <c r="H89" s="12" t="str">
        <f t="shared" si="5"/>
        <v>MAY</v>
      </c>
      <c r="I89" s="12" t="str">
        <f t="shared" si="5"/>
        <v>JUN</v>
      </c>
      <c r="J89" s="12" t="str">
        <f t="shared" si="5"/>
        <v>JUL</v>
      </c>
      <c r="K89" s="12" t="str">
        <f t="shared" si="5"/>
        <v>AUG</v>
      </c>
      <c r="L89" s="12" t="str">
        <f t="shared" si="5"/>
        <v>SEP</v>
      </c>
      <c r="M89" s="12" t="str">
        <f t="shared" si="5"/>
        <v>OCT</v>
      </c>
      <c r="N89" s="12" t="str">
        <f t="shared" si="5"/>
        <v>NOV</v>
      </c>
      <c r="O89" s="12" t="str">
        <f t="shared" si="5"/>
        <v>DEC</v>
      </c>
      <c r="P89" s="12" t="str">
        <f t="shared" si="5"/>
        <v>JAN</v>
      </c>
    </row>
    <row r="90" spans="1:16" ht="14.4" x14ac:dyDescent="0.3">
      <c r="A90" s="14" t="s">
        <v>17</v>
      </c>
      <c r="B90" s="15"/>
      <c r="C90" s="16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</row>
    <row r="91" spans="1:16" ht="14.4" x14ac:dyDescent="0.3">
      <c r="A91" s="18" t="s">
        <v>18</v>
      </c>
      <c r="B91" s="19"/>
      <c r="C91" s="16" t="s">
        <v>19</v>
      </c>
      <c r="D91" s="42">
        <f>[44]GR!D24</f>
        <v>3.9238</v>
      </c>
      <c r="E91" s="42">
        <f>[44]GR!E24</f>
        <v>4.1691000000000003</v>
      </c>
      <c r="F91" s="42">
        <f>[44]GR!F24</f>
        <v>4.0004</v>
      </c>
      <c r="G91" s="42">
        <f>[44]GR!G24</f>
        <v>4.0965999999999996</v>
      </c>
      <c r="H91" s="42">
        <f>[44]GR!H24</f>
        <v>3.8816999999999999</v>
      </c>
      <c r="I91" s="42">
        <f>[44]GR!I24</f>
        <v>3.7206999999999999</v>
      </c>
      <c r="J91" s="42">
        <f>[44]GR!J24</f>
        <v>4.0603999999999996</v>
      </c>
      <c r="K91" s="42">
        <f>[44]GR!K24</f>
        <v>3.8559999999999999</v>
      </c>
      <c r="L91" s="40" t="s">
        <v>59</v>
      </c>
      <c r="M91" s="40" t="s">
        <v>59</v>
      </c>
      <c r="N91" s="40" t="s">
        <v>59</v>
      </c>
      <c r="O91" s="40" t="s">
        <v>59</v>
      </c>
      <c r="P91" s="40" t="s">
        <v>59</v>
      </c>
    </row>
    <row r="92" spans="1:16" ht="14.4" x14ac:dyDescent="0.3">
      <c r="A92" s="14" t="s">
        <v>20</v>
      </c>
      <c r="B92" s="15"/>
      <c r="C92" s="16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</row>
    <row r="93" spans="1:16" ht="14.4" x14ac:dyDescent="0.3">
      <c r="A93" s="18" t="s">
        <v>21</v>
      </c>
      <c r="B93" s="19"/>
      <c r="C93" s="16" t="s">
        <v>19</v>
      </c>
      <c r="D93" s="20">
        <f>[44]TR!D53</f>
        <v>0.83609999999999995</v>
      </c>
      <c r="E93" s="20">
        <f>[44]TR!E53</f>
        <v>0.91820000000000002</v>
      </c>
      <c r="F93" s="20">
        <f>[44]TR!F53</f>
        <v>0.94320000000000004</v>
      </c>
      <c r="G93" s="20">
        <f>[44]TR!G53</f>
        <v>0.95489999999999997</v>
      </c>
      <c r="H93" s="20">
        <f>[44]TR!H53</f>
        <v>0.8538</v>
      </c>
      <c r="I93" s="20">
        <f>[44]TR!I53</f>
        <v>0.91969999999999996</v>
      </c>
      <c r="J93" s="20">
        <f>[44]TR!J53</f>
        <v>0.83979999999999999</v>
      </c>
      <c r="K93" s="20">
        <f>[44]TR!K53</f>
        <v>0.92190000000000005</v>
      </c>
      <c r="L93" s="20">
        <f>[44]TR!L53</f>
        <v>0.82189999999999996</v>
      </c>
      <c r="M93" s="20">
        <f>[44]TR!M53</f>
        <v>0.7661</v>
      </c>
      <c r="N93" s="20">
        <f>[44]TR!N53</f>
        <v>0.74839999999999995</v>
      </c>
      <c r="O93" s="20">
        <f>[44]TR!O53</f>
        <v>0.75149999999999995</v>
      </c>
      <c r="P93" s="20">
        <f>[44]TR!P53</f>
        <v>0</v>
      </c>
    </row>
    <row r="94" spans="1:16" ht="14.4" x14ac:dyDescent="0.3">
      <c r="A94" s="18" t="s">
        <v>22</v>
      </c>
      <c r="B94" s="19"/>
      <c r="C94" s="16" t="s">
        <v>23</v>
      </c>
      <c r="D94" s="23">
        <f>D53</f>
        <v>0</v>
      </c>
      <c r="E94" s="23">
        <f t="shared" ref="E94:P94" si="6">E53</f>
        <v>0</v>
      </c>
      <c r="F94" s="23">
        <f t="shared" si="6"/>
        <v>0</v>
      </c>
      <c r="G94" s="23">
        <f t="shared" si="6"/>
        <v>0</v>
      </c>
      <c r="H94" s="23">
        <f t="shared" si="6"/>
        <v>0</v>
      </c>
      <c r="I94" s="23">
        <f t="shared" si="6"/>
        <v>0</v>
      </c>
      <c r="J94" s="23">
        <f t="shared" si="6"/>
        <v>0</v>
      </c>
      <c r="K94" s="23">
        <f t="shared" si="6"/>
        <v>0</v>
      </c>
      <c r="L94" s="23">
        <f t="shared" si="6"/>
        <v>0</v>
      </c>
      <c r="M94" s="23">
        <f t="shared" si="6"/>
        <v>0</v>
      </c>
      <c r="N94" s="23">
        <f t="shared" si="6"/>
        <v>0</v>
      </c>
      <c r="O94" s="23">
        <f t="shared" si="6"/>
        <v>0</v>
      </c>
      <c r="P94" s="23">
        <f t="shared" si="6"/>
        <v>0</v>
      </c>
    </row>
    <row r="95" spans="1:16" ht="14.4" x14ac:dyDescent="0.3">
      <c r="A95" s="14" t="s">
        <v>24</v>
      </c>
      <c r="B95" s="15"/>
      <c r="C95" s="16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</row>
    <row r="96" spans="1:16" ht="14.4" x14ac:dyDescent="0.3">
      <c r="A96" s="18" t="s">
        <v>25</v>
      </c>
      <c r="B96" s="19"/>
      <c r="C96" s="16" t="s">
        <v>19</v>
      </c>
      <c r="D96" s="20">
        <f>[44]SLR!D67</f>
        <v>0.4173</v>
      </c>
      <c r="E96" s="20">
        <f>[44]SLR!E67</f>
        <v>0.46089999999999998</v>
      </c>
      <c r="F96" s="20">
        <f>[44]SLR!F67</f>
        <v>0.43580000000000002</v>
      </c>
      <c r="G96" s="20">
        <f>[44]SLR!G67</f>
        <v>0.44890000000000002</v>
      </c>
      <c r="H96" s="20">
        <f>[44]SLR!H67</f>
        <v>0.41930000000000001</v>
      </c>
      <c r="I96" s="20">
        <f>[44]SLR!I67</f>
        <v>0.40460000000000002</v>
      </c>
      <c r="J96" s="20">
        <f>[44]SLR!J67</f>
        <v>0.42730000000000001</v>
      </c>
      <c r="K96" s="20">
        <f>[44]SLR!K67</f>
        <v>0.4204</v>
      </c>
      <c r="L96" s="20">
        <f>[44]SLR!L67</f>
        <v>0.41880000000000001</v>
      </c>
      <c r="M96" s="20">
        <f>[44]SLR!M67</f>
        <v>0.4032</v>
      </c>
      <c r="N96" s="20">
        <f>[44]SLR!N67</f>
        <v>0.40010000000000001</v>
      </c>
      <c r="O96" s="20">
        <f>[44]SLR!O67</f>
        <v>0.4027</v>
      </c>
      <c r="P96" s="20" t="e">
        <f>[44]SLR!P67</f>
        <v>#DIV/0!</v>
      </c>
    </row>
    <row r="97" spans="1:16" ht="14.4" x14ac:dyDescent="0.3">
      <c r="A97" s="14" t="s">
        <v>26</v>
      </c>
      <c r="B97" s="14"/>
      <c r="C97" s="16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</row>
    <row r="98" spans="1:16" ht="14.4" x14ac:dyDescent="0.3">
      <c r="A98" s="18" t="s">
        <v>27</v>
      </c>
      <c r="B98" s="18"/>
      <c r="C98" s="16" t="s">
        <v>19</v>
      </c>
      <c r="D98" s="52" t="str">
        <f>D57</f>
        <v>See Schedule 2</v>
      </c>
      <c r="E98" s="52" t="str">
        <f t="shared" ref="E98:P98" si="7">E57</f>
        <v>See Schedule 2</v>
      </c>
      <c r="F98" s="52" t="str">
        <f t="shared" si="7"/>
        <v>See Schedule 2</v>
      </c>
      <c r="G98" s="52" t="str">
        <f t="shared" si="7"/>
        <v>See Schedule 2</v>
      </c>
      <c r="H98" s="52" t="str">
        <f t="shared" si="7"/>
        <v>See Schedule 2</v>
      </c>
      <c r="I98" s="52" t="str">
        <f t="shared" si="7"/>
        <v>See Schedule 2</v>
      </c>
      <c r="J98" s="52" t="str">
        <f t="shared" si="7"/>
        <v>See Schedule 2</v>
      </c>
      <c r="K98" s="52" t="str">
        <f t="shared" si="7"/>
        <v>See Schedule 2</v>
      </c>
      <c r="L98" s="52" t="str">
        <f t="shared" si="7"/>
        <v>See Schedule 2</v>
      </c>
      <c r="M98" s="52" t="str">
        <f t="shared" si="7"/>
        <v>See Schedule 2</v>
      </c>
      <c r="N98" s="52" t="str">
        <f t="shared" si="7"/>
        <v>See Schedule 2</v>
      </c>
      <c r="O98" s="52" t="str">
        <f t="shared" si="7"/>
        <v>See Schedule 2</v>
      </c>
      <c r="P98" s="52" t="str">
        <f t="shared" si="7"/>
        <v>See Schedule 2</v>
      </c>
    </row>
    <row r="99" spans="1:16" ht="14.4" x14ac:dyDescent="0.3">
      <c r="A99" s="18" t="s">
        <v>28</v>
      </c>
      <c r="B99" s="18"/>
      <c r="C99" s="16" t="s">
        <v>23</v>
      </c>
      <c r="D99" s="23">
        <v>0</v>
      </c>
      <c r="E99" s="23">
        <v>0</v>
      </c>
      <c r="F99" s="23">
        <v>0</v>
      </c>
      <c r="G99" s="23">
        <v>0</v>
      </c>
      <c r="H99" s="23">
        <v>0</v>
      </c>
      <c r="I99" s="23">
        <v>0</v>
      </c>
      <c r="J99" s="23">
        <v>0</v>
      </c>
      <c r="K99" s="23">
        <v>0</v>
      </c>
      <c r="L99" s="23">
        <v>0</v>
      </c>
      <c r="M99" s="23">
        <v>0</v>
      </c>
      <c r="N99" s="23">
        <v>0</v>
      </c>
      <c r="O99" s="23">
        <v>0</v>
      </c>
      <c r="P99" s="23">
        <v>0</v>
      </c>
    </row>
    <row r="100" spans="1:16" ht="14.4" x14ac:dyDescent="0.3">
      <c r="A100" s="14" t="s">
        <v>29</v>
      </c>
      <c r="B100" s="14"/>
      <c r="C100" s="16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  <c r="P100" s="24"/>
    </row>
    <row r="101" spans="1:16" ht="14.4" x14ac:dyDescent="0.3">
      <c r="A101" s="18" t="s">
        <v>30</v>
      </c>
      <c r="B101" s="18"/>
      <c r="C101" s="16" t="s">
        <v>19</v>
      </c>
      <c r="D101" s="20">
        <v>0.50849999999999995</v>
      </c>
      <c r="E101" s="20">
        <v>0.50849999999999995</v>
      </c>
      <c r="F101" s="20">
        <v>0.50849999999999995</v>
      </c>
      <c r="G101" s="20">
        <v>0.50849999999999995</v>
      </c>
      <c r="H101" s="20">
        <v>0.50849999999999995</v>
      </c>
      <c r="I101" s="20">
        <v>0.50849999999999995</v>
      </c>
      <c r="J101" s="20">
        <v>0.50849999999999995</v>
      </c>
      <c r="K101" s="20">
        <v>0.50849999999999995</v>
      </c>
      <c r="L101" s="40" t="s">
        <v>61</v>
      </c>
      <c r="M101" s="40" t="s">
        <v>61</v>
      </c>
      <c r="N101" s="40" t="s">
        <v>61</v>
      </c>
      <c r="O101" s="40" t="s">
        <v>61</v>
      </c>
      <c r="P101" s="40" t="s">
        <v>61</v>
      </c>
    </row>
    <row r="102" spans="1:16" ht="14.4" x14ac:dyDescent="0.3">
      <c r="A102" s="18" t="s">
        <v>31</v>
      </c>
      <c r="B102" s="18"/>
      <c r="C102" s="16" t="s">
        <v>32</v>
      </c>
      <c r="D102" s="23">
        <v>16.73</v>
      </c>
      <c r="E102" s="23">
        <v>16.73</v>
      </c>
      <c r="F102" s="23">
        <v>16.73</v>
      </c>
      <c r="G102" s="23">
        <v>16.73</v>
      </c>
      <c r="H102" s="23">
        <v>16.73</v>
      </c>
      <c r="I102" s="23">
        <v>16.73</v>
      </c>
      <c r="J102" s="23">
        <v>16.73</v>
      </c>
      <c r="K102" s="23">
        <v>16.73</v>
      </c>
      <c r="L102" s="40" t="s">
        <v>62</v>
      </c>
      <c r="M102" s="40" t="s">
        <v>62</v>
      </c>
      <c r="N102" s="40" t="s">
        <v>62</v>
      </c>
      <c r="O102" s="40" t="s">
        <v>62</v>
      </c>
      <c r="P102" s="40" t="s">
        <v>62</v>
      </c>
    </row>
    <row r="103" spans="1:16" ht="14.4" x14ac:dyDescent="0.3">
      <c r="A103" s="14" t="s">
        <v>33</v>
      </c>
      <c r="B103" s="14"/>
      <c r="C103" s="16"/>
      <c r="D103" s="24"/>
      <c r="E103" s="24"/>
      <c r="F103" s="24"/>
      <c r="G103" s="24"/>
      <c r="H103" s="24"/>
      <c r="I103" s="24"/>
      <c r="J103" s="24"/>
      <c r="K103" s="24"/>
      <c r="L103" s="24"/>
      <c r="M103" s="24"/>
      <c r="N103" s="24"/>
      <c r="O103" s="24"/>
      <c r="P103" s="24"/>
    </row>
    <row r="104" spans="1:16" ht="14.4" x14ac:dyDescent="0.3">
      <c r="A104" s="18" t="s">
        <v>34</v>
      </c>
      <c r="B104" s="18"/>
      <c r="C104" s="16" t="s">
        <v>19</v>
      </c>
      <c r="D104" s="20">
        <v>0.3377</v>
      </c>
      <c r="E104" s="20">
        <v>0.3377</v>
      </c>
      <c r="F104" s="20">
        <v>0.3377</v>
      </c>
      <c r="G104" s="20">
        <v>0.3377</v>
      </c>
      <c r="H104" s="20">
        <v>0.3377</v>
      </c>
      <c r="I104" s="20">
        <v>0.3377</v>
      </c>
      <c r="J104" s="20">
        <v>0.3377</v>
      </c>
      <c r="K104" s="20">
        <v>0.3377</v>
      </c>
      <c r="L104" s="20">
        <v>0.3377</v>
      </c>
      <c r="M104" s="20">
        <v>0.3377</v>
      </c>
      <c r="N104" s="20">
        <v>0.3377</v>
      </c>
      <c r="O104" s="20">
        <v>0.3377</v>
      </c>
      <c r="P104" s="20">
        <v>0.3377</v>
      </c>
    </row>
    <row r="105" spans="1:16" ht="14.4" x14ac:dyDescent="0.3">
      <c r="A105" s="18" t="s">
        <v>35</v>
      </c>
      <c r="B105" s="18"/>
      <c r="C105" s="16" t="s">
        <v>36</v>
      </c>
      <c r="D105" s="23">
        <v>5</v>
      </c>
      <c r="E105" s="23">
        <v>5</v>
      </c>
      <c r="F105" s="23">
        <v>5</v>
      </c>
      <c r="G105" s="23">
        <v>5</v>
      </c>
      <c r="H105" s="23">
        <v>5</v>
      </c>
      <c r="I105" s="23">
        <v>5</v>
      </c>
      <c r="J105" s="23">
        <v>5</v>
      </c>
      <c r="K105" s="23">
        <v>5</v>
      </c>
      <c r="L105" s="40" t="s">
        <v>63</v>
      </c>
      <c r="M105" s="40" t="s">
        <v>63</v>
      </c>
      <c r="N105" s="40" t="s">
        <v>63</v>
      </c>
      <c r="O105" s="40" t="s">
        <v>63</v>
      </c>
      <c r="P105" s="40" t="s">
        <v>63</v>
      </c>
    </row>
    <row r="106" spans="1:16" ht="14.4" x14ac:dyDescent="0.3">
      <c r="A106" s="14" t="s">
        <v>37</v>
      </c>
      <c r="B106" s="14"/>
      <c r="C106" s="16"/>
      <c r="D106" s="24"/>
      <c r="E106" s="24"/>
      <c r="F106" s="24"/>
      <c r="G106" s="24"/>
      <c r="H106" s="24"/>
      <c r="I106" s="24"/>
      <c r="J106" s="24"/>
      <c r="K106" s="24"/>
      <c r="L106" s="24"/>
      <c r="M106" s="24"/>
      <c r="N106" s="24"/>
      <c r="O106" s="24"/>
      <c r="P106" s="24"/>
    </row>
    <row r="107" spans="1:16" ht="14.4" x14ac:dyDescent="0.3">
      <c r="A107" s="25" t="s">
        <v>38</v>
      </c>
      <c r="B107" s="18"/>
      <c r="C107" s="16" t="s">
        <v>19</v>
      </c>
      <c r="D107" s="20">
        <f>[44]LD!E30</f>
        <v>9.4799999999999995E-2</v>
      </c>
      <c r="E107" s="20">
        <f>[44]LD!F30</f>
        <v>9.9000000000000005E-2</v>
      </c>
      <c r="F107" s="20">
        <f>[44]LD!G30</f>
        <v>9.8100000000000007E-2</v>
      </c>
      <c r="G107" s="20">
        <f>[44]LD!H30</f>
        <v>0.10100000000000001</v>
      </c>
      <c r="H107" s="20">
        <f>[44]LD!I30</f>
        <v>7.46E-2</v>
      </c>
      <c r="I107" s="20">
        <f>[44]LD!J30</f>
        <v>6.5799999999999997E-2</v>
      </c>
      <c r="J107" s="20">
        <f>[44]LD!K30</f>
        <v>6.2E-2</v>
      </c>
      <c r="K107" s="20">
        <f>[44]LD!L30</f>
        <v>7.5999999999999998E-2</v>
      </c>
      <c r="L107" s="20">
        <f>[44]LD!M30</f>
        <v>7.1499999999999994E-2</v>
      </c>
      <c r="M107" s="20">
        <f>[44]LD!N30</f>
        <v>7.2599999999999998E-2</v>
      </c>
      <c r="N107" s="20">
        <f>[44]LD!O30</f>
        <v>7.9799999999999996E-2</v>
      </c>
      <c r="O107" s="20">
        <f>[44]LD!P30</f>
        <v>7.6999999999999999E-2</v>
      </c>
      <c r="P107" s="20">
        <f>[44]LD!Q30</f>
        <v>0</v>
      </c>
    </row>
    <row r="108" spans="1:16" ht="14.4" x14ac:dyDescent="0.3">
      <c r="A108" s="25" t="s">
        <v>39</v>
      </c>
      <c r="B108" s="18"/>
      <c r="C108" s="16" t="s">
        <v>19</v>
      </c>
      <c r="D108" s="20">
        <v>0</v>
      </c>
      <c r="E108" s="20">
        <v>0</v>
      </c>
      <c r="F108" s="20">
        <v>0</v>
      </c>
      <c r="G108" s="20">
        <v>0</v>
      </c>
      <c r="H108" s="20">
        <v>0</v>
      </c>
      <c r="I108" s="20">
        <v>0</v>
      </c>
      <c r="J108" s="20">
        <v>0</v>
      </c>
      <c r="K108" s="20">
        <v>0</v>
      </c>
      <c r="L108" s="20">
        <v>0</v>
      </c>
      <c r="M108" s="20">
        <v>0</v>
      </c>
      <c r="N108" s="20">
        <v>0</v>
      </c>
      <c r="O108" s="20">
        <v>0</v>
      </c>
      <c r="P108" s="20">
        <v>0</v>
      </c>
    </row>
    <row r="109" spans="1:16" ht="14.4" x14ac:dyDescent="0.3">
      <c r="A109" s="26" t="s">
        <v>40</v>
      </c>
      <c r="B109" s="18"/>
      <c r="C109" s="16" t="s">
        <v>19</v>
      </c>
      <c r="D109" s="20">
        <f>'[44]SR CIT. SUBSIDY'!E95</f>
        <v>1E-4</v>
      </c>
      <c r="E109" s="20">
        <f>'[44]SR CIT. SUBSIDY'!F95</f>
        <v>1E-4</v>
      </c>
      <c r="F109" s="20">
        <f>'[44]SR CIT. SUBSIDY'!G95</f>
        <v>1E-4</v>
      </c>
      <c r="G109" s="20">
        <f>'[44]SR CIT. SUBSIDY'!H95</f>
        <v>1E-4</v>
      </c>
      <c r="H109" s="20">
        <f>'[44]SR CIT. SUBSIDY'!I95</f>
        <v>1E-4</v>
      </c>
      <c r="I109" s="20">
        <f>'[44]SR CIT. SUBSIDY'!J95</f>
        <v>1E-4</v>
      </c>
      <c r="J109" s="20">
        <f>'[44]SR CIT. SUBSIDY'!K95</f>
        <v>1E-4</v>
      </c>
      <c r="K109" s="20">
        <f>'[44]SR CIT. SUBSIDY'!L95</f>
        <v>1E-4</v>
      </c>
      <c r="L109" s="20">
        <f>'[44]SR CIT. SUBSIDY'!M95</f>
        <v>1E-4</v>
      </c>
      <c r="M109" s="20">
        <f>'[44]SR CIT. SUBSIDY'!N95</f>
        <v>1E-4</v>
      </c>
      <c r="N109" s="20">
        <f>'[44]SR CIT. SUBSIDY'!O95</f>
        <v>1E-4</v>
      </c>
      <c r="O109" s="20">
        <f>'[44]SR CIT. SUBSIDY'!P95</f>
        <v>1E-4</v>
      </c>
      <c r="P109" s="20">
        <f>'[44]SR CIT. SUBSIDY'!Q95</f>
        <v>0</v>
      </c>
    </row>
    <row r="110" spans="1:16" ht="14.4" x14ac:dyDescent="0.3">
      <c r="A110" s="26" t="s">
        <v>41</v>
      </c>
      <c r="B110" s="18"/>
      <c r="C110" s="16" t="s">
        <v>19</v>
      </c>
      <c r="D110" s="20">
        <v>0</v>
      </c>
      <c r="E110" s="20">
        <v>0</v>
      </c>
      <c r="F110" s="20">
        <v>0</v>
      </c>
      <c r="G110" s="20">
        <v>0</v>
      </c>
      <c r="H110" s="20">
        <v>0</v>
      </c>
      <c r="I110" s="20">
        <v>0</v>
      </c>
      <c r="J110" s="20">
        <v>0</v>
      </c>
      <c r="K110" s="20">
        <v>0</v>
      </c>
      <c r="L110" s="20">
        <v>0</v>
      </c>
      <c r="M110" s="20">
        <v>0</v>
      </c>
      <c r="N110" s="20">
        <v>0</v>
      </c>
      <c r="O110" s="20">
        <v>0</v>
      </c>
      <c r="P110" s="20">
        <v>0</v>
      </c>
    </row>
    <row r="111" spans="1:16" ht="14.4" x14ac:dyDescent="0.3">
      <c r="A111" s="14" t="s">
        <v>42</v>
      </c>
      <c r="B111" s="14"/>
      <c r="C111" s="16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P111" s="24"/>
    </row>
    <row r="112" spans="1:16" ht="14.4" x14ac:dyDescent="0.3">
      <c r="A112" s="14" t="s">
        <v>43</v>
      </c>
      <c r="B112" s="14"/>
      <c r="C112" s="16" t="s">
        <v>44</v>
      </c>
      <c r="D112" s="27"/>
      <c r="E112" s="27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</row>
    <row r="113" spans="1:16" ht="14.4" x14ac:dyDescent="0.3">
      <c r="A113" s="14" t="s">
        <v>45</v>
      </c>
      <c r="B113" s="14"/>
      <c r="C113" s="16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</row>
    <row r="114" spans="1:16" ht="14.4" x14ac:dyDescent="0.3">
      <c r="A114" s="14" t="s">
        <v>46</v>
      </c>
      <c r="B114" s="14"/>
      <c r="C114" s="16" t="s">
        <v>19</v>
      </c>
      <c r="D114" s="20">
        <v>0</v>
      </c>
      <c r="E114" s="20">
        <v>0</v>
      </c>
      <c r="F114" s="20">
        <v>0</v>
      </c>
      <c r="G114" s="20">
        <v>0</v>
      </c>
      <c r="H114" s="20">
        <v>0</v>
      </c>
      <c r="I114" s="20">
        <v>0</v>
      </c>
      <c r="J114" s="20">
        <v>0</v>
      </c>
      <c r="K114" s="20">
        <v>0</v>
      </c>
      <c r="L114" s="20">
        <v>0</v>
      </c>
      <c r="M114" s="20">
        <v>0</v>
      </c>
      <c r="N114" s="20">
        <v>0</v>
      </c>
      <c r="O114" s="20">
        <v>0</v>
      </c>
      <c r="P114" s="20">
        <v>0</v>
      </c>
    </row>
    <row r="115" spans="1:16" ht="14.4" x14ac:dyDescent="0.3">
      <c r="A115" s="14" t="s">
        <v>47</v>
      </c>
      <c r="B115" s="14"/>
      <c r="C115" s="16"/>
      <c r="D115" s="24"/>
      <c r="E115" s="24"/>
      <c r="F115" s="24"/>
      <c r="G115" s="24"/>
      <c r="H115" s="24"/>
      <c r="I115" s="24"/>
      <c r="J115" s="24"/>
      <c r="K115" s="24"/>
      <c r="L115" s="24"/>
      <c r="M115" s="24"/>
      <c r="N115" s="24"/>
      <c r="O115" s="24"/>
      <c r="P115" s="24"/>
    </row>
    <row r="116" spans="1:16" ht="14.4" x14ac:dyDescent="0.3">
      <c r="A116" s="18" t="s">
        <v>48</v>
      </c>
      <c r="B116" s="18"/>
      <c r="C116" s="16" t="s">
        <v>19</v>
      </c>
      <c r="D116" s="20">
        <f>D75</f>
        <v>0.15609999999999999</v>
      </c>
      <c r="E116" s="20">
        <f t="shared" ref="E116:P119" si="8">E75</f>
        <v>0.15609999999999999</v>
      </c>
      <c r="F116" s="20">
        <f t="shared" si="8"/>
        <v>0.15609999999999999</v>
      </c>
      <c r="G116" s="20">
        <f t="shared" si="8"/>
        <v>0.15609999999999999</v>
      </c>
      <c r="H116" s="20">
        <f t="shared" si="8"/>
        <v>0.15609999999999999</v>
      </c>
      <c r="I116" s="20">
        <f t="shared" si="8"/>
        <v>0.15609999999999999</v>
      </c>
      <c r="J116" s="20">
        <f t="shared" si="8"/>
        <v>0.15609999999999999</v>
      </c>
      <c r="K116" s="20">
        <f t="shared" si="8"/>
        <v>0.15609999999999999</v>
      </c>
      <c r="L116" s="20">
        <f t="shared" si="8"/>
        <v>0.15609999999999999</v>
      </c>
      <c r="M116" s="20">
        <f t="shared" si="8"/>
        <v>0.15609999999999999</v>
      </c>
      <c r="N116" s="20">
        <f t="shared" si="8"/>
        <v>0.15609999999999999</v>
      </c>
      <c r="O116" s="20">
        <f t="shared" si="8"/>
        <v>0.15609999999999999</v>
      </c>
      <c r="P116" s="20">
        <f t="shared" si="8"/>
        <v>0.15609999999999999</v>
      </c>
    </row>
    <row r="117" spans="1:16" ht="14.4" x14ac:dyDescent="0.3">
      <c r="A117" s="18" t="s">
        <v>49</v>
      </c>
      <c r="B117" s="18"/>
      <c r="C117" s="16" t="s">
        <v>19</v>
      </c>
      <c r="D117" s="20">
        <f>D76</f>
        <v>2.5000000000000001E-3</v>
      </c>
      <c r="E117" s="20">
        <f t="shared" si="8"/>
        <v>2.5000000000000001E-3</v>
      </c>
      <c r="F117" s="20">
        <f t="shared" si="8"/>
        <v>2.5000000000000001E-3</v>
      </c>
      <c r="G117" s="20">
        <f t="shared" si="8"/>
        <v>2.5000000000000001E-3</v>
      </c>
      <c r="H117" s="20">
        <f t="shared" si="8"/>
        <v>2.5000000000000001E-3</v>
      </c>
      <c r="I117" s="20">
        <f t="shared" si="8"/>
        <v>2.5000000000000001E-3</v>
      </c>
      <c r="J117" s="20">
        <f t="shared" si="8"/>
        <v>2.5000000000000001E-3</v>
      </c>
      <c r="K117" s="20">
        <f t="shared" si="8"/>
        <v>2.5000000000000001E-3</v>
      </c>
      <c r="L117" s="20">
        <f t="shared" si="8"/>
        <v>2.5000000000000001E-3</v>
      </c>
      <c r="M117" s="20">
        <f t="shared" si="8"/>
        <v>2.5000000000000001E-3</v>
      </c>
      <c r="N117" s="20">
        <f t="shared" si="8"/>
        <v>2.5000000000000001E-3</v>
      </c>
      <c r="O117" s="20">
        <f t="shared" si="8"/>
        <v>2.5000000000000001E-3</v>
      </c>
      <c r="P117" s="20">
        <f t="shared" si="8"/>
        <v>2.5000000000000001E-3</v>
      </c>
    </row>
    <row r="118" spans="1:16" ht="14.4" x14ac:dyDescent="0.3">
      <c r="A118" s="18" t="s">
        <v>50</v>
      </c>
      <c r="B118" s="18"/>
      <c r="C118" s="16" t="s">
        <v>19</v>
      </c>
      <c r="D118" s="20">
        <f>D77</f>
        <v>0.1938</v>
      </c>
      <c r="E118" s="20">
        <f t="shared" si="8"/>
        <v>0.1938</v>
      </c>
      <c r="F118" s="20">
        <f t="shared" si="8"/>
        <v>0.1938</v>
      </c>
      <c r="G118" s="20">
        <f t="shared" si="8"/>
        <v>0.1938</v>
      </c>
      <c r="H118" s="20">
        <f t="shared" si="8"/>
        <v>0.1938</v>
      </c>
      <c r="I118" s="20">
        <f t="shared" si="8"/>
        <v>0.1938</v>
      </c>
      <c r="J118" s="20">
        <f t="shared" si="8"/>
        <v>0.1938</v>
      </c>
      <c r="K118" s="20">
        <f t="shared" si="8"/>
        <v>0.1938</v>
      </c>
      <c r="L118" s="20">
        <f t="shared" si="8"/>
        <v>0.1938</v>
      </c>
      <c r="M118" s="20">
        <f t="shared" si="8"/>
        <v>0.1938</v>
      </c>
      <c r="N118" s="20">
        <f t="shared" si="8"/>
        <v>0.1938</v>
      </c>
      <c r="O118" s="20">
        <f t="shared" si="8"/>
        <v>0.1938</v>
      </c>
      <c r="P118" s="20">
        <f t="shared" si="8"/>
        <v>0.1938</v>
      </c>
    </row>
    <row r="119" spans="1:16" ht="14.4" x14ac:dyDescent="0.3">
      <c r="A119" s="14" t="s">
        <v>51</v>
      </c>
      <c r="B119" s="14"/>
      <c r="C119" s="16" t="s">
        <v>19</v>
      </c>
      <c r="D119" s="20">
        <f>D78</f>
        <v>4.0599999999999997E-2</v>
      </c>
      <c r="E119" s="20">
        <f t="shared" si="8"/>
        <v>4.0599999999999997E-2</v>
      </c>
      <c r="F119" s="20">
        <f t="shared" si="8"/>
        <v>4.0599999999999997E-2</v>
      </c>
      <c r="G119" s="20">
        <f t="shared" si="8"/>
        <v>0.124</v>
      </c>
      <c r="H119" s="20">
        <f t="shared" si="8"/>
        <v>0.124</v>
      </c>
      <c r="I119" s="20">
        <f t="shared" si="8"/>
        <v>0.124</v>
      </c>
      <c r="J119" s="20">
        <f t="shared" si="8"/>
        <v>0.124</v>
      </c>
      <c r="K119" s="20">
        <f t="shared" si="8"/>
        <v>0.124</v>
      </c>
      <c r="L119" s="20">
        <f t="shared" si="8"/>
        <v>0.124</v>
      </c>
      <c r="M119" s="20">
        <f t="shared" si="8"/>
        <v>0.124</v>
      </c>
      <c r="N119" s="20">
        <f t="shared" si="8"/>
        <v>0.124</v>
      </c>
      <c r="O119" s="20">
        <f t="shared" si="8"/>
        <v>0.124</v>
      </c>
      <c r="P119" s="20">
        <f t="shared" si="8"/>
        <v>0.124</v>
      </c>
    </row>
    <row r="120" spans="1:16" ht="14.4" x14ac:dyDescent="0.3">
      <c r="A120" s="14" t="s">
        <v>52</v>
      </c>
      <c r="B120" s="14"/>
      <c r="C120" s="29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</row>
    <row r="121" spans="1:16" ht="14.4" x14ac:dyDescent="0.3">
      <c r="A121" s="18" t="s">
        <v>53</v>
      </c>
      <c r="B121" s="18"/>
      <c r="C121" s="16" t="s">
        <v>44</v>
      </c>
      <c r="D121" s="27">
        <f>'[44]DU VAT'!D16</f>
        <v>0.1139</v>
      </c>
      <c r="E121" s="27">
        <f>'[44]DU VAT'!E16</f>
        <v>0.115</v>
      </c>
      <c r="F121" s="27">
        <f>'[44]DU VAT'!F16</f>
        <v>0.1143</v>
      </c>
      <c r="G121" s="27">
        <f>'[44]DU VAT'!G16</f>
        <v>0.11310000000000001</v>
      </c>
      <c r="H121" s="27">
        <f>'[44]DU VAT'!H16</f>
        <v>0.11020000000000001</v>
      </c>
      <c r="I121" s="27">
        <f>'[44]DU VAT'!I16</f>
        <v>0.1116</v>
      </c>
      <c r="J121" s="27">
        <f>'[44]DU VAT'!J16</f>
        <v>0.10920000000000001</v>
      </c>
      <c r="K121" s="27">
        <f>'[44]DU VAT'!K16</f>
        <v>0.1138</v>
      </c>
      <c r="L121" s="27">
        <f>'[44]DU VAT'!L16</f>
        <v>0.1072</v>
      </c>
      <c r="M121" s="27">
        <f>'[44]DU VAT'!M16</f>
        <v>0.11219999999999999</v>
      </c>
      <c r="N121" s="27">
        <f>'[44]DU VAT'!N16</f>
        <v>0.1101</v>
      </c>
      <c r="O121" s="27">
        <f>'[44]DU VAT'!O16</f>
        <v>0.11020000000000001</v>
      </c>
      <c r="P121" s="27" t="e">
        <f>'[44]DU VAT'!P16</f>
        <v>#DIV/0!</v>
      </c>
    </row>
    <row r="122" spans="1:16" ht="14.4" x14ac:dyDescent="0.3">
      <c r="A122" s="18" t="s">
        <v>54</v>
      </c>
      <c r="B122" s="18"/>
      <c r="C122" s="16" t="s">
        <v>44</v>
      </c>
      <c r="D122" s="27">
        <f>'[44]DU VAT'!D23</f>
        <v>5.5999999999999999E-3</v>
      </c>
      <c r="E122" s="27">
        <f>'[44]DU VAT'!E23</f>
        <v>1.52E-2</v>
      </c>
      <c r="F122" s="27">
        <f>'[44]DU VAT'!F23</f>
        <v>2.0400000000000001E-2</v>
      </c>
      <c r="G122" s="27">
        <f>'[44]DU VAT'!G23</f>
        <v>2.7199999999999998E-2</v>
      </c>
      <c r="H122" s="27">
        <f>'[44]DU VAT'!H23</f>
        <v>3.44E-2</v>
      </c>
      <c r="I122" s="27">
        <f>'[44]DU VAT'!I23</f>
        <v>3.9199999999999999E-2</v>
      </c>
      <c r="J122" s="27">
        <f>'[44]DU VAT'!J23</f>
        <v>2.3900000000000001E-2</v>
      </c>
      <c r="K122" s="27">
        <f>'[44]DU VAT'!K23</f>
        <v>3.39E-2</v>
      </c>
      <c r="L122" s="27">
        <f>'[44]DU VAT'!L23</f>
        <v>2.81E-2</v>
      </c>
      <c r="M122" s="27">
        <f>'[44]DU VAT'!M23</f>
        <v>1.1599999999999999E-2</v>
      </c>
      <c r="N122" s="27">
        <f>'[44]DU VAT'!N23</f>
        <v>1.17E-2</v>
      </c>
      <c r="O122" s="27">
        <f>'[44]DU VAT'!O23</f>
        <v>6.3E-3</v>
      </c>
      <c r="P122" s="27" t="e">
        <f>'[44]DU VAT'!P23</f>
        <v>#DIV/0!</v>
      </c>
    </row>
    <row r="123" spans="1:16" ht="14.4" x14ac:dyDescent="0.3">
      <c r="A123" s="18" t="s">
        <v>55</v>
      </c>
      <c r="B123" s="18"/>
      <c r="C123" s="16" t="s">
        <v>44</v>
      </c>
      <c r="D123" s="27">
        <f>'[44]DU VAT'!D30</f>
        <v>9.5000000000000001E-2</v>
      </c>
      <c r="E123" s="27">
        <f>'[44]DU VAT'!E30</f>
        <v>9.7000000000000003E-2</v>
      </c>
      <c r="F123" s="27">
        <f>'[44]DU VAT'!F30</f>
        <v>9.7100000000000006E-2</v>
      </c>
      <c r="G123" s="27">
        <f>'[44]DU VAT'!G30</f>
        <v>9.7000000000000003E-2</v>
      </c>
      <c r="H123" s="27">
        <f>'[44]DU VAT'!H30</f>
        <v>9.7100000000000006E-2</v>
      </c>
      <c r="I123" s="27">
        <f>'[44]DU VAT'!I30</f>
        <v>9.7699999999999995E-2</v>
      </c>
      <c r="J123" s="27">
        <f>'[44]DU VAT'!J30</f>
        <v>9.5200000000000007E-2</v>
      </c>
      <c r="K123" s="27">
        <f>'[44]DU VAT'!K30</f>
        <v>9.8100000000000007E-2</v>
      </c>
      <c r="L123" s="27">
        <f>'[44]DU VAT'!L30</f>
        <v>9.3600000000000003E-2</v>
      </c>
      <c r="M123" s="27">
        <f>'[44]DU VAT'!M30</f>
        <v>9.5799999999999996E-2</v>
      </c>
      <c r="N123" s="27">
        <f>'[44]DU VAT'!N30</f>
        <v>9.4E-2</v>
      </c>
      <c r="O123" s="27">
        <f>'[44]DU VAT'!O30</f>
        <v>9.3600000000000003E-2</v>
      </c>
      <c r="P123" s="27" t="e">
        <f>'[44]DU VAT'!P30</f>
        <v>#DIV/0!</v>
      </c>
    </row>
    <row r="124" spans="1:16" ht="14.4" x14ac:dyDescent="0.3">
      <c r="A124" s="18" t="s">
        <v>56</v>
      </c>
      <c r="B124" s="18"/>
      <c r="C124" s="16" t="s">
        <v>44</v>
      </c>
      <c r="D124" s="27">
        <f>D83</f>
        <v>0.12</v>
      </c>
      <c r="E124" s="27">
        <f t="shared" ref="E124:P125" si="9">E83</f>
        <v>0.12</v>
      </c>
      <c r="F124" s="27">
        <f t="shared" si="9"/>
        <v>0.12</v>
      </c>
      <c r="G124" s="27">
        <f t="shared" si="9"/>
        <v>0.12</v>
      </c>
      <c r="H124" s="27">
        <f t="shared" si="9"/>
        <v>0.12</v>
      </c>
      <c r="I124" s="27">
        <f t="shared" si="9"/>
        <v>0.12</v>
      </c>
      <c r="J124" s="27">
        <f t="shared" si="9"/>
        <v>0.12</v>
      </c>
      <c r="K124" s="27">
        <f t="shared" si="9"/>
        <v>0.12</v>
      </c>
      <c r="L124" s="27">
        <f t="shared" si="9"/>
        <v>0.12</v>
      </c>
      <c r="M124" s="27">
        <f t="shared" si="9"/>
        <v>0.12</v>
      </c>
      <c r="N124" s="27">
        <f t="shared" si="9"/>
        <v>0.12</v>
      </c>
      <c r="O124" s="27">
        <f t="shared" si="9"/>
        <v>0.12</v>
      </c>
      <c r="P124" s="27">
        <f t="shared" si="9"/>
        <v>0.12</v>
      </c>
    </row>
    <row r="125" spans="1:16" ht="14.4" x14ac:dyDescent="0.3">
      <c r="A125" s="18" t="s">
        <v>57</v>
      </c>
      <c r="B125" s="18"/>
      <c r="C125" s="16" t="s">
        <v>44</v>
      </c>
      <c r="D125" s="27">
        <f>D84</f>
        <v>0.12</v>
      </c>
      <c r="E125" s="27">
        <f t="shared" si="9"/>
        <v>0.12</v>
      </c>
      <c r="F125" s="27">
        <f t="shared" si="9"/>
        <v>0.12</v>
      </c>
      <c r="G125" s="27">
        <f t="shared" si="9"/>
        <v>0.12</v>
      </c>
      <c r="H125" s="27">
        <f t="shared" si="9"/>
        <v>0.12</v>
      </c>
      <c r="I125" s="27">
        <f t="shared" si="9"/>
        <v>0.12</v>
      </c>
      <c r="J125" s="27">
        <f t="shared" si="9"/>
        <v>0.12</v>
      </c>
      <c r="K125" s="27">
        <f t="shared" si="9"/>
        <v>0.12</v>
      </c>
      <c r="L125" s="27">
        <f t="shared" si="9"/>
        <v>0.12</v>
      </c>
      <c r="M125" s="27">
        <f t="shared" si="9"/>
        <v>0.12</v>
      </c>
      <c r="N125" s="27">
        <f t="shared" si="9"/>
        <v>0.12</v>
      </c>
      <c r="O125" s="27">
        <f t="shared" si="9"/>
        <v>0.12</v>
      </c>
      <c r="P125" s="27">
        <f t="shared" si="9"/>
        <v>0.12</v>
      </c>
    </row>
    <row r="127" spans="1:16" x14ac:dyDescent="0.3">
      <c r="A127" s="3" t="s">
        <v>58</v>
      </c>
    </row>
    <row r="128" spans="1:16" x14ac:dyDescent="0.3">
      <c r="A128" s="33"/>
    </row>
    <row r="129" spans="1:16" ht="18" x14ac:dyDescent="0.35">
      <c r="A129" s="9" t="str">
        <f>'[44]Statistical data'!A144</f>
        <v>GHMSCI</v>
      </c>
      <c r="B129" s="9"/>
      <c r="C129" s="5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</row>
    <row r="130" spans="1:16" s="13" customFormat="1" ht="14.4" x14ac:dyDescent="0.3">
      <c r="A130" s="11" t="s">
        <v>3</v>
      </c>
      <c r="B130" s="11"/>
      <c r="C130" s="11" t="s">
        <v>4</v>
      </c>
      <c r="D130" s="12" t="str">
        <f>D89</f>
        <v>JAN</v>
      </c>
      <c r="E130" s="12" t="str">
        <f t="shared" ref="E130:P130" si="10">E89</f>
        <v>FEB</v>
      </c>
      <c r="F130" s="12" t="str">
        <f t="shared" si="10"/>
        <v>MAR</v>
      </c>
      <c r="G130" s="12" t="str">
        <f t="shared" si="10"/>
        <v>APR</v>
      </c>
      <c r="H130" s="12" t="str">
        <f t="shared" si="10"/>
        <v>MAY</v>
      </c>
      <c r="I130" s="12" t="str">
        <f t="shared" si="10"/>
        <v>JUN</v>
      </c>
      <c r="J130" s="12" t="str">
        <f t="shared" si="10"/>
        <v>JUL</v>
      </c>
      <c r="K130" s="12" t="str">
        <f t="shared" si="10"/>
        <v>AUG</v>
      </c>
      <c r="L130" s="12" t="str">
        <f t="shared" si="10"/>
        <v>SEP</v>
      </c>
      <c r="M130" s="12" t="str">
        <f t="shared" si="10"/>
        <v>OCT</v>
      </c>
      <c r="N130" s="12" t="str">
        <f t="shared" si="10"/>
        <v>NOV</v>
      </c>
      <c r="O130" s="12" t="str">
        <f t="shared" si="10"/>
        <v>DEC</v>
      </c>
      <c r="P130" s="12" t="str">
        <f t="shared" si="10"/>
        <v>JAN</v>
      </c>
    </row>
    <row r="131" spans="1:16" ht="14.4" x14ac:dyDescent="0.3">
      <c r="A131" s="14" t="s">
        <v>17</v>
      </c>
      <c r="B131" s="15"/>
      <c r="C131" s="16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</row>
    <row r="132" spans="1:16" ht="14.4" x14ac:dyDescent="0.3">
      <c r="A132" s="18" t="s">
        <v>18</v>
      </c>
      <c r="B132" s="19"/>
      <c r="C132" s="16" t="s">
        <v>19</v>
      </c>
      <c r="D132" s="20">
        <f>[44]GR!D24</f>
        <v>3.9238</v>
      </c>
      <c r="E132" s="20">
        <f>[44]GR!E24</f>
        <v>4.1691000000000003</v>
      </c>
      <c r="F132" s="20">
        <f>[44]GR!F24</f>
        <v>4.0004</v>
      </c>
      <c r="G132" s="20">
        <f>[44]GR!G24</f>
        <v>4.0965999999999996</v>
      </c>
      <c r="H132" s="20">
        <f>[44]GR!H24</f>
        <v>3.8816999999999999</v>
      </c>
      <c r="I132" s="20">
        <f>[44]GR!I24</f>
        <v>3.7206999999999999</v>
      </c>
      <c r="J132" s="20">
        <f>[44]GR!J24</f>
        <v>4.0603999999999996</v>
      </c>
      <c r="K132" s="20">
        <f>[44]GR!K24</f>
        <v>3.8559999999999999</v>
      </c>
      <c r="L132" s="40" t="s">
        <v>59</v>
      </c>
      <c r="M132" s="40" t="s">
        <v>59</v>
      </c>
      <c r="N132" s="40" t="s">
        <v>59</v>
      </c>
      <c r="O132" s="40" t="s">
        <v>59</v>
      </c>
      <c r="P132" s="40" t="s">
        <v>59</v>
      </c>
    </row>
    <row r="133" spans="1:16" ht="14.4" x14ac:dyDescent="0.3">
      <c r="A133" s="14" t="s">
        <v>20</v>
      </c>
      <c r="B133" s="15"/>
      <c r="C133" s="16"/>
      <c r="D133" s="53"/>
      <c r="E133" s="53"/>
      <c r="F133" s="53"/>
      <c r="G133" s="53"/>
      <c r="H133" s="53"/>
      <c r="I133" s="53"/>
      <c r="J133" s="53"/>
      <c r="K133" s="53"/>
      <c r="L133" s="53"/>
      <c r="M133" s="53"/>
      <c r="N133" s="53"/>
      <c r="O133" s="53"/>
      <c r="P133" s="53"/>
    </row>
    <row r="134" spans="1:16" ht="14.4" x14ac:dyDescent="0.3">
      <c r="A134" s="18" t="s">
        <v>21</v>
      </c>
      <c r="B134" s="19"/>
      <c r="C134" s="16" t="s">
        <v>19</v>
      </c>
      <c r="D134" s="20">
        <f>[44]TR!D54</f>
        <v>0.9758</v>
      </c>
      <c r="E134" s="20">
        <f>[44]TR!E54</f>
        <v>1.0818000000000001</v>
      </c>
      <c r="F134" s="20">
        <f>[44]TR!F54</f>
        <v>1.0105</v>
      </c>
      <c r="G134" s="20">
        <f>[44]TR!G54</f>
        <v>1.1380999999999999</v>
      </c>
      <c r="H134" s="20">
        <f>[44]TR!H54</f>
        <v>0.95130000000000003</v>
      </c>
      <c r="I134" s="20">
        <f>[44]TR!I54</f>
        <v>1.0298</v>
      </c>
      <c r="J134" s="20">
        <f>[44]TR!J54</f>
        <v>0.91010000000000002</v>
      </c>
      <c r="K134" s="20">
        <f>[44]TR!K54</f>
        <v>1.0604</v>
      </c>
      <c r="L134" s="20">
        <f>[44]TR!L54</f>
        <v>0.92500000000000004</v>
      </c>
      <c r="M134" s="20">
        <f>[44]TR!M54</f>
        <v>0.8367</v>
      </c>
      <c r="N134" s="20">
        <f>[44]TR!N54</f>
        <v>0.85</v>
      </c>
      <c r="O134" s="20">
        <f>[44]TR!O54</f>
        <v>0.8286</v>
      </c>
      <c r="P134" s="20">
        <f>[44]TR!P54</f>
        <v>0</v>
      </c>
    </row>
    <row r="135" spans="1:16" ht="14.4" x14ac:dyDescent="0.3">
      <c r="A135" s="18" t="s">
        <v>22</v>
      </c>
      <c r="B135" s="19"/>
      <c r="C135" s="16" t="s">
        <v>23</v>
      </c>
      <c r="D135" s="23">
        <v>0</v>
      </c>
      <c r="E135" s="23">
        <v>0</v>
      </c>
      <c r="F135" s="23">
        <v>0</v>
      </c>
      <c r="G135" s="23">
        <v>0</v>
      </c>
      <c r="H135" s="23">
        <v>0</v>
      </c>
      <c r="I135" s="23">
        <v>0</v>
      </c>
      <c r="J135" s="23">
        <v>0</v>
      </c>
      <c r="K135" s="23">
        <v>0</v>
      </c>
      <c r="L135" s="23">
        <v>0</v>
      </c>
      <c r="M135" s="23">
        <v>0</v>
      </c>
      <c r="N135" s="23">
        <v>0</v>
      </c>
      <c r="O135" s="23">
        <v>0</v>
      </c>
      <c r="P135" s="23">
        <v>0</v>
      </c>
    </row>
    <row r="136" spans="1:16" ht="14.4" x14ac:dyDescent="0.3">
      <c r="A136" s="14" t="s">
        <v>24</v>
      </c>
      <c r="B136" s="15"/>
      <c r="C136" s="16"/>
      <c r="D136" s="53"/>
      <c r="E136" s="53"/>
      <c r="F136" s="53"/>
      <c r="G136" s="53"/>
      <c r="H136" s="53"/>
      <c r="I136" s="53"/>
      <c r="J136" s="53"/>
      <c r="K136" s="53"/>
      <c r="L136" s="53"/>
      <c r="M136" s="53"/>
      <c r="N136" s="53"/>
      <c r="O136" s="53"/>
      <c r="P136" s="53"/>
    </row>
    <row r="137" spans="1:16" ht="14.4" x14ac:dyDescent="0.3">
      <c r="A137" s="18" t="s">
        <v>25</v>
      </c>
      <c r="B137" s="19"/>
      <c r="C137" s="16" t="s">
        <v>19</v>
      </c>
      <c r="D137" s="20">
        <f>[44]SLR!D68</f>
        <v>0.4173</v>
      </c>
      <c r="E137" s="20">
        <f>[44]SLR!E68</f>
        <v>0.46089999999999998</v>
      </c>
      <c r="F137" s="20">
        <f>[44]SLR!F68</f>
        <v>0.43580000000000002</v>
      </c>
      <c r="G137" s="20">
        <f>[44]SLR!G68</f>
        <v>0.44890000000000002</v>
      </c>
      <c r="H137" s="20">
        <f>[44]SLR!H68</f>
        <v>0.41930000000000001</v>
      </c>
      <c r="I137" s="20">
        <f>[44]SLR!I68</f>
        <v>0.40460000000000002</v>
      </c>
      <c r="J137" s="20">
        <f>[44]SLR!J68</f>
        <v>0.42730000000000001</v>
      </c>
      <c r="K137" s="20">
        <f>[44]SLR!K68</f>
        <v>0.4204</v>
      </c>
      <c r="L137" s="20">
        <f>[44]SLR!L68</f>
        <v>0.41880000000000001</v>
      </c>
      <c r="M137" s="20">
        <f>[44]SLR!M68</f>
        <v>0.4032</v>
      </c>
      <c r="N137" s="20">
        <f>[44]SLR!N68</f>
        <v>0.40010000000000001</v>
      </c>
      <c r="O137" s="20">
        <f>[44]SLR!O68</f>
        <v>0.4027</v>
      </c>
      <c r="P137" s="20" t="e">
        <f>[44]SLR!P68</f>
        <v>#DIV/0!</v>
      </c>
    </row>
    <row r="138" spans="1:16" ht="14.4" x14ac:dyDescent="0.3">
      <c r="A138" s="14" t="s">
        <v>26</v>
      </c>
      <c r="B138" s="14"/>
      <c r="C138" s="16"/>
      <c r="D138" s="54"/>
      <c r="E138" s="54"/>
      <c r="F138" s="54"/>
      <c r="G138" s="54"/>
      <c r="H138" s="54"/>
      <c r="I138" s="54"/>
      <c r="J138" s="54"/>
      <c r="K138" s="54"/>
      <c r="L138" s="54"/>
      <c r="M138" s="54"/>
      <c r="N138" s="54"/>
      <c r="O138" s="54"/>
      <c r="P138" s="54"/>
    </row>
    <row r="139" spans="1:16" ht="14.4" x14ac:dyDescent="0.3">
      <c r="A139" s="18" t="s">
        <v>27</v>
      </c>
      <c r="B139" s="18"/>
      <c r="C139" s="16" t="s">
        <v>19</v>
      </c>
      <c r="D139" s="20">
        <v>0.86670000000000003</v>
      </c>
      <c r="E139" s="20">
        <v>0.86670000000000003</v>
      </c>
      <c r="F139" s="20">
        <v>0.86670000000000003</v>
      </c>
      <c r="G139" s="20">
        <v>0.86670000000000003</v>
      </c>
      <c r="H139" s="20">
        <v>0.86670000000000003</v>
      </c>
      <c r="I139" s="20">
        <v>0.86670000000000003</v>
      </c>
      <c r="J139" s="20">
        <v>0.86670000000000003</v>
      </c>
      <c r="K139" s="20">
        <v>0.86670000000000003</v>
      </c>
      <c r="L139" s="20">
        <v>0.86670000000000003</v>
      </c>
      <c r="M139" s="20">
        <v>0.86670000000000003</v>
      </c>
      <c r="N139" s="20">
        <v>0.86670000000000003</v>
      </c>
      <c r="O139" s="20">
        <v>0.86670000000000003</v>
      </c>
      <c r="P139" s="20">
        <v>0.86670000000000003</v>
      </c>
    </row>
    <row r="140" spans="1:16" ht="14.4" x14ac:dyDescent="0.3">
      <c r="A140" s="18" t="s">
        <v>28</v>
      </c>
      <c r="B140" s="18"/>
      <c r="C140" s="16" t="s">
        <v>23</v>
      </c>
      <c r="D140" s="23">
        <v>0</v>
      </c>
      <c r="E140" s="23">
        <v>0</v>
      </c>
      <c r="F140" s="23">
        <v>0</v>
      </c>
      <c r="G140" s="23">
        <v>0</v>
      </c>
      <c r="H140" s="23">
        <v>0</v>
      </c>
      <c r="I140" s="23">
        <v>0</v>
      </c>
      <c r="J140" s="23">
        <v>0</v>
      </c>
      <c r="K140" s="23">
        <v>0</v>
      </c>
      <c r="L140" s="23">
        <v>0</v>
      </c>
      <c r="M140" s="23">
        <v>0</v>
      </c>
      <c r="N140" s="23">
        <v>0</v>
      </c>
      <c r="O140" s="23">
        <v>0</v>
      </c>
      <c r="P140" s="23">
        <v>0</v>
      </c>
    </row>
    <row r="141" spans="1:16" ht="14.4" x14ac:dyDescent="0.3">
      <c r="A141" s="14" t="s">
        <v>29</v>
      </c>
      <c r="B141" s="14"/>
      <c r="C141" s="16"/>
      <c r="D141" s="24"/>
      <c r="E141" s="24"/>
      <c r="F141" s="24"/>
      <c r="G141" s="24"/>
      <c r="H141" s="24"/>
      <c r="I141" s="24"/>
      <c r="J141" s="24"/>
      <c r="K141" s="24"/>
      <c r="L141" s="24"/>
      <c r="M141" s="24"/>
      <c r="N141" s="24"/>
      <c r="O141" s="24"/>
      <c r="P141" s="24"/>
    </row>
    <row r="142" spans="1:16" ht="14.4" x14ac:dyDescent="0.3">
      <c r="A142" s="18" t="s">
        <v>30</v>
      </c>
      <c r="B142" s="18"/>
      <c r="C142" s="16" t="s">
        <v>19</v>
      </c>
      <c r="D142" s="20">
        <v>0</v>
      </c>
      <c r="E142" s="20">
        <v>0</v>
      </c>
      <c r="F142" s="20">
        <v>0</v>
      </c>
      <c r="G142" s="20">
        <v>0</v>
      </c>
      <c r="H142" s="20">
        <v>0</v>
      </c>
      <c r="I142" s="20">
        <v>0</v>
      </c>
      <c r="J142" s="20">
        <v>0</v>
      </c>
      <c r="K142" s="20">
        <v>0</v>
      </c>
      <c r="L142" s="40" t="s">
        <v>61</v>
      </c>
      <c r="M142" s="40" t="s">
        <v>61</v>
      </c>
      <c r="N142" s="40" t="s">
        <v>61</v>
      </c>
      <c r="O142" s="40" t="s">
        <v>61</v>
      </c>
      <c r="P142" s="40" t="s">
        <v>61</v>
      </c>
    </row>
    <row r="143" spans="1:16" ht="14.4" x14ac:dyDescent="0.3">
      <c r="A143" s="18" t="s">
        <v>31</v>
      </c>
      <c r="B143" s="18"/>
      <c r="C143" s="16" t="s">
        <v>32</v>
      </c>
      <c r="D143" s="23">
        <v>278.58999999999997</v>
      </c>
      <c r="E143" s="23">
        <v>278.58999999999997</v>
      </c>
      <c r="F143" s="23">
        <v>278.58999999999997</v>
      </c>
      <c r="G143" s="23">
        <v>278.58999999999997</v>
      </c>
      <c r="H143" s="23">
        <v>278.58999999999997</v>
      </c>
      <c r="I143" s="23">
        <v>278.58999999999997</v>
      </c>
      <c r="J143" s="23">
        <v>278.58999999999997</v>
      </c>
      <c r="K143" s="23">
        <v>278.58999999999997</v>
      </c>
      <c r="L143" s="40" t="s">
        <v>62</v>
      </c>
      <c r="M143" s="40" t="s">
        <v>62</v>
      </c>
      <c r="N143" s="40" t="s">
        <v>62</v>
      </c>
      <c r="O143" s="40" t="s">
        <v>62</v>
      </c>
      <c r="P143" s="40" t="s">
        <v>62</v>
      </c>
    </row>
    <row r="144" spans="1:16" ht="14.4" x14ac:dyDescent="0.3">
      <c r="A144" s="14" t="s">
        <v>33</v>
      </c>
      <c r="B144" s="14"/>
      <c r="C144" s="16"/>
      <c r="D144" s="24"/>
      <c r="E144" s="24"/>
      <c r="F144" s="24"/>
      <c r="G144" s="24"/>
      <c r="H144" s="24"/>
      <c r="I144" s="24"/>
      <c r="J144" s="24"/>
      <c r="K144" s="24"/>
      <c r="L144" s="24"/>
      <c r="M144" s="24"/>
      <c r="N144" s="24"/>
      <c r="O144" s="24"/>
      <c r="P144" s="24"/>
    </row>
    <row r="145" spans="1:16" ht="14.4" x14ac:dyDescent="0.3">
      <c r="A145" s="18" t="s">
        <v>34</v>
      </c>
      <c r="B145" s="18"/>
      <c r="C145" s="16" t="s">
        <v>19</v>
      </c>
      <c r="D145" s="20">
        <v>0</v>
      </c>
      <c r="E145" s="20">
        <v>0</v>
      </c>
      <c r="F145" s="20">
        <v>0</v>
      </c>
      <c r="G145" s="20">
        <v>0</v>
      </c>
      <c r="H145" s="20">
        <v>0</v>
      </c>
      <c r="I145" s="20">
        <v>0</v>
      </c>
      <c r="J145" s="20">
        <v>0</v>
      </c>
      <c r="K145" s="20">
        <v>0</v>
      </c>
      <c r="L145" s="20">
        <v>0</v>
      </c>
      <c r="M145" s="20">
        <v>0</v>
      </c>
      <c r="N145" s="20">
        <v>0</v>
      </c>
      <c r="O145" s="20">
        <v>0</v>
      </c>
      <c r="P145" s="20">
        <v>0</v>
      </c>
    </row>
    <row r="146" spans="1:16" ht="14.4" x14ac:dyDescent="0.3">
      <c r="A146" s="18" t="s">
        <v>35</v>
      </c>
      <c r="B146" s="18"/>
      <c r="C146" s="16" t="s">
        <v>36</v>
      </c>
      <c r="D146" s="23">
        <v>278.45999999999998</v>
      </c>
      <c r="E146" s="23">
        <v>278.45999999999998</v>
      </c>
      <c r="F146" s="23">
        <v>278.45999999999998</v>
      </c>
      <c r="G146" s="23">
        <v>278.45999999999998</v>
      </c>
      <c r="H146" s="23">
        <v>278.45999999999998</v>
      </c>
      <c r="I146" s="23">
        <v>278.45999999999998</v>
      </c>
      <c r="J146" s="23">
        <v>278.45999999999998</v>
      </c>
      <c r="K146" s="23">
        <v>278.45999999999998</v>
      </c>
      <c r="L146" s="40" t="s">
        <v>63</v>
      </c>
      <c r="M146" s="40" t="s">
        <v>63</v>
      </c>
      <c r="N146" s="40" t="s">
        <v>63</v>
      </c>
      <c r="O146" s="40" t="s">
        <v>63</v>
      </c>
      <c r="P146" s="40" t="s">
        <v>63</v>
      </c>
    </row>
    <row r="147" spans="1:16" ht="14.4" x14ac:dyDescent="0.3">
      <c r="A147" s="14" t="s">
        <v>37</v>
      </c>
      <c r="B147" s="14"/>
      <c r="C147" s="16"/>
      <c r="D147" s="24"/>
      <c r="E147" s="24"/>
      <c r="F147" s="24"/>
      <c r="G147" s="24"/>
      <c r="H147" s="24"/>
      <c r="I147" s="24"/>
      <c r="J147" s="24"/>
      <c r="K147" s="24"/>
      <c r="L147" s="24"/>
      <c r="M147" s="24"/>
      <c r="N147" s="24"/>
      <c r="O147" s="24"/>
      <c r="P147" s="24"/>
    </row>
    <row r="148" spans="1:16" ht="14.4" x14ac:dyDescent="0.3">
      <c r="A148" s="25" t="s">
        <v>38</v>
      </c>
      <c r="B148" s="18"/>
      <c r="C148" s="16" t="s">
        <v>19</v>
      </c>
      <c r="D148" s="20">
        <f>[44]LD!E30</f>
        <v>9.4799999999999995E-2</v>
      </c>
      <c r="E148" s="20">
        <f>[44]LD!F30</f>
        <v>9.9000000000000005E-2</v>
      </c>
      <c r="F148" s="20">
        <f>[44]LD!G30</f>
        <v>9.8100000000000007E-2</v>
      </c>
      <c r="G148" s="20">
        <f>[44]LD!H30</f>
        <v>0.10100000000000001</v>
      </c>
      <c r="H148" s="20">
        <f>[44]LD!I30</f>
        <v>7.46E-2</v>
      </c>
      <c r="I148" s="20">
        <f>[44]LD!J30</f>
        <v>6.5799999999999997E-2</v>
      </c>
      <c r="J148" s="20">
        <f>[44]LD!K30</f>
        <v>6.2E-2</v>
      </c>
      <c r="K148" s="20">
        <f>[44]LD!L30</f>
        <v>7.5999999999999998E-2</v>
      </c>
      <c r="L148" s="20">
        <f>[44]LD!M30</f>
        <v>7.1499999999999994E-2</v>
      </c>
      <c r="M148" s="20">
        <f>[44]LD!N30</f>
        <v>7.2599999999999998E-2</v>
      </c>
      <c r="N148" s="20">
        <f>[44]LD!O30</f>
        <v>7.9799999999999996E-2</v>
      </c>
      <c r="O148" s="20">
        <f>[44]LD!P30</f>
        <v>7.6999999999999999E-2</v>
      </c>
      <c r="P148" s="20">
        <f>[44]LD!Q30</f>
        <v>0</v>
      </c>
    </row>
    <row r="149" spans="1:16" ht="14.4" x14ac:dyDescent="0.3">
      <c r="A149" s="25" t="s">
        <v>39</v>
      </c>
      <c r="B149" s="18"/>
      <c r="C149" s="16" t="s">
        <v>19</v>
      </c>
      <c r="D149" s="20">
        <v>0</v>
      </c>
      <c r="E149" s="20">
        <v>0</v>
      </c>
      <c r="F149" s="20">
        <v>0</v>
      </c>
      <c r="G149" s="20">
        <v>0</v>
      </c>
      <c r="H149" s="20">
        <v>0</v>
      </c>
      <c r="I149" s="20">
        <v>0</v>
      </c>
      <c r="J149" s="20">
        <v>0</v>
      </c>
      <c r="K149" s="20">
        <v>0</v>
      </c>
      <c r="L149" s="20">
        <v>0</v>
      </c>
      <c r="M149" s="20">
        <v>0</v>
      </c>
      <c r="N149" s="20">
        <v>0</v>
      </c>
      <c r="O149" s="20">
        <v>0</v>
      </c>
      <c r="P149" s="20">
        <v>0</v>
      </c>
    </row>
    <row r="150" spans="1:16" ht="14.4" x14ac:dyDescent="0.3">
      <c r="A150" s="26" t="s">
        <v>40</v>
      </c>
      <c r="B150" s="18"/>
      <c r="C150" s="16" t="s">
        <v>19</v>
      </c>
      <c r="D150" s="20">
        <f>'[44]SR CIT. SUBSIDY'!E95</f>
        <v>1E-4</v>
      </c>
      <c r="E150" s="20">
        <f>'[44]SR CIT. SUBSIDY'!F95</f>
        <v>1E-4</v>
      </c>
      <c r="F150" s="20">
        <f>'[44]SR CIT. SUBSIDY'!G95</f>
        <v>1E-4</v>
      </c>
      <c r="G150" s="20">
        <f>'[44]SR CIT. SUBSIDY'!H95</f>
        <v>1E-4</v>
      </c>
      <c r="H150" s="20">
        <f>'[44]SR CIT. SUBSIDY'!I95</f>
        <v>1E-4</v>
      </c>
      <c r="I150" s="20">
        <f>'[44]SR CIT. SUBSIDY'!J95</f>
        <v>1E-4</v>
      </c>
      <c r="J150" s="20">
        <f>'[44]SR CIT. SUBSIDY'!K95</f>
        <v>1E-4</v>
      </c>
      <c r="K150" s="20">
        <f>'[44]SR CIT. SUBSIDY'!L95</f>
        <v>1E-4</v>
      </c>
      <c r="L150" s="20">
        <f>'[44]SR CIT. SUBSIDY'!M95</f>
        <v>1E-4</v>
      </c>
      <c r="M150" s="20">
        <f>'[44]SR CIT. SUBSIDY'!N95</f>
        <v>1E-4</v>
      </c>
      <c r="N150" s="20">
        <f>'[44]SR CIT. SUBSIDY'!O95</f>
        <v>1E-4</v>
      </c>
      <c r="O150" s="20">
        <f>'[44]SR CIT. SUBSIDY'!P95</f>
        <v>1E-4</v>
      </c>
      <c r="P150" s="20">
        <f>'[44]SR CIT. SUBSIDY'!Q95</f>
        <v>0</v>
      </c>
    </row>
    <row r="151" spans="1:16" ht="14.4" x14ac:dyDescent="0.3">
      <c r="A151" s="26" t="s">
        <v>41</v>
      </c>
      <c r="B151" s="18"/>
      <c r="C151" s="16" t="s">
        <v>19</v>
      </c>
      <c r="D151" s="20">
        <v>0</v>
      </c>
      <c r="E151" s="20">
        <v>0</v>
      </c>
      <c r="F151" s="20">
        <v>0</v>
      </c>
      <c r="G151" s="20">
        <v>0</v>
      </c>
      <c r="H151" s="20">
        <v>0</v>
      </c>
      <c r="I151" s="20">
        <v>0</v>
      </c>
      <c r="J151" s="20">
        <v>0</v>
      </c>
      <c r="K151" s="20">
        <v>0</v>
      </c>
      <c r="L151" s="20">
        <v>0</v>
      </c>
      <c r="M151" s="20">
        <v>0</v>
      </c>
      <c r="N151" s="20">
        <v>0</v>
      </c>
      <c r="O151" s="20">
        <v>0</v>
      </c>
      <c r="P151" s="20">
        <v>0</v>
      </c>
    </row>
    <row r="152" spans="1:16" ht="14.4" x14ac:dyDescent="0.3">
      <c r="A152" s="14" t="s">
        <v>42</v>
      </c>
      <c r="B152" s="14"/>
      <c r="C152" s="16"/>
      <c r="D152" s="24"/>
      <c r="E152" s="24"/>
      <c r="F152" s="24"/>
      <c r="G152" s="24"/>
      <c r="H152" s="24"/>
      <c r="I152" s="24"/>
      <c r="J152" s="24"/>
      <c r="K152" s="24"/>
      <c r="L152" s="24"/>
      <c r="M152" s="24"/>
      <c r="N152" s="24"/>
      <c r="O152" s="24"/>
      <c r="P152" s="24"/>
    </row>
    <row r="153" spans="1:16" ht="14.4" x14ac:dyDescent="0.3">
      <c r="A153" s="14" t="s">
        <v>43</v>
      </c>
      <c r="B153" s="14"/>
      <c r="C153" s="16" t="s">
        <v>44</v>
      </c>
      <c r="D153" s="27"/>
      <c r="E153" s="27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7"/>
    </row>
    <row r="154" spans="1:16" ht="14.4" x14ac:dyDescent="0.3">
      <c r="A154" s="14" t="s">
        <v>45</v>
      </c>
      <c r="B154" s="14"/>
      <c r="C154" s="16"/>
      <c r="D154" s="28"/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</row>
    <row r="155" spans="1:16" ht="14.4" x14ac:dyDescent="0.3">
      <c r="A155" s="14" t="s">
        <v>46</v>
      </c>
      <c r="B155" s="14"/>
      <c r="C155" s="16" t="s">
        <v>19</v>
      </c>
      <c r="D155" s="20">
        <v>0</v>
      </c>
      <c r="E155" s="20">
        <v>0</v>
      </c>
      <c r="F155" s="20">
        <v>0</v>
      </c>
      <c r="G155" s="20">
        <v>0</v>
      </c>
      <c r="H155" s="20">
        <v>0</v>
      </c>
      <c r="I155" s="20">
        <v>0</v>
      </c>
      <c r="J155" s="20">
        <v>0</v>
      </c>
      <c r="K155" s="20">
        <v>0</v>
      </c>
      <c r="L155" s="20">
        <v>0</v>
      </c>
      <c r="M155" s="20">
        <v>0</v>
      </c>
      <c r="N155" s="20">
        <v>0</v>
      </c>
      <c r="O155" s="20">
        <v>0</v>
      </c>
      <c r="P155" s="20">
        <v>0</v>
      </c>
    </row>
    <row r="156" spans="1:16" ht="14.4" x14ac:dyDescent="0.3">
      <c r="A156" s="14" t="s">
        <v>47</v>
      </c>
      <c r="B156" s="14"/>
      <c r="C156" s="16"/>
      <c r="D156" s="24"/>
      <c r="E156" s="24"/>
      <c r="F156" s="24"/>
      <c r="G156" s="24"/>
      <c r="H156" s="24"/>
      <c r="I156" s="24"/>
      <c r="J156" s="24"/>
      <c r="K156" s="24"/>
      <c r="L156" s="24"/>
      <c r="M156" s="24"/>
      <c r="N156" s="24"/>
      <c r="O156" s="24"/>
      <c r="P156" s="24"/>
    </row>
    <row r="157" spans="1:16" ht="14.4" x14ac:dyDescent="0.3">
      <c r="A157" s="18" t="s">
        <v>48</v>
      </c>
      <c r="B157" s="18"/>
      <c r="C157" s="16" t="s">
        <v>19</v>
      </c>
      <c r="D157" s="20">
        <f t="shared" ref="D157:P160" si="11">D116</f>
        <v>0.15609999999999999</v>
      </c>
      <c r="E157" s="20">
        <f t="shared" si="11"/>
        <v>0.15609999999999999</v>
      </c>
      <c r="F157" s="20">
        <f t="shared" si="11"/>
        <v>0.15609999999999999</v>
      </c>
      <c r="G157" s="20">
        <f t="shared" si="11"/>
        <v>0.15609999999999999</v>
      </c>
      <c r="H157" s="20">
        <f t="shared" si="11"/>
        <v>0.15609999999999999</v>
      </c>
      <c r="I157" s="20">
        <f t="shared" si="11"/>
        <v>0.15609999999999999</v>
      </c>
      <c r="J157" s="20">
        <f t="shared" si="11"/>
        <v>0.15609999999999999</v>
      </c>
      <c r="K157" s="20">
        <f t="shared" si="11"/>
        <v>0.15609999999999999</v>
      </c>
      <c r="L157" s="20">
        <f t="shared" si="11"/>
        <v>0.15609999999999999</v>
      </c>
      <c r="M157" s="20">
        <f t="shared" si="11"/>
        <v>0.15609999999999999</v>
      </c>
      <c r="N157" s="20">
        <f t="shared" si="11"/>
        <v>0.15609999999999999</v>
      </c>
      <c r="O157" s="20">
        <f t="shared" si="11"/>
        <v>0.15609999999999999</v>
      </c>
      <c r="P157" s="20">
        <f t="shared" si="11"/>
        <v>0.15609999999999999</v>
      </c>
    </row>
    <row r="158" spans="1:16" ht="14.4" x14ac:dyDescent="0.3">
      <c r="A158" s="18" t="s">
        <v>49</v>
      </c>
      <c r="B158" s="18"/>
      <c r="C158" s="16" t="s">
        <v>19</v>
      </c>
      <c r="D158" s="20">
        <f t="shared" si="11"/>
        <v>2.5000000000000001E-3</v>
      </c>
      <c r="E158" s="20">
        <f t="shared" si="11"/>
        <v>2.5000000000000001E-3</v>
      </c>
      <c r="F158" s="20">
        <f t="shared" si="11"/>
        <v>2.5000000000000001E-3</v>
      </c>
      <c r="G158" s="20">
        <f t="shared" si="11"/>
        <v>2.5000000000000001E-3</v>
      </c>
      <c r="H158" s="20">
        <f t="shared" si="11"/>
        <v>2.5000000000000001E-3</v>
      </c>
      <c r="I158" s="20">
        <f t="shared" si="11"/>
        <v>2.5000000000000001E-3</v>
      </c>
      <c r="J158" s="20">
        <f t="shared" si="11"/>
        <v>2.5000000000000001E-3</v>
      </c>
      <c r="K158" s="20">
        <f t="shared" si="11"/>
        <v>2.5000000000000001E-3</v>
      </c>
      <c r="L158" s="20">
        <f t="shared" si="11"/>
        <v>2.5000000000000001E-3</v>
      </c>
      <c r="M158" s="20">
        <f t="shared" si="11"/>
        <v>2.5000000000000001E-3</v>
      </c>
      <c r="N158" s="20">
        <f t="shared" si="11"/>
        <v>2.5000000000000001E-3</v>
      </c>
      <c r="O158" s="20">
        <f t="shared" si="11"/>
        <v>2.5000000000000001E-3</v>
      </c>
      <c r="P158" s="20">
        <f t="shared" si="11"/>
        <v>2.5000000000000001E-3</v>
      </c>
    </row>
    <row r="159" spans="1:16" ht="14.4" x14ac:dyDescent="0.3">
      <c r="A159" s="18" t="s">
        <v>50</v>
      </c>
      <c r="B159" s="18"/>
      <c r="C159" s="16" t="s">
        <v>19</v>
      </c>
      <c r="D159" s="20">
        <f t="shared" si="11"/>
        <v>0.1938</v>
      </c>
      <c r="E159" s="20">
        <f t="shared" si="11"/>
        <v>0.1938</v>
      </c>
      <c r="F159" s="20">
        <f t="shared" si="11"/>
        <v>0.1938</v>
      </c>
      <c r="G159" s="20">
        <f t="shared" si="11"/>
        <v>0.1938</v>
      </c>
      <c r="H159" s="20">
        <f t="shared" si="11"/>
        <v>0.1938</v>
      </c>
      <c r="I159" s="20">
        <f t="shared" si="11"/>
        <v>0.1938</v>
      </c>
      <c r="J159" s="20">
        <f t="shared" si="11"/>
        <v>0.1938</v>
      </c>
      <c r="K159" s="20">
        <f t="shared" si="11"/>
        <v>0.1938</v>
      </c>
      <c r="L159" s="20">
        <f t="shared" si="11"/>
        <v>0.1938</v>
      </c>
      <c r="M159" s="20">
        <f t="shared" si="11"/>
        <v>0.1938</v>
      </c>
      <c r="N159" s="20">
        <f t="shared" si="11"/>
        <v>0.1938</v>
      </c>
      <c r="O159" s="20">
        <f t="shared" si="11"/>
        <v>0.1938</v>
      </c>
      <c r="P159" s="20">
        <f t="shared" si="11"/>
        <v>0.1938</v>
      </c>
    </row>
    <row r="160" spans="1:16" ht="14.4" x14ac:dyDescent="0.3">
      <c r="A160" s="14" t="s">
        <v>51</v>
      </c>
      <c r="B160" s="14"/>
      <c r="C160" s="16" t="s">
        <v>19</v>
      </c>
      <c r="D160" s="20">
        <f>D119</f>
        <v>4.0599999999999997E-2</v>
      </c>
      <c r="E160" s="20">
        <f t="shared" si="11"/>
        <v>4.0599999999999997E-2</v>
      </c>
      <c r="F160" s="20">
        <f t="shared" si="11"/>
        <v>4.0599999999999997E-2</v>
      </c>
      <c r="G160" s="20">
        <f t="shared" si="11"/>
        <v>0.124</v>
      </c>
      <c r="H160" s="20">
        <f t="shared" si="11"/>
        <v>0.124</v>
      </c>
      <c r="I160" s="20">
        <f t="shared" si="11"/>
        <v>0.124</v>
      </c>
      <c r="J160" s="20">
        <f t="shared" si="11"/>
        <v>0.124</v>
      </c>
      <c r="K160" s="20">
        <f t="shared" si="11"/>
        <v>0.124</v>
      </c>
      <c r="L160" s="20">
        <f t="shared" si="11"/>
        <v>0.124</v>
      </c>
      <c r="M160" s="20">
        <f t="shared" si="11"/>
        <v>0.124</v>
      </c>
      <c r="N160" s="20">
        <f t="shared" si="11"/>
        <v>0.124</v>
      </c>
      <c r="O160" s="20">
        <f t="shared" si="11"/>
        <v>0.124</v>
      </c>
      <c r="P160" s="20">
        <f t="shared" si="11"/>
        <v>0.124</v>
      </c>
    </row>
    <row r="161" spans="1:16" ht="14.4" x14ac:dyDescent="0.3">
      <c r="A161" s="14" t="s">
        <v>52</v>
      </c>
      <c r="B161" s="14"/>
      <c r="C161" s="29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</row>
    <row r="162" spans="1:16" ht="14.4" x14ac:dyDescent="0.3">
      <c r="A162" s="18" t="s">
        <v>53</v>
      </c>
      <c r="B162" s="18"/>
      <c r="C162" s="16" t="s">
        <v>44</v>
      </c>
      <c r="D162" s="30">
        <f t="shared" ref="D162:P166" si="12">D121</f>
        <v>0.1139</v>
      </c>
      <c r="E162" s="30">
        <f t="shared" si="12"/>
        <v>0.115</v>
      </c>
      <c r="F162" s="30">
        <f t="shared" si="12"/>
        <v>0.1143</v>
      </c>
      <c r="G162" s="30">
        <f t="shared" si="12"/>
        <v>0.11310000000000001</v>
      </c>
      <c r="H162" s="30">
        <f t="shared" si="12"/>
        <v>0.11020000000000001</v>
      </c>
      <c r="I162" s="30">
        <f t="shared" si="12"/>
        <v>0.1116</v>
      </c>
      <c r="J162" s="30">
        <f t="shared" si="12"/>
        <v>0.10920000000000001</v>
      </c>
      <c r="K162" s="30">
        <f t="shared" si="12"/>
        <v>0.1138</v>
      </c>
      <c r="L162" s="30">
        <f t="shared" si="12"/>
        <v>0.1072</v>
      </c>
      <c r="M162" s="30">
        <f t="shared" si="12"/>
        <v>0.11219999999999999</v>
      </c>
      <c r="N162" s="30">
        <f t="shared" si="12"/>
        <v>0.1101</v>
      </c>
      <c r="O162" s="30">
        <f t="shared" si="12"/>
        <v>0.11020000000000001</v>
      </c>
      <c r="P162" s="30" t="e">
        <f t="shared" si="12"/>
        <v>#DIV/0!</v>
      </c>
    </row>
    <row r="163" spans="1:16" ht="14.4" x14ac:dyDescent="0.3">
      <c r="A163" s="18" t="s">
        <v>54</v>
      </c>
      <c r="B163" s="18"/>
      <c r="C163" s="16" t="s">
        <v>44</v>
      </c>
      <c r="D163" s="30">
        <f t="shared" si="12"/>
        <v>5.5999999999999999E-3</v>
      </c>
      <c r="E163" s="30">
        <f t="shared" si="12"/>
        <v>1.52E-2</v>
      </c>
      <c r="F163" s="30">
        <f t="shared" si="12"/>
        <v>2.0400000000000001E-2</v>
      </c>
      <c r="G163" s="30">
        <f t="shared" si="12"/>
        <v>2.7199999999999998E-2</v>
      </c>
      <c r="H163" s="30">
        <f t="shared" si="12"/>
        <v>3.44E-2</v>
      </c>
      <c r="I163" s="30">
        <f t="shared" si="12"/>
        <v>3.9199999999999999E-2</v>
      </c>
      <c r="J163" s="30">
        <f t="shared" si="12"/>
        <v>2.3900000000000001E-2</v>
      </c>
      <c r="K163" s="30">
        <f t="shared" si="12"/>
        <v>3.39E-2</v>
      </c>
      <c r="L163" s="30">
        <f t="shared" si="12"/>
        <v>2.81E-2</v>
      </c>
      <c r="M163" s="30">
        <f t="shared" si="12"/>
        <v>1.1599999999999999E-2</v>
      </c>
      <c r="N163" s="30">
        <f t="shared" si="12"/>
        <v>1.17E-2</v>
      </c>
      <c r="O163" s="30">
        <f t="shared" si="12"/>
        <v>6.3E-3</v>
      </c>
      <c r="P163" s="30" t="e">
        <f t="shared" si="12"/>
        <v>#DIV/0!</v>
      </c>
    </row>
    <row r="164" spans="1:16" ht="14.4" x14ac:dyDescent="0.3">
      <c r="A164" s="18" t="s">
        <v>55</v>
      </c>
      <c r="B164" s="18"/>
      <c r="C164" s="16" t="s">
        <v>44</v>
      </c>
      <c r="D164" s="30">
        <f t="shared" si="12"/>
        <v>9.5000000000000001E-2</v>
      </c>
      <c r="E164" s="30">
        <f t="shared" si="12"/>
        <v>9.7000000000000003E-2</v>
      </c>
      <c r="F164" s="30">
        <f t="shared" si="12"/>
        <v>9.7100000000000006E-2</v>
      </c>
      <c r="G164" s="30">
        <f t="shared" si="12"/>
        <v>9.7000000000000003E-2</v>
      </c>
      <c r="H164" s="30">
        <f t="shared" si="12"/>
        <v>9.7100000000000006E-2</v>
      </c>
      <c r="I164" s="30">
        <f t="shared" si="12"/>
        <v>9.7699999999999995E-2</v>
      </c>
      <c r="J164" s="30">
        <f t="shared" si="12"/>
        <v>9.5200000000000007E-2</v>
      </c>
      <c r="K164" s="30">
        <f t="shared" si="12"/>
        <v>9.8100000000000007E-2</v>
      </c>
      <c r="L164" s="30">
        <f t="shared" si="12"/>
        <v>9.3600000000000003E-2</v>
      </c>
      <c r="M164" s="30">
        <f t="shared" si="12"/>
        <v>9.5799999999999996E-2</v>
      </c>
      <c r="N164" s="30">
        <f t="shared" si="12"/>
        <v>9.4E-2</v>
      </c>
      <c r="O164" s="30">
        <f t="shared" si="12"/>
        <v>9.3600000000000003E-2</v>
      </c>
      <c r="P164" s="30" t="e">
        <f t="shared" si="12"/>
        <v>#DIV/0!</v>
      </c>
    </row>
    <row r="165" spans="1:16" ht="14.4" x14ac:dyDescent="0.3">
      <c r="A165" s="18" t="s">
        <v>56</v>
      </c>
      <c r="B165" s="18"/>
      <c r="C165" s="16" t="s">
        <v>44</v>
      </c>
      <c r="D165" s="30">
        <f t="shared" si="12"/>
        <v>0.12</v>
      </c>
      <c r="E165" s="30">
        <f t="shared" si="12"/>
        <v>0.12</v>
      </c>
      <c r="F165" s="30">
        <f t="shared" si="12"/>
        <v>0.12</v>
      </c>
      <c r="G165" s="30">
        <f t="shared" si="12"/>
        <v>0.12</v>
      </c>
      <c r="H165" s="30">
        <f t="shared" si="12"/>
        <v>0.12</v>
      </c>
      <c r="I165" s="30">
        <f t="shared" si="12"/>
        <v>0.12</v>
      </c>
      <c r="J165" s="30">
        <f t="shared" si="12"/>
        <v>0.12</v>
      </c>
      <c r="K165" s="30">
        <f t="shared" si="12"/>
        <v>0.12</v>
      </c>
      <c r="L165" s="30">
        <f t="shared" si="12"/>
        <v>0.12</v>
      </c>
      <c r="M165" s="30">
        <f t="shared" si="12"/>
        <v>0.12</v>
      </c>
      <c r="N165" s="30">
        <f t="shared" si="12"/>
        <v>0.12</v>
      </c>
      <c r="O165" s="30">
        <f t="shared" si="12"/>
        <v>0.12</v>
      </c>
      <c r="P165" s="30">
        <f t="shared" si="12"/>
        <v>0.12</v>
      </c>
    </row>
    <row r="166" spans="1:16" ht="14.4" x14ac:dyDescent="0.3">
      <c r="A166" s="18" t="s">
        <v>57</v>
      </c>
      <c r="B166" s="18"/>
      <c r="C166" s="16" t="s">
        <v>44</v>
      </c>
      <c r="D166" s="30">
        <f t="shared" si="12"/>
        <v>0.12</v>
      </c>
      <c r="E166" s="30">
        <f t="shared" si="12"/>
        <v>0.12</v>
      </c>
      <c r="F166" s="30">
        <f t="shared" si="12"/>
        <v>0.12</v>
      </c>
      <c r="G166" s="30">
        <f t="shared" si="12"/>
        <v>0.12</v>
      </c>
      <c r="H166" s="30">
        <f t="shared" si="12"/>
        <v>0.12</v>
      </c>
      <c r="I166" s="30">
        <f t="shared" si="12"/>
        <v>0.12</v>
      </c>
      <c r="J166" s="30">
        <f t="shared" si="12"/>
        <v>0.12</v>
      </c>
      <c r="K166" s="30">
        <f t="shared" si="12"/>
        <v>0.12</v>
      </c>
      <c r="L166" s="30">
        <f t="shared" si="12"/>
        <v>0.12</v>
      </c>
      <c r="M166" s="30">
        <f t="shared" si="12"/>
        <v>0.12</v>
      </c>
      <c r="N166" s="30">
        <f t="shared" si="12"/>
        <v>0.12</v>
      </c>
      <c r="O166" s="30">
        <f t="shared" si="12"/>
        <v>0.12</v>
      </c>
      <c r="P166" s="30">
        <f t="shared" si="12"/>
        <v>0.12</v>
      </c>
    </row>
    <row r="167" spans="1:16" s="5" customFormat="1" ht="14.4" x14ac:dyDescent="0.3">
      <c r="A167" s="55"/>
      <c r="B167" s="55"/>
      <c r="C167" s="56"/>
      <c r="D167" s="57"/>
      <c r="E167" s="57"/>
      <c r="F167" s="57"/>
      <c r="G167" s="57"/>
      <c r="H167" s="57"/>
      <c r="I167" s="57"/>
      <c r="J167" s="57"/>
      <c r="K167" s="57"/>
      <c r="L167" s="57"/>
      <c r="M167" s="57"/>
      <c r="N167" s="57"/>
      <c r="O167" s="57"/>
      <c r="P167" s="57"/>
    </row>
    <row r="168" spans="1:16" x14ac:dyDescent="0.3">
      <c r="A168" s="3" t="s">
        <v>58</v>
      </c>
    </row>
    <row r="169" spans="1:16" ht="14.4" x14ac:dyDescent="0.3">
      <c r="D169" s="58"/>
      <c r="E169" s="58"/>
      <c r="F169" s="58"/>
      <c r="G169" s="58"/>
      <c r="H169" s="58"/>
      <c r="I169" s="58"/>
      <c r="J169" s="58"/>
      <c r="K169" s="58"/>
      <c r="L169" s="58"/>
      <c r="M169" s="58"/>
      <c r="N169" s="58"/>
      <c r="O169" s="58"/>
      <c r="P169" s="58"/>
    </row>
    <row r="170" spans="1:16" ht="18" x14ac:dyDescent="0.35">
      <c r="A170" s="59" t="str">
        <f>'[44]Statistical data'!A145</f>
        <v>General Service B</v>
      </c>
      <c r="B170" s="59"/>
      <c r="C170" s="5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</row>
    <row r="171" spans="1:16" s="13" customFormat="1" ht="14.4" x14ac:dyDescent="0.3">
      <c r="A171" s="11" t="s">
        <v>3</v>
      </c>
      <c r="B171" s="11"/>
      <c r="C171" s="11" t="s">
        <v>4</v>
      </c>
      <c r="D171" s="12" t="str">
        <f t="shared" ref="D171:P171" si="13">D130</f>
        <v>JAN</v>
      </c>
      <c r="E171" s="12" t="str">
        <f t="shared" si="13"/>
        <v>FEB</v>
      </c>
      <c r="F171" s="12" t="str">
        <f t="shared" si="13"/>
        <v>MAR</v>
      </c>
      <c r="G171" s="12" t="str">
        <f t="shared" si="13"/>
        <v>APR</v>
      </c>
      <c r="H171" s="12" t="str">
        <f t="shared" si="13"/>
        <v>MAY</v>
      </c>
      <c r="I171" s="12" t="str">
        <f t="shared" si="13"/>
        <v>JUN</v>
      </c>
      <c r="J171" s="12" t="str">
        <f t="shared" si="13"/>
        <v>JUL</v>
      </c>
      <c r="K171" s="12" t="str">
        <f t="shared" si="13"/>
        <v>AUG</v>
      </c>
      <c r="L171" s="12" t="str">
        <f t="shared" si="13"/>
        <v>SEP</v>
      </c>
      <c r="M171" s="12" t="str">
        <f t="shared" si="13"/>
        <v>OCT</v>
      </c>
      <c r="N171" s="12" t="str">
        <f t="shared" si="13"/>
        <v>NOV</v>
      </c>
      <c r="O171" s="12" t="str">
        <f t="shared" si="13"/>
        <v>DEC</v>
      </c>
      <c r="P171" s="12" t="str">
        <f t="shared" si="13"/>
        <v>JAN</v>
      </c>
    </row>
    <row r="172" spans="1:16" ht="14.4" x14ac:dyDescent="0.3">
      <c r="A172" s="14" t="s">
        <v>17</v>
      </c>
      <c r="B172" s="15"/>
      <c r="C172" s="16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</row>
    <row r="173" spans="1:16" ht="14.4" x14ac:dyDescent="0.3">
      <c r="A173" s="18" t="s">
        <v>18</v>
      </c>
      <c r="B173" s="19"/>
      <c r="C173" s="16" t="s">
        <v>19</v>
      </c>
      <c r="D173" s="52" t="s">
        <v>59</v>
      </c>
      <c r="E173" s="52" t="s">
        <v>59</v>
      </c>
      <c r="F173" s="52" t="s">
        <v>59</v>
      </c>
      <c r="G173" s="52" t="s">
        <v>59</v>
      </c>
      <c r="H173" s="52" t="s">
        <v>59</v>
      </c>
      <c r="I173" s="52" t="s">
        <v>59</v>
      </c>
      <c r="J173" s="52" t="s">
        <v>59</v>
      </c>
      <c r="K173" s="52" t="s">
        <v>59</v>
      </c>
      <c r="L173" s="52" t="s">
        <v>59</v>
      </c>
      <c r="M173" s="52" t="s">
        <v>59</v>
      </c>
      <c r="N173" s="52" t="s">
        <v>59</v>
      </c>
      <c r="O173" s="52" t="s">
        <v>59</v>
      </c>
      <c r="P173" s="52" t="s">
        <v>59</v>
      </c>
    </row>
    <row r="174" spans="1:16" ht="14.4" x14ac:dyDescent="0.3">
      <c r="A174" s="14" t="s">
        <v>20</v>
      </c>
      <c r="B174" s="15"/>
      <c r="C174" s="16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</row>
    <row r="175" spans="1:16" ht="14.4" x14ac:dyDescent="0.3">
      <c r="A175" s="18" t="s">
        <v>21</v>
      </c>
      <c r="B175" s="19"/>
      <c r="C175" s="16" t="s">
        <v>19</v>
      </c>
      <c r="D175" s="20">
        <v>0</v>
      </c>
      <c r="E175" s="20">
        <v>0</v>
      </c>
      <c r="F175" s="20">
        <v>0</v>
      </c>
      <c r="G175" s="20">
        <v>0</v>
      </c>
      <c r="H175" s="20">
        <v>0</v>
      </c>
      <c r="I175" s="20">
        <v>0</v>
      </c>
      <c r="J175" s="20">
        <v>0</v>
      </c>
      <c r="K175" s="20">
        <v>0</v>
      </c>
      <c r="L175" s="20">
        <v>0</v>
      </c>
      <c r="M175" s="20">
        <v>0</v>
      </c>
      <c r="N175" s="20">
        <v>0</v>
      </c>
      <c r="O175" s="20">
        <v>0</v>
      </c>
      <c r="P175" s="20">
        <v>0</v>
      </c>
    </row>
    <row r="176" spans="1:16" ht="14.4" x14ac:dyDescent="0.3">
      <c r="A176" s="18" t="s">
        <v>22</v>
      </c>
      <c r="B176" s="19"/>
      <c r="C176" s="16" t="s">
        <v>23</v>
      </c>
      <c r="D176" s="20">
        <f>[44]TR!D55</f>
        <v>258.96850000000001</v>
      </c>
      <c r="E176" s="20">
        <f>[44]TR!E55</f>
        <v>273.69850000000002</v>
      </c>
      <c r="F176" s="20">
        <f>[44]TR!F55</f>
        <v>268.38850000000002</v>
      </c>
      <c r="G176" s="20">
        <f>[44]TR!G55</f>
        <v>295.86849999999998</v>
      </c>
      <c r="H176" s="20">
        <f>[44]TR!H55</f>
        <v>257.0985</v>
      </c>
      <c r="I176" s="20">
        <f>[44]TR!I55</f>
        <v>288.43849999999998</v>
      </c>
      <c r="J176" s="20">
        <f>[44]TR!J55</f>
        <v>250.9485</v>
      </c>
      <c r="K176" s="20">
        <f>[44]TR!K55</f>
        <v>287.2285</v>
      </c>
      <c r="L176" s="20">
        <f>[44]TR!L55</f>
        <v>257.02850000000001</v>
      </c>
      <c r="M176" s="20">
        <f>[44]TR!M55</f>
        <v>227.5085</v>
      </c>
      <c r="N176" s="20">
        <f>[44]TR!N55</f>
        <v>230.58850000000001</v>
      </c>
      <c r="O176" s="20">
        <f>[44]TR!O55</f>
        <v>220.1985</v>
      </c>
      <c r="P176" s="20">
        <f>[44]TR!P55</f>
        <v>0</v>
      </c>
    </row>
    <row r="177" spans="1:16" ht="14.4" x14ac:dyDescent="0.3">
      <c r="A177" s="14" t="s">
        <v>24</v>
      </c>
      <c r="B177" s="15"/>
      <c r="C177" s="16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</row>
    <row r="178" spans="1:16" ht="14.4" x14ac:dyDescent="0.3">
      <c r="A178" s="18" t="s">
        <v>25</v>
      </c>
      <c r="B178" s="19"/>
      <c r="C178" s="16" t="s">
        <v>19</v>
      </c>
      <c r="D178" s="20">
        <f>[44]SLR!D69</f>
        <v>0.4173</v>
      </c>
      <c r="E178" s="20">
        <f>[44]SLR!E69</f>
        <v>0.46089999999999998</v>
      </c>
      <c r="F178" s="20">
        <f>[44]SLR!F69</f>
        <v>0.43580000000000002</v>
      </c>
      <c r="G178" s="20">
        <f>[44]SLR!G69</f>
        <v>0.44890000000000002</v>
      </c>
      <c r="H178" s="20">
        <f>[44]SLR!H69</f>
        <v>0.41930000000000001</v>
      </c>
      <c r="I178" s="20">
        <f>[44]SLR!I69</f>
        <v>0.40460000000000002</v>
      </c>
      <c r="J178" s="20">
        <f>[44]SLR!J69</f>
        <v>0.42730000000000001</v>
      </c>
      <c r="K178" s="20">
        <f>[44]SLR!K69</f>
        <v>0.4204</v>
      </c>
      <c r="L178" s="20">
        <f>[44]SLR!L69</f>
        <v>0.41880000000000001</v>
      </c>
      <c r="M178" s="20">
        <f>[44]SLR!M69</f>
        <v>0.4032</v>
      </c>
      <c r="N178" s="20">
        <f>[44]SLR!N69</f>
        <v>0.40010000000000001</v>
      </c>
      <c r="O178" s="20">
        <f>[44]SLR!O69</f>
        <v>0.4027</v>
      </c>
      <c r="P178" s="20" t="e">
        <f>[44]SLR!P69</f>
        <v>#DIV/0!</v>
      </c>
    </row>
    <row r="179" spans="1:16" ht="14.4" x14ac:dyDescent="0.3">
      <c r="A179" s="14" t="s">
        <v>26</v>
      </c>
      <c r="B179" s="14"/>
      <c r="C179" s="16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</row>
    <row r="180" spans="1:16" ht="14.4" x14ac:dyDescent="0.3">
      <c r="A180" s="18" t="s">
        <v>27</v>
      </c>
      <c r="B180" s="18"/>
      <c r="C180" s="16" t="s">
        <v>19</v>
      </c>
      <c r="D180" s="20">
        <v>0.1368</v>
      </c>
      <c r="E180" s="20">
        <v>0.1368</v>
      </c>
      <c r="F180" s="20">
        <v>0.1368</v>
      </c>
      <c r="G180" s="20">
        <v>0.1368</v>
      </c>
      <c r="H180" s="20">
        <v>0.1368</v>
      </c>
      <c r="I180" s="20">
        <v>0.1368</v>
      </c>
      <c r="J180" s="20">
        <v>0.1368</v>
      </c>
      <c r="K180" s="20">
        <v>0.1368</v>
      </c>
      <c r="L180" s="20">
        <v>0.1368</v>
      </c>
      <c r="M180" s="20">
        <v>0.1368</v>
      </c>
      <c r="N180" s="20">
        <v>0.1368</v>
      </c>
      <c r="O180" s="20">
        <v>0.1368</v>
      </c>
      <c r="P180" s="20">
        <v>0.1368</v>
      </c>
    </row>
    <row r="181" spans="1:16" ht="14.4" x14ac:dyDescent="0.3">
      <c r="A181" s="18" t="s">
        <v>28</v>
      </c>
      <c r="B181" s="18"/>
      <c r="C181" s="16" t="s">
        <v>23</v>
      </c>
      <c r="D181" s="23">
        <v>237.15</v>
      </c>
      <c r="E181" s="23">
        <v>237.15</v>
      </c>
      <c r="F181" s="23">
        <v>237.15</v>
      </c>
      <c r="G181" s="23">
        <v>237.15</v>
      </c>
      <c r="H181" s="23">
        <v>237.15</v>
      </c>
      <c r="I181" s="23">
        <v>237.15</v>
      </c>
      <c r="J181" s="23">
        <v>237.15</v>
      </c>
      <c r="K181" s="23">
        <v>237.15</v>
      </c>
      <c r="L181" s="23">
        <v>237.15</v>
      </c>
      <c r="M181" s="23">
        <v>237.15</v>
      </c>
      <c r="N181" s="23">
        <v>237.15</v>
      </c>
      <c r="O181" s="23">
        <v>237.15</v>
      </c>
      <c r="P181" s="23">
        <v>237.15</v>
      </c>
    </row>
    <row r="182" spans="1:16" ht="14.4" x14ac:dyDescent="0.3">
      <c r="A182" s="14" t="s">
        <v>29</v>
      </c>
      <c r="B182" s="14"/>
      <c r="C182" s="16"/>
      <c r="D182" s="24"/>
      <c r="E182" s="24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</row>
    <row r="183" spans="1:16" ht="14.4" x14ac:dyDescent="0.3">
      <c r="A183" s="18" t="s">
        <v>30</v>
      </c>
      <c r="B183" s="18"/>
      <c r="C183" s="16" t="s">
        <v>19</v>
      </c>
      <c r="D183" s="52" t="s">
        <v>61</v>
      </c>
      <c r="E183" s="52" t="s">
        <v>61</v>
      </c>
      <c r="F183" s="52" t="s">
        <v>61</v>
      </c>
      <c r="G183" s="52" t="s">
        <v>61</v>
      </c>
      <c r="H183" s="52" t="s">
        <v>61</v>
      </c>
      <c r="I183" s="52" t="s">
        <v>61</v>
      </c>
      <c r="J183" s="52" t="s">
        <v>61</v>
      </c>
      <c r="K183" s="52" t="s">
        <v>61</v>
      </c>
      <c r="L183" s="52" t="s">
        <v>61</v>
      </c>
      <c r="M183" s="52" t="s">
        <v>61</v>
      </c>
      <c r="N183" s="52" t="s">
        <v>61</v>
      </c>
      <c r="O183" s="52" t="s">
        <v>61</v>
      </c>
      <c r="P183" s="52" t="s">
        <v>61</v>
      </c>
    </row>
    <row r="184" spans="1:16" ht="14.4" x14ac:dyDescent="0.3">
      <c r="A184" s="18" t="s">
        <v>31</v>
      </c>
      <c r="B184" s="18"/>
      <c r="C184" s="16" t="s">
        <v>32</v>
      </c>
      <c r="D184" s="52" t="s">
        <v>62</v>
      </c>
      <c r="E184" s="52" t="s">
        <v>62</v>
      </c>
      <c r="F184" s="52" t="s">
        <v>62</v>
      </c>
      <c r="G184" s="52" t="s">
        <v>62</v>
      </c>
      <c r="H184" s="52" t="s">
        <v>62</v>
      </c>
      <c r="I184" s="52" t="s">
        <v>62</v>
      </c>
      <c r="J184" s="52" t="s">
        <v>62</v>
      </c>
      <c r="K184" s="52" t="s">
        <v>62</v>
      </c>
      <c r="L184" s="52" t="s">
        <v>62</v>
      </c>
      <c r="M184" s="52" t="s">
        <v>62</v>
      </c>
      <c r="N184" s="52" t="s">
        <v>62</v>
      </c>
      <c r="O184" s="52" t="s">
        <v>62</v>
      </c>
      <c r="P184" s="52" t="s">
        <v>62</v>
      </c>
    </row>
    <row r="185" spans="1:16" ht="14.4" x14ac:dyDescent="0.3">
      <c r="A185" s="14" t="s">
        <v>33</v>
      </c>
      <c r="B185" s="14"/>
      <c r="C185" s="16"/>
      <c r="D185" s="24"/>
      <c r="E185" s="24"/>
      <c r="F185" s="24"/>
      <c r="G185" s="24"/>
      <c r="H185" s="24"/>
      <c r="I185" s="24"/>
      <c r="J185" s="24"/>
      <c r="K185" s="24"/>
      <c r="L185" s="24"/>
      <c r="M185" s="24"/>
      <c r="N185" s="24"/>
      <c r="O185" s="24"/>
      <c r="P185" s="24"/>
    </row>
    <row r="186" spans="1:16" ht="14.4" x14ac:dyDescent="0.3">
      <c r="A186" s="18" t="s">
        <v>34</v>
      </c>
      <c r="B186" s="18"/>
      <c r="C186" s="16" t="s">
        <v>19</v>
      </c>
      <c r="D186" s="20">
        <v>0</v>
      </c>
      <c r="E186" s="20">
        <v>0</v>
      </c>
      <c r="F186" s="20">
        <v>0</v>
      </c>
      <c r="G186" s="20">
        <v>0</v>
      </c>
      <c r="H186" s="20">
        <v>0</v>
      </c>
      <c r="I186" s="20">
        <v>0</v>
      </c>
      <c r="J186" s="20">
        <v>0</v>
      </c>
      <c r="K186" s="20">
        <v>0</v>
      </c>
      <c r="L186" s="20">
        <v>0</v>
      </c>
      <c r="M186" s="20">
        <v>0</v>
      </c>
      <c r="N186" s="20">
        <v>0</v>
      </c>
      <c r="O186" s="20">
        <v>0</v>
      </c>
      <c r="P186" s="20">
        <v>0</v>
      </c>
    </row>
    <row r="187" spans="1:16" ht="14.4" x14ac:dyDescent="0.3">
      <c r="A187" s="18" t="s">
        <v>35</v>
      </c>
      <c r="B187" s="18"/>
      <c r="C187" s="16" t="s">
        <v>36</v>
      </c>
      <c r="D187" s="52" t="s">
        <v>63</v>
      </c>
      <c r="E187" s="52" t="s">
        <v>63</v>
      </c>
      <c r="F187" s="52" t="s">
        <v>63</v>
      </c>
      <c r="G187" s="52" t="s">
        <v>63</v>
      </c>
      <c r="H187" s="52" t="s">
        <v>63</v>
      </c>
      <c r="I187" s="52" t="s">
        <v>63</v>
      </c>
      <c r="J187" s="52" t="s">
        <v>63</v>
      </c>
      <c r="K187" s="52" t="s">
        <v>63</v>
      </c>
      <c r="L187" s="52" t="s">
        <v>63</v>
      </c>
      <c r="M187" s="52" t="s">
        <v>63</v>
      </c>
      <c r="N187" s="52" t="s">
        <v>63</v>
      </c>
      <c r="O187" s="52" t="s">
        <v>63</v>
      </c>
      <c r="P187" s="52" t="s">
        <v>63</v>
      </c>
    </row>
    <row r="188" spans="1:16" ht="14.4" x14ac:dyDescent="0.3">
      <c r="A188" s="14" t="s">
        <v>37</v>
      </c>
      <c r="B188" s="14"/>
      <c r="C188" s="16"/>
      <c r="D188" s="24"/>
      <c r="E188" s="24"/>
      <c r="F188" s="24"/>
      <c r="G188" s="24"/>
      <c r="H188" s="24"/>
      <c r="I188" s="24"/>
      <c r="J188" s="24"/>
      <c r="K188" s="24"/>
      <c r="L188" s="24"/>
      <c r="M188" s="24"/>
      <c r="N188" s="24"/>
      <c r="O188" s="24"/>
      <c r="P188" s="24"/>
    </row>
    <row r="189" spans="1:16" ht="14.4" x14ac:dyDescent="0.3">
      <c r="A189" s="25" t="s">
        <v>38</v>
      </c>
      <c r="B189" s="18"/>
      <c r="C189" s="16" t="s">
        <v>19</v>
      </c>
      <c r="D189" s="20">
        <f>[44]LD!E30</f>
        <v>9.4799999999999995E-2</v>
      </c>
      <c r="E189" s="20">
        <f>[44]LD!F30</f>
        <v>9.9000000000000005E-2</v>
      </c>
      <c r="F189" s="20">
        <f>[44]LD!G30</f>
        <v>9.8100000000000007E-2</v>
      </c>
      <c r="G189" s="20">
        <f>[44]LD!H30</f>
        <v>0.10100000000000001</v>
      </c>
      <c r="H189" s="20">
        <f>[44]LD!I30</f>
        <v>7.46E-2</v>
      </c>
      <c r="I189" s="20">
        <f>[44]LD!J30</f>
        <v>6.5799999999999997E-2</v>
      </c>
      <c r="J189" s="20">
        <f>[44]LD!K30</f>
        <v>6.2E-2</v>
      </c>
      <c r="K189" s="20">
        <f>[44]LD!L30</f>
        <v>7.5999999999999998E-2</v>
      </c>
      <c r="L189" s="20">
        <f>[44]LD!M30</f>
        <v>7.1499999999999994E-2</v>
      </c>
      <c r="M189" s="20">
        <f>[44]LD!N30</f>
        <v>7.2599999999999998E-2</v>
      </c>
      <c r="N189" s="20">
        <f>[44]LD!O30</f>
        <v>7.9799999999999996E-2</v>
      </c>
      <c r="O189" s="20">
        <f>[44]LD!P30</f>
        <v>7.6999999999999999E-2</v>
      </c>
      <c r="P189" s="20">
        <f>[44]LD!Q30</f>
        <v>0</v>
      </c>
    </row>
    <row r="190" spans="1:16" ht="14.4" x14ac:dyDescent="0.3">
      <c r="A190" s="25" t="s">
        <v>39</v>
      </c>
      <c r="B190" s="18"/>
      <c r="C190" s="16" t="s">
        <v>19</v>
      </c>
      <c r="D190" s="20">
        <v>0</v>
      </c>
      <c r="E190" s="20">
        <v>0</v>
      </c>
      <c r="F190" s="20">
        <v>0</v>
      </c>
      <c r="G190" s="20">
        <v>0</v>
      </c>
      <c r="H190" s="20">
        <v>0</v>
      </c>
      <c r="I190" s="20">
        <v>0</v>
      </c>
      <c r="J190" s="20">
        <v>0</v>
      </c>
      <c r="K190" s="20">
        <v>0</v>
      </c>
      <c r="L190" s="20">
        <v>0</v>
      </c>
      <c r="M190" s="20">
        <v>0</v>
      </c>
      <c r="N190" s="20">
        <v>0</v>
      </c>
      <c r="O190" s="20">
        <v>0</v>
      </c>
      <c r="P190" s="20">
        <v>0</v>
      </c>
    </row>
    <row r="191" spans="1:16" ht="14.4" x14ac:dyDescent="0.3">
      <c r="A191" s="26" t="s">
        <v>40</v>
      </c>
      <c r="B191" s="18"/>
      <c r="C191" s="16" t="s">
        <v>19</v>
      </c>
      <c r="D191" s="20">
        <f>'[44]SR CIT. SUBSIDY'!E95</f>
        <v>1E-4</v>
      </c>
      <c r="E191" s="20">
        <f>'[44]SR CIT. SUBSIDY'!F95</f>
        <v>1E-4</v>
      </c>
      <c r="F191" s="20">
        <f>'[44]SR CIT. SUBSIDY'!G95</f>
        <v>1E-4</v>
      </c>
      <c r="G191" s="20">
        <f>'[44]SR CIT. SUBSIDY'!H95</f>
        <v>1E-4</v>
      </c>
      <c r="H191" s="20">
        <f>'[44]SR CIT. SUBSIDY'!I95</f>
        <v>1E-4</v>
      </c>
      <c r="I191" s="20">
        <f>'[44]SR CIT. SUBSIDY'!J95</f>
        <v>1E-4</v>
      </c>
      <c r="J191" s="20">
        <f>'[44]SR CIT. SUBSIDY'!K95</f>
        <v>1E-4</v>
      </c>
      <c r="K191" s="20">
        <f>'[44]SR CIT. SUBSIDY'!L95</f>
        <v>1E-4</v>
      </c>
      <c r="L191" s="20">
        <f>'[44]SR CIT. SUBSIDY'!M95</f>
        <v>1E-4</v>
      </c>
      <c r="M191" s="20">
        <f>'[44]SR CIT. SUBSIDY'!N95</f>
        <v>1E-4</v>
      </c>
      <c r="N191" s="20">
        <f>'[44]SR CIT. SUBSIDY'!O95</f>
        <v>1E-4</v>
      </c>
      <c r="O191" s="20">
        <f>'[44]SR CIT. SUBSIDY'!P95</f>
        <v>1E-4</v>
      </c>
      <c r="P191" s="20">
        <f>'[44]SR CIT. SUBSIDY'!Q95</f>
        <v>0</v>
      </c>
    </row>
    <row r="192" spans="1:16" ht="14.4" x14ac:dyDescent="0.3">
      <c r="A192" s="26" t="s">
        <v>41</v>
      </c>
      <c r="B192" s="18"/>
      <c r="C192" s="16" t="s">
        <v>19</v>
      </c>
      <c r="D192" s="20">
        <v>0</v>
      </c>
      <c r="E192" s="20">
        <v>0</v>
      </c>
      <c r="F192" s="20">
        <v>0</v>
      </c>
      <c r="G192" s="20">
        <v>0</v>
      </c>
      <c r="H192" s="20">
        <v>0</v>
      </c>
      <c r="I192" s="20">
        <v>0</v>
      </c>
      <c r="J192" s="20">
        <v>0</v>
      </c>
      <c r="K192" s="20">
        <v>0</v>
      </c>
      <c r="L192" s="20">
        <v>0</v>
      </c>
      <c r="M192" s="20">
        <v>0</v>
      </c>
      <c r="N192" s="20">
        <v>0</v>
      </c>
      <c r="O192" s="20">
        <v>0</v>
      </c>
      <c r="P192" s="20">
        <v>0</v>
      </c>
    </row>
    <row r="193" spans="1:16" ht="14.4" x14ac:dyDescent="0.3">
      <c r="A193" s="14" t="s">
        <v>42</v>
      </c>
      <c r="B193" s="14"/>
      <c r="C193" s="16"/>
      <c r="D193" s="24"/>
      <c r="E193" s="24"/>
      <c r="F193" s="24"/>
      <c r="G193" s="24"/>
      <c r="H193" s="24"/>
      <c r="I193" s="24"/>
      <c r="J193" s="24"/>
      <c r="K193" s="24"/>
      <c r="L193" s="24"/>
      <c r="M193" s="24"/>
      <c r="N193" s="24"/>
      <c r="O193" s="24"/>
      <c r="P193" s="24"/>
    </row>
    <row r="194" spans="1:16" ht="14.4" x14ac:dyDescent="0.3">
      <c r="A194" s="14" t="s">
        <v>43</v>
      </c>
      <c r="B194" s="14"/>
      <c r="C194" s="16" t="s">
        <v>44</v>
      </c>
      <c r="D194" s="27"/>
      <c r="E194" s="27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</row>
    <row r="195" spans="1:16" ht="14.4" x14ac:dyDescent="0.3">
      <c r="A195" s="14" t="s">
        <v>45</v>
      </c>
      <c r="B195" s="14"/>
      <c r="C195" s="16"/>
      <c r="D195" s="28"/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8"/>
    </row>
    <row r="196" spans="1:16" ht="14.4" x14ac:dyDescent="0.3">
      <c r="A196" s="14" t="s">
        <v>46</v>
      </c>
      <c r="B196" s="14"/>
      <c r="C196" s="16" t="s">
        <v>19</v>
      </c>
      <c r="D196" s="20">
        <v>0</v>
      </c>
      <c r="E196" s="20">
        <v>0</v>
      </c>
      <c r="F196" s="20">
        <v>0</v>
      </c>
      <c r="G196" s="20">
        <v>0</v>
      </c>
      <c r="H196" s="20">
        <v>0</v>
      </c>
      <c r="I196" s="20">
        <v>0</v>
      </c>
      <c r="J196" s="20">
        <v>0</v>
      </c>
      <c r="K196" s="20">
        <v>0</v>
      </c>
      <c r="L196" s="20">
        <v>0</v>
      </c>
      <c r="M196" s="20">
        <v>0</v>
      </c>
      <c r="N196" s="20">
        <v>0</v>
      </c>
      <c r="O196" s="20">
        <v>0</v>
      </c>
      <c r="P196" s="20">
        <v>0</v>
      </c>
    </row>
    <row r="197" spans="1:16" ht="14.4" x14ac:dyDescent="0.3">
      <c r="A197" s="14" t="s">
        <v>47</v>
      </c>
      <c r="B197" s="14"/>
      <c r="C197" s="16"/>
      <c r="D197" s="24"/>
      <c r="E197" s="24"/>
      <c r="F197" s="24"/>
      <c r="G197" s="24"/>
      <c r="H197" s="24"/>
      <c r="I197" s="24"/>
      <c r="J197" s="24"/>
      <c r="K197" s="24"/>
      <c r="L197" s="24"/>
      <c r="M197" s="24"/>
      <c r="N197" s="24"/>
      <c r="O197" s="24"/>
      <c r="P197" s="24"/>
    </row>
    <row r="198" spans="1:16" ht="14.4" x14ac:dyDescent="0.3">
      <c r="A198" s="18" t="s">
        <v>48</v>
      </c>
      <c r="B198" s="18"/>
      <c r="C198" s="16" t="s">
        <v>19</v>
      </c>
      <c r="D198" s="20">
        <f t="shared" ref="D198:P201" si="14">D157</f>
        <v>0.15609999999999999</v>
      </c>
      <c r="E198" s="20">
        <f t="shared" si="14"/>
        <v>0.15609999999999999</v>
      </c>
      <c r="F198" s="20">
        <f t="shared" si="14"/>
        <v>0.15609999999999999</v>
      </c>
      <c r="G198" s="20">
        <f t="shared" si="14"/>
        <v>0.15609999999999999</v>
      </c>
      <c r="H198" s="20">
        <f t="shared" si="14"/>
        <v>0.15609999999999999</v>
      </c>
      <c r="I198" s="20">
        <f t="shared" si="14"/>
        <v>0.15609999999999999</v>
      </c>
      <c r="J198" s="20">
        <f t="shared" si="14"/>
        <v>0.15609999999999999</v>
      </c>
      <c r="K198" s="20">
        <f t="shared" si="14"/>
        <v>0.15609999999999999</v>
      </c>
      <c r="L198" s="20">
        <f t="shared" si="14"/>
        <v>0.15609999999999999</v>
      </c>
      <c r="M198" s="20">
        <f t="shared" si="14"/>
        <v>0.15609999999999999</v>
      </c>
      <c r="N198" s="20">
        <f t="shared" si="14"/>
        <v>0.15609999999999999</v>
      </c>
      <c r="O198" s="20">
        <f t="shared" si="14"/>
        <v>0.15609999999999999</v>
      </c>
      <c r="P198" s="20">
        <f t="shared" si="14"/>
        <v>0.15609999999999999</v>
      </c>
    </row>
    <row r="199" spans="1:16" ht="14.4" x14ac:dyDescent="0.3">
      <c r="A199" s="18" t="s">
        <v>49</v>
      </c>
      <c r="B199" s="18"/>
      <c r="C199" s="16" t="s">
        <v>19</v>
      </c>
      <c r="D199" s="20">
        <f t="shared" si="14"/>
        <v>2.5000000000000001E-3</v>
      </c>
      <c r="E199" s="20">
        <f t="shared" si="14"/>
        <v>2.5000000000000001E-3</v>
      </c>
      <c r="F199" s="20">
        <f t="shared" si="14"/>
        <v>2.5000000000000001E-3</v>
      </c>
      <c r="G199" s="20">
        <f t="shared" si="14"/>
        <v>2.5000000000000001E-3</v>
      </c>
      <c r="H199" s="20">
        <f t="shared" si="14"/>
        <v>2.5000000000000001E-3</v>
      </c>
      <c r="I199" s="20">
        <f t="shared" si="14"/>
        <v>2.5000000000000001E-3</v>
      </c>
      <c r="J199" s="20">
        <f t="shared" si="14"/>
        <v>2.5000000000000001E-3</v>
      </c>
      <c r="K199" s="20">
        <f t="shared" si="14"/>
        <v>2.5000000000000001E-3</v>
      </c>
      <c r="L199" s="20">
        <f t="shared" si="14"/>
        <v>2.5000000000000001E-3</v>
      </c>
      <c r="M199" s="20">
        <f t="shared" si="14"/>
        <v>2.5000000000000001E-3</v>
      </c>
      <c r="N199" s="20">
        <f t="shared" si="14"/>
        <v>2.5000000000000001E-3</v>
      </c>
      <c r="O199" s="20">
        <f t="shared" si="14"/>
        <v>2.5000000000000001E-3</v>
      </c>
      <c r="P199" s="20">
        <f t="shared" si="14"/>
        <v>2.5000000000000001E-3</v>
      </c>
    </row>
    <row r="200" spans="1:16" ht="14.4" x14ac:dyDescent="0.3">
      <c r="A200" s="18" t="s">
        <v>50</v>
      </c>
      <c r="B200" s="18"/>
      <c r="C200" s="16" t="s">
        <v>19</v>
      </c>
      <c r="D200" s="20">
        <f t="shared" si="14"/>
        <v>0.1938</v>
      </c>
      <c r="E200" s="20">
        <f t="shared" si="14"/>
        <v>0.1938</v>
      </c>
      <c r="F200" s="20">
        <f t="shared" si="14"/>
        <v>0.1938</v>
      </c>
      <c r="G200" s="20">
        <f t="shared" si="14"/>
        <v>0.1938</v>
      </c>
      <c r="H200" s="20">
        <f t="shared" si="14"/>
        <v>0.1938</v>
      </c>
      <c r="I200" s="20">
        <f t="shared" si="14"/>
        <v>0.1938</v>
      </c>
      <c r="J200" s="20">
        <f t="shared" si="14"/>
        <v>0.1938</v>
      </c>
      <c r="K200" s="20">
        <f t="shared" si="14"/>
        <v>0.1938</v>
      </c>
      <c r="L200" s="20">
        <f t="shared" si="14"/>
        <v>0.1938</v>
      </c>
      <c r="M200" s="20">
        <f t="shared" si="14"/>
        <v>0.1938</v>
      </c>
      <c r="N200" s="20">
        <f t="shared" si="14"/>
        <v>0.1938</v>
      </c>
      <c r="O200" s="20">
        <f t="shared" si="14"/>
        <v>0.1938</v>
      </c>
      <c r="P200" s="20">
        <f t="shared" si="14"/>
        <v>0.1938</v>
      </c>
    </row>
    <row r="201" spans="1:16" ht="14.4" x14ac:dyDescent="0.3">
      <c r="A201" s="14" t="s">
        <v>51</v>
      </c>
      <c r="B201" s="14"/>
      <c r="C201" s="16" t="s">
        <v>19</v>
      </c>
      <c r="D201" s="20">
        <f>D160</f>
        <v>4.0599999999999997E-2</v>
      </c>
      <c r="E201" s="20">
        <f t="shared" si="14"/>
        <v>4.0599999999999997E-2</v>
      </c>
      <c r="F201" s="20">
        <f t="shared" si="14"/>
        <v>4.0599999999999997E-2</v>
      </c>
      <c r="G201" s="20">
        <f t="shared" si="14"/>
        <v>0.124</v>
      </c>
      <c r="H201" s="20">
        <f t="shared" si="14"/>
        <v>0.124</v>
      </c>
      <c r="I201" s="20">
        <f t="shared" si="14"/>
        <v>0.124</v>
      </c>
      <c r="J201" s="20">
        <f t="shared" si="14"/>
        <v>0.124</v>
      </c>
      <c r="K201" s="20">
        <f t="shared" si="14"/>
        <v>0.124</v>
      </c>
      <c r="L201" s="20">
        <f t="shared" si="14"/>
        <v>0.124</v>
      </c>
      <c r="M201" s="20">
        <f t="shared" si="14"/>
        <v>0.124</v>
      </c>
      <c r="N201" s="20">
        <f t="shared" si="14"/>
        <v>0.124</v>
      </c>
      <c r="O201" s="20">
        <f t="shared" si="14"/>
        <v>0.124</v>
      </c>
      <c r="P201" s="20">
        <f t="shared" si="14"/>
        <v>0.124</v>
      </c>
    </row>
    <row r="202" spans="1:16" ht="14.4" x14ac:dyDescent="0.3">
      <c r="A202" s="14" t="s">
        <v>52</v>
      </c>
      <c r="B202" s="14"/>
      <c r="C202" s="29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</row>
    <row r="203" spans="1:16" ht="14.4" x14ac:dyDescent="0.3">
      <c r="A203" s="18" t="s">
        <v>53</v>
      </c>
      <c r="B203" s="18"/>
      <c r="C203" s="16" t="s">
        <v>44</v>
      </c>
      <c r="D203" s="30">
        <f>'[44]DU VAT'!D16</f>
        <v>0.1139</v>
      </c>
      <c r="E203" s="30">
        <f>'[44]DU VAT'!E16</f>
        <v>0.115</v>
      </c>
      <c r="F203" s="30">
        <f>'[44]DU VAT'!F16</f>
        <v>0.1143</v>
      </c>
      <c r="G203" s="30">
        <f>'[44]DU VAT'!G16</f>
        <v>0.11310000000000001</v>
      </c>
      <c r="H203" s="30">
        <f>'[44]DU VAT'!H16</f>
        <v>0.11020000000000001</v>
      </c>
      <c r="I203" s="30">
        <f>'[44]DU VAT'!I16</f>
        <v>0.1116</v>
      </c>
      <c r="J203" s="30">
        <f>'[44]DU VAT'!J16</f>
        <v>0.10920000000000001</v>
      </c>
      <c r="K203" s="30">
        <f>'[44]DU VAT'!K16</f>
        <v>0.1138</v>
      </c>
      <c r="L203" s="30">
        <f>'[44]DU VAT'!L16</f>
        <v>0.1072</v>
      </c>
      <c r="M203" s="30">
        <f>'[44]DU VAT'!M16</f>
        <v>0.11219999999999999</v>
      </c>
      <c r="N203" s="30">
        <f>'[44]DU VAT'!N16</f>
        <v>0.1101</v>
      </c>
      <c r="O203" s="30">
        <f>'[44]DU VAT'!O16</f>
        <v>0.11020000000000001</v>
      </c>
      <c r="P203" s="30" t="e">
        <f>'[44]DU VAT'!P16</f>
        <v>#DIV/0!</v>
      </c>
    </row>
    <row r="204" spans="1:16" ht="14.4" x14ac:dyDescent="0.3">
      <c r="A204" s="18" t="s">
        <v>54</v>
      </c>
      <c r="B204" s="18"/>
      <c r="C204" s="16" t="s">
        <v>44</v>
      </c>
      <c r="D204" s="30">
        <f>'[44]DU VAT'!D23</f>
        <v>5.5999999999999999E-3</v>
      </c>
      <c r="E204" s="30">
        <f>'[44]DU VAT'!E23</f>
        <v>1.52E-2</v>
      </c>
      <c r="F204" s="30">
        <f>'[44]DU VAT'!F23</f>
        <v>2.0400000000000001E-2</v>
      </c>
      <c r="G204" s="30">
        <f>'[44]DU VAT'!G23</f>
        <v>2.7199999999999998E-2</v>
      </c>
      <c r="H204" s="30">
        <f>'[44]DU VAT'!H23</f>
        <v>3.44E-2</v>
      </c>
      <c r="I204" s="30">
        <f>'[44]DU VAT'!I23</f>
        <v>3.9199999999999999E-2</v>
      </c>
      <c r="J204" s="30">
        <f>'[44]DU VAT'!J23</f>
        <v>2.3900000000000001E-2</v>
      </c>
      <c r="K204" s="30">
        <f>'[44]DU VAT'!K23</f>
        <v>3.39E-2</v>
      </c>
      <c r="L204" s="30">
        <f>'[44]DU VAT'!L23</f>
        <v>2.81E-2</v>
      </c>
      <c r="M204" s="30">
        <f>'[44]DU VAT'!M23</f>
        <v>1.1599999999999999E-2</v>
      </c>
      <c r="N204" s="30">
        <f>'[44]DU VAT'!N23</f>
        <v>1.17E-2</v>
      </c>
      <c r="O204" s="30">
        <f>'[44]DU VAT'!O23</f>
        <v>6.3E-3</v>
      </c>
      <c r="P204" s="30" t="e">
        <f>'[44]DU VAT'!P23</f>
        <v>#DIV/0!</v>
      </c>
    </row>
    <row r="205" spans="1:16" ht="14.4" x14ac:dyDescent="0.3">
      <c r="A205" s="18" t="s">
        <v>55</v>
      </c>
      <c r="B205" s="18"/>
      <c r="C205" s="16" t="s">
        <v>44</v>
      </c>
      <c r="D205" s="30">
        <f>'[44]DU VAT'!D30</f>
        <v>9.5000000000000001E-2</v>
      </c>
      <c r="E205" s="30">
        <f>'[44]DU VAT'!E30</f>
        <v>9.7000000000000003E-2</v>
      </c>
      <c r="F205" s="30">
        <f>'[44]DU VAT'!F30</f>
        <v>9.7100000000000006E-2</v>
      </c>
      <c r="G205" s="30">
        <f>'[44]DU VAT'!G30</f>
        <v>9.7000000000000003E-2</v>
      </c>
      <c r="H205" s="30">
        <f>'[44]DU VAT'!H30</f>
        <v>9.7100000000000006E-2</v>
      </c>
      <c r="I205" s="30">
        <f>'[44]DU VAT'!I30</f>
        <v>9.7699999999999995E-2</v>
      </c>
      <c r="J205" s="30">
        <f>'[44]DU VAT'!J30</f>
        <v>9.5200000000000007E-2</v>
      </c>
      <c r="K205" s="30">
        <f>'[44]DU VAT'!K30</f>
        <v>9.8100000000000007E-2</v>
      </c>
      <c r="L205" s="30">
        <f>'[44]DU VAT'!L30</f>
        <v>9.3600000000000003E-2</v>
      </c>
      <c r="M205" s="30">
        <f>'[44]DU VAT'!M30</f>
        <v>9.5799999999999996E-2</v>
      </c>
      <c r="N205" s="30">
        <f>'[44]DU VAT'!N30</f>
        <v>9.4E-2</v>
      </c>
      <c r="O205" s="30">
        <f>'[44]DU VAT'!O30</f>
        <v>9.3600000000000003E-2</v>
      </c>
      <c r="P205" s="30" t="e">
        <f>'[44]DU VAT'!P30</f>
        <v>#DIV/0!</v>
      </c>
    </row>
    <row r="206" spans="1:16" ht="14.4" x14ac:dyDescent="0.3">
      <c r="A206" s="18" t="s">
        <v>56</v>
      </c>
      <c r="B206" s="18"/>
      <c r="C206" s="16" t="s">
        <v>44</v>
      </c>
      <c r="D206" s="30">
        <f t="shared" ref="D206:P207" si="15">D165</f>
        <v>0.12</v>
      </c>
      <c r="E206" s="30">
        <f t="shared" si="15"/>
        <v>0.12</v>
      </c>
      <c r="F206" s="30">
        <f t="shared" si="15"/>
        <v>0.12</v>
      </c>
      <c r="G206" s="30">
        <f t="shared" si="15"/>
        <v>0.12</v>
      </c>
      <c r="H206" s="30">
        <f t="shared" si="15"/>
        <v>0.12</v>
      </c>
      <c r="I206" s="30">
        <f t="shared" si="15"/>
        <v>0.12</v>
      </c>
      <c r="J206" s="30">
        <f t="shared" si="15"/>
        <v>0.12</v>
      </c>
      <c r="K206" s="30">
        <f t="shared" si="15"/>
        <v>0.12</v>
      </c>
      <c r="L206" s="30">
        <f t="shared" si="15"/>
        <v>0.12</v>
      </c>
      <c r="M206" s="30">
        <f t="shared" si="15"/>
        <v>0.12</v>
      </c>
      <c r="N206" s="30">
        <f t="shared" si="15"/>
        <v>0.12</v>
      </c>
      <c r="O206" s="30">
        <f t="shared" si="15"/>
        <v>0.12</v>
      </c>
      <c r="P206" s="30">
        <f t="shared" si="15"/>
        <v>0.12</v>
      </c>
    </row>
    <row r="207" spans="1:16" ht="14.4" x14ac:dyDescent="0.3">
      <c r="A207" s="18" t="s">
        <v>57</v>
      </c>
      <c r="B207" s="18"/>
      <c r="C207" s="16" t="s">
        <v>44</v>
      </c>
      <c r="D207" s="30">
        <f t="shared" si="15"/>
        <v>0.12</v>
      </c>
      <c r="E207" s="30">
        <f t="shared" si="15"/>
        <v>0.12</v>
      </c>
      <c r="F207" s="30">
        <f t="shared" si="15"/>
        <v>0.12</v>
      </c>
      <c r="G207" s="30">
        <f t="shared" si="15"/>
        <v>0.12</v>
      </c>
      <c r="H207" s="30">
        <f t="shared" si="15"/>
        <v>0.12</v>
      </c>
      <c r="I207" s="30">
        <f t="shared" si="15"/>
        <v>0.12</v>
      </c>
      <c r="J207" s="30">
        <f t="shared" si="15"/>
        <v>0.12</v>
      </c>
      <c r="K207" s="30">
        <f t="shared" si="15"/>
        <v>0.12</v>
      </c>
      <c r="L207" s="30">
        <f t="shared" si="15"/>
        <v>0.12</v>
      </c>
      <c r="M207" s="30">
        <f t="shared" si="15"/>
        <v>0.12</v>
      </c>
      <c r="N207" s="30">
        <f t="shared" si="15"/>
        <v>0.12</v>
      </c>
      <c r="O207" s="30">
        <f t="shared" si="15"/>
        <v>0.12</v>
      </c>
      <c r="P207" s="30">
        <f t="shared" si="15"/>
        <v>0.12</v>
      </c>
    </row>
    <row r="208" spans="1:16" s="5" customFormat="1" ht="14.4" x14ac:dyDescent="0.3">
      <c r="A208" s="55"/>
      <c r="B208" s="55"/>
      <c r="C208" s="56"/>
      <c r="D208" s="57"/>
      <c r="E208" s="57"/>
      <c r="F208" s="57"/>
      <c r="G208" s="57"/>
      <c r="H208" s="57"/>
      <c r="I208" s="57"/>
      <c r="J208" s="57"/>
      <c r="K208" s="57"/>
      <c r="L208" s="57"/>
      <c r="M208" s="57"/>
      <c r="N208" s="57"/>
      <c r="O208" s="57"/>
      <c r="P208" s="57"/>
    </row>
    <row r="209" spans="1:16" x14ac:dyDescent="0.3">
      <c r="A209" s="3" t="s">
        <v>58</v>
      </c>
    </row>
    <row r="211" spans="1:16" ht="18" x14ac:dyDescent="0.35">
      <c r="A211" s="59" t="str">
        <f>'[44]Statistical data'!A146</f>
        <v>General Power- Secondary</v>
      </c>
      <c r="B211" s="59"/>
      <c r="C211" s="5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</row>
    <row r="212" spans="1:16" s="13" customFormat="1" ht="14.4" x14ac:dyDescent="0.3">
      <c r="A212" s="11" t="s">
        <v>3</v>
      </c>
      <c r="B212" s="11"/>
      <c r="C212" s="11" t="s">
        <v>4</v>
      </c>
      <c r="D212" s="12" t="str">
        <f t="shared" ref="D212:P212" si="16">D171</f>
        <v>JAN</v>
      </c>
      <c r="E212" s="12" t="str">
        <f t="shared" si="16"/>
        <v>FEB</v>
      </c>
      <c r="F212" s="12" t="str">
        <f t="shared" si="16"/>
        <v>MAR</v>
      </c>
      <c r="G212" s="12" t="str">
        <f t="shared" si="16"/>
        <v>APR</v>
      </c>
      <c r="H212" s="12" t="str">
        <f t="shared" si="16"/>
        <v>MAY</v>
      </c>
      <c r="I212" s="12" t="str">
        <f t="shared" si="16"/>
        <v>JUN</v>
      </c>
      <c r="J212" s="12" t="str">
        <f t="shared" si="16"/>
        <v>JUL</v>
      </c>
      <c r="K212" s="12" t="str">
        <f t="shared" si="16"/>
        <v>AUG</v>
      </c>
      <c r="L212" s="12" t="str">
        <f t="shared" si="16"/>
        <v>SEP</v>
      </c>
      <c r="M212" s="12" t="str">
        <f t="shared" si="16"/>
        <v>OCT</v>
      </c>
      <c r="N212" s="12" t="str">
        <f t="shared" si="16"/>
        <v>NOV</v>
      </c>
      <c r="O212" s="12" t="str">
        <f t="shared" si="16"/>
        <v>DEC</v>
      </c>
      <c r="P212" s="12" t="str">
        <f t="shared" si="16"/>
        <v>JAN</v>
      </c>
    </row>
    <row r="213" spans="1:16" ht="14.4" x14ac:dyDescent="0.3">
      <c r="A213" s="14" t="s">
        <v>17</v>
      </c>
      <c r="B213" s="15"/>
      <c r="C213" s="16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</row>
    <row r="214" spans="1:16" ht="14.4" x14ac:dyDescent="0.3">
      <c r="A214" s="18" t="s">
        <v>18</v>
      </c>
      <c r="B214" s="19"/>
      <c r="C214" s="16" t="s">
        <v>19</v>
      </c>
      <c r="D214" s="52" t="s">
        <v>59</v>
      </c>
      <c r="E214" s="52" t="s">
        <v>59</v>
      </c>
      <c r="F214" s="52" t="s">
        <v>59</v>
      </c>
      <c r="G214" s="52" t="s">
        <v>59</v>
      </c>
      <c r="H214" s="52" t="s">
        <v>59</v>
      </c>
      <c r="I214" s="52" t="s">
        <v>59</v>
      </c>
      <c r="J214" s="52" t="s">
        <v>59</v>
      </c>
      <c r="K214" s="52" t="s">
        <v>59</v>
      </c>
      <c r="L214" s="52" t="s">
        <v>59</v>
      </c>
      <c r="M214" s="52" t="s">
        <v>59</v>
      </c>
      <c r="N214" s="52" t="s">
        <v>59</v>
      </c>
      <c r="O214" s="52" t="s">
        <v>59</v>
      </c>
      <c r="P214" s="52" t="s">
        <v>59</v>
      </c>
    </row>
    <row r="215" spans="1:16" ht="14.4" x14ac:dyDescent="0.3">
      <c r="A215" s="14" t="s">
        <v>20</v>
      </c>
      <c r="B215" s="15"/>
      <c r="C215" s="16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</row>
    <row r="216" spans="1:16" ht="14.4" x14ac:dyDescent="0.3">
      <c r="A216" s="18" t="s">
        <v>21</v>
      </c>
      <c r="B216" s="19"/>
      <c r="C216" s="16" t="s">
        <v>19</v>
      </c>
      <c r="D216" s="20">
        <v>0</v>
      </c>
      <c r="E216" s="20">
        <v>0</v>
      </c>
      <c r="F216" s="20">
        <v>0</v>
      </c>
      <c r="G216" s="20">
        <v>0</v>
      </c>
      <c r="H216" s="20">
        <v>0</v>
      </c>
      <c r="I216" s="20">
        <v>0</v>
      </c>
      <c r="J216" s="20">
        <v>0</v>
      </c>
      <c r="K216" s="20">
        <v>0</v>
      </c>
      <c r="L216" s="20">
        <v>0</v>
      </c>
      <c r="M216" s="20">
        <v>0</v>
      </c>
      <c r="N216" s="20">
        <v>0</v>
      </c>
      <c r="O216" s="20">
        <v>0</v>
      </c>
      <c r="P216" s="20">
        <v>0</v>
      </c>
    </row>
    <row r="217" spans="1:16" ht="14.4" x14ac:dyDescent="0.3">
      <c r="A217" s="18" t="s">
        <v>22</v>
      </c>
      <c r="B217" s="19"/>
      <c r="C217" s="16" t="s">
        <v>23</v>
      </c>
      <c r="D217" s="20">
        <f>[44]TR!D56</f>
        <v>287.28199999999998</v>
      </c>
      <c r="E217" s="20">
        <f>[44]TR!E56</f>
        <v>299.262</v>
      </c>
      <c r="F217" s="20">
        <f>[44]TR!F56</f>
        <v>315.49200000000002</v>
      </c>
      <c r="G217" s="20">
        <f>[44]TR!G56</f>
        <v>325.74200000000002</v>
      </c>
      <c r="H217" s="20">
        <f>[44]TR!H56</f>
        <v>288.80200000000002</v>
      </c>
      <c r="I217" s="20">
        <f>[44]TR!I56</f>
        <v>323.50200000000001</v>
      </c>
      <c r="J217" s="20">
        <f>[44]TR!J56</f>
        <v>289.262</v>
      </c>
      <c r="K217" s="20">
        <f>[44]TR!K56</f>
        <v>319.67200000000003</v>
      </c>
      <c r="L217" s="20">
        <f>[44]TR!L56</f>
        <v>288.37200000000001</v>
      </c>
      <c r="M217" s="20">
        <f>[44]TR!M56</f>
        <v>260.36200000000002</v>
      </c>
      <c r="N217" s="20">
        <f>[44]TR!N56</f>
        <v>259.11200000000002</v>
      </c>
      <c r="O217" s="20">
        <f>[44]TR!O56</f>
        <v>252.452</v>
      </c>
      <c r="P217" s="20">
        <f>[44]TR!P56</f>
        <v>0</v>
      </c>
    </row>
    <row r="218" spans="1:16" ht="14.4" x14ac:dyDescent="0.3">
      <c r="A218" s="14" t="s">
        <v>24</v>
      </c>
      <c r="B218" s="15"/>
      <c r="C218" s="16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</row>
    <row r="219" spans="1:16" ht="14.4" x14ac:dyDescent="0.3">
      <c r="A219" s="18" t="s">
        <v>25</v>
      </c>
      <c r="B219" s="19"/>
      <c r="C219" s="16" t="s">
        <v>19</v>
      </c>
      <c r="D219" s="20">
        <f>[44]SLR!D70</f>
        <v>0.4173</v>
      </c>
      <c r="E219" s="20">
        <f>[44]SLR!E70</f>
        <v>0.46089999999999998</v>
      </c>
      <c r="F219" s="20">
        <f>[44]SLR!F70</f>
        <v>0.43580000000000002</v>
      </c>
      <c r="G219" s="20">
        <f>[44]SLR!G70</f>
        <v>0.44890000000000002</v>
      </c>
      <c r="H219" s="20">
        <f>[44]SLR!H70</f>
        <v>0.41930000000000001</v>
      </c>
      <c r="I219" s="20">
        <f>[44]SLR!I70</f>
        <v>0.40460000000000002</v>
      </c>
      <c r="J219" s="20">
        <f>[44]SLR!J70</f>
        <v>0.42730000000000001</v>
      </c>
      <c r="K219" s="20">
        <f>[44]SLR!K70</f>
        <v>0.4204</v>
      </c>
      <c r="L219" s="20">
        <f>[44]SLR!L70</f>
        <v>0.41880000000000001</v>
      </c>
      <c r="M219" s="20">
        <f>[44]SLR!M70</f>
        <v>0.4032</v>
      </c>
      <c r="N219" s="20">
        <f>[44]SLR!N70</f>
        <v>0.40010000000000001</v>
      </c>
      <c r="O219" s="20">
        <f>[44]SLR!O70</f>
        <v>0.4027</v>
      </c>
      <c r="P219" s="20" t="e">
        <f>[44]SLR!P70</f>
        <v>#DIV/0!</v>
      </c>
    </row>
    <row r="220" spans="1:16" ht="14.4" x14ac:dyDescent="0.3">
      <c r="A220" s="14" t="s">
        <v>26</v>
      </c>
      <c r="B220" s="14"/>
      <c r="C220" s="16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</row>
    <row r="221" spans="1:16" ht="14.4" x14ac:dyDescent="0.3">
      <c r="A221" s="18" t="s">
        <v>27</v>
      </c>
      <c r="B221" s="18"/>
      <c r="C221" s="16" t="s">
        <v>19</v>
      </c>
      <c r="D221" s="20">
        <v>0.1368</v>
      </c>
      <c r="E221" s="20">
        <v>0.1368</v>
      </c>
      <c r="F221" s="20">
        <v>0.1368</v>
      </c>
      <c r="G221" s="20">
        <v>0.1368</v>
      </c>
      <c r="H221" s="20">
        <v>0.1368</v>
      </c>
      <c r="I221" s="20">
        <v>0.1368</v>
      </c>
      <c r="J221" s="20">
        <v>0.1368</v>
      </c>
      <c r="K221" s="20">
        <v>0.1368</v>
      </c>
      <c r="L221" s="20">
        <v>0.1368</v>
      </c>
      <c r="M221" s="20">
        <v>0.1368</v>
      </c>
      <c r="N221" s="20">
        <v>0.1368</v>
      </c>
      <c r="O221" s="20">
        <v>0.1368</v>
      </c>
      <c r="P221" s="20">
        <v>0.1368</v>
      </c>
    </row>
    <row r="222" spans="1:16" ht="14.4" x14ac:dyDescent="0.3">
      <c r="A222" s="18" t="s">
        <v>28</v>
      </c>
      <c r="B222" s="18"/>
      <c r="C222" s="16" t="s">
        <v>23</v>
      </c>
      <c r="D222" s="23">
        <v>237.15</v>
      </c>
      <c r="E222" s="23">
        <v>237.15</v>
      </c>
      <c r="F222" s="23">
        <v>237.15</v>
      </c>
      <c r="G222" s="23">
        <v>237.15</v>
      </c>
      <c r="H222" s="23">
        <v>237.15</v>
      </c>
      <c r="I222" s="23">
        <v>237.15</v>
      </c>
      <c r="J222" s="23">
        <v>237.15</v>
      </c>
      <c r="K222" s="23">
        <v>237.15</v>
      </c>
      <c r="L222" s="23">
        <v>237.15</v>
      </c>
      <c r="M222" s="23">
        <v>237.15</v>
      </c>
      <c r="N222" s="23">
        <v>237.15</v>
      </c>
      <c r="O222" s="23">
        <v>237.15</v>
      </c>
      <c r="P222" s="23">
        <v>237.15</v>
      </c>
    </row>
    <row r="223" spans="1:16" ht="14.4" x14ac:dyDescent="0.3">
      <c r="A223" s="14" t="s">
        <v>29</v>
      </c>
      <c r="B223" s="14"/>
      <c r="C223" s="16"/>
      <c r="D223" s="24"/>
      <c r="E223" s="24"/>
      <c r="F223" s="24"/>
      <c r="G223" s="24"/>
      <c r="H223" s="24"/>
      <c r="I223" s="24"/>
      <c r="J223" s="24"/>
      <c r="K223" s="24"/>
      <c r="L223" s="24"/>
      <c r="M223" s="24"/>
      <c r="N223" s="24"/>
      <c r="O223" s="24"/>
      <c r="P223" s="24"/>
    </row>
    <row r="224" spans="1:16" ht="14.4" x14ac:dyDescent="0.3">
      <c r="A224" s="18" t="s">
        <v>30</v>
      </c>
      <c r="B224" s="18"/>
      <c r="C224" s="16" t="s">
        <v>19</v>
      </c>
      <c r="D224" s="52" t="s">
        <v>61</v>
      </c>
      <c r="E224" s="52" t="s">
        <v>61</v>
      </c>
      <c r="F224" s="52" t="s">
        <v>61</v>
      </c>
      <c r="G224" s="52" t="s">
        <v>61</v>
      </c>
      <c r="H224" s="52" t="s">
        <v>61</v>
      </c>
      <c r="I224" s="52" t="s">
        <v>61</v>
      </c>
      <c r="J224" s="52" t="s">
        <v>61</v>
      </c>
      <c r="K224" s="52" t="s">
        <v>61</v>
      </c>
      <c r="L224" s="52" t="s">
        <v>61</v>
      </c>
      <c r="M224" s="52" t="s">
        <v>61</v>
      </c>
      <c r="N224" s="52" t="s">
        <v>61</v>
      </c>
      <c r="O224" s="52" t="s">
        <v>61</v>
      </c>
      <c r="P224" s="52" t="s">
        <v>61</v>
      </c>
    </row>
    <row r="225" spans="1:16" ht="14.4" x14ac:dyDescent="0.3">
      <c r="A225" s="18" t="s">
        <v>31</v>
      </c>
      <c r="B225" s="18"/>
      <c r="C225" s="16" t="s">
        <v>32</v>
      </c>
      <c r="D225" s="52" t="s">
        <v>62</v>
      </c>
      <c r="E225" s="52" t="s">
        <v>62</v>
      </c>
      <c r="F225" s="52" t="s">
        <v>62</v>
      </c>
      <c r="G225" s="52" t="s">
        <v>62</v>
      </c>
      <c r="H225" s="52" t="s">
        <v>62</v>
      </c>
      <c r="I225" s="52" t="s">
        <v>62</v>
      </c>
      <c r="J225" s="52" t="s">
        <v>62</v>
      </c>
      <c r="K225" s="52" t="s">
        <v>62</v>
      </c>
      <c r="L225" s="52" t="s">
        <v>62</v>
      </c>
      <c r="M225" s="52" t="s">
        <v>62</v>
      </c>
      <c r="N225" s="52" t="s">
        <v>62</v>
      </c>
      <c r="O225" s="52" t="s">
        <v>62</v>
      </c>
      <c r="P225" s="52" t="s">
        <v>62</v>
      </c>
    </row>
    <row r="226" spans="1:16" ht="14.4" x14ac:dyDescent="0.3">
      <c r="A226" s="14" t="s">
        <v>33</v>
      </c>
      <c r="B226" s="14"/>
      <c r="C226" s="16"/>
      <c r="D226" s="24"/>
      <c r="E226" s="24"/>
      <c r="F226" s="24"/>
      <c r="G226" s="24"/>
      <c r="H226" s="24"/>
      <c r="I226" s="24"/>
      <c r="J226" s="24"/>
      <c r="K226" s="24"/>
      <c r="L226" s="24"/>
      <c r="M226" s="24"/>
      <c r="N226" s="24"/>
      <c r="O226" s="24"/>
      <c r="P226" s="24"/>
    </row>
    <row r="227" spans="1:16" ht="14.4" x14ac:dyDescent="0.3">
      <c r="A227" s="18" t="s">
        <v>34</v>
      </c>
      <c r="B227" s="18"/>
      <c r="C227" s="16" t="s">
        <v>19</v>
      </c>
      <c r="D227" s="20">
        <v>0</v>
      </c>
      <c r="E227" s="20">
        <v>0</v>
      </c>
      <c r="F227" s="20">
        <v>0</v>
      </c>
      <c r="G227" s="20">
        <v>0</v>
      </c>
      <c r="H227" s="20">
        <v>0</v>
      </c>
      <c r="I227" s="20">
        <v>0</v>
      </c>
      <c r="J227" s="20">
        <v>0</v>
      </c>
      <c r="K227" s="20">
        <v>0</v>
      </c>
      <c r="L227" s="20">
        <v>0</v>
      </c>
      <c r="M227" s="20">
        <v>0</v>
      </c>
      <c r="N227" s="20">
        <v>0</v>
      </c>
      <c r="O227" s="20">
        <v>0</v>
      </c>
      <c r="P227" s="20">
        <v>0</v>
      </c>
    </row>
    <row r="228" spans="1:16" ht="14.4" x14ac:dyDescent="0.3">
      <c r="A228" s="18" t="s">
        <v>35</v>
      </c>
      <c r="B228" s="18"/>
      <c r="C228" s="16" t="s">
        <v>36</v>
      </c>
      <c r="D228" s="52" t="s">
        <v>63</v>
      </c>
      <c r="E228" s="52" t="s">
        <v>63</v>
      </c>
      <c r="F228" s="52" t="s">
        <v>63</v>
      </c>
      <c r="G228" s="52" t="s">
        <v>63</v>
      </c>
      <c r="H228" s="52" t="s">
        <v>63</v>
      </c>
      <c r="I228" s="52" t="s">
        <v>63</v>
      </c>
      <c r="J228" s="52" t="s">
        <v>63</v>
      </c>
      <c r="K228" s="52" t="s">
        <v>63</v>
      </c>
      <c r="L228" s="52" t="s">
        <v>63</v>
      </c>
      <c r="M228" s="52" t="s">
        <v>63</v>
      </c>
      <c r="N228" s="52" t="s">
        <v>63</v>
      </c>
      <c r="O228" s="52" t="s">
        <v>63</v>
      </c>
      <c r="P228" s="52" t="s">
        <v>63</v>
      </c>
    </row>
    <row r="229" spans="1:16" ht="14.4" x14ac:dyDescent="0.3">
      <c r="A229" s="14" t="s">
        <v>37</v>
      </c>
      <c r="B229" s="14"/>
      <c r="C229" s="16"/>
      <c r="D229" s="24"/>
      <c r="E229" s="24"/>
      <c r="F229" s="24"/>
      <c r="G229" s="24"/>
      <c r="H229" s="24"/>
      <c r="I229" s="24"/>
      <c r="J229" s="24"/>
      <c r="K229" s="24"/>
      <c r="L229" s="24"/>
      <c r="M229" s="24"/>
      <c r="N229" s="24"/>
      <c r="O229" s="24"/>
      <c r="P229" s="24"/>
    </row>
    <row r="230" spans="1:16" ht="14.4" x14ac:dyDescent="0.3">
      <c r="A230" s="25" t="s">
        <v>38</v>
      </c>
      <c r="B230" s="18"/>
      <c r="C230" s="16" t="s">
        <v>19</v>
      </c>
      <c r="D230" s="20">
        <f>[44]LD!E30</f>
        <v>9.4799999999999995E-2</v>
      </c>
      <c r="E230" s="20">
        <f>[44]LD!F30</f>
        <v>9.9000000000000005E-2</v>
      </c>
      <c r="F230" s="20">
        <f>[44]LD!G30</f>
        <v>9.8100000000000007E-2</v>
      </c>
      <c r="G230" s="20">
        <f>[44]LD!H30</f>
        <v>0.10100000000000001</v>
      </c>
      <c r="H230" s="20">
        <f>[44]LD!I30</f>
        <v>7.46E-2</v>
      </c>
      <c r="I230" s="20">
        <f>[44]LD!J30</f>
        <v>6.5799999999999997E-2</v>
      </c>
      <c r="J230" s="20">
        <f>[44]LD!K30</f>
        <v>6.2E-2</v>
      </c>
      <c r="K230" s="20">
        <f>[44]LD!L30</f>
        <v>7.5999999999999998E-2</v>
      </c>
      <c r="L230" s="20">
        <f>[44]LD!M30</f>
        <v>7.1499999999999994E-2</v>
      </c>
      <c r="M230" s="20">
        <f>[44]LD!N30</f>
        <v>7.2599999999999998E-2</v>
      </c>
      <c r="N230" s="20">
        <f>[44]LD!O30</f>
        <v>7.9799999999999996E-2</v>
      </c>
      <c r="O230" s="20">
        <f>[44]LD!P30</f>
        <v>7.6999999999999999E-2</v>
      </c>
      <c r="P230" s="20">
        <f>[44]LD!Q30</f>
        <v>0</v>
      </c>
    </row>
    <row r="231" spans="1:16" ht="14.4" x14ac:dyDescent="0.3">
      <c r="A231" s="25" t="s">
        <v>39</v>
      </c>
      <c r="B231" s="18"/>
      <c r="C231" s="16" t="s">
        <v>19</v>
      </c>
      <c r="D231" s="20">
        <v>0</v>
      </c>
      <c r="E231" s="20">
        <v>0</v>
      </c>
      <c r="F231" s="20">
        <v>0</v>
      </c>
      <c r="G231" s="20">
        <v>0</v>
      </c>
      <c r="H231" s="20">
        <v>0</v>
      </c>
      <c r="I231" s="20">
        <v>0</v>
      </c>
      <c r="J231" s="20">
        <v>0</v>
      </c>
      <c r="K231" s="20">
        <v>0</v>
      </c>
      <c r="L231" s="20">
        <v>0</v>
      </c>
      <c r="M231" s="20">
        <v>0</v>
      </c>
      <c r="N231" s="20">
        <v>0</v>
      </c>
      <c r="O231" s="20">
        <v>0</v>
      </c>
      <c r="P231" s="20">
        <v>0</v>
      </c>
    </row>
    <row r="232" spans="1:16" ht="14.4" x14ac:dyDescent="0.3">
      <c r="A232" s="26" t="s">
        <v>40</v>
      </c>
      <c r="B232" s="18"/>
      <c r="C232" s="16" t="s">
        <v>19</v>
      </c>
      <c r="D232" s="20">
        <f>'[44]SR CIT. SUBSIDY'!E95</f>
        <v>1E-4</v>
      </c>
      <c r="E232" s="20">
        <f>'[44]SR CIT. SUBSIDY'!F95</f>
        <v>1E-4</v>
      </c>
      <c r="F232" s="20">
        <f>'[44]SR CIT. SUBSIDY'!G95</f>
        <v>1E-4</v>
      </c>
      <c r="G232" s="20">
        <f>'[44]SR CIT. SUBSIDY'!H95</f>
        <v>1E-4</v>
      </c>
      <c r="H232" s="20">
        <f>'[44]SR CIT. SUBSIDY'!I95</f>
        <v>1E-4</v>
      </c>
      <c r="I232" s="20">
        <f>'[44]SR CIT. SUBSIDY'!J95</f>
        <v>1E-4</v>
      </c>
      <c r="J232" s="20">
        <f>'[44]SR CIT. SUBSIDY'!K95</f>
        <v>1E-4</v>
      </c>
      <c r="K232" s="20">
        <f>'[44]SR CIT. SUBSIDY'!L95</f>
        <v>1E-4</v>
      </c>
      <c r="L232" s="20">
        <f>'[44]SR CIT. SUBSIDY'!M95</f>
        <v>1E-4</v>
      </c>
      <c r="M232" s="20">
        <f>'[44]SR CIT. SUBSIDY'!N95</f>
        <v>1E-4</v>
      </c>
      <c r="N232" s="20">
        <f>'[44]SR CIT. SUBSIDY'!O95</f>
        <v>1E-4</v>
      </c>
      <c r="O232" s="20">
        <f>'[44]SR CIT. SUBSIDY'!P95</f>
        <v>1E-4</v>
      </c>
      <c r="P232" s="20">
        <f>'[44]SR CIT. SUBSIDY'!Q95</f>
        <v>0</v>
      </c>
    </row>
    <row r="233" spans="1:16" ht="14.4" x14ac:dyDescent="0.3">
      <c r="A233" s="26" t="s">
        <v>41</v>
      </c>
      <c r="B233" s="18"/>
      <c r="C233" s="16" t="s">
        <v>19</v>
      </c>
      <c r="D233" s="20">
        <v>0</v>
      </c>
      <c r="E233" s="20">
        <v>0</v>
      </c>
      <c r="F233" s="20">
        <v>0</v>
      </c>
      <c r="G233" s="20">
        <v>0</v>
      </c>
      <c r="H233" s="20">
        <v>0</v>
      </c>
      <c r="I233" s="20">
        <v>0</v>
      </c>
      <c r="J233" s="20">
        <v>0</v>
      </c>
      <c r="K233" s="20">
        <v>0</v>
      </c>
      <c r="L233" s="20">
        <v>0</v>
      </c>
      <c r="M233" s="20">
        <v>0</v>
      </c>
      <c r="N233" s="20">
        <v>0</v>
      </c>
      <c r="O233" s="20">
        <v>0</v>
      </c>
      <c r="P233" s="20">
        <v>0</v>
      </c>
    </row>
    <row r="234" spans="1:16" ht="14.4" x14ac:dyDescent="0.3">
      <c r="A234" s="14" t="s">
        <v>42</v>
      </c>
      <c r="B234" s="14"/>
      <c r="C234" s="16"/>
      <c r="D234" s="24"/>
      <c r="E234" s="24"/>
      <c r="F234" s="24"/>
      <c r="G234" s="24"/>
      <c r="H234" s="24"/>
      <c r="I234" s="24"/>
      <c r="J234" s="24"/>
      <c r="K234" s="24"/>
      <c r="L234" s="24"/>
      <c r="M234" s="24"/>
      <c r="N234" s="24"/>
      <c r="O234" s="24"/>
      <c r="P234" s="24"/>
    </row>
    <row r="235" spans="1:16" ht="14.4" x14ac:dyDescent="0.3">
      <c r="A235" s="14" t="s">
        <v>43</v>
      </c>
      <c r="B235" s="14"/>
      <c r="C235" s="16" t="s">
        <v>44</v>
      </c>
      <c r="D235" s="27"/>
      <c r="E235" s="27"/>
      <c r="F235" s="27"/>
      <c r="G235" s="27"/>
      <c r="H235" s="27"/>
      <c r="I235" s="27"/>
      <c r="J235" s="27"/>
      <c r="K235" s="27"/>
      <c r="L235" s="27"/>
      <c r="M235" s="27"/>
      <c r="N235" s="27"/>
      <c r="O235" s="27"/>
      <c r="P235" s="27"/>
    </row>
    <row r="236" spans="1:16" ht="14.4" x14ac:dyDescent="0.3">
      <c r="A236" s="14" t="s">
        <v>45</v>
      </c>
      <c r="B236" s="14"/>
      <c r="C236" s="16"/>
      <c r="D236" s="28"/>
      <c r="E236" s="28"/>
      <c r="F236" s="28"/>
      <c r="G236" s="28"/>
      <c r="H236" s="28"/>
      <c r="I236" s="28"/>
      <c r="J236" s="28"/>
      <c r="K236" s="28"/>
      <c r="L236" s="28"/>
      <c r="M236" s="28"/>
      <c r="N236" s="28"/>
      <c r="O236" s="28"/>
      <c r="P236" s="28"/>
    </row>
    <row r="237" spans="1:16" ht="14.4" x14ac:dyDescent="0.3">
      <c r="A237" s="14" t="s">
        <v>46</v>
      </c>
      <c r="B237" s="14"/>
      <c r="C237" s="16" t="s">
        <v>19</v>
      </c>
      <c r="D237" s="20">
        <v>0</v>
      </c>
      <c r="E237" s="20">
        <v>0</v>
      </c>
      <c r="F237" s="20">
        <v>0</v>
      </c>
      <c r="G237" s="20">
        <v>0</v>
      </c>
      <c r="H237" s="20">
        <v>0</v>
      </c>
      <c r="I237" s="20">
        <v>0</v>
      </c>
      <c r="J237" s="20">
        <v>0</v>
      </c>
      <c r="K237" s="20">
        <v>0</v>
      </c>
      <c r="L237" s="20">
        <v>0</v>
      </c>
      <c r="M237" s="20">
        <v>0</v>
      </c>
      <c r="N237" s="20">
        <v>0</v>
      </c>
      <c r="O237" s="20">
        <v>0</v>
      </c>
      <c r="P237" s="20">
        <v>0</v>
      </c>
    </row>
    <row r="238" spans="1:16" ht="14.4" x14ac:dyDescent="0.3">
      <c r="A238" s="14" t="s">
        <v>47</v>
      </c>
      <c r="B238" s="14"/>
      <c r="C238" s="16"/>
      <c r="D238" s="24"/>
      <c r="E238" s="24"/>
      <c r="F238" s="24"/>
      <c r="G238" s="24"/>
      <c r="H238" s="24"/>
      <c r="I238" s="24"/>
      <c r="J238" s="24"/>
      <c r="K238" s="24"/>
      <c r="L238" s="24"/>
      <c r="M238" s="24"/>
      <c r="N238" s="24"/>
      <c r="O238" s="24"/>
      <c r="P238" s="24"/>
    </row>
    <row r="239" spans="1:16" ht="14.4" x14ac:dyDescent="0.3">
      <c r="A239" s="18" t="s">
        <v>48</v>
      </c>
      <c r="B239" s="18"/>
      <c r="C239" s="16" t="s">
        <v>19</v>
      </c>
      <c r="D239" s="20">
        <f t="shared" ref="D239:P242" si="17">D198</f>
        <v>0.15609999999999999</v>
      </c>
      <c r="E239" s="20">
        <f t="shared" si="17"/>
        <v>0.15609999999999999</v>
      </c>
      <c r="F239" s="20">
        <f t="shared" si="17"/>
        <v>0.15609999999999999</v>
      </c>
      <c r="G239" s="20">
        <f t="shared" si="17"/>
        <v>0.15609999999999999</v>
      </c>
      <c r="H239" s="20">
        <f t="shared" si="17"/>
        <v>0.15609999999999999</v>
      </c>
      <c r="I239" s="20">
        <f t="shared" si="17"/>
        <v>0.15609999999999999</v>
      </c>
      <c r="J239" s="20">
        <f t="shared" si="17"/>
        <v>0.15609999999999999</v>
      </c>
      <c r="K239" s="20">
        <f t="shared" si="17"/>
        <v>0.15609999999999999</v>
      </c>
      <c r="L239" s="20">
        <f t="shared" si="17"/>
        <v>0.15609999999999999</v>
      </c>
      <c r="M239" s="20">
        <f t="shared" si="17"/>
        <v>0.15609999999999999</v>
      </c>
      <c r="N239" s="20">
        <f t="shared" si="17"/>
        <v>0.15609999999999999</v>
      </c>
      <c r="O239" s="20">
        <f t="shared" si="17"/>
        <v>0.15609999999999999</v>
      </c>
      <c r="P239" s="20">
        <f t="shared" si="17"/>
        <v>0.15609999999999999</v>
      </c>
    </row>
    <row r="240" spans="1:16" ht="14.4" x14ac:dyDescent="0.3">
      <c r="A240" s="18" t="s">
        <v>49</v>
      </c>
      <c r="B240" s="18"/>
      <c r="C240" s="16" t="s">
        <v>19</v>
      </c>
      <c r="D240" s="20">
        <f t="shared" si="17"/>
        <v>2.5000000000000001E-3</v>
      </c>
      <c r="E240" s="20">
        <f t="shared" si="17"/>
        <v>2.5000000000000001E-3</v>
      </c>
      <c r="F240" s="20">
        <f t="shared" si="17"/>
        <v>2.5000000000000001E-3</v>
      </c>
      <c r="G240" s="20">
        <f t="shared" si="17"/>
        <v>2.5000000000000001E-3</v>
      </c>
      <c r="H240" s="20">
        <f t="shared" si="17"/>
        <v>2.5000000000000001E-3</v>
      </c>
      <c r="I240" s="20">
        <f t="shared" si="17"/>
        <v>2.5000000000000001E-3</v>
      </c>
      <c r="J240" s="20">
        <f t="shared" si="17"/>
        <v>2.5000000000000001E-3</v>
      </c>
      <c r="K240" s="20">
        <f t="shared" si="17"/>
        <v>2.5000000000000001E-3</v>
      </c>
      <c r="L240" s="20">
        <f t="shared" si="17"/>
        <v>2.5000000000000001E-3</v>
      </c>
      <c r="M240" s="20">
        <f t="shared" si="17"/>
        <v>2.5000000000000001E-3</v>
      </c>
      <c r="N240" s="20">
        <f t="shared" si="17"/>
        <v>2.5000000000000001E-3</v>
      </c>
      <c r="O240" s="20">
        <f t="shared" si="17"/>
        <v>2.5000000000000001E-3</v>
      </c>
      <c r="P240" s="20">
        <f t="shared" si="17"/>
        <v>2.5000000000000001E-3</v>
      </c>
    </row>
    <row r="241" spans="1:16" ht="14.4" x14ac:dyDescent="0.3">
      <c r="A241" s="18" t="s">
        <v>50</v>
      </c>
      <c r="B241" s="18"/>
      <c r="C241" s="16" t="s">
        <v>19</v>
      </c>
      <c r="D241" s="20">
        <f t="shared" si="17"/>
        <v>0.1938</v>
      </c>
      <c r="E241" s="20">
        <f t="shared" si="17"/>
        <v>0.1938</v>
      </c>
      <c r="F241" s="20">
        <f t="shared" si="17"/>
        <v>0.1938</v>
      </c>
      <c r="G241" s="20">
        <f t="shared" si="17"/>
        <v>0.1938</v>
      </c>
      <c r="H241" s="20">
        <f t="shared" si="17"/>
        <v>0.1938</v>
      </c>
      <c r="I241" s="20">
        <f t="shared" si="17"/>
        <v>0.1938</v>
      </c>
      <c r="J241" s="20">
        <f t="shared" si="17"/>
        <v>0.1938</v>
      </c>
      <c r="K241" s="20">
        <f t="shared" si="17"/>
        <v>0.1938</v>
      </c>
      <c r="L241" s="20">
        <f t="shared" si="17"/>
        <v>0.1938</v>
      </c>
      <c r="M241" s="20">
        <f t="shared" si="17"/>
        <v>0.1938</v>
      </c>
      <c r="N241" s="20">
        <f t="shared" si="17"/>
        <v>0.1938</v>
      </c>
      <c r="O241" s="20">
        <f t="shared" si="17"/>
        <v>0.1938</v>
      </c>
      <c r="P241" s="20">
        <f t="shared" si="17"/>
        <v>0.1938</v>
      </c>
    </row>
    <row r="242" spans="1:16" ht="14.4" x14ac:dyDescent="0.3">
      <c r="A242" s="14" t="s">
        <v>51</v>
      </c>
      <c r="B242" s="14"/>
      <c r="C242" s="16" t="s">
        <v>19</v>
      </c>
      <c r="D242" s="20">
        <f>D201</f>
        <v>4.0599999999999997E-2</v>
      </c>
      <c r="E242" s="20">
        <f t="shared" si="17"/>
        <v>4.0599999999999997E-2</v>
      </c>
      <c r="F242" s="20">
        <f t="shared" si="17"/>
        <v>4.0599999999999997E-2</v>
      </c>
      <c r="G242" s="20">
        <f t="shared" si="17"/>
        <v>0.124</v>
      </c>
      <c r="H242" s="20">
        <f t="shared" si="17"/>
        <v>0.124</v>
      </c>
      <c r="I242" s="20">
        <f t="shared" si="17"/>
        <v>0.124</v>
      </c>
      <c r="J242" s="20">
        <f t="shared" si="17"/>
        <v>0.124</v>
      </c>
      <c r="K242" s="20">
        <f t="shared" si="17"/>
        <v>0.124</v>
      </c>
      <c r="L242" s="20">
        <f t="shared" si="17"/>
        <v>0.124</v>
      </c>
      <c r="M242" s="20">
        <f t="shared" si="17"/>
        <v>0.124</v>
      </c>
      <c r="N242" s="20">
        <f t="shared" si="17"/>
        <v>0.124</v>
      </c>
      <c r="O242" s="20">
        <f t="shared" si="17"/>
        <v>0.124</v>
      </c>
      <c r="P242" s="20">
        <f t="shared" si="17"/>
        <v>0.124</v>
      </c>
    </row>
    <row r="243" spans="1:16" ht="14.4" x14ac:dyDescent="0.3">
      <c r="A243" s="14" t="s">
        <v>52</v>
      </c>
      <c r="B243" s="14"/>
      <c r="C243" s="29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</row>
    <row r="244" spans="1:16" ht="14.4" x14ac:dyDescent="0.3">
      <c r="A244" s="18" t="s">
        <v>53</v>
      </c>
      <c r="B244" s="18"/>
      <c r="C244" s="16" t="s">
        <v>44</v>
      </c>
      <c r="D244" s="30">
        <f>'[44]DU VAT'!D16</f>
        <v>0.1139</v>
      </c>
      <c r="E244" s="30">
        <f>'[44]DU VAT'!E16</f>
        <v>0.115</v>
      </c>
      <c r="F244" s="30">
        <f>'[44]DU VAT'!F16</f>
        <v>0.1143</v>
      </c>
      <c r="G244" s="30">
        <f>'[44]DU VAT'!G16</f>
        <v>0.11310000000000001</v>
      </c>
      <c r="H244" s="30">
        <f>'[44]DU VAT'!H16</f>
        <v>0.11020000000000001</v>
      </c>
      <c r="I244" s="30">
        <f>'[44]DU VAT'!I16</f>
        <v>0.1116</v>
      </c>
      <c r="J244" s="30">
        <f>'[44]DU VAT'!J16</f>
        <v>0.10920000000000001</v>
      </c>
      <c r="K244" s="30">
        <f>'[44]DU VAT'!K16</f>
        <v>0.1138</v>
      </c>
      <c r="L244" s="30">
        <f>'[44]DU VAT'!L16</f>
        <v>0.1072</v>
      </c>
      <c r="M244" s="30">
        <f>'[44]DU VAT'!M16</f>
        <v>0.11219999999999999</v>
      </c>
      <c r="N244" s="30">
        <f>'[44]DU VAT'!N16</f>
        <v>0.1101</v>
      </c>
      <c r="O244" s="30">
        <f>'[44]DU VAT'!O16</f>
        <v>0.11020000000000001</v>
      </c>
      <c r="P244" s="30" t="e">
        <f>'[44]DU VAT'!P16</f>
        <v>#DIV/0!</v>
      </c>
    </row>
    <row r="245" spans="1:16" ht="14.4" x14ac:dyDescent="0.3">
      <c r="A245" s="18" t="s">
        <v>54</v>
      </c>
      <c r="B245" s="18"/>
      <c r="C245" s="16" t="s">
        <v>44</v>
      </c>
      <c r="D245" s="30">
        <f>'[44]DU VAT'!D23</f>
        <v>5.5999999999999999E-3</v>
      </c>
      <c r="E245" s="30">
        <f>'[44]DU VAT'!E23</f>
        <v>1.52E-2</v>
      </c>
      <c r="F245" s="30">
        <f>'[44]DU VAT'!F23</f>
        <v>2.0400000000000001E-2</v>
      </c>
      <c r="G245" s="30">
        <f>'[44]DU VAT'!G23</f>
        <v>2.7199999999999998E-2</v>
      </c>
      <c r="H245" s="30">
        <f>'[44]DU VAT'!H23</f>
        <v>3.44E-2</v>
      </c>
      <c r="I245" s="30">
        <f>'[44]DU VAT'!I23</f>
        <v>3.9199999999999999E-2</v>
      </c>
      <c r="J245" s="30">
        <f>'[44]DU VAT'!J23</f>
        <v>2.3900000000000001E-2</v>
      </c>
      <c r="K245" s="30">
        <f>'[44]DU VAT'!K23</f>
        <v>3.39E-2</v>
      </c>
      <c r="L245" s="30">
        <f>'[44]DU VAT'!L23</f>
        <v>2.81E-2</v>
      </c>
      <c r="M245" s="30">
        <f>'[44]DU VAT'!M23</f>
        <v>1.1599999999999999E-2</v>
      </c>
      <c r="N245" s="30">
        <f>'[44]DU VAT'!N23</f>
        <v>1.17E-2</v>
      </c>
      <c r="O245" s="30">
        <f>'[44]DU VAT'!O23</f>
        <v>6.3E-3</v>
      </c>
      <c r="P245" s="30" t="e">
        <f>'[44]DU VAT'!P23</f>
        <v>#DIV/0!</v>
      </c>
    </row>
    <row r="246" spans="1:16" ht="14.4" x14ac:dyDescent="0.3">
      <c r="A246" s="18" t="s">
        <v>55</v>
      </c>
      <c r="B246" s="18"/>
      <c r="C246" s="16" t="s">
        <v>44</v>
      </c>
      <c r="D246" s="30">
        <f>'[44]DU VAT'!D30</f>
        <v>9.5000000000000001E-2</v>
      </c>
      <c r="E246" s="30">
        <f>'[44]DU VAT'!E30</f>
        <v>9.7000000000000003E-2</v>
      </c>
      <c r="F246" s="30">
        <f>'[44]DU VAT'!F30</f>
        <v>9.7100000000000006E-2</v>
      </c>
      <c r="G246" s="30">
        <f>'[44]DU VAT'!G30</f>
        <v>9.7000000000000003E-2</v>
      </c>
      <c r="H246" s="30">
        <f>'[44]DU VAT'!H30</f>
        <v>9.7100000000000006E-2</v>
      </c>
      <c r="I246" s="30">
        <f>'[44]DU VAT'!I30</f>
        <v>9.7699999999999995E-2</v>
      </c>
      <c r="J246" s="30">
        <f>'[44]DU VAT'!J30</f>
        <v>9.5200000000000007E-2</v>
      </c>
      <c r="K246" s="30">
        <f>'[44]DU VAT'!K30</f>
        <v>9.8100000000000007E-2</v>
      </c>
      <c r="L246" s="30">
        <f>'[44]DU VAT'!L30</f>
        <v>9.3600000000000003E-2</v>
      </c>
      <c r="M246" s="30">
        <f>'[44]DU VAT'!M30</f>
        <v>9.5799999999999996E-2</v>
      </c>
      <c r="N246" s="30">
        <f>'[44]DU VAT'!N30</f>
        <v>9.4E-2</v>
      </c>
      <c r="O246" s="30">
        <f>'[44]DU VAT'!O30</f>
        <v>9.3600000000000003E-2</v>
      </c>
      <c r="P246" s="30" t="e">
        <f>'[44]DU VAT'!P30</f>
        <v>#DIV/0!</v>
      </c>
    </row>
    <row r="247" spans="1:16" ht="14.4" x14ac:dyDescent="0.3">
      <c r="A247" s="18" t="s">
        <v>56</v>
      </c>
      <c r="B247" s="18"/>
      <c r="C247" s="16" t="s">
        <v>44</v>
      </c>
      <c r="D247" s="30">
        <f t="shared" ref="D247:P248" si="18">D206</f>
        <v>0.12</v>
      </c>
      <c r="E247" s="30">
        <f t="shared" si="18"/>
        <v>0.12</v>
      </c>
      <c r="F247" s="30">
        <f t="shared" si="18"/>
        <v>0.12</v>
      </c>
      <c r="G247" s="30">
        <f t="shared" si="18"/>
        <v>0.12</v>
      </c>
      <c r="H247" s="30">
        <f t="shared" si="18"/>
        <v>0.12</v>
      </c>
      <c r="I247" s="30">
        <f t="shared" si="18"/>
        <v>0.12</v>
      </c>
      <c r="J247" s="30">
        <f t="shared" si="18"/>
        <v>0.12</v>
      </c>
      <c r="K247" s="30">
        <f t="shared" si="18"/>
        <v>0.12</v>
      </c>
      <c r="L247" s="30">
        <f t="shared" si="18"/>
        <v>0.12</v>
      </c>
      <c r="M247" s="30">
        <f t="shared" si="18"/>
        <v>0.12</v>
      </c>
      <c r="N247" s="30">
        <f t="shared" si="18"/>
        <v>0.12</v>
      </c>
      <c r="O247" s="30">
        <f t="shared" si="18"/>
        <v>0.12</v>
      </c>
      <c r="P247" s="30">
        <f t="shared" si="18"/>
        <v>0.12</v>
      </c>
    </row>
    <row r="248" spans="1:16" ht="14.4" x14ac:dyDescent="0.3">
      <c r="A248" s="18" t="s">
        <v>57</v>
      </c>
      <c r="B248" s="18"/>
      <c r="C248" s="16" t="s">
        <v>44</v>
      </c>
      <c r="D248" s="30">
        <f t="shared" si="18"/>
        <v>0.12</v>
      </c>
      <c r="E248" s="30">
        <f t="shared" si="18"/>
        <v>0.12</v>
      </c>
      <c r="F248" s="30">
        <f t="shared" si="18"/>
        <v>0.12</v>
      </c>
      <c r="G248" s="30">
        <f t="shared" si="18"/>
        <v>0.12</v>
      </c>
      <c r="H248" s="30">
        <f t="shared" si="18"/>
        <v>0.12</v>
      </c>
      <c r="I248" s="30">
        <f t="shared" si="18"/>
        <v>0.12</v>
      </c>
      <c r="J248" s="30">
        <f t="shared" si="18"/>
        <v>0.12</v>
      </c>
      <c r="K248" s="30">
        <f t="shared" si="18"/>
        <v>0.12</v>
      </c>
      <c r="L248" s="30">
        <f t="shared" si="18"/>
        <v>0.12</v>
      </c>
      <c r="M248" s="30">
        <f t="shared" si="18"/>
        <v>0.12</v>
      </c>
      <c r="N248" s="30">
        <f t="shared" si="18"/>
        <v>0.12</v>
      </c>
      <c r="O248" s="30">
        <f t="shared" si="18"/>
        <v>0.12</v>
      </c>
      <c r="P248" s="30">
        <f t="shared" si="18"/>
        <v>0.12</v>
      </c>
    </row>
    <row r="249" spans="1:16" s="5" customFormat="1" ht="14.4" x14ac:dyDescent="0.3">
      <c r="A249" s="55"/>
      <c r="B249" s="55"/>
      <c r="C249" s="56"/>
      <c r="D249" s="57"/>
      <c r="E249" s="57"/>
      <c r="F249" s="57"/>
      <c r="G249" s="57"/>
      <c r="H249" s="57"/>
      <c r="I249" s="57"/>
      <c r="J249" s="57"/>
      <c r="K249" s="57"/>
      <c r="L249" s="57"/>
      <c r="M249" s="57"/>
      <c r="N249" s="57"/>
      <c r="O249" s="57"/>
      <c r="P249" s="57"/>
    </row>
    <row r="250" spans="1:16" x14ac:dyDescent="0.3">
      <c r="A250" s="3" t="s">
        <v>58</v>
      </c>
    </row>
    <row r="252" spans="1:16" ht="18" x14ac:dyDescent="0.35">
      <c r="A252" s="59" t="str">
        <f>'[44]Statistical data'!A147</f>
        <v>General Power-13.8 kV and Below</v>
      </c>
      <c r="B252" s="60"/>
      <c r="C252" s="5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</row>
    <row r="253" spans="1:16" s="13" customFormat="1" ht="14.4" x14ac:dyDescent="0.3">
      <c r="A253" s="11" t="s">
        <v>3</v>
      </c>
      <c r="B253" s="11"/>
      <c r="C253" s="11" t="s">
        <v>4</v>
      </c>
      <c r="D253" s="12" t="str">
        <f t="shared" ref="D253:P253" si="19">D212</f>
        <v>JAN</v>
      </c>
      <c r="E253" s="12" t="str">
        <f t="shared" si="19"/>
        <v>FEB</v>
      </c>
      <c r="F253" s="12" t="str">
        <f t="shared" si="19"/>
        <v>MAR</v>
      </c>
      <c r="G253" s="12" t="str">
        <f t="shared" si="19"/>
        <v>APR</v>
      </c>
      <c r="H253" s="12" t="str">
        <f t="shared" si="19"/>
        <v>MAY</v>
      </c>
      <c r="I253" s="12" t="str">
        <f t="shared" si="19"/>
        <v>JUN</v>
      </c>
      <c r="J253" s="12" t="str">
        <f t="shared" si="19"/>
        <v>JUL</v>
      </c>
      <c r="K253" s="12" t="str">
        <f t="shared" si="19"/>
        <v>AUG</v>
      </c>
      <c r="L253" s="12" t="str">
        <f t="shared" si="19"/>
        <v>SEP</v>
      </c>
      <c r="M253" s="12" t="str">
        <f t="shared" si="19"/>
        <v>OCT</v>
      </c>
      <c r="N253" s="12" t="str">
        <f t="shared" si="19"/>
        <v>NOV</v>
      </c>
      <c r="O253" s="12" t="str">
        <f t="shared" si="19"/>
        <v>DEC</v>
      </c>
      <c r="P253" s="12" t="str">
        <f t="shared" si="19"/>
        <v>JAN</v>
      </c>
    </row>
    <row r="254" spans="1:16" ht="14.4" x14ac:dyDescent="0.3">
      <c r="A254" s="14" t="s">
        <v>17</v>
      </c>
      <c r="B254" s="15"/>
      <c r="C254" s="16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</row>
    <row r="255" spans="1:16" ht="14.4" x14ac:dyDescent="0.3">
      <c r="A255" s="18" t="s">
        <v>18</v>
      </c>
      <c r="B255" s="19"/>
      <c r="C255" s="16" t="s">
        <v>19</v>
      </c>
      <c r="D255" s="52" t="s">
        <v>59</v>
      </c>
      <c r="E255" s="52" t="s">
        <v>59</v>
      </c>
      <c r="F255" s="52" t="s">
        <v>59</v>
      </c>
      <c r="G255" s="52" t="s">
        <v>59</v>
      </c>
      <c r="H255" s="52" t="s">
        <v>59</v>
      </c>
      <c r="I255" s="52" t="s">
        <v>59</v>
      </c>
      <c r="J255" s="52" t="s">
        <v>59</v>
      </c>
      <c r="K255" s="52" t="s">
        <v>59</v>
      </c>
      <c r="L255" s="52" t="s">
        <v>59</v>
      </c>
      <c r="M255" s="52" t="s">
        <v>59</v>
      </c>
      <c r="N255" s="52" t="s">
        <v>59</v>
      </c>
      <c r="O255" s="52" t="s">
        <v>59</v>
      </c>
      <c r="P255" s="52" t="s">
        <v>59</v>
      </c>
    </row>
    <row r="256" spans="1:16" ht="14.4" x14ac:dyDescent="0.3">
      <c r="A256" s="14" t="s">
        <v>20</v>
      </c>
      <c r="B256" s="15"/>
      <c r="C256" s="16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</row>
    <row r="257" spans="1:16" ht="14.4" x14ac:dyDescent="0.3">
      <c r="A257" s="18" t="s">
        <v>21</v>
      </c>
      <c r="B257" s="19"/>
      <c r="C257" s="16" t="s">
        <v>19</v>
      </c>
      <c r="D257" s="20">
        <v>0</v>
      </c>
      <c r="E257" s="20">
        <v>0</v>
      </c>
      <c r="F257" s="20">
        <v>0</v>
      </c>
      <c r="G257" s="20">
        <v>0</v>
      </c>
      <c r="H257" s="20">
        <v>0</v>
      </c>
      <c r="I257" s="20">
        <v>0</v>
      </c>
      <c r="J257" s="20">
        <v>0</v>
      </c>
      <c r="K257" s="20">
        <v>0</v>
      </c>
      <c r="L257" s="20">
        <v>0</v>
      </c>
      <c r="M257" s="20">
        <v>0</v>
      </c>
      <c r="N257" s="20">
        <v>0</v>
      </c>
      <c r="O257" s="20">
        <v>0</v>
      </c>
      <c r="P257" s="20">
        <v>0</v>
      </c>
    </row>
    <row r="258" spans="1:16" ht="14.4" x14ac:dyDescent="0.3">
      <c r="A258" s="18" t="s">
        <v>22</v>
      </c>
      <c r="B258" s="19"/>
      <c r="C258" s="16" t="s">
        <v>23</v>
      </c>
      <c r="D258" s="20">
        <f>[44]TR!D57</f>
        <v>302.96570000000003</v>
      </c>
      <c r="E258" s="20">
        <f>[44]TR!E57</f>
        <v>321.70569999999998</v>
      </c>
      <c r="F258" s="20">
        <f>[44]TR!F57</f>
        <v>343.38569999999999</v>
      </c>
      <c r="G258" s="20">
        <f>[44]TR!G57</f>
        <v>332.06569999999999</v>
      </c>
      <c r="H258" s="20">
        <f>[44]TR!H57</f>
        <v>303.4957</v>
      </c>
      <c r="I258" s="20">
        <f>[44]TR!I57</f>
        <v>332.4957</v>
      </c>
      <c r="J258" s="20">
        <f>[44]TR!J57</f>
        <v>306.3057</v>
      </c>
      <c r="K258" s="20">
        <f>[44]TR!K57</f>
        <v>331.79570000000001</v>
      </c>
      <c r="L258" s="20">
        <f>[44]TR!L57</f>
        <v>300.33569999999997</v>
      </c>
      <c r="M258" s="20">
        <f>[44]TR!M57</f>
        <v>273.72570000000002</v>
      </c>
      <c r="N258" s="20">
        <f>[44]TR!N57</f>
        <v>267.41570000000002</v>
      </c>
      <c r="O258" s="20">
        <f>[44]TR!O57</f>
        <v>267.4357</v>
      </c>
      <c r="P258" s="20">
        <f>[44]TR!P57</f>
        <v>0</v>
      </c>
    </row>
    <row r="259" spans="1:16" ht="14.4" x14ac:dyDescent="0.3">
      <c r="A259" s="14" t="s">
        <v>24</v>
      </c>
      <c r="B259" s="15"/>
      <c r="C259" s="16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</row>
    <row r="260" spans="1:16" ht="14.4" x14ac:dyDescent="0.3">
      <c r="A260" s="18" t="s">
        <v>25</v>
      </c>
      <c r="B260" s="19"/>
      <c r="C260" s="16" t="s">
        <v>19</v>
      </c>
      <c r="D260" s="20">
        <f>[44]SLR!D71</f>
        <v>0.161</v>
      </c>
      <c r="E260" s="20">
        <f>[44]SLR!E71</f>
        <v>0.1774</v>
      </c>
      <c r="F260" s="20">
        <f>[44]SLR!F71</f>
        <v>0.161</v>
      </c>
      <c r="G260" s="20">
        <f>[44]SLR!G71</f>
        <v>0.1699</v>
      </c>
      <c r="H260" s="20">
        <f>[44]SLR!H71</f>
        <v>0.15679999999999999</v>
      </c>
      <c r="I260" s="20">
        <f>[44]SLR!I71</f>
        <v>0.15029999999999999</v>
      </c>
      <c r="J260" s="20">
        <f>[44]SLR!J71</f>
        <v>0.16209999999999999</v>
      </c>
      <c r="K260" s="20">
        <f>[44]SLR!K71</f>
        <v>0.15840000000000001</v>
      </c>
      <c r="L260" s="20">
        <f>[44]SLR!L71</f>
        <v>0.1583</v>
      </c>
      <c r="M260" s="20">
        <f>[44]SLR!M71</f>
        <v>0.15279999999999999</v>
      </c>
      <c r="N260" s="20">
        <f>[44]SLR!N71</f>
        <v>0.15310000000000001</v>
      </c>
      <c r="O260" s="20">
        <f>[44]SLR!O71</f>
        <v>0.15279999999999999</v>
      </c>
      <c r="P260" s="20" t="e">
        <f>[44]SLR!P71</f>
        <v>#DIV/0!</v>
      </c>
    </row>
    <row r="261" spans="1:16" ht="14.4" x14ac:dyDescent="0.3">
      <c r="A261" s="14" t="s">
        <v>26</v>
      </c>
      <c r="B261" s="14"/>
      <c r="C261" s="16"/>
      <c r="D261" s="22"/>
      <c r="E261" s="22"/>
      <c r="F261" s="22"/>
      <c r="G261" s="22"/>
      <c r="H261" s="22"/>
      <c r="I261" s="22"/>
      <c r="J261" s="22"/>
      <c r="K261" s="22"/>
      <c r="L261" s="22"/>
      <c r="M261" s="22"/>
      <c r="N261" s="22"/>
      <c r="O261" s="22"/>
      <c r="P261" s="22"/>
    </row>
    <row r="262" spans="1:16" ht="14.4" x14ac:dyDescent="0.3">
      <c r="A262" s="18" t="s">
        <v>27</v>
      </c>
      <c r="B262" s="18"/>
      <c r="C262" s="16" t="s">
        <v>19</v>
      </c>
      <c r="D262" s="20">
        <v>5.1299999999999998E-2</v>
      </c>
      <c r="E262" s="20">
        <v>5.1299999999999998E-2</v>
      </c>
      <c r="F262" s="20">
        <v>5.1299999999999998E-2</v>
      </c>
      <c r="G262" s="20">
        <v>5.1299999999999998E-2</v>
      </c>
      <c r="H262" s="20">
        <v>5.1299999999999998E-2</v>
      </c>
      <c r="I262" s="20">
        <v>5.1299999999999998E-2</v>
      </c>
      <c r="J262" s="20">
        <v>5.1299999999999998E-2</v>
      </c>
      <c r="K262" s="20">
        <v>5.1299999999999998E-2</v>
      </c>
      <c r="L262" s="20">
        <v>5.1299999999999998E-2</v>
      </c>
      <c r="M262" s="20">
        <v>5.1299999999999998E-2</v>
      </c>
      <c r="N262" s="20">
        <v>5.1299999999999998E-2</v>
      </c>
      <c r="O262" s="20">
        <v>5.1299999999999998E-2</v>
      </c>
      <c r="P262" s="20">
        <v>5.1299999999999998E-2</v>
      </c>
    </row>
    <row r="263" spans="1:16" ht="14.4" x14ac:dyDescent="0.3">
      <c r="A263" s="18" t="s">
        <v>28</v>
      </c>
      <c r="B263" s="18"/>
      <c r="C263" s="16" t="s">
        <v>23</v>
      </c>
      <c r="D263" s="23">
        <v>182.66</v>
      </c>
      <c r="E263" s="23">
        <v>182.66</v>
      </c>
      <c r="F263" s="23">
        <v>182.66</v>
      </c>
      <c r="G263" s="23">
        <v>182.66</v>
      </c>
      <c r="H263" s="23">
        <v>182.66</v>
      </c>
      <c r="I263" s="23">
        <v>182.66</v>
      </c>
      <c r="J263" s="23">
        <v>182.66</v>
      </c>
      <c r="K263" s="23">
        <v>182.66</v>
      </c>
      <c r="L263" s="23">
        <v>182.66</v>
      </c>
      <c r="M263" s="23">
        <v>182.66</v>
      </c>
      <c r="N263" s="23">
        <v>182.66</v>
      </c>
      <c r="O263" s="23">
        <v>182.66</v>
      </c>
      <c r="P263" s="23">
        <v>182.66</v>
      </c>
    </row>
    <row r="264" spans="1:16" ht="14.4" x14ac:dyDescent="0.3">
      <c r="A264" s="14" t="s">
        <v>29</v>
      </c>
      <c r="B264" s="14"/>
      <c r="C264" s="16"/>
      <c r="D264" s="24"/>
      <c r="E264" s="24"/>
      <c r="F264" s="24"/>
      <c r="G264" s="24"/>
      <c r="H264" s="24"/>
      <c r="I264" s="24"/>
      <c r="J264" s="24"/>
      <c r="K264" s="24"/>
      <c r="L264" s="24"/>
      <c r="M264" s="24"/>
      <c r="N264" s="24"/>
      <c r="O264" s="24"/>
      <c r="P264" s="24"/>
    </row>
    <row r="265" spans="1:16" ht="14.4" x14ac:dyDescent="0.3">
      <c r="A265" s="18" t="s">
        <v>30</v>
      </c>
      <c r="B265" s="18"/>
      <c r="C265" s="16" t="s">
        <v>19</v>
      </c>
      <c r="D265" s="52" t="s">
        <v>61</v>
      </c>
      <c r="E265" s="52" t="s">
        <v>61</v>
      </c>
      <c r="F265" s="52" t="s">
        <v>61</v>
      </c>
      <c r="G265" s="52" t="s">
        <v>61</v>
      </c>
      <c r="H265" s="52" t="s">
        <v>61</v>
      </c>
      <c r="I265" s="52" t="s">
        <v>61</v>
      </c>
      <c r="J265" s="52" t="s">
        <v>61</v>
      </c>
      <c r="K265" s="52" t="s">
        <v>61</v>
      </c>
      <c r="L265" s="52" t="s">
        <v>61</v>
      </c>
      <c r="M265" s="52" t="s">
        <v>61</v>
      </c>
      <c r="N265" s="52" t="s">
        <v>61</v>
      </c>
      <c r="O265" s="52" t="s">
        <v>61</v>
      </c>
      <c r="P265" s="52" t="s">
        <v>61</v>
      </c>
    </row>
    <row r="266" spans="1:16" ht="14.4" x14ac:dyDescent="0.3">
      <c r="A266" s="18" t="s">
        <v>31</v>
      </c>
      <c r="B266" s="18"/>
      <c r="C266" s="16" t="s">
        <v>32</v>
      </c>
      <c r="D266" s="52" t="s">
        <v>62</v>
      </c>
      <c r="E266" s="52" t="s">
        <v>62</v>
      </c>
      <c r="F266" s="52" t="s">
        <v>62</v>
      </c>
      <c r="G266" s="52" t="s">
        <v>62</v>
      </c>
      <c r="H266" s="52" t="s">
        <v>62</v>
      </c>
      <c r="I266" s="52" t="s">
        <v>62</v>
      </c>
      <c r="J266" s="52" t="s">
        <v>62</v>
      </c>
      <c r="K266" s="52" t="s">
        <v>62</v>
      </c>
      <c r="L266" s="52" t="s">
        <v>62</v>
      </c>
      <c r="M266" s="52" t="s">
        <v>62</v>
      </c>
      <c r="N266" s="52" t="s">
        <v>62</v>
      </c>
      <c r="O266" s="52" t="s">
        <v>62</v>
      </c>
      <c r="P266" s="52" t="s">
        <v>62</v>
      </c>
    </row>
    <row r="267" spans="1:16" ht="14.4" x14ac:dyDescent="0.3">
      <c r="A267" s="14" t="s">
        <v>33</v>
      </c>
      <c r="B267" s="14"/>
      <c r="C267" s="16"/>
      <c r="D267" s="24"/>
      <c r="E267" s="24"/>
      <c r="F267" s="24"/>
      <c r="G267" s="24"/>
      <c r="H267" s="24"/>
      <c r="I267" s="24"/>
      <c r="J267" s="24"/>
      <c r="K267" s="24"/>
      <c r="L267" s="24"/>
      <c r="M267" s="24"/>
      <c r="N267" s="24"/>
      <c r="O267" s="24"/>
      <c r="P267" s="24"/>
    </row>
    <row r="268" spans="1:16" ht="14.4" x14ac:dyDescent="0.3">
      <c r="A268" s="18" t="s">
        <v>34</v>
      </c>
      <c r="B268" s="18"/>
      <c r="C268" s="16" t="s">
        <v>19</v>
      </c>
      <c r="D268" s="20">
        <v>0</v>
      </c>
      <c r="E268" s="20">
        <v>0</v>
      </c>
      <c r="F268" s="20">
        <v>0</v>
      </c>
      <c r="G268" s="20">
        <v>0</v>
      </c>
      <c r="H268" s="20">
        <v>0</v>
      </c>
      <c r="I268" s="20">
        <v>0</v>
      </c>
      <c r="J268" s="20">
        <v>0</v>
      </c>
      <c r="K268" s="20">
        <v>0</v>
      </c>
      <c r="L268" s="20">
        <v>0</v>
      </c>
      <c r="M268" s="20">
        <v>0</v>
      </c>
      <c r="N268" s="20">
        <v>0</v>
      </c>
      <c r="O268" s="20">
        <v>0</v>
      </c>
      <c r="P268" s="20">
        <v>0</v>
      </c>
    </row>
    <row r="269" spans="1:16" ht="14.4" x14ac:dyDescent="0.3">
      <c r="A269" s="18" t="s">
        <v>35</v>
      </c>
      <c r="B269" s="18"/>
      <c r="C269" s="16" t="s">
        <v>36</v>
      </c>
      <c r="D269" s="52" t="s">
        <v>63</v>
      </c>
      <c r="E269" s="52" t="s">
        <v>63</v>
      </c>
      <c r="F269" s="52" t="s">
        <v>63</v>
      </c>
      <c r="G269" s="52" t="s">
        <v>63</v>
      </c>
      <c r="H269" s="52" t="s">
        <v>63</v>
      </c>
      <c r="I269" s="52" t="s">
        <v>63</v>
      </c>
      <c r="J269" s="52" t="s">
        <v>63</v>
      </c>
      <c r="K269" s="52" t="s">
        <v>63</v>
      </c>
      <c r="L269" s="52" t="s">
        <v>63</v>
      </c>
      <c r="M269" s="52" t="s">
        <v>63</v>
      </c>
      <c r="N269" s="52" t="s">
        <v>63</v>
      </c>
      <c r="O269" s="52" t="s">
        <v>63</v>
      </c>
      <c r="P269" s="52" t="s">
        <v>63</v>
      </c>
    </row>
    <row r="270" spans="1:16" ht="14.4" x14ac:dyDescent="0.3">
      <c r="A270" s="14" t="s">
        <v>37</v>
      </c>
      <c r="B270" s="14"/>
      <c r="C270" s="16"/>
      <c r="D270" s="24"/>
      <c r="E270" s="24"/>
      <c r="F270" s="24"/>
      <c r="G270" s="24"/>
      <c r="H270" s="24"/>
      <c r="I270" s="24"/>
      <c r="J270" s="24"/>
      <c r="K270" s="24"/>
      <c r="L270" s="24"/>
      <c r="M270" s="24"/>
      <c r="N270" s="24"/>
      <c r="O270" s="24"/>
      <c r="P270" s="24"/>
    </row>
    <row r="271" spans="1:16" ht="14.4" x14ac:dyDescent="0.3">
      <c r="A271" s="25" t="s">
        <v>38</v>
      </c>
      <c r="B271" s="18"/>
      <c r="C271" s="16" t="s">
        <v>19</v>
      </c>
      <c r="D271" s="20">
        <f>[44]LD!E30</f>
        <v>9.4799999999999995E-2</v>
      </c>
      <c r="E271" s="20">
        <f>[44]LD!F30</f>
        <v>9.9000000000000005E-2</v>
      </c>
      <c r="F271" s="20">
        <f>[44]LD!G30</f>
        <v>9.8100000000000007E-2</v>
      </c>
      <c r="G271" s="20">
        <f>[44]LD!H30</f>
        <v>0.10100000000000001</v>
      </c>
      <c r="H271" s="20">
        <f>[44]LD!I30</f>
        <v>7.46E-2</v>
      </c>
      <c r="I271" s="20">
        <f>[44]LD!J30</f>
        <v>6.5799999999999997E-2</v>
      </c>
      <c r="J271" s="20">
        <f>[44]LD!K30</f>
        <v>6.2E-2</v>
      </c>
      <c r="K271" s="20">
        <f>[44]LD!L30</f>
        <v>7.5999999999999998E-2</v>
      </c>
      <c r="L271" s="20">
        <f>[44]LD!M30</f>
        <v>7.1499999999999994E-2</v>
      </c>
      <c r="M271" s="20">
        <f>[44]LD!N30</f>
        <v>7.2599999999999998E-2</v>
      </c>
      <c r="N271" s="20">
        <f>[44]LD!O30</f>
        <v>7.9799999999999996E-2</v>
      </c>
      <c r="O271" s="20">
        <f>[44]LD!P30</f>
        <v>7.6999999999999999E-2</v>
      </c>
      <c r="P271" s="20">
        <f>[44]LD!Q30</f>
        <v>0</v>
      </c>
    </row>
    <row r="272" spans="1:16" ht="14.4" x14ac:dyDescent="0.3">
      <c r="A272" s="25" t="s">
        <v>39</v>
      </c>
      <c r="B272" s="18"/>
      <c r="C272" s="16" t="s">
        <v>19</v>
      </c>
      <c r="D272" s="20">
        <v>0</v>
      </c>
      <c r="E272" s="20">
        <v>0</v>
      </c>
      <c r="F272" s="20">
        <v>0</v>
      </c>
      <c r="G272" s="20">
        <v>0</v>
      </c>
      <c r="H272" s="20">
        <v>0</v>
      </c>
      <c r="I272" s="20">
        <v>0</v>
      </c>
      <c r="J272" s="20">
        <v>0</v>
      </c>
      <c r="K272" s="20">
        <v>0</v>
      </c>
      <c r="L272" s="20">
        <v>0</v>
      </c>
      <c r="M272" s="20">
        <v>0</v>
      </c>
      <c r="N272" s="20">
        <v>0</v>
      </c>
      <c r="O272" s="20">
        <v>0</v>
      </c>
      <c r="P272" s="20">
        <v>0</v>
      </c>
    </row>
    <row r="273" spans="1:16" ht="14.4" x14ac:dyDescent="0.3">
      <c r="A273" s="26" t="s">
        <v>40</v>
      </c>
      <c r="B273" s="18"/>
      <c r="C273" s="16" t="s">
        <v>19</v>
      </c>
      <c r="D273" s="20">
        <f>'[44]SR CIT. SUBSIDY'!E95</f>
        <v>1E-4</v>
      </c>
      <c r="E273" s="20">
        <f>'[44]SR CIT. SUBSIDY'!F95</f>
        <v>1E-4</v>
      </c>
      <c r="F273" s="20">
        <f>'[44]SR CIT. SUBSIDY'!G95</f>
        <v>1E-4</v>
      </c>
      <c r="G273" s="20">
        <f>'[44]SR CIT. SUBSIDY'!H95</f>
        <v>1E-4</v>
      </c>
      <c r="H273" s="20">
        <f>'[44]SR CIT. SUBSIDY'!I95</f>
        <v>1E-4</v>
      </c>
      <c r="I273" s="20">
        <f>'[44]SR CIT. SUBSIDY'!J95</f>
        <v>1E-4</v>
      </c>
      <c r="J273" s="20">
        <f>'[44]SR CIT. SUBSIDY'!K95</f>
        <v>1E-4</v>
      </c>
      <c r="K273" s="20">
        <f>'[44]SR CIT. SUBSIDY'!L95</f>
        <v>1E-4</v>
      </c>
      <c r="L273" s="20">
        <f>'[44]SR CIT. SUBSIDY'!M95</f>
        <v>1E-4</v>
      </c>
      <c r="M273" s="20">
        <f>'[44]SR CIT. SUBSIDY'!N95</f>
        <v>1E-4</v>
      </c>
      <c r="N273" s="20">
        <f>'[44]SR CIT. SUBSIDY'!O95</f>
        <v>1E-4</v>
      </c>
      <c r="O273" s="20">
        <f>'[44]SR CIT. SUBSIDY'!P95</f>
        <v>1E-4</v>
      </c>
      <c r="P273" s="20">
        <f>'[44]SR CIT. SUBSIDY'!Q95</f>
        <v>0</v>
      </c>
    </row>
    <row r="274" spans="1:16" ht="14.4" x14ac:dyDescent="0.3">
      <c r="A274" s="26" t="s">
        <v>41</v>
      </c>
      <c r="B274" s="18"/>
      <c r="C274" s="16" t="s">
        <v>19</v>
      </c>
      <c r="D274" s="20">
        <v>0</v>
      </c>
      <c r="E274" s="20">
        <v>0</v>
      </c>
      <c r="F274" s="20">
        <v>0</v>
      </c>
      <c r="G274" s="20">
        <v>0</v>
      </c>
      <c r="H274" s="20">
        <v>0</v>
      </c>
      <c r="I274" s="20">
        <v>0</v>
      </c>
      <c r="J274" s="20">
        <v>0</v>
      </c>
      <c r="K274" s="20">
        <v>0</v>
      </c>
      <c r="L274" s="20">
        <v>0</v>
      </c>
      <c r="M274" s="20">
        <v>0</v>
      </c>
      <c r="N274" s="20">
        <v>0</v>
      </c>
      <c r="O274" s="20">
        <v>0</v>
      </c>
      <c r="P274" s="20">
        <v>0</v>
      </c>
    </row>
    <row r="275" spans="1:16" ht="14.4" x14ac:dyDescent="0.3">
      <c r="A275" s="14" t="s">
        <v>42</v>
      </c>
      <c r="B275" s="14"/>
      <c r="C275" s="16"/>
      <c r="D275" s="24"/>
      <c r="E275" s="24"/>
      <c r="F275" s="24"/>
      <c r="G275" s="24"/>
      <c r="H275" s="24"/>
      <c r="I275" s="24"/>
      <c r="J275" s="24"/>
      <c r="K275" s="24"/>
      <c r="L275" s="24"/>
      <c r="M275" s="24"/>
      <c r="N275" s="24"/>
      <c r="O275" s="24"/>
      <c r="P275" s="24"/>
    </row>
    <row r="276" spans="1:16" ht="14.4" x14ac:dyDescent="0.3">
      <c r="A276" s="14" t="s">
        <v>43</v>
      </c>
      <c r="B276" s="14"/>
      <c r="C276" s="16" t="s">
        <v>44</v>
      </c>
      <c r="D276" s="27"/>
      <c r="E276" s="27"/>
      <c r="F276" s="27"/>
      <c r="G276" s="27"/>
      <c r="H276" s="27"/>
      <c r="I276" s="27"/>
      <c r="J276" s="27"/>
      <c r="K276" s="27"/>
      <c r="L276" s="27"/>
      <c r="M276" s="27"/>
      <c r="N276" s="27"/>
      <c r="O276" s="27"/>
      <c r="P276" s="27"/>
    </row>
    <row r="277" spans="1:16" ht="14.4" x14ac:dyDescent="0.3">
      <c r="A277" s="14" t="s">
        <v>45</v>
      </c>
      <c r="B277" s="14"/>
      <c r="C277" s="16"/>
      <c r="D277" s="28"/>
      <c r="E277" s="28"/>
      <c r="F277" s="28"/>
      <c r="G277" s="28"/>
      <c r="H277" s="28"/>
      <c r="I277" s="28"/>
      <c r="J277" s="28"/>
      <c r="K277" s="28"/>
      <c r="L277" s="28"/>
      <c r="M277" s="28"/>
      <c r="N277" s="28"/>
      <c r="O277" s="28"/>
      <c r="P277" s="28"/>
    </row>
    <row r="278" spans="1:16" ht="14.4" x14ac:dyDescent="0.3">
      <c r="A278" s="14" t="s">
        <v>46</v>
      </c>
      <c r="B278" s="14"/>
      <c r="C278" s="16" t="s">
        <v>19</v>
      </c>
      <c r="D278" s="20">
        <v>0</v>
      </c>
      <c r="E278" s="20">
        <v>0</v>
      </c>
      <c r="F278" s="20">
        <v>0</v>
      </c>
      <c r="G278" s="20">
        <v>0</v>
      </c>
      <c r="H278" s="20">
        <v>0</v>
      </c>
      <c r="I278" s="20">
        <v>0</v>
      </c>
      <c r="J278" s="20">
        <v>0</v>
      </c>
      <c r="K278" s="20">
        <v>0</v>
      </c>
      <c r="L278" s="20">
        <v>0</v>
      </c>
      <c r="M278" s="20">
        <v>0</v>
      </c>
      <c r="N278" s="20">
        <v>0</v>
      </c>
      <c r="O278" s="20">
        <v>0</v>
      </c>
      <c r="P278" s="20">
        <v>0</v>
      </c>
    </row>
    <row r="279" spans="1:16" ht="14.4" x14ac:dyDescent="0.3">
      <c r="A279" s="14" t="s">
        <v>47</v>
      </c>
      <c r="B279" s="14"/>
      <c r="C279" s="16"/>
      <c r="D279" s="24"/>
      <c r="E279" s="24"/>
      <c r="F279" s="24"/>
      <c r="G279" s="24"/>
      <c r="H279" s="24"/>
      <c r="I279" s="24"/>
      <c r="J279" s="24"/>
      <c r="K279" s="24"/>
      <c r="L279" s="24"/>
      <c r="M279" s="24"/>
      <c r="N279" s="24"/>
      <c r="O279" s="24"/>
      <c r="P279" s="24"/>
    </row>
    <row r="280" spans="1:16" ht="14.4" x14ac:dyDescent="0.3">
      <c r="A280" s="18" t="s">
        <v>48</v>
      </c>
      <c r="B280" s="18"/>
      <c r="C280" s="16" t="s">
        <v>19</v>
      </c>
      <c r="D280" s="20">
        <f t="shared" ref="D280:P283" si="20">D239</f>
        <v>0.15609999999999999</v>
      </c>
      <c r="E280" s="20">
        <f t="shared" si="20"/>
        <v>0.15609999999999999</v>
      </c>
      <c r="F280" s="20">
        <f t="shared" si="20"/>
        <v>0.15609999999999999</v>
      </c>
      <c r="G280" s="20">
        <f t="shared" si="20"/>
        <v>0.15609999999999999</v>
      </c>
      <c r="H280" s="20">
        <f t="shared" si="20"/>
        <v>0.15609999999999999</v>
      </c>
      <c r="I280" s="20">
        <f t="shared" si="20"/>
        <v>0.15609999999999999</v>
      </c>
      <c r="J280" s="20">
        <f t="shared" si="20"/>
        <v>0.15609999999999999</v>
      </c>
      <c r="K280" s="20">
        <f t="shared" si="20"/>
        <v>0.15609999999999999</v>
      </c>
      <c r="L280" s="20">
        <f t="shared" si="20"/>
        <v>0.15609999999999999</v>
      </c>
      <c r="M280" s="20">
        <f t="shared" si="20"/>
        <v>0.15609999999999999</v>
      </c>
      <c r="N280" s="20">
        <f t="shared" si="20"/>
        <v>0.15609999999999999</v>
      </c>
      <c r="O280" s="20">
        <f t="shared" si="20"/>
        <v>0.15609999999999999</v>
      </c>
      <c r="P280" s="20">
        <f t="shared" si="20"/>
        <v>0.15609999999999999</v>
      </c>
    </row>
    <row r="281" spans="1:16" ht="14.4" x14ac:dyDescent="0.3">
      <c r="A281" s="18" t="s">
        <v>49</v>
      </c>
      <c r="B281" s="18"/>
      <c r="C281" s="16" t="s">
        <v>19</v>
      </c>
      <c r="D281" s="20">
        <f t="shared" si="20"/>
        <v>2.5000000000000001E-3</v>
      </c>
      <c r="E281" s="20">
        <f t="shared" si="20"/>
        <v>2.5000000000000001E-3</v>
      </c>
      <c r="F281" s="20">
        <f t="shared" si="20"/>
        <v>2.5000000000000001E-3</v>
      </c>
      <c r="G281" s="20">
        <f t="shared" si="20"/>
        <v>2.5000000000000001E-3</v>
      </c>
      <c r="H281" s="20">
        <f t="shared" si="20"/>
        <v>2.5000000000000001E-3</v>
      </c>
      <c r="I281" s="20">
        <f t="shared" si="20"/>
        <v>2.5000000000000001E-3</v>
      </c>
      <c r="J281" s="20">
        <f t="shared" si="20"/>
        <v>2.5000000000000001E-3</v>
      </c>
      <c r="K281" s="20">
        <f t="shared" si="20"/>
        <v>2.5000000000000001E-3</v>
      </c>
      <c r="L281" s="20">
        <f t="shared" si="20"/>
        <v>2.5000000000000001E-3</v>
      </c>
      <c r="M281" s="20">
        <f t="shared" si="20"/>
        <v>2.5000000000000001E-3</v>
      </c>
      <c r="N281" s="20">
        <f t="shared" si="20"/>
        <v>2.5000000000000001E-3</v>
      </c>
      <c r="O281" s="20">
        <f t="shared" si="20"/>
        <v>2.5000000000000001E-3</v>
      </c>
      <c r="P281" s="20">
        <f t="shared" si="20"/>
        <v>2.5000000000000001E-3</v>
      </c>
    </row>
    <row r="282" spans="1:16" ht="14.4" x14ac:dyDescent="0.3">
      <c r="A282" s="18" t="s">
        <v>50</v>
      </c>
      <c r="B282" s="18"/>
      <c r="C282" s="16" t="s">
        <v>19</v>
      </c>
      <c r="D282" s="20">
        <f t="shared" si="20"/>
        <v>0.1938</v>
      </c>
      <c r="E282" s="20">
        <f t="shared" si="20"/>
        <v>0.1938</v>
      </c>
      <c r="F282" s="20">
        <f t="shared" si="20"/>
        <v>0.1938</v>
      </c>
      <c r="G282" s="20">
        <f t="shared" si="20"/>
        <v>0.1938</v>
      </c>
      <c r="H282" s="20">
        <f t="shared" si="20"/>
        <v>0.1938</v>
      </c>
      <c r="I282" s="20">
        <f t="shared" si="20"/>
        <v>0.1938</v>
      </c>
      <c r="J282" s="20">
        <f t="shared" si="20"/>
        <v>0.1938</v>
      </c>
      <c r="K282" s="20">
        <f t="shared" si="20"/>
        <v>0.1938</v>
      </c>
      <c r="L282" s="20">
        <f t="shared" si="20"/>
        <v>0.1938</v>
      </c>
      <c r="M282" s="20">
        <f t="shared" si="20"/>
        <v>0.1938</v>
      </c>
      <c r="N282" s="20">
        <f t="shared" si="20"/>
        <v>0.1938</v>
      </c>
      <c r="O282" s="20">
        <f t="shared" si="20"/>
        <v>0.1938</v>
      </c>
      <c r="P282" s="20">
        <f t="shared" si="20"/>
        <v>0.1938</v>
      </c>
    </row>
    <row r="283" spans="1:16" ht="14.4" x14ac:dyDescent="0.3">
      <c r="A283" s="14" t="s">
        <v>51</v>
      </c>
      <c r="B283" s="14"/>
      <c r="C283" s="16" t="s">
        <v>19</v>
      </c>
      <c r="D283" s="20">
        <f>D242</f>
        <v>4.0599999999999997E-2</v>
      </c>
      <c r="E283" s="20">
        <f t="shared" si="20"/>
        <v>4.0599999999999997E-2</v>
      </c>
      <c r="F283" s="20">
        <f t="shared" si="20"/>
        <v>4.0599999999999997E-2</v>
      </c>
      <c r="G283" s="20">
        <f t="shared" si="20"/>
        <v>0.124</v>
      </c>
      <c r="H283" s="20">
        <f t="shared" si="20"/>
        <v>0.124</v>
      </c>
      <c r="I283" s="20">
        <f t="shared" si="20"/>
        <v>0.124</v>
      </c>
      <c r="J283" s="20">
        <f t="shared" si="20"/>
        <v>0.124</v>
      </c>
      <c r="K283" s="20">
        <f t="shared" si="20"/>
        <v>0.124</v>
      </c>
      <c r="L283" s="20">
        <f t="shared" si="20"/>
        <v>0.124</v>
      </c>
      <c r="M283" s="20">
        <f t="shared" si="20"/>
        <v>0.124</v>
      </c>
      <c r="N283" s="20">
        <f t="shared" si="20"/>
        <v>0.124</v>
      </c>
      <c r="O283" s="20">
        <f t="shared" si="20"/>
        <v>0.124</v>
      </c>
      <c r="P283" s="20">
        <f t="shared" si="20"/>
        <v>0.124</v>
      </c>
    </row>
    <row r="284" spans="1:16" ht="14.4" x14ac:dyDescent="0.3">
      <c r="A284" s="14" t="s">
        <v>52</v>
      </c>
      <c r="B284" s="14"/>
      <c r="C284" s="29"/>
      <c r="D284" s="22"/>
      <c r="E284" s="22"/>
      <c r="F284" s="22"/>
      <c r="G284" s="22"/>
      <c r="H284" s="22"/>
      <c r="I284" s="22"/>
      <c r="J284" s="22"/>
      <c r="K284" s="22"/>
      <c r="L284" s="22"/>
      <c r="M284" s="22"/>
      <c r="N284" s="22"/>
      <c r="O284" s="22"/>
      <c r="P284" s="22"/>
    </row>
    <row r="285" spans="1:16" ht="14.4" x14ac:dyDescent="0.3">
      <c r="A285" s="18" t="s">
        <v>53</v>
      </c>
      <c r="B285" s="18"/>
      <c r="C285" s="16" t="s">
        <v>44</v>
      </c>
      <c r="D285" s="30">
        <f>'[44]DU VAT'!D16</f>
        <v>0.1139</v>
      </c>
      <c r="E285" s="30">
        <f>'[44]DU VAT'!E16</f>
        <v>0.115</v>
      </c>
      <c r="F285" s="30">
        <f>'[44]DU VAT'!F16</f>
        <v>0.1143</v>
      </c>
      <c r="G285" s="30">
        <f>'[44]DU VAT'!G16</f>
        <v>0.11310000000000001</v>
      </c>
      <c r="H285" s="30">
        <f>'[44]DU VAT'!H16</f>
        <v>0.11020000000000001</v>
      </c>
      <c r="I285" s="30">
        <f>'[44]DU VAT'!I16</f>
        <v>0.1116</v>
      </c>
      <c r="J285" s="30">
        <f>'[44]DU VAT'!J16</f>
        <v>0.10920000000000001</v>
      </c>
      <c r="K285" s="30">
        <f>'[44]DU VAT'!K16</f>
        <v>0.1138</v>
      </c>
      <c r="L285" s="30">
        <f>'[44]DU VAT'!L16</f>
        <v>0.1072</v>
      </c>
      <c r="M285" s="30">
        <f>'[44]DU VAT'!M16</f>
        <v>0.11219999999999999</v>
      </c>
      <c r="N285" s="30">
        <f>'[44]DU VAT'!N16</f>
        <v>0.1101</v>
      </c>
      <c r="O285" s="30">
        <f>'[44]DU VAT'!O16</f>
        <v>0.11020000000000001</v>
      </c>
      <c r="P285" s="30" t="e">
        <f>'[44]DU VAT'!P16</f>
        <v>#DIV/0!</v>
      </c>
    </row>
    <row r="286" spans="1:16" ht="14.4" x14ac:dyDescent="0.3">
      <c r="A286" s="18" t="s">
        <v>54</v>
      </c>
      <c r="B286" s="18"/>
      <c r="C286" s="16" t="s">
        <v>44</v>
      </c>
      <c r="D286" s="30">
        <f>'[44]DU VAT'!D23</f>
        <v>5.5999999999999999E-3</v>
      </c>
      <c r="E286" s="30">
        <f>'[44]DU VAT'!E23</f>
        <v>1.52E-2</v>
      </c>
      <c r="F286" s="30">
        <f>'[44]DU VAT'!F23</f>
        <v>2.0400000000000001E-2</v>
      </c>
      <c r="G286" s="30">
        <f>'[44]DU VAT'!G23</f>
        <v>2.7199999999999998E-2</v>
      </c>
      <c r="H286" s="30">
        <f>'[44]DU VAT'!H23</f>
        <v>3.44E-2</v>
      </c>
      <c r="I286" s="30">
        <f>'[44]DU VAT'!I23</f>
        <v>3.9199999999999999E-2</v>
      </c>
      <c r="J286" s="30">
        <f>'[44]DU VAT'!J23</f>
        <v>2.3900000000000001E-2</v>
      </c>
      <c r="K286" s="30">
        <f>'[44]DU VAT'!K23</f>
        <v>3.39E-2</v>
      </c>
      <c r="L286" s="30">
        <f>'[44]DU VAT'!L23</f>
        <v>2.81E-2</v>
      </c>
      <c r="M286" s="30">
        <f>'[44]DU VAT'!M23</f>
        <v>1.1599999999999999E-2</v>
      </c>
      <c r="N286" s="30">
        <f>'[44]DU VAT'!N23</f>
        <v>1.17E-2</v>
      </c>
      <c r="O286" s="30">
        <f>'[44]DU VAT'!O23</f>
        <v>6.3E-3</v>
      </c>
      <c r="P286" s="30" t="e">
        <f>'[44]DU VAT'!P23</f>
        <v>#DIV/0!</v>
      </c>
    </row>
    <row r="287" spans="1:16" ht="14.4" x14ac:dyDescent="0.3">
      <c r="A287" s="18" t="s">
        <v>55</v>
      </c>
      <c r="B287" s="18"/>
      <c r="C287" s="16" t="s">
        <v>44</v>
      </c>
      <c r="D287" s="30">
        <f>'[44]DU VAT'!D30</f>
        <v>9.5000000000000001E-2</v>
      </c>
      <c r="E287" s="30">
        <f>'[44]DU VAT'!E30</f>
        <v>9.7000000000000003E-2</v>
      </c>
      <c r="F287" s="30">
        <f>'[44]DU VAT'!F30</f>
        <v>9.7100000000000006E-2</v>
      </c>
      <c r="G287" s="30">
        <f>'[44]DU VAT'!G30</f>
        <v>9.7000000000000003E-2</v>
      </c>
      <c r="H287" s="30">
        <f>'[44]DU VAT'!H30</f>
        <v>9.7100000000000006E-2</v>
      </c>
      <c r="I287" s="30">
        <f>'[44]DU VAT'!I30</f>
        <v>9.7699999999999995E-2</v>
      </c>
      <c r="J287" s="30">
        <f>'[44]DU VAT'!J30</f>
        <v>9.5200000000000007E-2</v>
      </c>
      <c r="K287" s="30">
        <f>'[44]DU VAT'!K30</f>
        <v>9.8100000000000007E-2</v>
      </c>
      <c r="L287" s="30">
        <f>'[44]DU VAT'!L30</f>
        <v>9.3600000000000003E-2</v>
      </c>
      <c r="M287" s="30">
        <f>'[44]DU VAT'!M30</f>
        <v>9.5799999999999996E-2</v>
      </c>
      <c r="N287" s="30">
        <f>'[44]DU VAT'!N30</f>
        <v>9.4E-2</v>
      </c>
      <c r="O287" s="30">
        <f>'[44]DU VAT'!O30</f>
        <v>9.3600000000000003E-2</v>
      </c>
      <c r="P287" s="30" t="e">
        <f>'[44]DU VAT'!P30</f>
        <v>#DIV/0!</v>
      </c>
    </row>
    <row r="288" spans="1:16" ht="14.4" x14ac:dyDescent="0.3">
      <c r="A288" s="18" t="s">
        <v>56</v>
      </c>
      <c r="B288" s="18"/>
      <c r="C288" s="16" t="s">
        <v>44</v>
      </c>
      <c r="D288" s="30">
        <f t="shared" ref="D288:P289" si="21">D247</f>
        <v>0.12</v>
      </c>
      <c r="E288" s="30">
        <f t="shared" si="21"/>
        <v>0.12</v>
      </c>
      <c r="F288" s="30">
        <f t="shared" si="21"/>
        <v>0.12</v>
      </c>
      <c r="G288" s="30">
        <f t="shared" si="21"/>
        <v>0.12</v>
      </c>
      <c r="H288" s="30">
        <f t="shared" si="21"/>
        <v>0.12</v>
      </c>
      <c r="I288" s="30">
        <f t="shared" si="21"/>
        <v>0.12</v>
      </c>
      <c r="J288" s="30">
        <f t="shared" si="21"/>
        <v>0.12</v>
      </c>
      <c r="K288" s="30">
        <f t="shared" si="21"/>
        <v>0.12</v>
      </c>
      <c r="L288" s="30">
        <f t="shared" si="21"/>
        <v>0.12</v>
      </c>
      <c r="M288" s="30">
        <f t="shared" si="21"/>
        <v>0.12</v>
      </c>
      <c r="N288" s="30">
        <f t="shared" si="21"/>
        <v>0.12</v>
      </c>
      <c r="O288" s="30">
        <f t="shared" si="21"/>
        <v>0.12</v>
      </c>
      <c r="P288" s="30">
        <f t="shared" si="21"/>
        <v>0.12</v>
      </c>
    </row>
    <row r="289" spans="1:16" ht="14.4" x14ac:dyDescent="0.3">
      <c r="A289" s="18" t="s">
        <v>57</v>
      </c>
      <c r="B289" s="18"/>
      <c r="C289" s="16" t="s">
        <v>44</v>
      </c>
      <c r="D289" s="30">
        <f t="shared" si="21"/>
        <v>0.12</v>
      </c>
      <c r="E289" s="30">
        <f t="shared" si="21"/>
        <v>0.12</v>
      </c>
      <c r="F289" s="30">
        <f t="shared" si="21"/>
        <v>0.12</v>
      </c>
      <c r="G289" s="30">
        <f t="shared" si="21"/>
        <v>0.12</v>
      </c>
      <c r="H289" s="30">
        <f t="shared" si="21"/>
        <v>0.12</v>
      </c>
      <c r="I289" s="30">
        <f t="shared" si="21"/>
        <v>0.12</v>
      </c>
      <c r="J289" s="30">
        <f t="shared" si="21"/>
        <v>0.12</v>
      </c>
      <c r="K289" s="30">
        <f t="shared" si="21"/>
        <v>0.12</v>
      </c>
      <c r="L289" s="30">
        <f t="shared" si="21"/>
        <v>0.12</v>
      </c>
      <c r="M289" s="30">
        <f t="shared" si="21"/>
        <v>0.12</v>
      </c>
      <c r="N289" s="30">
        <f t="shared" si="21"/>
        <v>0.12</v>
      </c>
      <c r="O289" s="30">
        <f t="shared" si="21"/>
        <v>0.12</v>
      </c>
      <c r="P289" s="30">
        <f t="shared" si="21"/>
        <v>0.12</v>
      </c>
    </row>
    <row r="290" spans="1:16" s="5" customFormat="1" ht="14.4" x14ac:dyDescent="0.3">
      <c r="A290" s="55"/>
      <c r="B290" s="55"/>
      <c r="C290" s="56"/>
      <c r="D290" s="57"/>
      <c r="E290" s="57"/>
      <c r="F290" s="57"/>
      <c r="G290" s="57"/>
      <c r="H290" s="57"/>
      <c r="I290" s="57"/>
      <c r="J290" s="57"/>
      <c r="K290" s="57"/>
      <c r="L290" s="57"/>
      <c r="M290" s="57"/>
      <c r="N290" s="57"/>
      <c r="O290" s="57"/>
      <c r="P290" s="57"/>
    </row>
    <row r="291" spans="1:16" x14ac:dyDescent="0.3">
      <c r="A291" s="3" t="s">
        <v>58</v>
      </c>
    </row>
    <row r="292" spans="1:16" s="5" customFormat="1" ht="14.4" x14ac:dyDescent="0.3">
      <c r="A292" s="55"/>
      <c r="B292" s="55"/>
      <c r="C292" s="56"/>
      <c r="D292" s="57"/>
      <c r="E292" s="57"/>
      <c r="F292" s="57"/>
      <c r="G292" s="57"/>
      <c r="H292" s="57"/>
      <c r="I292" s="57"/>
      <c r="J292" s="57"/>
      <c r="K292" s="57"/>
      <c r="L292" s="57"/>
      <c r="M292" s="57"/>
      <c r="N292" s="57"/>
      <c r="O292" s="57"/>
      <c r="P292" s="57"/>
    </row>
    <row r="293" spans="1:16" ht="18" x14ac:dyDescent="0.35">
      <c r="A293" s="59" t="str">
        <f>'[44]Statistical data'!A148</f>
        <v>General Power-34.5kV</v>
      </c>
      <c r="B293" s="60"/>
      <c r="C293" s="5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</row>
    <row r="294" spans="1:16" s="13" customFormat="1" ht="14.4" x14ac:dyDescent="0.3">
      <c r="A294" s="11" t="s">
        <v>3</v>
      </c>
      <c r="B294" s="11"/>
      <c r="C294" s="11" t="s">
        <v>4</v>
      </c>
      <c r="D294" s="12" t="str">
        <f>D253</f>
        <v>JAN</v>
      </c>
      <c r="E294" s="12" t="str">
        <f t="shared" ref="E294:P294" si="22">E253</f>
        <v>FEB</v>
      </c>
      <c r="F294" s="12" t="str">
        <f t="shared" si="22"/>
        <v>MAR</v>
      </c>
      <c r="G294" s="12" t="str">
        <f t="shared" si="22"/>
        <v>APR</v>
      </c>
      <c r="H294" s="12" t="str">
        <f t="shared" si="22"/>
        <v>MAY</v>
      </c>
      <c r="I294" s="12" t="str">
        <f t="shared" si="22"/>
        <v>JUN</v>
      </c>
      <c r="J294" s="12" t="str">
        <f t="shared" si="22"/>
        <v>JUL</v>
      </c>
      <c r="K294" s="12" t="str">
        <f t="shared" si="22"/>
        <v>AUG</v>
      </c>
      <c r="L294" s="12" t="str">
        <f t="shared" si="22"/>
        <v>SEP</v>
      </c>
      <c r="M294" s="12" t="str">
        <f t="shared" si="22"/>
        <v>OCT</v>
      </c>
      <c r="N294" s="12" t="str">
        <f t="shared" si="22"/>
        <v>NOV</v>
      </c>
      <c r="O294" s="12" t="str">
        <f t="shared" si="22"/>
        <v>DEC</v>
      </c>
      <c r="P294" s="12" t="str">
        <f t="shared" si="22"/>
        <v>JAN</v>
      </c>
    </row>
    <row r="295" spans="1:16" ht="14.4" x14ac:dyDescent="0.3">
      <c r="A295" s="14" t="s">
        <v>17</v>
      </c>
      <c r="B295" s="15"/>
      <c r="C295" s="16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</row>
    <row r="296" spans="1:16" ht="14.4" x14ac:dyDescent="0.3">
      <c r="A296" s="18" t="s">
        <v>18</v>
      </c>
      <c r="B296" s="19"/>
      <c r="C296" s="16" t="s">
        <v>19</v>
      </c>
      <c r="D296" s="52" t="s">
        <v>59</v>
      </c>
      <c r="E296" s="52" t="s">
        <v>59</v>
      </c>
      <c r="F296" s="52" t="s">
        <v>59</v>
      </c>
      <c r="G296" s="52" t="s">
        <v>59</v>
      </c>
      <c r="H296" s="52" t="s">
        <v>59</v>
      </c>
      <c r="I296" s="52" t="s">
        <v>59</v>
      </c>
      <c r="J296" s="52" t="s">
        <v>59</v>
      </c>
      <c r="K296" s="52" t="s">
        <v>59</v>
      </c>
      <c r="L296" s="52" t="s">
        <v>59</v>
      </c>
      <c r="M296" s="52" t="s">
        <v>59</v>
      </c>
      <c r="N296" s="52" t="s">
        <v>59</v>
      </c>
      <c r="O296" s="52" t="s">
        <v>59</v>
      </c>
      <c r="P296" s="52" t="s">
        <v>59</v>
      </c>
    </row>
    <row r="297" spans="1:16" ht="14.4" hidden="1" x14ac:dyDescent="0.3">
      <c r="A297" s="18" t="s">
        <v>66</v>
      </c>
      <c r="B297" s="19"/>
      <c r="C297" s="16" t="s">
        <v>19</v>
      </c>
      <c r="D297" s="20">
        <v>0</v>
      </c>
      <c r="E297" s="20">
        <v>0</v>
      </c>
      <c r="F297" s="20">
        <v>0</v>
      </c>
      <c r="G297" s="20">
        <v>0</v>
      </c>
      <c r="H297" s="20">
        <v>0</v>
      </c>
      <c r="I297" s="20">
        <v>0</v>
      </c>
      <c r="J297" s="20">
        <v>0</v>
      </c>
      <c r="K297" s="20">
        <v>0</v>
      </c>
      <c r="L297" s="20">
        <v>0</v>
      </c>
      <c r="M297" s="20">
        <v>0</v>
      </c>
      <c r="N297" s="20">
        <v>0</v>
      </c>
      <c r="O297" s="20">
        <v>0</v>
      </c>
      <c r="P297" s="20">
        <v>0</v>
      </c>
    </row>
    <row r="298" spans="1:16" ht="14.4" x14ac:dyDescent="0.3">
      <c r="A298" s="14" t="s">
        <v>20</v>
      </c>
      <c r="B298" s="15"/>
      <c r="C298" s="16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</row>
    <row r="299" spans="1:16" ht="14.4" x14ac:dyDescent="0.3">
      <c r="A299" s="18" t="s">
        <v>21</v>
      </c>
      <c r="B299" s="19"/>
      <c r="C299" s="16" t="s">
        <v>19</v>
      </c>
      <c r="D299" s="20">
        <v>0</v>
      </c>
      <c r="E299" s="20">
        <v>0</v>
      </c>
      <c r="F299" s="20">
        <v>0</v>
      </c>
      <c r="G299" s="20">
        <v>0</v>
      </c>
      <c r="H299" s="20">
        <v>0</v>
      </c>
      <c r="I299" s="20">
        <v>0</v>
      </c>
      <c r="J299" s="20">
        <v>0</v>
      </c>
      <c r="K299" s="20">
        <v>0</v>
      </c>
      <c r="L299" s="20">
        <v>0</v>
      </c>
      <c r="M299" s="20">
        <v>0</v>
      </c>
      <c r="N299" s="20">
        <v>0</v>
      </c>
      <c r="O299" s="20">
        <v>0</v>
      </c>
      <c r="P299" s="20">
        <v>0</v>
      </c>
    </row>
    <row r="300" spans="1:16" ht="14.4" x14ac:dyDescent="0.3">
      <c r="A300" s="18" t="s">
        <v>22</v>
      </c>
      <c r="B300" s="19"/>
      <c r="C300" s="16" t="s">
        <v>23</v>
      </c>
      <c r="D300" s="20">
        <f>[44]TR!D58</f>
        <v>338.738</v>
      </c>
      <c r="E300" s="20">
        <f>[44]TR!E58</f>
        <v>353.65800000000002</v>
      </c>
      <c r="F300" s="20">
        <f>[44]TR!F58</f>
        <v>391.51799999999997</v>
      </c>
      <c r="G300" s="20">
        <f>[44]TR!G58</f>
        <v>368.53800000000001</v>
      </c>
      <c r="H300" s="20">
        <f>[44]TR!H58</f>
        <v>341.87799999999999</v>
      </c>
      <c r="I300" s="20">
        <f>[44]TR!I58</f>
        <v>374.38799999999998</v>
      </c>
      <c r="J300" s="20">
        <f>[44]TR!J58</f>
        <v>354.238</v>
      </c>
      <c r="K300" s="20">
        <f>[44]TR!K58</f>
        <v>375.89800000000002</v>
      </c>
      <c r="L300" s="20">
        <f>[44]TR!L58</f>
        <v>343.51799999999997</v>
      </c>
      <c r="M300" s="20">
        <f>[44]TR!M58</f>
        <v>318.44799999999998</v>
      </c>
      <c r="N300" s="20">
        <f>[44]TR!N58</f>
        <v>306.798</v>
      </c>
      <c r="O300" s="20">
        <f>[44]TR!O58</f>
        <v>313.68799999999999</v>
      </c>
      <c r="P300" s="20">
        <f>[44]TR!P58</f>
        <v>0</v>
      </c>
    </row>
    <row r="301" spans="1:16" ht="14.4" x14ac:dyDescent="0.3">
      <c r="A301" s="14" t="s">
        <v>24</v>
      </c>
      <c r="B301" s="15"/>
      <c r="C301" s="16"/>
      <c r="D301" s="21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</row>
    <row r="302" spans="1:16" ht="14.4" x14ac:dyDescent="0.3">
      <c r="A302" s="18" t="s">
        <v>25</v>
      </c>
      <c r="B302" s="19"/>
      <c r="C302" s="16" t="s">
        <v>19</v>
      </c>
      <c r="D302" s="20">
        <f>[44]SLR!D72</f>
        <v>0.161</v>
      </c>
      <c r="E302" s="20">
        <f>[44]SLR!E72</f>
        <v>0.1774</v>
      </c>
      <c r="F302" s="20">
        <f>[44]SLR!F72</f>
        <v>0.161</v>
      </c>
      <c r="G302" s="20">
        <f>[44]SLR!G72</f>
        <v>0.1699</v>
      </c>
      <c r="H302" s="20">
        <f>[44]SLR!H72</f>
        <v>0.15679999999999999</v>
      </c>
      <c r="I302" s="20">
        <f>[44]SLR!I72</f>
        <v>0.15029999999999999</v>
      </c>
      <c r="J302" s="20">
        <f>[44]SLR!J72</f>
        <v>0.16209999999999999</v>
      </c>
      <c r="K302" s="20">
        <f>[44]SLR!K72</f>
        <v>0.15840000000000001</v>
      </c>
      <c r="L302" s="20">
        <f>[44]SLR!L72</f>
        <v>0.1583</v>
      </c>
      <c r="M302" s="20">
        <f>[44]SLR!M72</f>
        <v>0.15279999999999999</v>
      </c>
      <c r="N302" s="20">
        <f>[44]SLR!N72</f>
        <v>0.15310000000000001</v>
      </c>
      <c r="O302" s="20">
        <f>[44]SLR!O72</f>
        <v>0.15279999999999999</v>
      </c>
      <c r="P302" s="20" t="e">
        <f>[44]SLR!P72</f>
        <v>#DIV/0!</v>
      </c>
    </row>
    <row r="303" spans="1:16" ht="14.4" x14ac:dyDescent="0.3">
      <c r="A303" s="14" t="s">
        <v>26</v>
      </c>
      <c r="B303" s="14"/>
      <c r="C303" s="16"/>
      <c r="D303" s="22"/>
      <c r="E303" s="22"/>
      <c r="F303" s="22"/>
      <c r="G303" s="22"/>
      <c r="H303" s="22"/>
      <c r="I303" s="22"/>
      <c r="J303" s="22"/>
      <c r="K303" s="22"/>
      <c r="L303" s="22"/>
      <c r="M303" s="22"/>
      <c r="N303" s="22"/>
      <c r="O303" s="22"/>
      <c r="P303" s="22"/>
    </row>
    <row r="304" spans="1:16" ht="14.4" x14ac:dyDescent="0.3">
      <c r="A304" s="18" t="s">
        <v>27</v>
      </c>
      <c r="B304" s="18"/>
      <c r="C304" s="16" t="s">
        <v>19</v>
      </c>
      <c r="D304" s="20">
        <v>5.1299999999999998E-2</v>
      </c>
      <c r="E304" s="20">
        <v>5.1299999999999998E-2</v>
      </c>
      <c r="F304" s="20">
        <v>5.1299999999999998E-2</v>
      </c>
      <c r="G304" s="20">
        <v>5.1299999999999998E-2</v>
      </c>
      <c r="H304" s="20">
        <v>5.1299999999999998E-2</v>
      </c>
      <c r="I304" s="20">
        <v>5.1299999999999998E-2</v>
      </c>
      <c r="J304" s="20">
        <v>5.1299999999999998E-2</v>
      </c>
      <c r="K304" s="20">
        <v>5.1299999999999998E-2</v>
      </c>
      <c r="L304" s="20">
        <v>5.1299999999999998E-2</v>
      </c>
      <c r="M304" s="20">
        <v>5.1299999999999998E-2</v>
      </c>
      <c r="N304" s="20">
        <v>5.1299999999999998E-2</v>
      </c>
      <c r="O304" s="20">
        <v>5.1299999999999998E-2</v>
      </c>
      <c r="P304" s="20">
        <v>5.1299999999999998E-2</v>
      </c>
    </row>
    <row r="305" spans="1:16" ht="14.4" x14ac:dyDescent="0.3">
      <c r="A305" s="18" t="s">
        <v>28</v>
      </c>
      <c r="B305" s="18"/>
      <c r="C305" s="16" t="s">
        <v>23</v>
      </c>
      <c r="D305" s="23">
        <v>182.66</v>
      </c>
      <c r="E305" s="23">
        <v>182.66</v>
      </c>
      <c r="F305" s="23">
        <v>182.66</v>
      </c>
      <c r="G305" s="23">
        <v>182.66</v>
      </c>
      <c r="H305" s="23">
        <v>182.66</v>
      </c>
      <c r="I305" s="23">
        <v>182.66</v>
      </c>
      <c r="J305" s="23">
        <v>182.66</v>
      </c>
      <c r="K305" s="23">
        <v>182.66</v>
      </c>
      <c r="L305" s="23">
        <v>182.66</v>
      </c>
      <c r="M305" s="23">
        <v>182.66</v>
      </c>
      <c r="N305" s="23">
        <v>182.66</v>
      </c>
      <c r="O305" s="23">
        <v>182.66</v>
      </c>
      <c r="P305" s="23">
        <v>182.66</v>
      </c>
    </row>
    <row r="306" spans="1:16" ht="14.4" x14ac:dyDescent="0.3">
      <c r="A306" s="14" t="s">
        <v>29</v>
      </c>
      <c r="B306" s="14"/>
      <c r="C306" s="16"/>
      <c r="D306" s="24"/>
      <c r="E306" s="24"/>
      <c r="F306" s="24"/>
      <c r="G306" s="24"/>
      <c r="H306" s="24"/>
      <c r="I306" s="24"/>
      <c r="J306" s="24"/>
      <c r="K306" s="24"/>
      <c r="L306" s="24"/>
      <c r="M306" s="24"/>
      <c r="N306" s="24"/>
      <c r="O306" s="24"/>
      <c r="P306" s="24"/>
    </row>
    <row r="307" spans="1:16" ht="14.4" x14ac:dyDescent="0.3">
      <c r="A307" s="18" t="s">
        <v>30</v>
      </c>
      <c r="B307" s="18"/>
      <c r="C307" s="16" t="s">
        <v>19</v>
      </c>
      <c r="D307" s="52" t="s">
        <v>61</v>
      </c>
      <c r="E307" s="52" t="s">
        <v>61</v>
      </c>
      <c r="F307" s="52" t="s">
        <v>61</v>
      </c>
      <c r="G307" s="52" t="s">
        <v>61</v>
      </c>
      <c r="H307" s="52" t="s">
        <v>61</v>
      </c>
      <c r="I307" s="52" t="s">
        <v>61</v>
      </c>
      <c r="J307" s="52" t="s">
        <v>61</v>
      </c>
      <c r="K307" s="52" t="s">
        <v>61</v>
      </c>
      <c r="L307" s="52" t="s">
        <v>61</v>
      </c>
      <c r="M307" s="52" t="s">
        <v>61</v>
      </c>
      <c r="N307" s="52" t="s">
        <v>61</v>
      </c>
      <c r="O307" s="52" t="s">
        <v>61</v>
      </c>
      <c r="P307" s="52" t="s">
        <v>61</v>
      </c>
    </row>
    <row r="308" spans="1:16" ht="14.4" x14ac:dyDescent="0.3">
      <c r="A308" s="18" t="s">
        <v>31</v>
      </c>
      <c r="B308" s="18"/>
      <c r="C308" s="16" t="s">
        <v>32</v>
      </c>
      <c r="D308" s="52" t="s">
        <v>62</v>
      </c>
      <c r="E308" s="52" t="s">
        <v>62</v>
      </c>
      <c r="F308" s="52" t="s">
        <v>62</v>
      </c>
      <c r="G308" s="52" t="s">
        <v>62</v>
      </c>
      <c r="H308" s="52" t="s">
        <v>62</v>
      </c>
      <c r="I308" s="52" t="s">
        <v>62</v>
      </c>
      <c r="J308" s="52" t="s">
        <v>62</v>
      </c>
      <c r="K308" s="52" t="s">
        <v>62</v>
      </c>
      <c r="L308" s="52" t="s">
        <v>62</v>
      </c>
      <c r="M308" s="52" t="s">
        <v>62</v>
      </c>
      <c r="N308" s="52" t="s">
        <v>62</v>
      </c>
      <c r="O308" s="52" t="s">
        <v>62</v>
      </c>
      <c r="P308" s="52" t="s">
        <v>62</v>
      </c>
    </row>
    <row r="309" spans="1:16" ht="14.4" x14ac:dyDescent="0.3">
      <c r="A309" s="14" t="s">
        <v>33</v>
      </c>
      <c r="B309" s="14"/>
      <c r="C309" s="16"/>
      <c r="D309" s="24"/>
      <c r="E309" s="24"/>
      <c r="F309" s="24"/>
      <c r="G309" s="24"/>
      <c r="H309" s="24"/>
      <c r="I309" s="24"/>
      <c r="J309" s="24"/>
      <c r="K309" s="24"/>
      <c r="L309" s="24"/>
      <c r="M309" s="24"/>
      <c r="N309" s="24"/>
      <c r="O309" s="24"/>
      <c r="P309" s="24"/>
    </row>
    <row r="310" spans="1:16" ht="14.4" x14ac:dyDescent="0.3">
      <c r="A310" s="18" t="s">
        <v>34</v>
      </c>
      <c r="B310" s="18"/>
      <c r="C310" s="16" t="s">
        <v>19</v>
      </c>
      <c r="D310" s="20">
        <v>0</v>
      </c>
      <c r="E310" s="20">
        <v>0</v>
      </c>
      <c r="F310" s="20">
        <v>0</v>
      </c>
      <c r="G310" s="20">
        <v>0</v>
      </c>
      <c r="H310" s="20">
        <v>0</v>
      </c>
      <c r="I310" s="20">
        <v>0</v>
      </c>
      <c r="J310" s="20">
        <v>0</v>
      </c>
      <c r="K310" s="20">
        <v>0</v>
      </c>
      <c r="L310" s="20">
        <v>0</v>
      </c>
      <c r="M310" s="20">
        <v>0</v>
      </c>
      <c r="N310" s="20">
        <v>0</v>
      </c>
      <c r="O310" s="20">
        <v>0</v>
      </c>
      <c r="P310" s="20">
        <v>0</v>
      </c>
    </row>
    <row r="311" spans="1:16" ht="14.4" x14ac:dyDescent="0.3">
      <c r="A311" s="18" t="s">
        <v>35</v>
      </c>
      <c r="B311" s="18"/>
      <c r="C311" s="16" t="s">
        <v>36</v>
      </c>
      <c r="D311" s="52" t="s">
        <v>63</v>
      </c>
      <c r="E311" s="52" t="s">
        <v>63</v>
      </c>
      <c r="F311" s="52" t="s">
        <v>63</v>
      </c>
      <c r="G311" s="52" t="s">
        <v>63</v>
      </c>
      <c r="H311" s="52" t="s">
        <v>63</v>
      </c>
      <c r="I311" s="52" t="s">
        <v>63</v>
      </c>
      <c r="J311" s="52" t="s">
        <v>63</v>
      </c>
      <c r="K311" s="52" t="s">
        <v>63</v>
      </c>
      <c r="L311" s="52" t="s">
        <v>63</v>
      </c>
      <c r="M311" s="52" t="s">
        <v>63</v>
      </c>
      <c r="N311" s="52" t="s">
        <v>63</v>
      </c>
      <c r="O311" s="52" t="s">
        <v>63</v>
      </c>
      <c r="P311" s="52" t="s">
        <v>63</v>
      </c>
    </row>
    <row r="312" spans="1:16" ht="14.4" x14ac:dyDescent="0.3">
      <c r="A312" s="14" t="s">
        <v>37</v>
      </c>
      <c r="B312" s="14"/>
      <c r="C312" s="16"/>
      <c r="D312" s="24"/>
      <c r="E312" s="24"/>
      <c r="F312" s="24"/>
      <c r="G312" s="24"/>
      <c r="H312" s="24"/>
      <c r="I312" s="24"/>
      <c r="J312" s="24"/>
      <c r="K312" s="24"/>
      <c r="L312" s="24"/>
      <c r="M312" s="24"/>
      <c r="N312" s="24"/>
      <c r="O312" s="24"/>
      <c r="P312" s="24"/>
    </row>
    <row r="313" spans="1:16" ht="14.4" x14ac:dyDescent="0.3">
      <c r="A313" s="25" t="s">
        <v>38</v>
      </c>
      <c r="B313" s="18"/>
      <c r="C313" s="16" t="s">
        <v>19</v>
      </c>
      <c r="D313" s="20">
        <f>[44]LD!E30</f>
        <v>9.4799999999999995E-2</v>
      </c>
      <c r="E313" s="20">
        <f>[44]LD!F30</f>
        <v>9.9000000000000005E-2</v>
      </c>
      <c r="F313" s="20">
        <f>[44]LD!G30</f>
        <v>9.8100000000000007E-2</v>
      </c>
      <c r="G313" s="20">
        <f>[44]LD!H30</f>
        <v>0.10100000000000001</v>
      </c>
      <c r="H313" s="20">
        <f>[44]LD!I30</f>
        <v>7.46E-2</v>
      </c>
      <c r="I313" s="20">
        <f>[44]LD!J30</f>
        <v>6.5799999999999997E-2</v>
      </c>
      <c r="J313" s="20">
        <f>[44]LD!K30</f>
        <v>6.2E-2</v>
      </c>
      <c r="K313" s="20">
        <f>[44]LD!L30</f>
        <v>7.5999999999999998E-2</v>
      </c>
      <c r="L313" s="20">
        <f>[44]LD!M30</f>
        <v>7.1499999999999994E-2</v>
      </c>
      <c r="M313" s="20">
        <f>[44]LD!N30</f>
        <v>7.2599999999999998E-2</v>
      </c>
      <c r="N313" s="20">
        <f>[44]LD!O30</f>
        <v>7.9799999999999996E-2</v>
      </c>
      <c r="O313" s="20">
        <f>[44]LD!P30</f>
        <v>7.6999999999999999E-2</v>
      </c>
      <c r="P313" s="20">
        <f>[44]LD!Q30</f>
        <v>0</v>
      </c>
    </row>
    <row r="314" spans="1:16" ht="14.4" x14ac:dyDescent="0.3">
      <c r="A314" s="25" t="s">
        <v>39</v>
      </c>
      <c r="B314" s="18"/>
      <c r="C314" s="16" t="s">
        <v>19</v>
      </c>
      <c r="D314" s="20">
        <v>0</v>
      </c>
      <c r="E314" s="20">
        <v>0</v>
      </c>
      <c r="F314" s="20">
        <v>0</v>
      </c>
      <c r="G314" s="20">
        <v>0</v>
      </c>
      <c r="H314" s="20">
        <v>0</v>
      </c>
      <c r="I314" s="20">
        <v>0</v>
      </c>
      <c r="J314" s="20">
        <v>0</v>
      </c>
      <c r="K314" s="20">
        <v>0</v>
      </c>
      <c r="L314" s="20">
        <v>0</v>
      </c>
      <c r="M314" s="20">
        <v>0</v>
      </c>
      <c r="N314" s="20">
        <v>0</v>
      </c>
      <c r="O314" s="20">
        <v>0</v>
      </c>
      <c r="P314" s="20">
        <v>0</v>
      </c>
    </row>
    <row r="315" spans="1:16" ht="14.4" x14ac:dyDescent="0.3">
      <c r="A315" s="26" t="s">
        <v>40</v>
      </c>
      <c r="B315" s="18"/>
      <c r="C315" s="16" t="s">
        <v>19</v>
      </c>
      <c r="D315" s="20">
        <f>'[44]SR CIT. SUBSIDY'!E95</f>
        <v>1E-4</v>
      </c>
      <c r="E315" s="20">
        <f>'[44]SR CIT. SUBSIDY'!F95</f>
        <v>1E-4</v>
      </c>
      <c r="F315" s="20">
        <f>'[44]SR CIT. SUBSIDY'!G95</f>
        <v>1E-4</v>
      </c>
      <c r="G315" s="20">
        <f>'[44]SR CIT. SUBSIDY'!H95</f>
        <v>1E-4</v>
      </c>
      <c r="H315" s="20">
        <f>'[44]SR CIT. SUBSIDY'!I95</f>
        <v>1E-4</v>
      </c>
      <c r="I315" s="20">
        <f>'[44]SR CIT. SUBSIDY'!J95</f>
        <v>1E-4</v>
      </c>
      <c r="J315" s="20">
        <f>'[44]SR CIT. SUBSIDY'!K95</f>
        <v>1E-4</v>
      </c>
      <c r="K315" s="20">
        <f>'[44]SR CIT. SUBSIDY'!L95</f>
        <v>1E-4</v>
      </c>
      <c r="L315" s="20">
        <f>'[44]SR CIT. SUBSIDY'!M95</f>
        <v>1E-4</v>
      </c>
      <c r="M315" s="20">
        <f>'[44]SR CIT. SUBSIDY'!N95</f>
        <v>1E-4</v>
      </c>
      <c r="N315" s="20">
        <f>'[44]SR CIT. SUBSIDY'!O95</f>
        <v>1E-4</v>
      </c>
      <c r="O315" s="20">
        <f>'[44]SR CIT. SUBSIDY'!P95</f>
        <v>1E-4</v>
      </c>
      <c r="P315" s="20">
        <f>'[44]SR CIT. SUBSIDY'!Q95</f>
        <v>0</v>
      </c>
    </row>
    <row r="316" spans="1:16" ht="14.4" x14ac:dyDescent="0.3">
      <c r="A316" s="26" t="s">
        <v>41</v>
      </c>
      <c r="B316" s="18"/>
      <c r="C316" s="16" t="s">
        <v>19</v>
      </c>
      <c r="D316" s="20">
        <v>0</v>
      </c>
      <c r="E316" s="20">
        <v>0</v>
      </c>
      <c r="F316" s="20">
        <v>0</v>
      </c>
      <c r="G316" s="20">
        <v>0</v>
      </c>
      <c r="H316" s="20">
        <v>0</v>
      </c>
      <c r="I316" s="20">
        <v>0</v>
      </c>
      <c r="J316" s="20">
        <v>0</v>
      </c>
      <c r="K316" s="20">
        <v>0</v>
      </c>
      <c r="L316" s="20">
        <v>0</v>
      </c>
      <c r="M316" s="20">
        <v>0</v>
      </c>
      <c r="N316" s="20">
        <v>0</v>
      </c>
      <c r="O316" s="20">
        <v>0</v>
      </c>
      <c r="P316" s="20">
        <v>0</v>
      </c>
    </row>
    <row r="317" spans="1:16" ht="14.4" x14ac:dyDescent="0.3">
      <c r="A317" s="14" t="s">
        <v>42</v>
      </c>
      <c r="B317" s="14"/>
      <c r="C317" s="16"/>
      <c r="D317" s="24"/>
      <c r="E317" s="24"/>
      <c r="F317" s="24"/>
      <c r="G317" s="24"/>
      <c r="H317" s="24"/>
      <c r="I317" s="24"/>
      <c r="J317" s="24"/>
      <c r="K317" s="24"/>
      <c r="L317" s="24"/>
      <c r="M317" s="24"/>
      <c r="N317" s="24"/>
      <c r="O317" s="24"/>
      <c r="P317" s="24"/>
    </row>
    <row r="318" spans="1:16" ht="14.4" x14ac:dyDescent="0.3">
      <c r="A318" s="14" t="s">
        <v>43</v>
      </c>
      <c r="B318" s="14"/>
      <c r="C318" s="16" t="s">
        <v>44</v>
      </c>
      <c r="D318" s="27"/>
      <c r="E318" s="27"/>
      <c r="F318" s="27"/>
      <c r="G318" s="27"/>
      <c r="H318" s="27"/>
      <c r="I318" s="27"/>
      <c r="J318" s="27"/>
      <c r="K318" s="27"/>
      <c r="L318" s="27"/>
      <c r="M318" s="27"/>
      <c r="N318" s="27"/>
      <c r="O318" s="27"/>
      <c r="P318" s="27"/>
    </row>
    <row r="319" spans="1:16" ht="14.4" x14ac:dyDescent="0.3">
      <c r="A319" s="14" t="s">
        <v>45</v>
      </c>
      <c r="B319" s="14"/>
      <c r="C319" s="16"/>
      <c r="D319" s="28"/>
      <c r="E319" s="28"/>
      <c r="F319" s="28"/>
      <c r="G319" s="28"/>
      <c r="H319" s="28"/>
      <c r="I319" s="28"/>
      <c r="J319" s="28"/>
      <c r="K319" s="28"/>
      <c r="L319" s="28"/>
      <c r="M319" s="28"/>
      <c r="N319" s="28"/>
      <c r="O319" s="28"/>
      <c r="P319" s="28"/>
    </row>
    <row r="320" spans="1:16" ht="14.4" x14ac:dyDescent="0.3">
      <c r="A320" s="14" t="s">
        <v>46</v>
      </c>
      <c r="B320" s="14"/>
      <c r="C320" s="16" t="s">
        <v>19</v>
      </c>
      <c r="D320" s="20">
        <v>0</v>
      </c>
      <c r="E320" s="20">
        <v>0</v>
      </c>
      <c r="F320" s="20">
        <v>0</v>
      </c>
      <c r="G320" s="20">
        <v>0</v>
      </c>
      <c r="H320" s="20">
        <v>0</v>
      </c>
      <c r="I320" s="20">
        <v>0</v>
      </c>
      <c r="J320" s="20">
        <v>0</v>
      </c>
      <c r="K320" s="20">
        <v>0</v>
      </c>
      <c r="L320" s="20">
        <v>0</v>
      </c>
      <c r="M320" s="20">
        <v>0</v>
      </c>
      <c r="N320" s="20">
        <v>0</v>
      </c>
      <c r="O320" s="20">
        <v>0</v>
      </c>
      <c r="P320" s="20">
        <v>0</v>
      </c>
    </row>
    <row r="321" spans="1:16" ht="14.4" x14ac:dyDescent="0.3">
      <c r="A321" s="14" t="s">
        <v>47</v>
      </c>
      <c r="B321" s="14"/>
      <c r="C321" s="16"/>
      <c r="D321" s="24"/>
      <c r="E321" s="24"/>
      <c r="F321" s="24"/>
      <c r="G321" s="24"/>
      <c r="H321" s="24"/>
      <c r="I321" s="24"/>
      <c r="J321" s="24"/>
      <c r="K321" s="24"/>
      <c r="L321" s="24"/>
      <c r="M321" s="24"/>
      <c r="N321" s="24"/>
      <c r="O321" s="24"/>
      <c r="P321" s="24"/>
    </row>
    <row r="322" spans="1:16" ht="14.4" x14ac:dyDescent="0.3">
      <c r="A322" s="18" t="s">
        <v>48</v>
      </c>
      <c r="B322" s="18"/>
      <c r="C322" s="16" t="s">
        <v>19</v>
      </c>
      <c r="D322" s="20">
        <f>D280</f>
        <v>0.15609999999999999</v>
      </c>
      <c r="E322" s="20">
        <f t="shared" ref="E322:P322" si="23">E280</f>
        <v>0.15609999999999999</v>
      </c>
      <c r="F322" s="20">
        <f t="shared" si="23"/>
        <v>0.15609999999999999</v>
      </c>
      <c r="G322" s="20">
        <f t="shared" si="23"/>
        <v>0.15609999999999999</v>
      </c>
      <c r="H322" s="20">
        <f t="shared" si="23"/>
        <v>0.15609999999999999</v>
      </c>
      <c r="I322" s="20">
        <f t="shared" si="23"/>
        <v>0.15609999999999999</v>
      </c>
      <c r="J322" s="20">
        <f t="shared" si="23"/>
        <v>0.15609999999999999</v>
      </c>
      <c r="K322" s="20">
        <f t="shared" si="23"/>
        <v>0.15609999999999999</v>
      </c>
      <c r="L322" s="20">
        <f t="shared" si="23"/>
        <v>0.15609999999999999</v>
      </c>
      <c r="M322" s="20">
        <f t="shared" si="23"/>
        <v>0.15609999999999999</v>
      </c>
      <c r="N322" s="20">
        <f t="shared" si="23"/>
        <v>0.15609999999999999</v>
      </c>
      <c r="O322" s="20">
        <f t="shared" si="23"/>
        <v>0.15609999999999999</v>
      </c>
      <c r="P322" s="20">
        <f t="shared" si="23"/>
        <v>0.15609999999999999</v>
      </c>
    </row>
    <row r="323" spans="1:16" ht="14.4" x14ac:dyDescent="0.3">
      <c r="A323" s="18" t="s">
        <v>49</v>
      </c>
      <c r="B323" s="18"/>
      <c r="C323" s="16" t="s">
        <v>19</v>
      </c>
      <c r="D323" s="20">
        <f t="shared" ref="D323:P325" si="24">D281</f>
        <v>2.5000000000000001E-3</v>
      </c>
      <c r="E323" s="20">
        <f t="shared" si="24"/>
        <v>2.5000000000000001E-3</v>
      </c>
      <c r="F323" s="20">
        <f t="shared" si="24"/>
        <v>2.5000000000000001E-3</v>
      </c>
      <c r="G323" s="20">
        <f t="shared" si="24"/>
        <v>2.5000000000000001E-3</v>
      </c>
      <c r="H323" s="20">
        <f t="shared" si="24"/>
        <v>2.5000000000000001E-3</v>
      </c>
      <c r="I323" s="20">
        <f t="shared" si="24"/>
        <v>2.5000000000000001E-3</v>
      </c>
      <c r="J323" s="20">
        <f t="shared" si="24"/>
        <v>2.5000000000000001E-3</v>
      </c>
      <c r="K323" s="20">
        <f t="shared" si="24"/>
        <v>2.5000000000000001E-3</v>
      </c>
      <c r="L323" s="20">
        <f t="shared" si="24"/>
        <v>2.5000000000000001E-3</v>
      </c>
      <c r="M323" s="20">
        <f t="shared" si="24"/>
        <v>2.5000000000000001E-3</v>
      </c>
      <c r="N323" s="20">
        <f t="shared" si="24"/>
        <v>2.5000000000000001E-3</v>
      </c>
      <c r="O323" s="20">
        <f t="shared" si="24"/>
        <v>2.5000000000000001E-3</v>
      </c>
      <c r="P323" s="20">
        <f t="shared" si="24"/>
        <v>2.5000000000000001E-3</v>
      </c>
    </row>
    <row r="324" spans="1:16" ht="14.4" x14ac:dyDescent="0.3">
      <c r="A324" s="18" t="s">
        <v>50</v>
      </c>
      <c r="B324" s="18"/>
      <c r="C324" s="16" t="s">
        <v>19</v>
      </c>
      <c r="D324" s="20">
        <f t="shared" si="24"/>
        <v>0.1938</v>
      </c>
      <c r="E324" s="20">
        <f t="shared" si="24"/>
        <v>0.1938</v>
      </c>
      <c r="F324" s="20">
        <f t="shared" si="24"/>
        <v>0.1938</v>
      </c>
      <c r="G324" s="20">
        <f t="shared" si="24"/>
        <v>0.1938</v>
      </c>
      <c r="H324" s="20">
        <f t="shared" si="24"/>
        <v>0.1938</v>
      </c>
      <c r="I324" s="20">
        <f t="shared" si="24"/>
        <v>0.1938</v>
      </c>
      <c r="J324" s="20">
        <f t="shared" si="24"/>
        <v>0.1938</v>
      </c>
      <c r="K324" s="20">
        <f t="shared" si="24"/>
        <v>0.1938</v>
      </c>
      <c r="L324" s="20">
        <f t="shared" si="24"/>
        <v>0.1938</v>
      </c>
      <c r="M324" s="20">
        <f t="shared" si="24"/>
        <v>0.1938</v>
      </c>
      <c r="N324" s="20">
        <f t="shared" si="24"/>
        <v>0.1938</v>
      </c>
      <c r="O324" s="20">
        <f t="shared" si="24"/>
        <v>0.1938</v>
      </c>
      <c r="P324" s="20">
        <f t="shared" si="24"/>
        <v>0.1938</v>
      </c>
    </row>
    <row r="325" spans="1:16" ht="14.4" x14ac:dyDescent="0.3">
      <c r="A325" s="14" t="s">
        <v>51</v>
      </c>
      <c r="B325" s="14"/>
      <c r="C325" s="16" t="s">
        <v>19</v>
      </c>
      <c r="D325" s="20">
        <f>D283</f>
        <v>4.0599999999999997E-2</v>
      </c>
      <c r="E325" s="20">
        <f t="shared" si="24"/>
        <v>4.0599999999999997E-2</v>
      </c>
      <c r="F325" s="20">
        <f t="shared" si="24"/>
        <v>4.0599999999999997E-2</v>
      </c>
      <c r="G325" s="20">
        <f t="shared" si="24"/>
        <v>0.124</v>
      </c>
      <c r="H325" s="20">
        <f t="shared" si="24"/>
        <v>0.124</v>
      </c>
      <c r="I325" s="20">
        <f t="shared" si="24"/>
        <v>0.124</v>
      </c>
      <c r="J325" s="20">
        <f t="shared" si="24"/>
        <v>0.124</v>
      </c>
      <c r="K325" s="20">
        <f t="shared" si="24"/>
        <v>0.124</v>
      </c>
      <c r="L325" s="20">
        <f t="shared" si="24"/>
        <v>0.124</v>
      </c>
      <c r="M325" s="20">
        <f t="shared" si="24"/>
        <v>0.124</v>
      </c>
      <c r="N325" s="20">
        <f t="shared" si="24"/>
        <v>0.124</v>
      </c>
      <c r="O325" s="20">
        <f t="shared" si="24"/>
        <v>0.124</v>
      </c>
      <c r="P325" s="20">
        <f t="shared" si="24"/>
        <v>0.124</v>
      </c>
    </row>
    <row r="326" spans="1:16" ht="14.4" x14ac:dyDescent="0.3">
      <c r="A326" s="14" t="s">
        <v>52</v>
      </c>
      <c r="B326" s="14"/>
      <c r="C326" s="29"/>
      <c r="D326" s="22"/>
      <c r="E326" s="22"/>
      <c r="F326" s="22"/>
      <c r="G326" s="22"/>
      <c r="H326" s="22"/>
      <c r="I326" s="22"/>
      <c r="J326" s="22"/>
      <c r="K326" s="22"/>
      <c r="L326" s="22"/>
      <c r="M326" s="22"/>
      <c r="N326" s="22"/>
      <c r="O326" s="22"/>
      <c r="P326" s="22"/>
    </row>
    <row r="327" spans="1:16" ht="14.4" x14ac:dyDescent="0.3">
      <c r="A327" s="18" t="s">
        <v>53</v>
      </c>
      <c r="B327" s="18"/>
      <c r="C327" s="16" t="s">
        <v>44</v>
      </c>
      <c r="D327" s="30">
        <f>'[44]DU VAT'!D16</f>
        <v>0.1139</v>
      </c>
      <c r="E327" s="30">
        <f>'[44]DU VAT'!E16</f>
        <v>0.115</v>
      </c>
      <c r="F327" s="30">
        <f>'[44]DU VAT'!F16</f>
        <v>0.1143</v>
      </c>
      <c r="G327" s="30">
        <f>'[44]DU VAT'!G16</f>
        <v>0.11310000000000001</v>
      </c>
      <c r="H327" s="30">
        <f>'[44]DU VAT'!H16</f>
        <v>0.11020000000000001</v>
      </c>
      <c r="I327" s="30">
        <f>'[44]DU VAT'!I16</f>
        <v>0.1116</v>
      </c>
      <c r="J327" s="30">
        <f>'[44]DU VAT'!J16</f>
        <v>0.10920000000000001</v>
      </c>
      <c r="K327" s="30">
        <f>'[44]DU VAT'!K16</f>
        <v>0.1138</v>
      </c>
      <c r="L327" s="30">
        <f>'[44]DU VAT'!L16</f>
        <v>0.1072</v>
      </c>
      <c r="M327" s="30">
        <f>'[44]DU VAT'!M16</f>
        <v>0.11219999999999999</v>
      </c>
      <c r="N327" s="30">
        <f>'[44]DU VAT'!N16</f>
        <v>0.1101</v>
      </c>
      <c r="O327" s="30">
        <f>'[44]DU VAT'!O16</f>
        <v>0.11020000000000001</v>
      </c>
      <c r="P327" s="30" t="e">
        <f>'[44]DU VAT'!P16</f>
        <v>#DIV/0!</v>
      </c>
    </row>
    <row r="328" spans="1:16" ht="14.4" x14ac:dyDescent="0.3">
      <c r="A328" s="18" t="s">
        <v>54</v>
      </c>
      <c r="B328" s="18"/>
      <c r="C328" s="16" t="s">
        <v>44</v>
      </c>
      <c r="D328" s="30">
        <f>'[44]DU VAT'!D23</f>
        <v>5.5999999999999999E-3</v>
      </c>
      <c r="E328" s="30">
        <f>'[44]DU VAT'!E23</f>
        <v>1.52E-2</v>
      </c>
      <c r="F328" s="30">
        <f>'[44]DU VAT'!F23</f>
        <v>2.0400000000000001E-2</v>
      </c>
      <c r="G328" s="30">
        <f>'[44]DU VAT'!G23</f>
        <v>2.7199999999999998E-2</v>
      </c>
      <c r="H328" s="30">
        <f>'[44]DU VAT'!H23</f>
        <v>3.44E-2</v>
      </c>
      <c r="I328" s="30">
        <f>'[44]DU VAT'!I23</f>
        <v>3.9199999999999999E-2</v>
      </c>
      <c r="J328" s="30">
        <f>'[44]DU VAT'!J23</f>
        <v>2.3900000000000001E-2</v>
      </c>
      <c r="K328" s="30">
        <f>'[44]DU VAT'!K23</f>
        <v>3.39E-2</v>
      </c>
      <c r="L328" s="30">
        <f>'[44]DU VAT'!L23</f>
        <v>2.81E-2</v>
      </c>
      <c r="M328" s="30">
        <f>'[44]DU VAT'!M23</f>
        <v>1.1599999999999999E-2</v>
      </c>
      <c r="N328" s="30">
        <f>'[44]DU VAT'!N23</f>
        <v>1.17E-2</v>
      </c>
      <c r="O328" s="30">
        <f>'[44]DU VAT'!O23</f>
        <v>6.3E-3</v>
      </c>
      <c r="P328" s="30" t="e">
        <f>'[44]DU VAT'!P23</f>
        <v>#DIV/0!</v>
      </c>
    </row>
    <row r="329" spans="1:16" ht="14.4" x14ac:dyDescent="0.3">
      <c r="A329" s="18" t="s">
        <v>55</v>
      </c>
      <c r="B329" s="18"/>
      <c r="C329" s="16" t="s">
        <v>44</v>
      </c>
      <c r="D329" s="30">
        <f>'[44]DU VAT'!D30</f>
        <v>9.5000000000000001E-2</v>
      </c>
      <c r="E329" s="30">
        <f>'[44]DU VAT'!E30</f>
        <v>9.7000000000000003E-2</v>
      </c>
      <c r="F329" s="30">
        <f>'[44]DU VAT'!F30</f>
        <v>9.7100000000000006E-2</v>
      </c>
      <c r="G329" s="30">
        <f>'[44]DU VAT'!G30</f>
        <v>9.7000000000000003E-2</v>
      </c>
      <c r="H329" s="30">
        <f>'[44]DU VAT'!H30</f>
        <v>9.7100000000000006E-2</v>
      </c>
      <c r="I329" s="30">
        <f>'[44]DU VAT'!I30</f>
        <v>9.7699999999999995E-2</v>
      </c>
      <c r="J329" s="30">
        <f>'[44]DU VAT'!J30</f>
        <v>9.5200000000000007E-2</v>
      </c>
      <c r="K329" s="30">
        <f>'[44]DU VAT'!K30</f>
        <v>9.8100000000000007E-2</v>
      </c>
      <c r="L329" s="30">
        <f>'[44]DU VAT'!L30</f>
        <v>9.3600000000000003E-2</v>
      </c>
      <c r="M329" s="30">
        <f>'[44]DU VAT'!M30</f>
        <v>9.5799999999999996E-2</v>
      </c>
      <c r="N329" s="30">
        <f>'[44]DU VAT'!N30</f>
        <v>9.4E-2</v>
      </c>
      <c r="O329" s="30">
        <f>'[44]DU VAT'!O30</f>
        <v>9.3600000000000003E-2</v>
      </c>
      <c r="P329" s="30" t="e">
        <f>'[44]DU VAT'!P30</f>
        <v>#DIV/0!</v>
      </c>
    </row>
    <row r="330" spans="1:16" ht="14.4" x14ac:dyDescent="0.3">
      <c r="A330" s="18" t="s">
        <v>56</v>
      </c>
      <c r="B330" s="18"/>
      <c r="C330" s="16" t="s">
        <v>44</v>
      </c>
      <c r="D330" s="30">
        <f>D288</f>
        <v>0.12</v>
      </c>
      <c r="E330" s="30">
        <f t="shared" ref="E330:P331" si="25">E288</f>
        <v>0.12</v>
      </c>
      <c r="F330" s="30">
        <f t="shared" si="25"/>
        <v>0.12</v>
      </c>
      <c r="G330" s="30">
        <f t="shared" si="25"/>
        <v>0.12</v>
      </c>
      <c r="H330" s="30">
        <f t="shared" si="25"/>
        <v>0.12</v>
      </c>
      <c r="I330" s="30">
        <f t="shared" si="25"/>
        <v>0.12</v>
      </c>
      <c r="J330" s="30">
        <f t="shared" si="25"/>
        <v>0.12</v>
      </c>
      <c r="K330" s="30">
        <f t="shared" si="25"/>
        <v>0.12</v>
      </c>
      <c r="L330" s="30">
        <f t="shared" si="25"/>
        <v>0.12</v>
      </c>
      <c r="M330" s="30">
        <f t="shared" si="25"/>
        <v>0.12</v>
      </c>
      <c r="N330" s="30">
        <f t="shared" si="25"/>
        <v>0.12</v>
      </c>
      <c r="O330" s="30">
        <f t="shared" si="25"/>
        <v>0.12</v>
      </c>
      <c r="P330" s="30">
        <f t="shared" si="25"/>
        <v>0.12</v>
      </c>
    </row>
    <row r="331" spans="1:16" ht="14.4" x14ac:dyDescent="0.3">
      <c r="A331" s="18" t="s">
        <v>57</v>
      </c>
      <c r="B331" s="18"/>
      <c r="C331" s="16" t="s">
        <v>44</v>
      </c>
      <c r="D331" s="30">
        <f>D289</f>
        <v>0.12</v>
      </c>
      <c r="E331" s="30">
        <f t="shared" si="25"/>
        <v>0.12</v>
      </c>
      <c r="F331" s="30">
        <f t="shared" si="25"/>
        <v>0.12</v>
      </c>
      <c r="G331" s="30">
        <f t="shared" si="25"/>
        <v>0.12</v>
      </c>
      <c r="H331" s="30">
        <f t="shared" si="25"/>
        <v>0.12</v>
      </c>
      <c r="I331" s="30">
        <f t="shared" si="25"/>
        <v>0.12</v>
      </c>
      <c r="J331" s="30">
        <f t="shared" si="25"/>
        <v>0.12</v>
      </c>
      <c r="K331" s="30">
        <f t="shared" si="25"/>
        <v>0.12</v>
      </c>
      <c r="L331" s="30">
        <f t="shared" si="25"/>
        <v>0.12</v>
      </c>
      <c r="M331" s="30">
        <f t="shared" si="25"/>
        <v>0.12</v>
      </c>
      <c r="N331" s="30">
        <f t="shared" si="25"/>
        <v>0.12</v>
      </c>
      <c r="O331" s="30">
        <f t="shared" si="25"/>
        <v>0.12</v>
      </c>
      <c r="P331" s="30">
        <f t="shared" si="25"/>
        <v>0.12</v>
      </c>
    </row>
    <row r="332" spans="1:16" s="5" customFormat="1" ht="14.4" x14ac:dyDescent="0.3">
      <c r="A332" s="55"/>
      <c r="B332" s="55"/>
      <c r="C332" s="56"/>
      <c r="D332" s="57"/>
      <c r="E332" s="57"/>
      <c r="F332" s="57"/>
      <c r="G332" s="57"/>
      <c r="H332" s="57"/>
      <c r="I332" s="57"/>
      <c r="J332" s="57"/>
      <c r="K332" s="57"/>
      <c r="L332" s="57"/>
      <c r="M332" s="57"/>
      <c r="N332" s="57"/>
      <c r="O332" s="57"/>
      <c r="P332" s="57"/>
    </row>
    <row r="333" spans="1:16" x14ac:dyDescent="0.3">
      <c r="A333" s="3" t="s">
        <v>58</v>
      </c>
    </row>
    <row r="334" spans="1:16" s="5" customFormat="1" ht="14.4" x14ac:dyDescent="0.3">
      <c r="A334" s="55"/>
      <c r="B334" s="55"/>
      <c r="C334" s="56"/>
      <c r="D334" s="57"/>
      <c r="E334" s="57"/>
      <c r="F334" s="57"/>
      <c r="G334" s="57"/>
      <c r="H334" s="57"/>
      <c r="I334" s="57"/>
      <c r="J334" s="57"/>
      <c r="K334" s="57"/>
      <c r="L334" s="57"/>
      <c r="M334" s="57"/>
      <c r="N334" s="57"/>
      <c r="O334" s="57"/>
      <c r="P334" s="57"/>
    </row>
    <row r="335" spans="1:16" ht="18" x14ac:dyDescent="0.35">
      <c r="A335" s="59" t="str">
        <f>'[44]Statistical data'!A149</f>
        <v>General Power-69/115kV</v>
      </c>
      <c r="B335" s="60"/>
      <c r="C335" s="5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</row>
    <row r="336" spans="1:16" s="13" customFormat="1" ht="14.4" x14ac:dyDescent="0.3">
      <c r="A336" s="11" t="s">
        <v>3</v>
      </c>
      <c r="B336" s="11"/>
      <c r="C336" s="11" t="s">
        <v>4</v>
      </c>
      <c r="D336" s="12" t="str">
        <f t="shared" ref="D336:P336" si="26">D294</f>
        <v>JAN</v>
      </c>
      <c r="E336" s="12" t="str">
        <f t="shared" si="26"/>
        <v>FEB</v>
      </c>
      <c r="F336" s="12" t="str">
        <f t="shared" si="26"/>
        <v>MAR</v>
      </c>
      <c r="G336" s="12" t="str">
        <f t="shared" si="26"/>
        <v>APR</v>
      </c>
      <c r="H336" s="12" t="str">
        <f t="shared" si="26"/>
        <v>MAY</v>
      </c>
      <c r="I336" s="12" t="str">
        <f t="shared" si="26"/>
        <v>JUN</v>
      </c>
      <c r="J336" s="12" t="str">
        <f t="shared" si="26"/>
        <v>JUL</v>
      </c>
      <c r="K336" s="12" t="str">
        <f t="shared" si="26"/>
        <v>AUG</v>
      </c>
      <c r="L336" s="12" t="str">
        <f t="shared" si="26"/>
        <v>SEP</v>
      </c>
      <c r="M336" s="12" t="str">
        <f t="shared" si="26"/>
        <v>OCT</v>
      </c>
      <c r="N336" s="12" t="str">
        <f t="shared" si="26"/>
        <v>NOV</v>
      </c>
      <c r="O336" s="12" t="str">
        <f t="shared" si="26"/>
        <v>DEC</v>
      </c>
      <c r="P336" s="12" t="str">
        <f t="shared" si="26"/>
        <v>JAN</v>
      </c>
    </row>
    <row r="337" spans="1:16" ht="14.4" x14ac:dyDescent="0.3">
      <c r="A337" s="14" t="s">
        <v>17</v>
      </c>
      <c r="B337" s="15"/>
      <c r="C337" s="16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</row>
    <row r="338" spans="1:16" ht="14.4" x14ac:dyDescent="0.3">
      <c r="A338" s="18" t="s">
        <v>18</v>
      </c>
      <c r="B338" s="19"/>
      <c r="C338" s="16" t="s">
        <v>19</v>
      </c>
      <c r="D338" s="52" t="s">
        <v>59</v>
      </c>
      <c r="E338" s="52" t="s">
        <v>59</v>
      </c>
      <c r="F338" s="52" t="s">
        <v>59</v>
      </c>
      <c r="G338" s="52" t="s">
        <v>59</v>
      </c>
      <c r="H338" s="52" t="s">
        <v>59</v>
      </c>
      <c r="I338" s="52" t="s">
        <v>59</v>
      </c>
      <c r="J338" s="52" t="s">
        <v>59</v>
      </c>
      <c r="K338" s="52" t="s">
        <v>59</v>
      </c>
      <c r="L338" s="52" t="s">
        <v>59</v>
      </c>
      <c r="M338" s="52" t="s">
        <v>59</v>
      </c>
      <c r="N338" s="52" t="s">
        <v>59</v>
      </c>
      <c r="O338" s="52" t="s">
        <v>59</v>
      </c>
      <c r="P338" s="52" t="s">
        <v>59</v>
      </c>
    </row>
    <row r="339" spans="1:16" ht="14.4" x14ac:dyDescent="0.3">
      <c r="A339" s="14" t="s">
        <v>20</v>
      </c>
      <c r="B339" s="15"/>
      <c r="C339" s="16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</row>
    <row r="340" spans="1:16" ht="14.4" x14ac:dyDescent="0.3">
      <c r="A340" s="18" t="s">
        <v>21</v>
      </c>
      <c r="B340" s="19"/>
      <c r="C340" s="16" t="s">
        <v>19</v>
      </c>
      <c r="D340" s="20">
        <v>0</v>
      </c>
      <c r="E340" s="20">
        <v>0</v>
      </c>
      <c r="F340" s="20">
        <v>0</v>
      </c>
      <c r="G340" s="20">
        <v>0</v>
      </c>
      <c r="H340" s="20">
        <v>0</v>
      </c>
      <c r="I340" s="20">
        <v>0</v>
      </c>
      <c r="J340" s="20">
        <v>0</v>
      </c>
      <c r="K340" s="20">
        <v>0</v>
      </c>
      <c r="L340" s="20">
        <v>0</v>
      </c>
      <c r="M340" s="20">
        <v>0</v>
      </c>
      <c r="N340" s="20">
        <v>0</v>
      </c>
      <c r="O340" s="20">
        <v>0</v>
      </c>
      <c r="P340" s="20">
        <v>0</v>
      </c>
    </row>
    <row r="341" spans="1:16" ht="14.4" x14ac:dyDescent="0.3">
      <c r="A341" s="18" t="s">
        <v>22</v>
      </c>
      <c r="B341" s="19"/>
      <c r="C341" s="16" t="s">
        <v>23</v>
      </c>
      <c r="D341" s="20">
        <f>[44]TR!D59</f>
        <v>255.6875</v>
      </c>
      <c r="E341" s="20">
        <f>[44]TR!E59</f>
        <v>270.60750000000002</v>
      </c>
      <c r="F341" s="20">
        <f>[44]TR!F59</f>
        <v>308.46749999999997</v>
      </c>
      <c r="G341" s="20">
        <f>[44]TR!G59</f>
        <v>285.48750000000001</v>
      </c>
      <c r="H341" s="20">
        <f>[44]TR!H59</f>
        <v>258.82749999999999</v>
      </c>
      <c r="I341" s="20">
        <f>[44]TR!I59</f>
        <v>291.33749999999998</v>
      </c>
      <c r="J341" s="20">
        <f>[44]TR!J59</f>
        <v>271.1875</v>
      </c>
      <c r="K341" s="20">
        <f>[44]TR!K59</f>
        <v>292.84750000000003</v>
      </c>
      <c r="L341" s="20">
        <f>[44]TR!L59</f>
        <v>260.46749999999997</v>
      </c>
      <c r="M341" s="20">
        <f>[44]TR!M59</f>
        <v>235.39750000000001</v>
      </c>
      <c r="N341" s="20">
        <f>[44]TR!N59</f>
        <v>223.7475</v>
      </c>
      <c r="O341" s="20">
        <f>[44]TR!O59</f>
        <v>230.63749999999999</v>
      </c>
      <c r="P341" s="20">
        <f>[44]TR!P59</f>
        <v>0</v>
      </c>
    </row>
    <row r="342" spans="1:16" ht="14.4" x14ac:dyDescent="0.3">
      <c r="A342" s="14" t="s">
        <v>24</v>
      </c>
      <c r="B342" s="15"/>
      <c r="C342" s="16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</row>
    <row r="343" spans="1:16" ht="14.4" x14ac:dyDescent="0.3">
      <c r="A343" s="18" t="s">
        <v>25</v>
      </c>
      <c r="B343" s="19"/>
      <c r="C343" s="16" t="s">
        <v>19</v>
      </c>
      <c r="D343" s="20">
        <f>[44]SLR!D73</f>
        <v>4.3799999999999999E-2</v>
      </c>
      <c r="E343" s="20">
        <f>[44]SLR!E73</f>
        <v>4.8300000000000003E-2</v>
      </c>
      <c r="F343" s="20">
        <f>[44]SLR!F73</f>
        <v>4.2999999999999997E-2</v>
      </c>
      <c r="G343" s="20">
        <f>[44]SLR!G73</f>
        <v>4.53E-2</v>
      </c>
      <c r="H343" s="20">
        <f>[44]SLR!H73</f>
        <v>4.1099999999999998E-2</v>
      </c>
      <c r="I343" s="20">
        <f>[44]SLR!I73</f>
        <v>3.8800000000000001E-2</v>
      </c>
      <c r="J343" s="20">
        <f>[44]SLR!J73</f>
        <v>4.19E-2</v>
      </c>
      <c r="K343" s="20">
        <f>[44]SLR!K73</f>
        <v>4.0500000000000001E-2</v>
      </c>
      <c r="L343" s="20">
        <f>[44]SLR!L73</f>
        <v>0.04</v>
      </c>
      <c r="M343" s="20">
        <f>[44]SLR!M73</f>
        <v>3.78E-2</v>
      </c>
      <c r="N343" s="20">
        <f>[44]SLR!N73</f>
        <v>3.7199999999999997E-2</v>
      </c>
      <c r="O343" s="20">
        <f>[44]SLR!O73</f>
        <v>3.6900000000000002E-2</v>
      </c>
      <c r="P343" s="20" t="e">
        <f>[44]SLR!P73</f>
        <v>#DIV/0!</v>
      </c>
    </row>
    <row r="344" spans="1:16" ht="14.4" x14ac:dyDescent="0.3">
      <c r="A344" s="14" t="s">
        <v>26</v>
      </c>
      <c r="B344" s="14"/>
      <c r="C344" s="16"/>
      <c r="D344" s="22"/>
      <c r="E344" s="22"/>
      <c r="F344" s="22"/>
      <c r="G344" s="22"/>
      <c r="H344" s="22"/>
      <c r="I344" s="22"/>
      <c r="J344" s="22"/>
      <c r="K344" s="22"/>
      <c r="L344" s="22"/>
      <c r="M344" s="22"/>
      <c r="N344" s="22"/>
      <c r="O344" s="22"/>
      <c r="P344" s="22"/>
    </row>
    <row r="345" spans="1:16" ht="14.4" x14ac:dyDescent="0.3">
      <c r="A345" s="18" t="s">
        <v>27</v>
      </c>
      <c r="B345" s="18"/>
      <c r="C345" s="16" t="s">
        <v>19</v>
      </c>
      <c r="D345" s="20">
        <f t="shared" ref="D345:P345" si="27">D304</f>
        <v>5.1299999999999998E-2</v>
      </c>
      <c r="E345" s="20">
        <f t="shared" si="27"/>
        <v>5.1299999999999998E-2</v>
      </c>
      <c r="F345" s="20">
        <f t="shared" si="27"/>
        <v>5.1299999999999998E-2</v>
      </c>
      <c r="G345" s="20">
        <f t="shared" si="27"/>
        <v>5.1299999999999998E-2</v>
      </c>
      <c r="H345" s="20">
        <f t="shared" si="27"/>
        <v>5.1299999999999998E-2</v>
      </c>
      <c r="I345" s="20">
        <f t="shared" si="27"/>
        <v>5.1299999999999998E-2</v>
      </c>
      <c r="J345" s="20">
        <f t="shared" si="27"/>
        <v>5.1299999999999998E-2</v>
      </c>
      <c r="K345" s="20">
        <f t="shared" si="27"/>
        <v>5.1299999999999998E-2</v>
      </c>
      <c r="L345" s="20">
        <f t="shared" si="27"/>
        <v>5.1299999999999998E-2</v>
      </c>
      <c r="M345" s="20">
        <f t="shared" si="27"/>
        <v>5.1299999999999998E-2</v>
      </c>
      <c r="N345" s="20">
        <f t="shared" si="27"/>
        <v>5.1299999999999998E-2</v>
      </c>
      <c r="O345" s="20">
        <f t="shared" si="27"/>
        <v>5.1299999999999998E-2</v>
      </c>
      <c r="P345" s="20">
        <f t="shared" si="27"/>
        <v>5.1299999999999998E-2</v>
      </c>
    </row>
    <row r="346" spans="1:16" ht="14.4" x14ac:dyDescent="0.3">
      <c r="A346" s="18" t="s">
        <v>28</v>
      </c>
      <c r="B346" s="18"/>
      <c r="C346" s="16" t="s">
        <v>23</v>
      </c>
      <c r="D346" s="23">
        <v>143.32</v>
      </c>
      <c r="E346" s="23">
        <v>143.32</v>
      </c>
      <c r="F346" s="23">
        <v>143.32</v>
      </c>
      <c r="G346" s="23">
        <v>143.32</v>
      </c>
      <c r="H346" s="23">
        <v>143.32</v>
      </c>
      <c r="I346" s="23">
        <v>143.32</v>
      </c>
      <c r="J346" s="23">
        <v>143.32</v>
      </c>
      <c r="K346" s="23">
        <v>143.32</v>
      </c>
      <c r="L346" s="23">
        <v>143.32</v>
      </c>
      <c r="M346" s="23">
        <v>143.32</v>
      </c>
      <c r="N346" s="23">
        <v>143.32</v>
      </c>
      <c r="O346" s="23">
        <v>143.32</v>
      </c>
      <c r="P346" s="23">
        <v>143.32</v>
      </c>
    </row>
    <row r="347" spans="1:16" ht="14.4" x14ac:dyDescent="0.3">
      <c r="A347" s="14" t="s">
        <v>29</v>
      </c>
      <c r="B347" s="14"/>
      <c r="C347" s="16"/>
      <c r="D347" s="24"/>
      <c r="E347" s="24"/>
      <c r="F347" s="24"/>
      <c r="G347" s="24"/>
      <c r="H347" s="24"/>
      <c r="I347" s="24"/>
      <c r="J347" s="24"/>
      <c r="K347" s="24"/>
      <c r="L347" s="24"/>
      <c r="M347" s="24"/>
      <c r="N347" s="24"/>
      <c r="O347" s="24"/>
      <c r="P347" s="24"/>
    </row>
    <row r="348" spans="1:16" ht="14.4" x14ac:dyDescent="0.3">
      <c r="A348" s="18" t="s">
        <v>30</v>
      </c>
      <c r="B348" s="18"/>
      <c r="C348" s="16" t="s">
        <v>19</v>
      </c>
      <c r="D348" s="52" t="s">
        <v>61</v>
      </c>
      <c r="E348" s="52" t="s">
        <v>61</v>
      </c>
      <c r="F348" s="52" t="s">
        <v>61</v>
      </c>
      <c r="G348" s="52" t="s">
        <v>61</v>
      </c>
      <c r="H348" s="52" t="s">
        <v>61</v>
      </c>
      <c r="I348" s="52" t="s">
        <v>61</v>
      </c>
      <c r="J348" s="52" t="s">
        <v>61</v>
      </c>
      <c r="K348" s="52" t="s">
        <v>61</v>
      </c>
      <c r="L348" s="52" t="s">
        <v>61</v>
      </c>
      <c r="M348" s="52" t="s">
        <v>61</v>
      </c>
      <c r="N348" s="52" t="s">
        <v>61</v>
      </c>
      <c r="O348" s="52" t="s">
        <v>61</v>
      </c>
      <c r="P348" s="52" t="s">
        <v>61</v>
      </c>
    </row>
    <row r="349" spans="1:16" ht="14.4" x14ac:dyDescent="0.3">
      <c r="A349" s="18" t="s">
        <v>31</v>
      </c>
      <c r="B349" s="18"/>
      <c r="C349" s="16" t="s">
        <v>32</v>
      </c>
      <c r="D349" s="52" t="s">
        <v>62</v>
      </c>
      <c r="E349" s="52" t="s">
        <v>62</v>
      </c>
      <c r="F349" s="52" t="s">
        <v>62</v>
      </c>
      <c r="G349" s="52" t="s">
        <v>62</v>
      </c>
      <c r="H349" s="52" t="s">
        <v>62</v>
      </c>
      <c r="I349" s="52" t="s">
        <v>62</v>
      </c>
      <c r="J349" s="52" t="s">
        <v>62</v>
      </c>
      <c r="K349" s="52" t="s">
        <v>62</v>
      </c>
      <c r="L349" s="52" t="s">
        <v>62</v>
      </c>
      <c r="M349" s="52" t="s">
        <v>62</v>
      </c>
      <c r="N349" s="52" t="s">
        <v>62</v>
      </c>
      <c r="O349" s="52" t="s">
        <v>62</v>
      </c>
      <c r="P349" s="52" t="s">
        <v>62</v>
      </c>
    </row>
    <row r="350" spans="1:16" ht="14.4" x14ac:dyDescent="0.3">
      <c r="A350" s="14" t="s">
        <v>33</v>
      </c>
      <c r="B350" s="14"/>
      <c r="C350" s="16"/>
      <c r="D350" s="24"/>
      <c r="E350" s="24"/>
      <c r="F350" s="24"/>
      <c r="G350" s="24"/>
      <c r="H350" s="24"/>
      <c r="I350" s="24"/>
      <c r="J350" s="24"/>
      <c r="K350" s="24"/>
      <c r="L350" s="24"/>
      <c r="M350" s="24"/>
      <c r="N350" s="24"/>
      <c r="O350" s="24"/>
      <c r="P350" s="24"/>
    </row>
    <row r="351" spans="1:16" ht="14.4" x14ac:dyDescent="0.3">
      <c r="A351" s="18" t="s">
        <v>34</v>
      </c>
      <c r="B351" s="18"/>
      <c r="C351" s="16" t="s">
        <v>19</v>
      </c>
      <c r="D351" s="20">
        <v>0</v>
      </c>
      <c r="E351" s="20">
        <v>0</v>
      </c>
      <c r="F351" s="20">
        <v>0</v>
      </c>
      <c r="G351" s="20">
        <v>0</v>
      </c>
      <c r="H351" s="20">
        <v>0</v>
      </c>
      <c r="I351" s="20">
        <v>0</v>
      </c>
      <c r="J351" s="20">
        <v>0</v>
      </c>
      <c r="K351" s="20">
        <v>0</v>
      </c>
      <c r="L351" s="20">
        <v>0</v>
      </c>
      <c r="M351" s="20">
        <v>0</v>
      </c>
      <c r="N351" s="20">
        <v>0</v>
      </c>
      <c r="O351" s="20">
        <v>0</v>
      </c>
      <c r="P351" s="20">
        <v>0</v>
      </c>
    </row>
    <row r="352" spans="1:16" ht="14.4" x14ac:dyDescent="0.3">
      <c r="A352" s="18" t="s">
        <v>35</v>
      </c>
      <c r="B352" s="18"/>
      <c r="C352" s="16" t="s">
        <v>36</v>
      </c>
      <c r="D352" s="52" t="s">
        <v>63</v>
      </c>
      <c r="E352" s="52" t="s">
        <v>63</v>
      </c>
      <c r="F352" s="52" t="s">
        <v>63</v>
      </c>
      <c r="G352" s="52" t="s">
        <v>63</v>
      </c>
      <c r="H352" s="52" t="s">
        <v>63</v>
      </c>
      <c r="I352" s="52" t="s">
        <v>63</v>
      </c>
      <c r="J352" s="52" t="s">
        <v>63</v>
      </c>
      <c r="K352" s="52" t="s">
        <v>63</v>
      </c>
      <c r="L352" s="52" t="s">
        <v>63</v>
      </c>
      <c r="M352" s="52" t="s">
        <v>63</v>
      </c>
      <c r="N352" s="52" t="s">
        <v>63</v>
      </c>
      <c r="O352" s="52" t="s">
        <v>63</v>
      </c>
      <c r="P352" s="52" t="s">
        <v>63</v>
      </c>
    </row>
    <row r="353" spans="1:16" ht="14.4" x14ac:dyDescent="0.3">
      <c r="A353" s="14" t="s">
        <v>37</v>
      </c>
      <c r="B353" s="14"/>
      <c r="C353" s="16"/>
      <c r="D353" s="24"/>
      <c r="E353" s="24"/>
      <c r="F353" s="24"/>
      <c r="G353" s="24"/>
      <c r="H353" s="24"/>
      <c r="I353" s="24"/>
      <c r="J353" s="24"/>
      <c r="K353" s="24"/>
      <c r="L353" s="24"/>
      <c r="M353" s="24"/>
      <c r="N353" s="24"/>
      <c r="O353" s="24"/>
      <c r="P353" s="24"/>
    </row>
    <row r="354" spans="1:16" ht="14.4" x14ac:dyDescent="0.3">
      <c r="A354" s="25" t="s">
        <v>38</v>
      </c>
      <c r="B354" s="18"/>
      <c r="C354" s="16" t="s">
        <v>19</v>
      </c>
      <c r="D354" s="20">
        <f>[44]LD!E30</f>
        <v>9.4799999999999995E-2</v>
      </c>
      <c r="E354" s="20">
        <f>[44]LD!F30</f>
        <v>9.9000000000000005E-2</v>
      </c>
      <c r="F354" s="20">
        <f>[44]LD!G30</f>
        <v>9.8100000000000007E-2</v>
      </c>
      <c r="G354" s="20">
        <f>[44]LD!H30</f>
        <v>0.10100000000000001</v>
      </c>
      <c r="H354" s="20">
        <f>[44]LD!I30</f>
        <v>7.46E-2</v>
      </c>
      <c r="I354" s="20">
        <f>[44]LD!J30</f>
        <v>6.5799999999999997E-2</v>
      </c>
      <c r="J354" s="20">
        <f>[44]LD!K30</f>
        <v>6.2E-2</v>
      </c>
      <c r="K354" s="20">
        <f>[44]LD!L30</f>
        <v>7.5999999999999998E-2</v>
      </c>
      <c r="L354" s="20">
        <f>[44]LD!M30</f>
        <v>7.1499999999999994E-2</v>
      </c>
      <c r="M354" s="20">
        <f>[44]LD!N30</f>
        <v>7.2599999999999998E-2</v>
      </c>
      <c r="N354" s="20">
        <f>[44]LD!O30</f>
        <v>7.9799999999999996E-2</v>
      </c>
      <c r="O354" s="20">
        <f>[44]LD!P30</f>
        <v>7.6999999999999999E-2</v>
      </c>
      <c r="P354" s="20">
        <f>[44]LD!Q30</f>
        <v>0</v>
      </c>
    </row>
    <row r="355" spans="1:16" ht="14.4" x14ac:dyDescent="0.3">
      <c r="A355" s="25" t="s">
        <v>39</v>
      </c>
      <c r="B355" s="18"/>
      <c r="C355" s="16" t="s">
        <v>19</v>
      </c>
      <c r="D355" s="20">
        <v>0</v>
      </c>
      <c r="E355" s="20">
        <v>0</v>
      </c>
      <c r="F355" s="20">
        <v>0</v>
      </c>
      <c r="G355" s="20">
        <v>0</v>
      </c>
      <c r="H355" s="20">
        <v>0</v>
      </c>
      <c r="I355" s="20">
        <v>0</v>
      </c>
      <c r="J355" s="20">
        <v>0</v>
      </c>
      <c r="K355" s="20">
        <v>0</v>
      </c>
      <c r="L355" s="20">
        <v>0</v>
      </c>
      <c r="M355" s="20">
        <v>0</v>
      </c>
      <c r="N355" s="20">
        <v>0</v>
      </c>
      <c r="O355" s="20">
        <v>0</v>
      </c>
      <c r="P355" s="20">
        <v>0</v>
      </c>
    </row>
    <row r="356" spans="1:16" ht="14.4" x14ac:dyDescent="0.3">
      <c r="A356" s="26" t="s">
        <v>40</v>
      </c>
      <c r="B356" s="18"/>
      <c r="C356" s="16" t="s">
        <v>19</v>
      </c>
      <c r="D356" s="20">
        <f>'[44]SR CIT. SUBSIDY'!E95</f>
        <v>1E-4</v>
      </c>
      <c r="E356" s="20">
        <f>'[44]SR CIT. SUBSIDY'!F95</f>
        <v>1E-4</v>
      </c>
      <c r="F356" s="20">
        <f>'[44]SR CIT. SUBSIDY'!G95</f>
        <v>1E-4</v>
      </c>
      <c r="G356" s="20">
        <f>'[44]SR CIT. SUBSIDY'!H95</f>
        <v>1E-4</v>
      </c>
      <c r="H356" s="20">
        <f>'[44]SR CIT. SUBSIDY'!I95</f>
        <v>1E-4</v>
      </c>
      <c r="I356" s="20">
        <f>'[44]SR CIT. SUBSIDY'!J95</f>
        <v>1E-4</v>
      </c>
      <c r="J356" s="20">
        <f>'[44]SR CIT. SUBSIDY'!K95</f>
        <v>1E-4</v>
      </c>
      <c r="K356" s="20">
        <f>'[44]SR CIT. SUBSIDY'!L95</f>
        <v>1E-4</v>
      </c>
      <c r="L356" s="20">
        <f>'[44]SR CIT. SUBSIDY'!M95</f>
        <v>1E-4</v>
      </c>
      <c r="M356" s="20">
        <f>'[44]SR CIT. SUBSIDY'!N95</f>
        <v>1E-4</v>
      </c>
      <c r="N356" s="20">
        <f>'[44]SR CIT. SUBSIDY'!O95</f>
        <v>1E-4</v>
      </c>
      <c r="O356" s="20">
        <f>'[44]SR CIT. SUBSIDY'!P95</f>
        <v>1E-4</v>
      </c>
      <c r="P356" s="20">
        <f>'[44]SR CIT. SUBSIDY'!Q95</f>
        <v>0</v>
      </c>
    </row>
    <row r="357" spans="1:16" ht="14.4" x14ac:dyDescent="0.3">
      <c r="A357" s="26" t="s">
        <v>41</v>
      </c>
      <c r="B357" s="18"/>
      <c r="C357" s="16" t="s">
        <v>19</v>
      </c>
      <c r="D357" s="20">
        <v>0</v>
      </c>
      <c r="E357" s="20">
        <v>0</v>
      </c>
      <c r="F357" s="20">
        <v>0</v>
      </c>
      <c r="G357" s="20">
        <v>0</v>
      </c>
      <c r="H357" s="20">
        <v>0</v>
      </c>
      <c r="I357" s="20">
        <v>0</v>
      </c>
      <c r="J357" s="20">
        <v>0</v>
      </c>
      <c r="K357" s="20">
        <v>0</v>
      </c>
      <c r="L357" s="20">
        <v>0</v>
      </c>
      <c r="M357" s="20">
        <v>0</v>
      </c>
      <c r="N357" s="20">
        <v>0</v>
      </c>
      <c r="O357" s="20">
        <v>0</v>
      </c>
      <c r="P357" s="20">
        <v>0</v>
      </c>
    </row>
    <row r="358" spans="1:16" ht="14.4" x14ac:dyDescent="0.3">
      <c r="A358" s="14" t="s">
        <v>42</v>
      </c>
      <c r="B358" s="14"/>
      <c r="C358" s="16"/>
      <c r="D358" s="24"/>
      <c r="E358" s="24"/>
      <c r="F358" s="24"/>
      <c r="G358" s="24"/>
      <c r="H358" s="24"/>
      <c r="I358" s="24"/>
      <c r="J358" s="24"/>
      <c r="K358" s="24"/>
      <c r="L358" s="24"/>
      <c r="M358" s="24"/>
      <c r="N358" s="24"/>
      <c r="O358" s="24"/>
      <c r="P358" s="24"/>
    </row>
    <row r="359" spans="1:16" ht="14.4" x14ac:dyDescent="0.3">
      <c r="A359" s="14" t="s">
        <v>43</v>
      </c>
      <c r="B359" s="14"/>
      <c r="C359" s="16" t="s">
        <v>44</v>
      </c>
      <c r="D359" s="27"/>
      <c r="E359" s="27"/>
      <c r="F359" s="27"/>
      <c r="G359" s="27"/>
      <c r="H359" s="27"/>
      <c r="I359" s="27"/>
      <c r="J359" s="27"/>
      <c r="K359" s="27"/>
      <c r="L359" s="27"/>
      <c r="M359" s="27"/>
      <c r="N359" s="27"/>
      <c r="O359" s="27"/>
      <c r="P359" s="27"/>
    </row>
    <row r="360" spans="1:16" ht="14.4" x14ac:dyDescent="0.3">
      <c r="A360" s="14" t="s">
        <v>45</v>
      </c>
      <c r="B360" s="14"/>
      <c r="C360" s="16"/>
      <c r="D360" s="28"/>
      <c r="E360" s="28"/>
      <c r="F360" s="28"/>
      <c r="G360" s="28"/>
      <c r="H360" s="28"/>
      <c r="I360" s="28"/>
      <c r="J360" s="28"/>
      <c r="K360" s="28"/>
      <c r="L360" s="28"/>
      <c r="M360" s="28"/>
      <c r="N360" s="28"/>
      <c r="O360" s="28"/>
      <c r="P360" s="28"/>
    </row>
    <row r="361" spans="1:16" ht="14.4" x14ac:dyDescent="0.3">
      <c r="A361" s="14" t="s">
        <v>46</v>
      </c>
      <c r="B361" s="14"/>
      <c r="C361" s="16" t="s">
        <v>19</v>
      </c>
      <c r="D361" s="20">
        <v>0</v>
      </c>
      <c r="E361" s="20">
        <v>0</v>
      </c>
      <c r="F361" s="20">
        <v>0</v>
      </c>
      <c r="G361" s="20">
        <v>0</v>
      </c>
      <c r="H361" s="20">
        <v>0</v>
      </c>
      <c r="I361" s="20">
        <v>0</v>
      </c>
      <c r="J361" s="20">
        <v>0</v>
      </c>
      <c r="K361" s="20">
        <v>0</v>
      </c>
      <c r="L361" s="20">
        <v>0</v>
      </c>
      <c r="M361" s="20">
        <v>0</v>
      </c>
      <c r="N361" s="20">
        <v>0</v>
      </c>
      <c r="O361" s="20">
        <v>0</v>
      </c>
      <c r="P361" s="20">
        <v>0</v>
      </c>
    </row>
    <row r="362" spans="1:16" ht="14.4" x14ac:dyDescent="0.3">
      <c r="A362" s="14" t="s">
        <v>47</v>
      </c>
      <c r="B362" s="14"/>
      <c r="C362" s="16"/>
      <c r="D362" s="24"/>
      <c r="E362" s="24"/>
      <c r="F362" s="24"/>
      <c r="G362" s="24"/>
      <c r="H362" s="24"/>
      <c r="I362" s="24"/>
      <c r="J362" s="24"/>
      <c r="K362" s="24"/>
      <c r="L362" s="24"/>
      <c r="M362" s="24"/>
      <c r="N362" s="24"/>
      <c r="O362" s="24"/>
      <c r="P362" s="24"/>
    </row>
    <row r="363" spans="1:16" ht="14.4" x14ac:dyDescent="0.3">
      <c r="A363" s="18" t="s">
        <v>48</v>
      </c>
      <c r="B363" s="18"/>
      <c r="C363" s="16" t="s">
        <v>19</v>
      </c>
      <c r="D363" s="20">
        <f t="shared" ref="D363:P366" si="28">D322</f>
        <v>0.15609999999999999</v>
      </c>
      <c r="E363" s="20">
        <f t="shared" si="28"/>
        <v>0.15609999999999999</v>
      </c>
      <c r="F363" s="20">
        <f t="shared" si="28"/>
        <v>0.15609999999999999</v>
      </c>
      <c r="G363" s="20">
        <f t="shared" si="28"/>
        <v>0.15609999999999999</v>
      </c>
      <c r="H363" s="20">
        <f t="shared" si="28"/>
        <v>0.15609999999999999</v>
      </c>
      <c r="I363" s="20">
        <f t="shared" si="28"/>
        <v>0.15609999999999999</v>
      </c>
      <c r="J363" s="20">
        <f t="shared" si="28"/>
        <v>0.15609999999999999</v>
      </c>
      <c r="K363" s="20">
        <f t="shared" si="28"/>
        <v>0.15609999999999999</v>
      </c>
      <c r="L363" s="20">
        <f t="shared" si="28"/>
        <v>0.15609999999999999</v>
      </c>
      <c r="M363" s="20">
        <f t="shared" si="28"/>
        <v>0.15609999999999999</v>
      </c>
      <c r="N363" s="20">
        <f t="shared" si="28"/>
        <v>0.15609999999999999</v>
      </c>
      <c r="O363" s="20">
        <f t="shared" si="28"/>
        <v>0.15609999999999999</v>
      </c>
      <c r="P363" s="20">
        <f t="shared" si="28"/>
        <v>0.15609999999999999</v>
      </c>
    </row>
    <row r="364" spans="1:16" ht="14.4" x14ac:dyDescent="0.3">
      <c r="A364" s="18" t="s">
        <v>49</v>
      </c>
      <c r="B364" s="18"/>
      <c r="C364" s="16" t="s">
        <v>19</v>
      </c>
      <c r="D364" s="20">
        <f t="shared" si="28"/>
        <v>2.5000000000000001E-3</v>
      </c>
      <c r="E364" s="20">
        <f t="shared" si="28"/>
        <v>2.5000000000000001E-3</v>
      </c>
      <c r="F364" s="20">
        <f t="shared" si="28"/>
        <v>2.5000000000000001E-3</v>
      </c>
      <c r="G364" s="20">
        <f t="shared" si="28"/>
        <v>2.5000000000000001E-3</v>
      </c>
      <c r="H364" s="20">
        <f t="shared" si="28"/>
        <v>2.5000000000000001E-3</v>
      </c>
      <c r="I364" s="20">
        <f t="shared" si="28"/>
        <v>2.5000000000000001E-3</v>
      </c>
      <c r="J364" s="20">
        <f t="shared" si="28"/>
        <v>2.5000000000000001E-3</v>
      </c>
      <c r="K364" s="20">
        <f t="shared" si="28"/>
        <v>2.5000000000000001E-3</v>
      </c>
      <c r="L364" s="20">
        <f t="shared" si="28"/>
        <v>2.5000000000000001E-3</v>
      </c>
      <c r="M364" s="20">
        <f t="shared" si="28"/>
        <v>2.5000000000000001E-3</v>
      </c>
      <c r="N364" s="20">
        <f t="shared" si="28"/>
        <v>2.5000000000000001E-3</v>
      </c>
      <c r="O364" s="20">
        <f t="shared" si="28"/>
        <v>2.5000000000000001E-3</v>
      </c>
      <c r="P364" s="20">
        <f t="shared" si="28"/>
        <v>2.5000000000000001E-3</v>
      </c>
    </row>
    <row r="365" spans="1:16" ht="14.4" x14ac:dyDescent="0.3">
      <c r="A365" s="18" t="s">
        <v>50</v>
      </c>
      <c r="B365" s="18"/>
      <c r="C365" s="16" t="s">
        <v>19</v>
      </c>
      <c r="D365" s="20">
        <f t="shared" si="28"/>
        <v>0.1938</v>
      </c>
      <c r="E365" s="20">
        <f t="shared" si="28"/>
        <v>0.1938</v>
      </c>
      <c r="F365" s="20">
        <f t="shared" si="28"/>
        <v>0.1938</v>
      </c>
      <c r="G365" s="20">
        <f t="shared" si="28"/>
        <v>0.1938</v>
      </c>
      <c r="H365" s="20">
        <f t="shared" si="28"/>
        <v>0.1938</v>
      </c>
      <c r="I365" s="20">
        <f t="shared" si="28"/>
        <v>0.1938</v>
      </c>
      <c r="J365" s="20">
        <f t="shared" si="28"/>
        <v>0.1938</v>
      </c>
      <c r="K365" s="20">
        <f t="shared" si="28"/>
        <v>0.1938</v>
      </c>
      <c r="L365" s="20">
        <f t="shared" si="28"/>
        <v>0.1938</v>
      </c>
      <c r="M365" s="20">
        <f t="shared" si="28"/>
        <v>0.1938</v>
      </c>
      <c r="N365" s="20">
        <f t="shared" si="28"/>
        <v>0.1938</v>
      </c>
      <c r="O365" s="20">
        <f t="shared" si="28"/>
        <v>0.1938</v>
      </c>
      <c r="P365" s="20">
        <f t="shared" si="28"/>
        <v>0.1938</v>
      </c>
    </row>
    <row r="366" spans="1:16" ht="14.4" x14ac:dyDescent="0.3">
      <c r="A366" s="14" t="s">
        <v>51</v>
      </c>
      <c r="B366" s="14"/>
      <c r="C366" s="16" t="s">
        <v>19</v>
      </c>
      <c r="D366" s="20">
        <f>D325</f>
        <v>4.0599999999999997E-2</v>
      </c>
      <c r="E366" s="20">
        <f t="shared" si="28"/>
        <v>4.0599999999999997E-2</v>
      </c>
      <c r="F366" s="20">
        <f t="shared" si="28"/>
        <v>4.0599999999999997E-2</v>
      </c>
      <c r="G366" s="20">
        <f t="shared" si="28"/>
        <v>0.124</v>
      </c>
      <c r="H366" s="20">
        <f t="shared" si="28"/>
        <v>0.124</v>
      </c>
      <c r="I366" s="20">
        <f t="shared" si="28"/>
        <v>0.124</v>
      </c>
      <c r="J366" s="20">
        <f t="shared" si="28"/>
        <v>0.124</v>
      </c>
      <c r="K366" s="20">
        <f t="shared" si="28"/>
        <v>0.124</v>
      </c>
      <c r="L366" s="20">
        <f t="shared" si="28"/>
        <v>0.124</v>
      </c>
      <c r="M366" s="20">
        <f t="shared" si="28"/>
        <v>0.124</v>
      </c>
      <c r="N366" s="20">
        <f t="shared" si="28"/>
        <v>0.124</v>
      </c>
      <c r="O366" s="20">
        <f t="shared" si="28"/>
        <v>0.124</v>
      </c>
      <c r="P366" s="20">
        <f t="shared" si="28"/>
        <v>0.124</v>
      </c>
    </row>
    <row r="367" spans="1:16" ht="14.4" x14ac:dyDescent="0.3">
      <c r="A367" s="14" t="s">
        <v>52</v>
      </c>
      <c r="B367" s="14"/>
      <c r="C367" s="29"/>
      <c r="D367" s="22"/>
      <c r="E367" s="22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</row>
    <row r="368" spans="1:16" ht="14.4" x14ac:dyDescent="0.3">
      <c r="A368" s="18" t="s">
        <v>53</v>
      </c>
      <c r="B368" s="18"/>
      <c r="C368" s="16" t="s">
        <v>44</v>
      </c>
      <c r="D368" s="30">
        <f>'[44]DU VAT'!D16</f>
        <v>0.1139</v>
      </c>
      <c r="E368" s="30">
        <f>'[44]DU VAT'!E16</f>
        <v>0.115</v>
      </c>
      <c r="F368" s="30">
        <f>'[44]DU VAT'!F16</f>
        <v>0.1143</v>
      </c>
      <c r="G368" s="30">
        <f>'[44]DU VAT'!G16</f>
        <v>0.11310000000000001</v>
      </c>
      <c r="H368" s="30">
        <f>'[44]DU VAT'!H16</f>
        <v>0.11020000000000001</v>
      </c>
      <c r="I368" s="30">
        <f>'[44]DU VAT'!I16</f>
        <v>0.1116</v>
      </c>
      <c r="J368" s="30">
        <f>'[44]DU VAT'!J16</f>
        <v>0.10920000000000001</v>
      </c>
      <c r="K368" s="30">
        <f>'[44]DU VAT'!K16</f>
        <v>0.1138</v>
      </c>
      <c r="L368" s="30">
        <f>'[44]DU VAT'!L16</f>
        <v>0.1072</v>
      </c>
      <c r="M368" s="30">
        <f>'[44]DU VAT'!M16</f>
        <v>0.11219999999999999</v>
      </c>
      <c r="N368" s="30">
        <f>'[44]DU VAT'!N16</f>
        <v>0.1101</v>
      </c>
      <c r="O368" s="30">
        <f>'[44]DU VAT'!O16</f>
        <v>0.11020000000000001</v>
      </c>
      <c r="P368" s="30" t="e">
        <f>'[44]DU VAT'!P16</f>
        <v>#DIV/0!</v>
      </c>
    </row>
    <row r="369" spans="1:16" ht="14.4" x14ac:dyDescent="0.3">
      <c r="A369" s="18" t="s">
        <v>54</v>
      </c>
      <c r="B369" s="18"/>
      <c r="C369" s="16" t="s">
        <v>44</v>
      </c>
      <c r="D369" s="30">
        <f>'[44]DU VAT'!D23</f>
        <v>5.5999999999999999E-3</v>
      </c>
      <c r="E369" s="30">
        <f>'[44]DU VAT'!E23</f>
        <v>1.52E-2</v>
      </c>
      <c r="F369" s="30">
        <f>'[44]DU VAT'!F23</f>
        <v>2.0400000000000001E-2</v>
      </c>
      <c r="G369" s="30">
        <f>'[44]DU VAT'!G23</f>
        <v>2.7199999999999998E-2</v>
      </c>
      <c r="H369" s="30">
        <f>'[44]DU VAT'!H23</f>
        <v>3.44E-2</v>
      </c>
      <c r="I369" s="30">
        <f>'[44]DU VAT'!I23</f>
        <v>3.9199999999999999E-2</v>
      </c>
      <c r="J369" s="30">
        <f>'[44]DU VAT'!J23</f>
        <v>2.3900000000000001E-2</v>
      </c>
      <c r="K369" s="30">
        <f>'[44]DU VAT'!K23</f>
        <v>3.39E-2</v>
      </c>
      <c r="L369" s="30">
        <f>'[44]DU VAT'!L23</f>
        <v>2.81E-2</v>
      </c>
      <c r="M369" s="30">
        <f>'[44]DU VAT'!M23</f>
        <v>1.1599999999999999E-2</v>
      </c>
      <c r="N369" s="30">
        <f>'[44]DU VAT'!N23</f>
        <v>1.17E-2</v>
      </c>
      <c r="O369" s="30">
        <f>'[44]DU VAT'!O23</f>
        <v>6.3E-3</v>
      </c>
      <c r="P369" s="30" t="e">
        <f>'[44]DU VAT'!P23</f>
        <v>#DIV/0!</v>
      </c>
    </row>
    <row r="370" spans="1:16" ht="14.4" x14ac:dyDescent="0.3">
      <c r="A370" s="18" t="s">
        <v>55</v>
      </c>
      <c r="B370" s="18"/>
      <c r="C370" s="16" t="s">
        <v>44</v>
      </c>
      <c r="D370" s="30">
        <f>'[44]DU VAT'!D30</f>
        <v>9.5000000000000001E-2</v>
      </c>
      <c r="E370" s="30">
        <f>'[44]DU VAT'!E30</f>
        <v>9.7000000000000003E-2</v>
      </c>
      <c r="F370" s="30">
        <f>'[44]DU VAT'!F30</f>
        <v>9.7100000000000006E-2</v>
      </c>
      <c r="G370" s="30">
        <f>'[44]DU VAT'!G30</f>
        <v>9.7000000000000003E-2</v>
      </c>
      <c r="H370" s="30">
        <f>'[44]DU VAT'!H30</f>
        <v>9.7100000000000006E-2</v>
      </c>
      <c r="I370" s="30">
        <f>'[44]DU VAT'!I30</f>
        <v>9.7699999999999995E-2</v>
      </c>
      <c r="J370" s="30">
        <f>'[44]DU VAT'!J30</f>
        <v>9.5200000000000007E-2</v>
      </c>
      <c r="K370" s="30">
        <f>'[44]DU VAT'!K30</f>
        <v>9.8100000000000007E-2</v>
      </c>
      <c r="L370" s="30">
        <f>'[44]DU VAT'!L30</f>
        <v>9.3600000000000003E-2</v>
      </c>
      <c r="M370" s="30">
        <f>'[44]DU VAT'!M30</f>
        <v>9.5799999999999996E-2</v>
      </c>
      <c r="N370" s="30">
        <f>'[44]DU VAT'!N30</f>
        <v>9.4E-2</v>
      </c>
      <c r="O370" s="30">
        <f>'[44]DU VAT'!O30</f>
        <v>9.3600000000000003E-2</v>
      </c>
      <c r="P370" s="30" t="e">
        <f>'[44]DU VAT'!P30</f>
        <v>#DIV/0!</v>
      </c>
    </row>
    <row r="371" spans="1:16" ht="14.4" x14ac:dyDescent="0.3">
      <c r="A371" s="18" t="s">
        <v>56</v>
      </c>
      <c r="B371" s="18"/>
      <c r="C371" s="16" t="s">
        <v>44</v>
      </c>
      <c r="D371" s="30">
        <f>D330</f>
        <v>0.12</v>
      </c>
      <c r="E371" s="30">
        <f t="shared" ref="E371:P372" si="29">E330</f>
        <v>0.12</v>
      </c>
      <c r="F371" s="30">
        <f t="shared" si="29"/>
        <v>0.12</v>
      </c>
      <c r="G371" s="30">
        <f t="shared" si="29"/>
        <v>0.12</v>
      </c>
      <c r="H371" s="30">
        <f t="shared" si="29"/>
        <v>0.12</v>
      </c>
      <c r="I371" s="30">
        <f t="shared" si="29"/>
        <v>0.12</v>
      </c>
      <c r="J371" s="30">
        <f t="shared" si="29"/>
        <v>0.12</v>
      </c>
      <c r="K371" s="30">
        <f t="shared" si="29"/>
        <v>0.12</v>
      </c>
      <c r="L371" s="30">
        <f t="shared" si="29"/>
        <v>0.12</v>
      </c>
      <c r="M371" s="30">
        <f t="shared" si="29"/>
        <v>0.12</v>
      </c>
      <c r="N371" s="30">
        <f t="shared" si="29"/>
        <v>0.12</v>
      </c>
      <c r="O371" s="30">
        <f t="shared" si="29"/>
        <v>0.12</v>
      </c>
      <c r="P371" s="30">
        <f t="shared" si="29"/>
        <v>0.12</v>
      </c>
    </row>
    <row r="372" spans="1:16" ht="14.4" x14ac:dyDescent="0.3">
      <c r="A372" s="18" t="s">
        <v>57</v>
      </c>
      <c r="B372" s="18"/>
      <c r="C372" s="16" t="s">
        <v>44</v>
      </c>
      <c r="D372" s="30">
        <f>D331</f>
        <v>0.12</v>
      </c>
      <c r="E372" s="30">
        <f t="shared" si="29"/>
        <v>0.12</v>
      </c>
      <c r="F372" s="30">
        <f t="shared" si="29"/>
        <v>0.12</v>
      </c>
      <c r="G372" s="30">
        <f t="shared" si="29"/>
        <v>0.12</v>
      </c>
      <c r="H372" s="30">
        <f t="shared" si="29"/>
        <v>0.12</v>
      </c>
      <c r="I372" s="30">
        <f t="shared" si="29"/>
        <v>0.12</v>
      </c>
      <c r="J372" s="30">
        <f t="shared" si="29"/>
        <v>0.12</v>
      </c>
      <c r="K372" s="30">
        <f t="shared" si="29"/>
        <v>0.12</v>
      </c>
      <c r="L372" s="30">
        <f t="shared" si="29"/>
        <v>0.12</v>
      </c>
      <c r="M372" s="30">
        <f t="shared" si="29"/>
        <v>0.12</v>
      </c>
      <c r="N372" s="30">
        <f t="shared" si="29"/>
        <v>0.12</v>
      </c>
      <c r="O372" s="30">
        <f t="shared" si="29"/>
        <v>0.12</v>
      </c>
      <c r="P372" s="30">
        <f t="shared" si="29"/>
        <v>0.12</v>
      </c>
    </row>
    <row r="374" spans="1:16" hidden="1" x14ac:dyDescent="0.3"/>
    <row r="375" spans="1:16" hidden="1" x14ac:dyDescent="0.3"/>
    <row r="376" spans="1:16" x14ac:dyDescent="0.3">
      <c r="A376" s="3" t="s">
        <v>58</v>
      </c>
    </row>
    <row r="378" spans="1:16" s="13" customFormat="1" ht="14.4" x14ac:dyDescent="0.3">
      <c r="A378" s="11" t="s">
        <v>3</v>
      </c>
      <c r="B378" s="11"/>
      <c r="C378" s="11" t="s">
        <v>4</v>
      </c>
      <c r="D378" s="12" t="str">
        <f t="shared" ref="D378:P378" si="30">D336</f>
        <v>JAN</v>
      </c>
      <c r="E378" s="12" t="str">
        <f t="shared" si="30"/>
        <v>FEB</v>
      </c>
      <c r="F378" s="12" t="str">
        <f t="shared" si="30"/>
        <v>MAR</v>
      </c>
      <c r="G378" s="12" t="str">
        <f t="shared" si="30"/>
        <v>APR</v>
      </c>
      <c r="H378" s="12" t="str">
        <f t="shared" si="30"/>
        <v>MAY</v>
      </c>
      <c r="I378" s="12" t="str">
        <f t="shared" si="30"/>
        <v>JUN</v>
      </c>
      <c r="J378" s="12" t="str">
        <f t="shared" si="30"/>
        <v>JUL</v>
      </c>
      <c r="K378" s="12" t="str">
        <f t="shared" si="30"/>
        <v>AUG</v>
      </c>
      <c r="L378" s="12" t="str">
        <f t="shared" si="30"/>
        <v>SEP</v>
      </c>
      <c r="M378" s="12" t="str">
        <f t="shared" si="30"/>
        <v>OCT</v>
      </c>
      <c r="N378" s="12" t="str">
        <f t="shared" si="30"/>
        <v>NOV</v>
      </c>
      <c r="O378" s="12" t="str">
        <f t="shared" si="30"/>
        <v>DEC</v>
      </c>
      <c r="P378" s="12" t="str">
        <f t="shared" si="30"/>
        <v>JAN</v>
      </c>
    </row>
    <row r="379" spans="1:16" ht="14.4" x14ac:dyDescent="0.3">
      <c r="A379" s="61" t="s">
        <v>67</v>
      </c>
      <c r="B379" s="62"/>
      <c r="C379" s="63"/>
      <c r="D379" s="62"/>
      <c r="E379" s="62"/>
      <c r="F379" s="62"/>
      <c r="G379" s="62"/>
      <c r="H379" s="62"/>
      <c r="I379" s="62"/>
      <c r="J379" s="62"/>
      <c r="K379" s="62"/>
      <c r="L379" s="62"/>
      <c r="M379" s="62"/>
      <c r="N379" s="62"/>
      <c r="O379" s="62"/>
      <c r="P379" s="62"/>
    </row>
    <row r="380" spans="1:16" ht="14.4" x14ac:dyDescent="0.3">
      <c r="A380" s="25" t="s">
        <v>68</v>
      </c>
      <c r="B380" s="25"/>
      <c r="C380" s="16" t="s">
        <v>19</v>
      </c>
      <c r="D380" s="20">
        <f>[44]GR!D24</f>
        <v>3.9238</v>
      </c>
      <c r="E380" s="20">
        <f>[44]GR!E24</f>
        <v>4.1691000000000003</v>
      </c>
      <c r="F380" s="20">
        <f>[44]GR!F24</f>
        <v>4.0004</v>
      </c>
      <c r="G380" s="20">
        <f>[44]GR!G24</f>
        <v>4.0965999999999996</v>
      </c>
      <c r="H380" s="20">
        <f>[44]GR!H24</f>
        <v>3.8816999999999999</v>
      </c>
      <c r="I380" s="20">
        <f>[44]GR!I24</f>
        <v>3.7206999999999999</v>
      </c>
      <c r="J380" s="20">
        <f>[44]GR!J24</f>
        <v>4.0603999999999996</v>
      </c>
      <c r="K380" s="20">
        <f>[44]GR!K24</f>
        <v>3.8559999999999999</v>
      </c>
      <c r="L380" s="20">
        <f>[44]GR!L24</f>
        <v>3.9439000000000002</v>
      </c>
      <c r="M380" s="20">
        <f>[44]GR!M24</f>
        <v>3.8938000000000001</v>
      </c>
      <c r="N380" s="20">
        <f>[44]GR!N24</f>
        <v>3.8435999999999999</v>
      </c>
      <c r="O380" s="20">
        <f>[44]GR!O24</f>
        <v>3.9350999999999998</v>
      </c>
      <c r="P380" s="20" t="e">
        <f>[44]GR!P24</f>
        <v>#DIV/0!</v>
      </c>
    </row>
    <row r="381" spans="1:16" ht="14.4" x14ac:dyDescent="0.3">
      <c r="A381" s="25" t="s">
        <v>69</v>
      </c>
      <c r="B381" s="25"/>
      <c r="C381" s="16"/>
      <c r="D381" s="24"/>
      <c r="E381" s="24"/>
      <c r="F381" s="24"/>
      <c r="G381" s="24"/>
      <c r="H381" s="24"/>
      <c r="I381" s="24"/>
      <c r="J381" s="24"/>
      <c r="K381" s="24"/>
      <c r="L381" s="24"/>
      <c r="M381" s="24"/>
      <c r="N381" s="24"/>
      <c r="O381" s="24"/>
      <c r="P381" s="24"/>
    </row>
    <row r="382" spans="1:16" ht="14.4" x14ac:dyDescent="0.3">
      <c r="A382" s="25" t="s">
        <v>70</v>
      </c>
      <c r="B382" s="25"/>
      <c r="C382" s="16" t="s">
        <v>19</v>
      </c>
      <c r="D382" s="20">
        <f>7.4854-1.787</f>
        <v>5.6984000000000004</v>
      </c>
      <c r="E382" s="20">
        <f>7.4854-1.5367</f>
        <v>5.9487000000000005</v>
      </c>
      <c r="F382" s="20">
        <f>7.4854-1.7056</f>
        <v>5.7797999999999998</v>
      </c>
      <c r="G382" s="20">
        <f>7.4854-1.6101</f>
        <v>5.8753000000000002</v>
      </c>
      <c r="H382" s="20">
        <f>7.4854-1.824</f>
        <v>5.6614000000000004</v>
      </c>
      <c r="I382" s="20">
        <f>7.4854-1.9834</f>
        <v>5.5020000000000007</v>
      </c>
      <c r="J382" s="20">
        <f>7.2779-1.5154</f>
        <v>5.7624999999999993</v>
      </c>
      <c r="K382" s="20">
        <f>7.2779-1.7239</f>
        <v>5.5540000000000003</v>
      </c>
      <c r="L382" s="20">
        <f>7.2779-1.6163</f>
        <v>5.6616</v>
      </c>
      <c r="M382" s="20">
        <f>7.2779-1.6872</f>
        <v>5.5907</v>
      </c>
      <c r="N382" s="20">
        <f>7.2779-1.7372</f>
        <v>5.5406999999999993</v>
      </c>
      <c r="O382" s="20">
        <f>7.2779-1.646</f>
        <v>5.6318999999999999</v>
      </c>
      <c r="P382" s="20"/>
    </row>
    <row r="383" spans="1:16" ht="14.4" x14ac:dyDescent="0.3">
      <c r="A383" s="25" t="s">
        <v>71</v>
      </c>
      <c r="B383" s="25"/>
      <c r="C383" s="16" t="s">
        <v>19</v>
      </c>
      <c r="D383" s="20">
        <f>3.5461-1.787</f>
        <v>1.7591000000000001</v>
      </c>
      <c r="E383" s="20">
        <f>3.5461-1.5367</f>
        <v>2.0094000000000003</v>
      </c>
      <c r="F383" s="20">
        <f>3.5461-1.7056</f>
        <v>1.8405</v>
      </c>
      <c r="G383" s="20">
        <f>3.5461-1.6101</f>
        <v>1.9359999999999999</v>
      </c>
      <c r="H383" s="20">
        <f>3.5461-1.824</f>
        <v>1.7221</v>
      </c>
      <c r="I383" s="20">
        <f>3.5461-1.9834</f>
        <v>1.5627</v>
      </c>
      <c r="J383" s="20">
        <f>3.5461-1.5154</f>
        <v>2.0306999999999999</v>
      </c>
      <c r="K383" s="20">
        <f>3.5461-1.7239</f>
        <v>1.8222</v>
      </c>
      <c r="L383" s="20">
        <f>3.5461-1.6163</f>
        <v>1.9298</v>
      </c>
      <c r="M383" s="20">
        <f>3.5461-1.6872</f>
        <v>1.8589</v>
      </c>
      <c r="N383" s="20">
        <f>3.5461-1.7372</f>
        <v>1.8089</v>
      </c>
      <c r="O383" s="20">
        <f>3.5461-1.646</f>
        <v>1.9001000000000001</v>
      </c>
      <c r="P383" s="20"/>
    </row>
    <row r="384" spans="1:16" x14ac:dyDescent="0.3">
      <c r="A384" s="62"/>
      <c r="B384" s="62"/>
      <c r="C384" s="63"/>
      <c r="D384" s="62"/>
      <c r="E384" s="62"/>
      <c r="F384" s="62"/>
      <c r="G384" s="62"/>
      <c r="H384" s="62"/>
      <c r="I384" s="62"/>
      <c r="J384" s="62"/>
      <c r="K384" s="62"/>
      <c r="L384" s="62"/>
      <c r="M384" s="62"/>
      <c r="N384" s="62"/>
      <c r="O384" s="62"/>
      <c r="P384" s="62"/>
    </row>
    <row r="385" spans="1:18" ht="14.4" x14ac:dyDescent="0.3">
      <c r="A385" s="64" t="s">
        <v>72</v>
      </c>
      <c r="B385" s="64"/>
      <c r="C385" s="65"/>
      <c r="D385" s="66"/>
      <c r="E385" s="66"/>
      <c r="F385" s="66"/>
      <c r="G385" s="66"/>
      <c r="H385" s="66"/>
      <c r="I385" s="66"/>
      <c r="J385" s="66"/>
      <c r="K385" s="66"/>
      <c r="L385" s="66"/>
      <c r="M385" s="66"/>
      <c r="N385" s="66"/>
      <c r="O385" s="66"/>
      <c r="P385" s="66"/>
    </row>
    <row r="386" spans="1:18" ht="14.4" x14ac:dyDescent="0.3">
      <c r="A386" s="64" t="s">
        <v>73</v>
      </c>
      <c r="B386" s="64"/>
      <c r="C386" s="65" t="s">
        <v>19</v>
      </c>
      <c r="D386" s="67">
        <v>3.4702999999999999</v>
      </c>
      <c r="E386" s="67">
        <v>3.6490999999999998</v>
      </c>
      <c r="F386" s="67">
        <v>3.419842960478237</v>
      </c>
      <c r="G386" s="67">
        <v>3.569</v>
      </c>
      <c r="H386" s="67">
        <v>3.3563000000000001</v>
      </c>
      <c r="I386" s="67">
        <v>3.1892</v>
      </c>
      <c r="J386" s="67">
        <v>3.5790999999999999</v>
      </c>
      <c r="K386" s="67">
        <v>3.3950999999999998</v>
      </c>
      <c r="L386" s="67">
        <v>3.4826000000000001</v>
      </c>
      <c r="M386" s="67">
        <v>3.4201000000000001</v>
      </c>
      <c r="N386" s="67">
        <v>3.3871000000000002</v>
      </c>
      <c r="O386" s="67"/>
      <c r="P386" s="67"/>
      <c r="Q386" s="68"/>
      <c r="R386" s="68"/>
    </row>
    <row r="387" spans="1:18" ht="14.4" x14ac:dyDescent="0.3">
      <c r="A387" s="64" t="s">
        <v>74</v>
      </c>
      <c r="B387" s="64"/>
      <c r="C387" s="65" t="s">
        <v>19</v>
      </c>
      <c r="D387" s="67"/>
      <c r="E387" s="67"/>
      <c r="F387" s="67"/>
      <c r="G387" s="67"/>
      <c r="H387" s="67"/>
      <c r="I387" s="67"/>
      <c r="J387" s="67"/>
      <c r="K387" s="67">
        <v>3.8546999999999998</v>
      </c>
      <c r="L387" s="67"/>
      <c r="M387" s="67"/>
      <c r="N387" s="67"/>
      <c r="O387" s="67"/>
      <c r="P387" s="67"/>
      <c r="Q387" s="68"/>
      <c r="R387" s="68"/>
    </row>
    <row r="388" spans="1:18" ht="14.4" x14ac:dyDescent="0.3">
      <c r="A388" s="64" t="s">
        <v>75</v>
      </c>
      <c r="B388" s="64"/>
      <c r="C388" s="65" t="s">
        <v>19</v>
      </c>
      <c r="D388" s="67">
        <v>3.7269999999999999</v>
      </c>
      <c r="E388" s="67">
        <v>3.9544999999999999</v>
      </c>
      <c r="F388" s="67">
        <v>3.7571583496015069</v>
      </c>
      <c r="G388" s="67">
        <v>3.8879000000000001</v>
      </c>
      <c r="H388" s="67">
        <v>3.6837</v>
      </c>
      <c r="I388" s="67">
        <v>3.5085000000000002</v>
      </c>
      <c r="J388" s="67">
        <v>3.8647999999999998</v>
      </c>
      <c r="K388" s="67">
        <v>3.6688999999999998</v>
      </c>
      <c r="L388" s="67">
        <v>3.7715999999999998</v>
      </c>
      <c r="M388" s="67">
        <v>3.7115999999999998</v>
      </c>
      <c r="N388" s="67">
        <v>3.6452</v>
      </c>
      <c r="O388" s="67"/>
      <c r="P388" s="67"/>
      <c r="Q388" s="68"/>
      <c r="R388" s="68"/>
    </row>
    <row r="389" spans="1:18" ht="14.4" x14ac:dyDescent="0.3">
      <c r="A389" s="64" t="s">
        <v>76</v>
      </c>
      <c r="B389" s="64"/>
      <c r="C389" s="65" t="s">
        <v>19</v>
      </c>
      <c r="D389" s="67">
        <v>3.6259000000000001</v>
      </c>
      <c r="E389" s="67">
        <v>3.9015</v>
      </c>
      <c r="F389" s="67">
        <v>3.6592534427396468</v>
      </c>
      <c r="G389" s="67">
        <v>3.8285999999999998</v>
      </c>
      <c r="H389" s="67">
        <v>3.6454</v>
      </c>
      <c r="I389" s="67">
        <v>3.4636999999999998</v>
      </c>
      <c r="J389" s="67">
        <v>3.8130999999999999</v>
      </c>
      <c r="K389" s="67">
        <v>3.6147</v>
      </c>
      <c r="L389" s="67">
        <v>3.7090000000000001</v>
      </c>
      <c r="M389" s="67">
        <v>3.6448999999999998</v>
      </c>
      <c r="N389" s="67">
        <v>3.5874999999999999</v>
      </c>
      <c r="O389" s="67"/>
      <c r="P389" s="67"/>
      <c r="Q389" s="68"/>
      <c r="R389" s="68"/>
    </row>
    <row r="390" spans="1:18" ht="14.4" x14ac:dyDescent="0.3">
      <c r="A390" s="64" t="s">
        <v>77</v>
      </c>
      <c r="B390" s="64"/>
      <c r="C390" s="65" t="s">
        <v>19</v>
      </c>
      <c r="D390" s="67">
        <v>3.6690999999999998</v>
      </c>
      <c r="E390" s="67">
        <v>3.9607999999999999</v>
      </c>
      <c r="F390" s="67">
        <v>3.7412760215125012</v>
      </c>
      <c r="G390" s="67">
        <v>3.8355999999999999</v>
      </c>
      <c r="H390" s="67">
        <v>3.7204999999999999</v>
      </c>
      <c r="I390" s="67">
        <v>3.5415999999999999</v>
      </c>
      <c r="J390" s="67">
        <v>3.81</v>
      </c>
      <c r="K390" s="67">
        <v>3.6352000000000002</v>
      </c>
      <c r="L390" s="67">
        <v>3.6779999999999999</v>
      </c>
      <c r="M390" s="67">
        <v>3.6089000000000002</v>
      </c>
      <c r="N390" s="67">
        <v>3.5695999999999999</v>
      </c>
      <c r="O390" s="67"/>
      <c r="P390" s="67"/>
      <c r="Q390" s="68"/>
      <c r="R390" s="68"/>
    </row>
    <row r="391" spans="1:18" ht="14.4" x14ac:dyDescent="0.3">
      <c r="A391" s="64" t="s">
        <v>78</v>
      </c>
      <c r="B391" s="64"/>
      <c r="C391" s="65" t="s">
        <v>19</v>
      </c>
      <c r="D391" s="67">
        <v>3.6501999999999999</v>
      </c>
      <c r="E391" s="67">
        <v>3.9319000000000002</v>
      </c>
      <c r="F391" s="67">
        <v>3.7042849444302379</v>
      </c>
      <c r="G391" s="67">
        <v>3.8393000000000002</v>
      </c>
      <c r="H391" s="67">
        <v>3.669</v>
      </c>
      <c r="I391" s="67">
        <v>3.4906999999999999</v>
      </c>
      <c r="J391" s="67">
        <v>3.8275999999999999</v>
      </c>
      <c r="K391" s="67">
        <v>3.5526</v>
      </c>
      <c r="L391" s="67">
        <v>3.7370999999999999</v>
      </c>
      <c r="M391" s="67">
        <v>3.6884999999999999</v>
      </c>
      <c r="N391" s="67">
        <v>3.6573000000000002</v>
      </c>
      <c r="O391" s="67"/>
      <c r="P391" s="67"/>
      <c r="Q391" s="68"/>
      <c r="R391" s="68"/>
    </row>
    <row r="392" spans="1:18" ht="14.4" x14ac:dyDescent="0.3">
      <c r="A392" s="64" t="s">
        <v>79</v>
      </c>
      <c r="B392" s="64"/>
      <c r="C392" s="65" t="s">
        <v>19</v>
      </c>
      <c r="D392" s="67">
        <v>3.5097999999999998</v>
      </c>
      <c r="E392" s="67">
        <v>3.9396</v>
      </c>
      <c r="F392" s="67">
        <v>3.7229883016641669</v>
      </c>
      <c r="G392" s="67">
        <v>3.7970000000000002</v>
      </c>
      <c r="H392" s="67">
        <v>3.8315000000000001</v>
      </c>
      <c r="I392" s="67">
        <v>3.7349000000000001</v>
      </c>
      <c r="J392" s="67">
        <v>4.0396000000000001</v>
      </c>
      <c r="K392" s="67">
        <v>3.8058000000000001</v>
      </c>
      <c r="L392" s="67">
        <v>4.0376000000000003</v>
      </c>
      <c r="M392" s="67">
        <v>3.8043999999999998</v>
      </c>
      <c r="N392" s="67">
        <v>3.7968000000000002</v>
      </c>
      <c r="O392" s="67"/>
      <c r="P392" s="67"/>
      <c r="Q392" s="68"/>
      <c r="R392" s="68"/>
    </row>
    <row r="393" spans="1:18" ht="14.4" x14ac:dyDescent="0.3">
      <c r="A393" s="64" t="s">
        <v>80</v>
      </c>
      <c r="B393" s="64"/>
      <c r="C393" s="65" t="s">
        <v>19</v>
      </c>
      <c r="D393" s="67">
        <v>3.5097999999999998</v>
      </c>
      <c r="E393" s="67">
        <v>3.9396</v>
      </c>
      <c r="F393" s="67">
        <v>3.7229883016641669</v>
      </c>
      <c r="G393" s="67">
        <v>3.7970000000000002</v>
      </c>
      <c r="H393" s="67">
        <v>3.8315000000000001</v>
      </c>
      <c r="I393" s="67">
        <v>3.7349000000000001</v>
      </c>
      <c r="J393" s="67">
        <v>4.0396000000000001</v>
      </c>
      <c r="K393" s="67">
        <v>3.8546999999999998</v>
      </c>
      <c r="L393" s="67"/>
      <c r="M393" s="67"/>
      <c r="N393" s="67"/>
      <c r="O393" s="67"/>
      <c r="P393" s="67"/>
      <c r="Q393" s="68"/>
      <c r="R393" s="68"/>
    </row>
    <row r="394" spans="1:18" x14ac:dyDescent="0.3">
      <c r="A394" s="62"/>
      <c r="B394" s="62"/>
      <c r="C394" s="63"/>
      <c r="D394" s="62"/>
      <c r="E394" s="62"/>
      <c r="F394" s="62"/>
      <c r="G394" s="62"/>
      <c r="H394" s="62"/>
      <c r="I394" s="62"/>
      <c r="J394" s="62"/>
      <c r="K394" s="62"/>
      <c r="L394" s="62"/>
      <c r="M394" s="62"/>
      <c r="N394" s="62"/>
      <c r="O394" s="62"/>
      <c r="P394" s="62"/>
    </row>
    <row r="395" spans="1:18" x14ac:dyDescent="0.3">
      <c r="A395" s="33" t="s">
        <v>81</v>
      </c>
      <c r="B395" s="62"/>
      <c r="C395" s="63"/>
      <c r="D395" s="62"/>
      <c r="E395" s="62"/>
      <c r="F395" s="62"/>
      <c r="G395" s="62"/>
      <c r="H395" s="62"/>
      <c r="I395" s="62"/>
      <c r="J395" s="62"/>
      <c r="K395" s="62"/>
      <c r="L395" s="62"/>
      <c r="M395" s="62"/>
      <c r="N395" s="62"/>
      <c r="O395" s="62"/>
      <c r="P395" s="62"/>
    </row>
    <row r="396" spans="1:18" x14ac:dyDescent="0.3">
      <c r="A396" s="62"/>
      <c r="B396" s="62"/>
      <c r="C396" s="63"/>
      <c r="D396" s="62"/>
      <c r="E396" s="62"/>
      <c r="F396" s="62"/>
      <c r="G396" s="62"/>
      <c r="H396" s="62"/>
      <c r="I396" s="62"/>
      <c r="J396" s="62"/>
      <c r="K396" s="62"/>
      <c r="L396" s="62"/>
      <c r="M396" s="62"/>
      <c r="N396" s="62"/>
      <c r="O396" s="62"/>
      <c r="P396" s="62"/>
    </row>
    <row r="397" spans="1:18" ht="14.4" x14ac:dyDescent="0.3">
      <c r="A397" s="61" t="s">
        <v>82</v>
      </c>
      <c r="B397" s="62"/>
      <c r="C397" s="63"/>
      <c r="D397" s="62"/>
      <c r="E397" s="62"/>
      <c r="F397" s="62"/>
      <c r="G397" s="62"/>
      <c r="H397" s="62"/>
      <c r="I397" s="62"/>
      <c r="J397" s="62"/>
      <c r="K397" s="62"/>
      <c r="L397" s="62"/>
      <c r="M397" s="62"/>
      <c r="N397" s="62"/>
      <c r="O397" s="62"/>
      <c r="P397" s="62"/>
    </row>
    <row r="398" spans="1:18" ht="14.4" x14ac:dyDescent="0.3">
      <c r="A398" s="25" t="s">
        <v>83</v>
      </c>
      <c r="B398" s="25"/>
      <c r="C398" s="16" t="s">
        <v>19</v>
      </c>
      <c r="D398" s="20">
        <v>1.0012000000000001</v>
      </c>
      <c r="E398" s="20">
        <v>1.0012000000000001</v>
      </c>
      <c r="F398" s="20">
        <v>1.0012000000000001</v>
      </c>
      <c r="G398" s="20">
        <v>1.0012000000000001</v>
      </c>
      <c r="H398" s="20">
        <v>1.0012000000000001</v>
      </c>
      <c r="I398" s="20">
        <v>1.0012000000000001</v>
      </c>
      <c r="J398" s="20">
        <v>1.0012000000000001</v>
      </c>
      <c r="K398" s="20">
        <v>1.0012000000000001</v>
      </c>
      <c r="L398" s="20">
        <v>1.0012000000000001</v>
      </c>
      <c r="M398" s="20">
        <v>1.0012000000000001</v>
      </c>
      <c r="N398" s="20">
        <v>1.0012000000000001</v>
      </c>
      <c r="O398" s="20">
        <v>1.0012000000000001</v>
      </c>
      <c r="P398" s="20">
        <v>1.0012000000000001</v>
      </c>
    </row>
    <row r="399" spans="1:18" ht="14.4" x14ac:dyDescent="0.3">
      <c r="A399" s="25" t="s">
        <v>84</v>
      </c>
      <c r="B399" s="25"/>
      <c r="C399" s="16" t="s">
        <v>19</v>
      </c>
      <c r="D399" s="20">
        <v>1.3183</v>
      </c>
      <c r="E399" s="20">
        <v>1.3183</v>
      </c>
      <c r="F399" s="20">
        <v>1.3183</v>
      </c>
      <c r="G399" s="20">
        <v>1.3183</v>
      </c>
      <c r="H399" s="20">
        <v>1.3183</v>
      </c>
      <c r="I399" s="20">
        <v>1.3183</v>
      </c>
      <c r="J399" s="20">
        <v>1.3183</v>
      </c>
      <c r="K399" s="20">
        <v>1.3183</v>
      </c>
      <c r="L399" s="20">
        <v>1.3183</v>
      </c>
      <c r="M399" s="20">
        <v>1.3183</v>
      </c>
      <c r="N399" s="20">
        <v>1.3183</v>
      </c>
      <c r="O399" s="20">
        <v>1.3183</v>
      </c>
      <c r="P399" s="20">
        <v>1.3183</v>
      </c>
    </row>
    <row r="400" spans="1:18" ht="14.4" x14ac:dyDescent="0.3">
      <c r="A400" s="25" t="s">
        <v>85</v>
      </c>
      <c r="B400" s="25"/>
      <c r="C400" s="16" t="s">
        <v>19</v>
      </c>
      <c r="D400" s="20">
        <v>1.6174999999999999</v>
      </c>
      <c r="E400" s="20">
        <v>1.6174999999999999</v>
      </c>
      <c r="F400" s="20">
        <v>1.6174999999999999</v>
      </c>
      <c r="G400" s="20">
        <v>1.6174999999999999</v>
      </c>
      <c r="H400" s="20">
        <v>1.6174999999999999</v>
      </c>
      <c r="I400" s="20">
        <v>1.6174999999999999</v>
      </c>
      <c r="J400" s="20">
        <v>1.6174999999999999</v>
      </c>
      <c r="K400" s="20">
        <v>1.6174999999999999</v>
      </c>
      <c r="L400" s="20">
        <v>1.6174999999999999</v>
      </c>
      <c r="M400" s="20">
        <v>1.6174999999999999</v>
      </c>
      <c r="N400" s="20">
        <v>1.6174999999999999</v>
      </c>
      <c r="O400" s="20">
        <v>1.6174999999999999</v>
      </c>
      <c r="P400" s="20">
        <v>1.6174999999999999</v>
      </c>
    </row>
    <row r="401" spans="1:16" ht="14.4" x14ac:dyDescent="0.3">
      <c r="A401" s="25" t="s">
        <v>86</v>
      </c>
      <c r="B401" s="25"/>
      <c r="C401" s="16" t="s">
        <v>19</v>
      </c>
      <c r="D401" s="20">
        <v>2.1387</v>
      </c>
      <c r="E401" s="20">
        <v>2.1387</v>
      </c>
      <c r="F401" s="20">
        <v>2.1387</v>
      </c>
      <c r="G401" s="20">
        <v>2.1387</v>
      </c>
      <c r="H401" s="20">
        <v>2.1387</v>
      </c>
      <c r="I401" s="20">
        <v>2.1387</v>
      </c>
      <c r="J401" s="20">
        <v>2.1387</v>
      </c>
      <c r="K401" s="20">
        <v>2.1387</v>
      </c>
      <c r="L401" s="20">
        <v>2.1387</v>
      </c>
      <c r="M401" s="20">
        <v>2.1387</v>
      </c>
      <c r="N401" s="20">
        <v>2.1387</v>
      </c>
      <c r="O401" s="20">
        <v>2.1387</v>
      </c>
      <c r="P401" s="20">
        <v>2.1387</v>
      </c>
    </row>
    <row r="402" spans="1:16" x14ac:dyDescent="0.3">
      <c r="A402" s="62"/>
      <c r="B402" s="62"/>
      <c r="C402" s="63"/>
      <c r="D402" s="62"/>
      <c r="E402" s="62"/>
      <c r="F402" s="62"/>
      <c r="G402" s="62"/>
      <c r="H402" s="62"/>
      <c r="I402" s="62"/>
      <c r="J402" s="62"/>
      <c r="K402" s="62"/>
      <c r="L402" s="62"/>
      <c r="M402" s="62"/>
      <c r="N402" s="62"/>
      <c r="O402" s="62"/>
      <c r="P402" s="62"/>
    </row>
    <row r="403" spans="1:16" ht="14.4" x14ac:dyDescent="0.3">
      <c r="A403" s="61" t="s">
        <v>87</v>
      </c>
      <c r="B403" s="62"/>
      <c r="C403" s="63"/>
      <c r="D403" s="62"/>
      <c r="E403" s="62"/>
      <c r="F403" s="62"/>
      <c r="G403" s="62"/>
      <c r="H403" s="62"/>
      <c r="I403" s="62"/>
      <c r="J403" s="62"/>
      <c r="K403" s="62"/>
      <c r="L403" s="62"/>
      <c r="M403" s="62"/>
      <c r="N403" s="62"/>
      <c r="O403" s="62"/>
      <c r="P403" s="62"/>
    </row>
    <row r="404" spans="1:16" ht="14.4" x14ac:dyDescent="0.3">
      <c r="A404" s="25" t="s">
        <v>68</v>
      </c>
      <c r="B404" s="25"/>
      <c r="C404" s="16"/>
      <c r="D404" s="24"/>
      <c r="E404" s="24"/>
      <c r="F404" s="24"/>
      <c r="G404" s="24"/>
      <c r="H404" s="24"/>
      <c r="I404" s="24"/>
      <c r="J404" s="24"/>
      <c r="K404" s="24"/>
      <c r="L404" s="24"/>
      <c r="M404" s="24"/>
      <c r="N404" s="24"/>
      <c r="O404" s="24"/>
      <c r="P404" s="24"/>
    </row>
    <row r="405" spans="1:16" ht="14.4" x14ac:dyDescent="0.3">
      <c r="A405" s="25" t="s">
        <v>88</v>
      </c>
      <c r="B405" s="25"/>
      <c r="C405" s="16" t="s">
        <v>19</v>
      </c>
      <c r="D405" s="20">
        <v>0.50849999999999995</v>
      </c>
      <c r="E405" s="20">
        <v>0.50849999999999995</v>
      </c>
      <c r="F405" s="20">
        <v>0.50849999999999995</v>
      </c>
      <c r="G405" s="20">
        <v>0.50849999999999995</v>
      </c>
      <c r="H405" s="20">
        <v>0.50849999999999995</v>
      </c>
      <c r="I405" s="20">
        <v>0.50849999999999995</v>
      </c>
      <c r="J405" s="20">
        <v>0.50849999999999995</v>
      </c>
      <c r="K405" s="20">
        <v>0.50849999999999995</v>
      </c>
      <c r="L405" s="20">
        <v>0.50849999999999995</v>
      </c>
      <c r="M405" s="20">
        <v>0.50849999999999995</v>
      </c>
      <c r="N405" s="20">
        <v>0.50849999999999995</v>
      </c>
      <c r="O405" s="20">
        <v>0.50849999999999995</v>
      </c>
      <c r="P405" s="20">
        <v>0.50849999999999995</v>
      </c>
    </row>
    <row r="406" spans="1:16" ht="14.4" x14ac:dyDescent="0.3">
      <c r="A406" s="25" t="s">
        <v>89</v>
      </c>
      <c r="B406" s="25"/>
      <c r="C406" s="16" t="s">
        <v>19</v>
      </c>
      <c r="D406" s="20">
        <v>0</v>
      </c>
      <c r="E406" s="20">
        <v>0</v>
      </c>
      <c r="F406" s="20">
        <v>0</v>
      </c>
      <c r="G406" s="20">
        <v>0</v>
      </c>
      <c r="H406" s="20">
        <v>0</v>
      </c>
      <c r="I406" s="20">
        <v>0</v>
      </c>
      <c r="J406" s="20">
        <v>0</v>
      </c>
      <c r="K406" s="20">
        <v>0</v>
      </c>
      <c r="L406" s="20">
        <v>0</v>
      </c>
      <c r="M406" s="20">
        <v>0</v>
      </c>
      <c r="N406" s="20">
        <v>0</v>
      </c>
      <c r="O406" s="20">
        <v>0</v>
      </c>
      <c r="P406" s="20">
        <v>0</v>
      </c>
    </row>
    <row r="407" spans="1:16" ht="14.4" x14ac:dyDescent="0.3">
      <c r="A407" s="25" t="s">
        <v>69</v>
      </c>
      <c r="B407" s="25"/>
      <c r="C407" s="16"/>
      <c r="D407" s="24"/>
      <c r="E407" s="24"/>
      <c r="F407" s="24"/>
      <c r="G407" s="24"/>
      <c r="H407" s="24"/>
      <c r="I407" s="24"/>
      <c r="J407" s="24"/>
      <c r="K407" s="24"/>
      <c r="L407" s="24"/>
      <c r="M407" s="24"/>
      <c r="N407" s="24"/>
      <c r="O407" s="24"/>
      <c r="P407" s="24"/>
    </row>
    <row r="408" spans="1:16" ht="14.4" x14ac:dyDescent="0.3">
      <c r="A408" s="25" t="s">
        <v>88</v>
      </c>
      <c r="B408" s="25"/>
      <c r="C408" s="16" t="s">
        <v>19</v>
      </c>
      <c r="D408" s="20">
        <f t="shared" ref="D408:P408" si="31">D405+0.01</f>
        <v>0.51849999999999996</v>
      </c>
      <c r="E408" s="20">
        <f t="shared" si="31"/>
        <v>0.51849999999999996</v>
      </c>
      <c r="F408" s="20">
        <f t="shared" si="31"/>
        <v>0.51849999999999996</v>
      </c>
      <c r="G408" s="20">
        <f t="shared" si="31"/>
        <v>0.51849999999999996</v>
      </c>
      <c r="H408" s="20">
        <f t="shared" si="31"/>
        <v>0.51849999999999996</v>
      </c>
      <c r="I408" s="20">
        <f t="shared" si="31"/>
        <v>0.51849999999999996</v>
      </c>
      <c r="J408" s="20">
        <f t="shared" si="31"/>
        <v>0.51849999999999996</v>
      </c>
      <c r="K408" s="20">
        <f t="shared" si="31"/>
        <v>0.51849999999999996</v>
      </c>
      <c r="L408" s="20">
        <f t="shared" si="31"/>
        <v>0.51849999999999996</v>
      </c>
      <c r="M408" s="20">
        <f t="shared" si="31"/>
        <v>0.51849999999999996</v>
      </c>
      <c r="N408" s="20">
        <f t="shared" si="31"/>
        <v>0.51849999999999996</v>
      </c>
      <c r="O408" s="20">
        <f t="shared" si="31"/>
        <v>0.51849999999999996</v>
      </c>
      <c r="P408" s="20">
        <f t="shared" si="31"/>
        <v>0.51849999999999996</v>
      </c>
    </row>
    <row r="409" spans="1:16" ht="14.4" x14ac:dyDescent="0.3">
      <c r="A409" s="25" t="s">
        <v>89</v>
      </c>
      <c r="B409" s="25"/>
      <c r="C409" s="16" t="s">
        <v>19</v>
      </c>
      <c r="D409" s="20">
        <f t="shared" ref="D409:P409" si="32">D407+0.01</f>
        <v>0.01</v>
      </c>
      <c r="E409" s="20">
        <f t="shared" si="32"/>
        <v>0.01</v>
      </c>
      <c r="F409" s="20">
        <f t="shared" si="32"/>
        <v>0.01</v>
      </c>
      <c r="G409" s="20">
        <f t="shared" si="32"/>
        <v>0.01</v>
      </c>
      <c r="H409" s="20">
        <f t="shared" si="32"/>
        <v>0.01</v>
      </c>
      <c r="I409" s="20">
        <f t="shared" si="32"/>
        <v>0.01</v>
      </c>
      <c r="J409" s="20">
        <f t="shared" si="32"/>
        <v>0.01</v>
      </c>
      <c r="K409" s="20">
        <f t="shared" si="32"/>
        <v>0.01</v>
      </c>
      <c r="L409" s="20">
        <f t="shared" si="32"/>
        <v>0.01</v>
      </c>
      <c r="M409" s="20">
        <f t="shared" si="32"/>
        <v>0.01</v>
      </c>
      <c r="N409" s="20">
        <f t="shared" si="32"/>
        <v>0.01</v>
      </c>
      <c r="O409" s="20">
        <f t="shared" si="32"/>
        <v>0.01</v>
      </c>
      <c r="P409" s="20">
        <f t="shared" si="32"/>
        <v>0.01</v>
      </c>
    </row>
    <row r="410" spans="1:16" x14ac:dyDescent="0.3">
      <c r="A410" s="62"/>
      <c r="B410" s="62"/>
      <c r="C410" s="63"/>
      <c r="D410" s="62"/>
      <c r="E410" s="62"/>
      <c r="F410" s="62"/>
      <c r="G410" s="62"/>
      <c r="H410" s="62"/>
      <c r="I410" s="62"/>
      <c r="J410" s="62"/>
      <c r="K410" s="62"/>
      <c r="L410" s="62"/>
      <c r="M410" s="62"/>
      <c r="N410" s="62"/>
      <c r="O410" s="62"/>
      <c r="P410" s="62"/>
    </row>
    <row r="411" spans="1:16" ht="14.4" x14ac:dyDescent="0.3">
      <c r="A411" s="61" t="s">
        <v>90</v>
      </c>
      <c r="B411" s="62"/>
      <c r="C411" s="63"/>
      <c r="D411" s="62"/>
      <c r="E411" s="62"/>
      <c r="F411" s="62"/>
      <c r="G411" s="62"/>
      <c r="H411" s="62"/>
      <c r="I411" s="62"/>
      <c r="J411" s="62"/>
      <c r="K411" s="62"/>
      <c r="L411" s="62"/>
      <c r="M411" s="62"/>
      <c r="N411" s="62"/>
      <c r="O411" s="62"/>
      <c r="P411" s="62"/>
    </row>
    <row r="412" spans="1:16" ht="14.4" x14ac:dyDescent="0.3">
      <c r="A412" s="25" t="s">
        <v>68</v>
      </c>
      <c r="B412" s="25"/>
      <c r="C412" s="16"/>
      <c r="D412" s="24"/>
      <c r="E412" s="24"/>
      <c r="F412" s="24"/>
      <c r="G412" s="24"/>
      <c r="H412" s="24"/>
      <c r="I412" s="24"/>
      <c r="J412" s="24"/>
      <c r="K412" s="24"/>
      <c r="L412" s="24"/>
      <c r="M412" s="24"/>
      <c r="N412" s="24"/>
      <c r="O412" s="24"/>
      <c r="P412" s="24"/>
    </row>
    <row r="413" spans="1:16" ht="14.4" x14ac:dyDescent="0.3">
      <c r="A413" s="25" t="s">
        <v>88</v>
      </c>
      <c r="B413" s="25"/>
      <c r="C413" s="16" t="s">
        <v>32</v>
      </c>
      <c r="D413" s="69">
        <v>16.73</v>
      </c>
      <c r="E413" s="69">
        <v>16.73</v>
      </c>
      <c r="F413" s="69">
        <v>16.73</v>
      </c>
      <c r="G413" s="69">
        <v>16.73</v>
      </c>
      <c r="H413" s="69">
        <v>16.73</v>
      </c>
      <c r="I413" s="69">
        <v>16.73</v>
      </c>
      <c r="J413" s="69">
        <v>16.73</v>
      </c>
      <c r="K413" s="69">
        <v>16.73</v>
      </c>
      <c r="L413" s="69">
        <v>16.73</v>
      </c>
      <c r="M413" s="69">
        <v>16.73</v>
      </c>
      <c r="N413" s="69">
        <v>16.73</v>
      </c>
      <c r="O413" s="69">
        <v>16.73</v>
      </c>
      <c r="P413" s="69">
        <v>16.73</v>
      </c>
    </row>
    <row r="414" spans="1:16" ht="14.4" x14ac:dyDescent="0.3">
      <c r="A414" s="25" t="s">
        <v>91</v>
      </c>
      <c r="B414" s="25"/>
      <c r="C414" s="16" t="s">
        <v>32</v>
      </c>
      <c r="D414" s="69"/>
      <c r="E414" s="69"/>
      <c r="F414" s="69"/>
      <c r="G414" s="69"/>
      <c r="H414" s="69"/>
      <c r="I414" s="69"/>
      <c r="J414" s="69"/>
      <c r="K414" s="69"/>
      <c r="L414" s="69">
        <v>278.58999999999997</v>
      </c>
      <c r="M414" s="69">
        <v>278.58999999999997</v>
      </c>
      <c r="N414" s="69">
        <v>278.58999999999997</v>
      </c>
      <c r="O414" s="69">
        <v>278.58999999999997</v>
      </c>
      <c r="P414" s="69">
        <v>278.58999999999997</v>
      </c>
    </row>
    <row r="415" spans="1:16" ht="14.4" x14ac:dyDescent="0.3">
      <c r="A415" s="25" t="s">
        <v>92</v>
      </c>
      <c r="B415" s="25"/>
      <c r="C415" s="16" t="s">
        <v>32</v>
      </c>
      <c r="D415" s="69">
        <v>371.48</v>
      </c>
      <c r="E415" s="69">
        <v>371.48</v>
      </c>
      <c r="F415" s="69">
        <v>371.48</v>
      </c>
      <c r="G415" s="69">
        <v>371.48</v>
      </c>
      <c r="H415" s="69">
        <v>371.48</v>
      </c>
      <c r="I415" s="69">
        <v>371.48</v>
      </c>
      <c r="J415" s="69">
        <v>371.48</v>
      </c>
      <c r="K415" s="69">
        <v>371.48</v>
      </c>
      <c r="L415" s="69">
        <v>371.48</v>
      </c>
      <c r="M415" s="69">
        <v>371.48</v>
      </c>
      <c r="N415" s="69">
        <v>371.48</v>
      </c>
      <c r="O415" s="69">
        <v>371.48</v>
      </c>
      <c r="P415" s="69">
        <v>371.48</v>
      </c>
    </row>
    <row r="416" spans="1:16" ht="14.4" x14ac:dyDescent="0.3">
      <c r="A416" s="25" t="s">
        <v>93</v>
      </c>
      <c r="B416" s="25"/>
      <c r="C416" s="16" t="s">
        <v>32</v>
      </c>
      <c r="D416" s="69">
        <v>845.17</v>
      </c>
      <c r="E416" s="69">
        <v>845.17</v>
      </c>
      <c r="F416" s="69">
        <v>845.17</v>
      </c>
      <c r="G416" s="69">
        <v>845.17</v>
      </c>
      <c r="H416" s="69">
        <v>845.17</v>
      </c>
      <c r="I416" s="69">
        <v>845.17</v>
      </c>
      <c r="J416" s="69">
        <v>845.17</v>
      </c>
      <c r="K416" s="69">
        <v>845.17</v>
      </c>
      <c r="L416" s="69">
        <v>845.17</v>
      </c>
      <c r="M416" s="69">
        <v>845.17</v>
      </c>
      <c r="N416" s="69">
        <v>845.17</v>
      </c>
      <c r="O416" s="69">
        <v>845.17</v>
      </c>
      <c r="P416" s="69">
        <v>845.17</v>
      </c>
    </row>
    <row r="417" spans="1:16" ht="14.4" x14ac:dyDescent="0.3">
      <c r="A417" s="25" t="s">
        <v>94</v>
      </c>
      <c r="B417" s="25"/>
      <c r="C417" s="16" t="s">
        <v>32</v>
      </c>
      <c r="D417" s="69">
        <v>3505.46</v>
      </c>
      <c r="E417" s="69">
        <v>3505.46</v>
      </c>
      <c r="F417" s="69">
        <v>3505.46</v>
      </c>
      <c r="G417" s="69">
        <v>3505.46</v>
      </c>
      <c r="H417" s="69">
        <v>3505.46</v>
      </c>
      <c r="I417" s="69">
        <v>3505.46</v>
      </c>
      <c r="J417" s="69">
        <v>3505.46</v>
      </c>
      <c r="K417" s="69">
        <v>3505.46</v>
      </c>
      <c r="L417" s="69">
        <v>3505.46</v>
      </c>
      <c r="M417" s="69">
        <v>3505.46</v>
      </c>
      <c r="N417" s="69">
        <v>3505.46</v>
      </c>
      <c r="O417" s="69">
        <v>3505.46</v>
      </c>
      <c r="P417" s="69">
        <v>3505.46</v>
      </c>
    </row>
    <row r="418" spans="1:16" ht="14.4" x14ac:dyDescent="0.3">
      <c r="A418" s="25" t="s">
        <v>95</v>
      </c>
      <c r="B418" s="25"/>
      <c r="C418" s="16" t="s">
        <v>32</v>
      </c>
      <c r="D418" s="69">
        <v>12726.3</v>
      </c>
      <c r="E418" s="69">
        <v>12726.3</v>
      </c>
      <c r="F418" s="69">
        <v>12726.3</v>
      </c>
      <c r="G418" s="69">
        <v>12726.3</v>
      </c>
      <c r="H418" s="69">
        <v>12726.3</v>
      </c>
      <c r="I418" s="69">
        <v>12726.3</v>
      </c>
      <c r="J418" s="69">
        <v>12726.3</v>
      </c>
      <c r="K418" s="69">
        <v>12726.3</v>
      </c>
      <c r="L418" s="69">
        <v>12726.3</v>
      </c>
      <c r="M418" s="69">
        <v>12726.3</v>
      </c>
      <c r="N418" s="69">
        <v>12726.3</v>
      </c>
      <c r="O418" s="69">
        <v>12726.3</v>
      </c>
      <c r="P418" s="69">
        <v>12726.3</v>
      </c>
    </row>
    <row r="419" spans="1:16" ht="14.4" x14ac:dyDescent="0.3">
      <c r="A419" s="25" t="s">
        <v>69</v>
      </c>
      <c r="B419" s="25"/>
      <c r="C419" s="16"/>
      <c r="D419" s="24"/>
      <c r="E419" s="24"/>
      <c r="F419" s="24"/>
      <c r="G419" s="24"/>
      <c r="H419" s="24"/>
      <c r="I419" s="24"/>
      <c r="J419" s="24"/>
      <c r="K419" s="24"/>
      <c r="L419" s="24"/>
      <c r="M419" s="24"/>
      <c r="N419" s="24"/>
      <c r="O419" s="24"/>
      <c r="P419" s="24"/>
    </row>
    <row r="420" spans="1:16" ht="14.4" x14ac:dyDescent="0.3">
      <c r="A420" s="25" t="s">
        <v>88</v>
      </c>
      <c r="B420" s="25"/>
      <c r="C420" s="16"/>
      <c r="D420" s="69">
        <f t="shared" ref="D420:P421" si="33">D413*110%</f>
        <v>18.403000000000002</v>
      </c>
      <c r="E420" s="69">
        <f t="shared" si="33"/>
        <v>18.403000000000002</v>
      </c>
      <c r="F420" s="69">
        <f t="shared" si="33"/>
        <v>18.403000000000002</v>
      </c>
      <c r="G420" s="69">
        <f t="shared" si="33"/>
        <v>18.403000000000002</v>
      </c>
      <c r="H420" s="69">
        <f t="shared" si="33"/>
        <v>18.403000000000002</v>
      </c>
      <c r="I420" s="69">
        <f t="shared" si="33"/>
        <v>18.403000000000002</v>
      </c>
      <c r="J420" s="69">
        <f t="shared" si="33"/>
        <v>18.403000000000002</v>
      </c>
      <c r="K420" s="69">
        <f t="shared" si="33"/>
        <v>18.403000000000002</v>
      </c>
      <c r="L420" s="69">
        <f t="shared" si="33"/>
        <v>18.403000000000002</v>
      </c>
      <c r="M420" s="69">
        <f t="shared" si="33"/>
        <v>18.403000000000002</v>
      </c>
      <c r="N420" s="69">
        <f t="shared" si="33"/>
        <v>18.403000000000002</v>
      </c>
      <c r="O420" s="69">
        <f t="shared" si="33"/>
        <v>18.403000000000002</v>
      </c>
      <c r="P420" s="69">
        <f t="shared" si="33"/>
        <v>18.403000000000002</v>
      </c>
    </row>
    <row r="421" spans="1:16" ht="14.4" x14ac:dyDescent="0.3">
      <c r="A421" s="25" t="s">
        <v>91</v>
      </c>
      <c r="B421" s="25"/>
      <c r="C421" s="16" t="s">
        <v>32</v>
      </c>
      <c r="D421" s="69"/>
      <c r="E421" s="69"/>
      <c r="F421" s="69"/>
      <c r="G421" s="69"/>
      <c r="H421" s="69"/>
      <c r="I421" s="69"/>
      <c r="J421" s="69"/>
      <c r="K421" s="69"/>
      <c r="L421" s="69">
        <f>L414*110%</f>
        <v>306.44900000000001</v>
      </c>
      <c r="M421" s="69">
        <f t="shared" si="33"/>
        <v>306.44900000000001</v>
      </c>
      <c r="N421" s="69">
        <f t="shared" si="33"/>
        <v>306.44900000000001</v>
      </c>
      <c r="O421" s="69">
        <f t="shared" si="33"/>
        <v>306.44900000000001</v>
      </c>
      <c r="P421" s="69">
        <f t="shared" si="33"/>
        <v>306.44900000000001</v>
      </c>
    </row>
    <row r="422" spans="1:16" ht="14.4" x14ac:dyDescent="0.3">
      <c r="A422" s="25" t="s">
        <v>92</v>
      </c>
      <c r="B422" s="25"/>
      <c r="C422" s="16" t="s">
        <v>32</v>
      </c>
      <c r="D422" s="69">
        <f t="shared" ref="D422:P425" si="34">D415*110%</f>
        <v>408.62800000000004</v>
      </c>
      <c r="E422" s="69">
        <f t="shared" si="34"/>
        <v>408.62800000000004</v>
      </c>
      <c r="F422" s="69">
        <f t="shared" si="34"/>
        <v>408.62800000000004</v>
      </c>
      <c r="G422" s="69">
        <f t="shared" si="34"/>
        <v>408.62800000000004</v>
      </c>
      <c r="H422" s="69">
        <f t="shared" si="34"/>
        <v>408.62800000000004</v>
      </c>
      <c r="I422" s="69">
        <f t="shared" si="34"/>
        <v>408.62800000000004</v>
      </c>
      <c r="J422" s="69">
        <f t="shared" si="34"/>
        <v>408.62800000000004</v>
      </c>
      <c r="K422" s="69">
        <f t="shared" si="34"/>
        <v>408.62800000000004</v>
      </c>
      <c r="L422" s="69">
        <f t="shared" si="34"/>
        <v>408.62800000000004</v>
      </c>
      <c r="M422" s="69">
        <f t="shared" si="34"/>
        <v>408.62800000000004</v>
      </c>
      <c r="N422" s="69">
        <f t="shared" si="34"/>
        <v>408.62800000000004</v>
      </c>
      <c r="O422" s="69">
        <f t="shared" si="34"/>
        <v>408.62800000000004</v>
      </c>
      <c r="P422" s="69">
        <f t="shared" si="34"/>
        <v>408.62800000000004</v>
      </c>
    </row>
    <row r="423" spans="1:16" ht="14.4" x14ac:dyDescent="0.3">
      <c r="A423" s="25" t="s">
        <v>93</v>
      </c>
      <c r="B423" s="25"/>
      <c r="C423" s="16" t="s">
        <v>32</v>
      </c>
      <c r="D423" s="69">
        <f t="shared" si="34"/>
        <v>929.68700000000001</v>
      </c>
      <c r="E423" s="69">
        <f t="shared" si="34"/>
        <v>929.68700000000001</v>
      </c>
      <c r="F423" s="69">
        <f t="shared" si="34"/>
        <v>929.68700000000001</v>
      </c>
      <c r="G423" s="69">
        <f t="shared" si="34"/>
        <v>929.68700000000001</v>
      </c>
      <c r="H423" s="69">
        <f t="shared" si="34"/>
        <v>929.68700000000001</v>
      </c>
      <c r="I423" s="69">
        <f t="shared" si="34"/>
        <v>929.68700000000001</v>
      </c>
      <c r="J423" s="69">
        <f t="shared" si="34"/>
        <v>929.68700000000001</v>
      </c>
      <c r="K423" s="69">
        <f t="shared" si="34"/>
        <v>929.68700000000001</v>
      </c>
      <c r="L423" s="69">
        <f t="shared" si="34"/>
        <v>929.68700000000001</v>
      </c>
      <c r="M423" s="69">
        <f t="shared" si="34"/>
        <v>929.68700000000001</v>
      </c>
      <c r="N423" s="69">
        <f t="shared" si="34"/>
        <v>929.68700000000001</v>
      </c>
      <c r="O423" s="69">
        <f t="shared" si="34"/>
        <v>929.68700000000001</v>
      </c>
      <c r="P423" s="69">
        <f t="shared" si="34"/>
        <v>929.68700000000001</v>
      </c>
    </row>
    <row r="424" spans="1:16" ht="14.4" x14ac:dyDescent="0.3">
      <c r="A424" s="25" t="s">
        <v>94</v>
      </c>
      <c r="B424" s="25"/>
      <c r="C424" s="16" t="s">
        <v>32</v>
      </c>
      <c r="D424" s="69">
        <f t="shared" si="34"/>
        <v>3856.0060000000003</v>
      </c>
      <c r="E424" s="69">
        <f t="shared" si="34"/>
        <v>3856.0060000000003</v>
      </c>
      <c r="F424" s="69">
        <f t="shared" si="34"/>
        <v>3856.0060000000003</v>
      </c>
      <c r="G424" s="69">
        <f t="shared" si="34"/>
        <v>3856.0060000000003</v>
      </c>
      <c r="H424" s="69">
        <f t="shared" si="34"/>
        <v>3856.0060000000003</v>
      </c>
      <c r="I424" s="69">
        <f t="shared" si="34"/>
        <v>3856.0060000000003</v>
      </c>
      <c r="J424" s="69">
        <f t="shared" si="34"/>
        <v>3856.0060000000003</v>
      </c>
      <c r="K424" s="69">
        <f t="shared" si="34"/>
        <v>3856.0060000000003</v>
      </c>
      <c r="L424" s="69">
        <f t="shared" si="34"/>
        <v>3856.0060000000003</v>
      </c>
      <c r="M424" s="69">
        <f t="shared" si="34"/>
        <v>3856.0060000000003</v>
      </c>
      <c r="N424" s="69">
        <f t="shared" si="34"/>
        <v>3856.0060000000003</v>
      </c>
      <c r="O424" s="69">
        <f t="shared" si="34"/>
        <v>3856.0060000000003</v>
      </c>
      <c r="P424" s="69">
        <f t="shared" si="34"/>
        <v>3856.0060000000003</v>
      </c>
    </row>
    <row r="425" spans="1:16" ht="14.4" x14ac:dyDescent="0.3">
      <c r="A425" s="25" t="s">
        <v>95</v>
      </c>
      <c r="B425" s="25"/>
      <c r="C425" s="16" t="s">
        <v>32</v>
      </c>
      <c r="D425" s="69">
        <f t="shared" si="34"/>
        <v>13998.93</v>
      </c>
      <c r="E425" s="69">
        <f t="shared" si="34"/>
        <v>13998.93</v>
      </c>
      <c r="F425" s="69">
        <f t="shared" si="34"/>
        <v>13998.93</v>
      </c>
      <c r="G425" s="69">
        <f t="shared" si="34"/>
        <v>13998.93</v>
      </c>
      <c r="H425" s="69">
        <f t="shared" si="34"/>
        <v>13998.93</v>
      </c>
      <c r="I425" s="69">
        <f t="shared" si="34"/>
        <v>13998.93</v>
      </c>
      <c r="J425" s="69">
        <f t="shared" si="34"/>
        <v>13998.93</v>
      </c>
      <c r="K425" s="69">
        <f t="shared" si="34"/>
        <v>13998.93</v>
      </c>
      <c r="L425" s="69">
        <f t="shared" si="34"/>
        <v>13998.93</v>
      </c>
      <c r="M425" s="69">
        <f t="shared" si="34"/>
        <v>13998.93</v>
      </c>
      <c r="N425" s="69">
        <f t="shared" si="34"/>
        <v>13998.93</v>
      </c>
      <c r="O425" s="69">
        <f t="shared" si="34"/>
        <v>13998.93</v>
      </c>
      <c r="P425" s="69">
        <f t="shared" si="34"/>
        <v>13998.93</v>
      </c>
    </row>
    <row r="427" spans="1:16" ht="14.4" x14ac:dyDescent="0.3">
      <c r="A427" s="61" t="s">
        <v>96</v>
      </c>
      <c r="B427" s="62"/>
      <c r="C427" s="63"/>
      <c r="D427" s="12" t="s">
        <v>5</v>
      </c>
      <c r="E427" s="12" t="s">
        <v>6</v>
      </c>
      <c r="F427" s="12" t="s">
        <v>7</v>
      </c>
      <c r="G427" s="12" t="s">
        <v>8</v>
      </c>
      <c r="H427" s="12" t="s">
        <v>9</v>
      </c>
      <c r="I427" s="12" t="s">
        <v>10</v>
      </c>
      <c r="J427" s="12" t="s">
        <v>11</v>
      </c>
      <c r="K427" s="12" t="s">
        <v>12</v>
      </c>
      <c r="L427" s="12" t="s">
        <v>13</v>
      </c>
      <c r="M427" s="12" t="s">
        <v>14</v>
      </c>
      <c r="N427" s="12" t="s">
        <v>15</v>
      </c>
      <c r="O427" s="12"/>
      <c r="P427" s="12"/>
    </row>
    <row r="428" spans="1:16" ht="14.4" x14ac:dyDescent="0.3">
      <c r="A428" s="25" t="s">
        <v>68</v>
      </c>
      <c r="B428" s="25"/>
      <c r="C428" s="16"/>
      <c r="D428" s="24"/>
      <c r="E428" s="24"/>
      <c r="F428" s="24"/>
      <c r="G428" s="24"/>
      <c r="H428" s="24"/>
      <c r="I428" s="24"/>
      <c r="J428" s="24"/>
      <c r="K428" s="24"/>
      <c r="L428" s="24"/>
      <c r="M428" s="24"/>
      <c r="N428" s="24"/>
      <c r="O428" s="24"/>
      <c r="P428" s="24"/>
    </row>
    <row r="429" spans="1:16" ht="14.4" x14ac:dyDescent="0.3">
      <c r="A429" s="25" t="s">
        <v>88</v>
      </c>
      <c r="B429" s="25"/>
      <c r="C429" s="16" t="s">
        <v>32</v>
      </c>
      <c r="D429" s="69">
        <v>5</v>
      </c>
      <c r="E429" s="69">
        <v>5</v>
      </c>
      <c r="F429" s="69">
        <v>5</v>
      </c>
      <c r="G429" s="69">
        <v>5</v>
      </c>
      <c r="H429" s="69">
        <v>5</v>
      </c>
      <c r="I429" s="69">
        <v>5</v>
      </c>
      <c r="J429" s="69">
        <v>5</v>
      </c>
      <c r="K429" s="69">
        <v>5</v>
      </c>
      <c r="L429" s="69">
        <v>5</v>
      </c>
      <c r="M429" s="69">
        <v>5</v>
      </c>
      <c r="N429" s="69">
        <v>5</v>
      </c>
      <c r="O429" s="69">
        <v>5</v>
      </c>
      <c r="P429" s="69">
        <v>5</v>
      </c>
    </row>
    <row r="430" spans="1:16" ht="14.4" x14ac:dyDescent="0.3">
      <c r="A430" s="25" t="s">
        <v>91</v>
      </c>
      <c r="B430" s="25"/>
      <c r="C430" s="16"/>
      <c r="D430" s="69"/>
      <c r="E430" s="69"/>
      <c r="F430" s="69"/>
      <c r="G430" s="69"/>
      <c r="H430" s="69"/>
      <c r="I430" s="69"/>
      <c r="J430" s="69"/>
      <c r="K430" s="69"/>
      <c r="L430" s="69">
        <v>278.45999999999998</v>
      </c>
      <c r="M430" s="69">
        <v>278.45999999999998</v>
      </c>
      <c r="N430" s="69">
        <v>278.45999999999998</v>
      </c>
      <c r="O430" s="69">
        <v>278.45999999999998</v>
      </c>
      <c r="P430" s="69">
        <v>278.45999999999998</v>
      </c>
    </row>
    <row r="431" spans="1:16" ht="14.4" x14ac:dyDescent="0.3">
      <c r="A431" s="25" t="s">
        <v>92</v>
      </c>
      <c r="B431" s="25"/>
      <c r="C431" s="16" t="s">
        <v>32</v>
      </c>
      <c r="D431" s="69">
        <v>362.34</v>
      </c>
      <c r="E431" s="69">
        <v>362.34</v>
      </c>
      <c r="F431" s="69">
        <v>362.34</v>
      </c>
      <c r="G431" s="69">
        <v>362.34</v>
      </c>
      <c r="H431" s="69">
        <v>362.34</v>
      </c>
      <c r="I431" s="69">
        <v>362.34</v>
      </c>
      <c r="J431" s="69">
        <v>362.34</v>
      </c>
      <c r="K431" s="69">
        <v>362.34</v>
      </c>
      <c r="L431" s="69">
        <v>362.34</v>
      </c>
      <c r="M431" s="69">
        <v>362.34</v>
      </c>
      <c r="N431" s="69">
        <v>362.34</v>
      </c>
      <c r="O431" s="69">
        <v>362.34</v>
      </c>
      <c r="P431" s="69">
        <v>362.34</v>
      </c>
    </row>
    <row r="432" spans="1:16" ht="14.4" x14ac:dyDescent="0.3">
      <c r="A432" s="25" t="s">
        <v>93</v>
      </c>
      <c r="B432" s="25"/>
      <c r="C432" s="16" t="s">
        <v>32</v>
      </c>
      <c r="D432" s="69">
        <v>849.44</v>
      </c>
      <c r="E432" s="69">
        <v>849.44</v>
      </c>
      <c r="F432" s="69">
        <v>849.44</v>
      </c>
      <c r="G432" s="69">
        <v>849.44</v>
      </c>
      <c r="H432" s="69">
        <v>849.44</v>
      </c>
      <c r="I432" s="69">
        <v>849.44</v>
      </c>
      <c r="J432" s="69">
        <v>849.44</v>
      </c>
      <c r="K432" s="69">
        <v>849.44</v>
      </c>
      <c r="L432" s="69">
        <v>849.44</v>
      </c>
      <c r="M432" s="69">
        <v>849.44</v>
      </c>
      <c r="N432" s="69">
        <v>849.44</v>
      </c>
      <c r="O432" s="69">
        <v>849.44</v>
      </c>
      <c r="P432" s="69">
        <v>849.44</v>
      </c>
    </row>
    <row r="433" spans="1:16" ht="14.4" x14ac:dyDescent="0.3">
      <c r="A433" s="25" t="s">
        <v>94</v>
      </c>
      <c r="B433" s="25"/>
      <c r="C433" s="16" t="s">
        <v>32</v>
      </c>
      <c r="D433" s="69">
        <v>3525.12</v>
      </c>
      <c r="E433" s="69">
        <v>3525.12</v>
      </c>
      <c r="F433" s="69">
        <v>3525.12</v>
      </c>
      <c r="G433" s="69">
        <v>3525.12</v>
      </c>
      <c r="H433" s="69">
        <v>3525.12</v>
      </c>
      <c r="I433" s="69">
        <v>3525.12</v>
      </c>
      <c r="J433" s="69">
        <v>3525.12</v>
      </c>
      <c r="K433" s="69">
        <v>3525.12</v>
      </c>
      <c r="L433" s="69">
        <v>3525.12</v>
      </c>
      <c r="M433" s="69">
        <v>3525.12</v>
      </c>
      <c r="N433" s="69">
        <v>3525.12</v>
      </c>
      <c r="O433" s="69">
        <v>3525.12</v>
      </c>
      <c r="P433" s="69">
        <v>3525.12</v>
      </c>
    </row>
    <row r="434" spans="1:16" ht="14.4" x14ac:dyDescent="0.3">
      <c r="A434" s="25" t="s">
        <v>95</v>
      </c>
      <c r="B434" s="25"/>
      <c r="C434" s="16" t="s">
        <v>32</v>
      </c>
      <c r="D434" s="69">
        <v>12075.11</v>
      </c>
      <c r="E434" s="69">
        <v>12075.11</v>
      </c>
      <c r="F434" s="69">
        <v>12075.11</v>
      </c>
      <c r="G434" s="69">
        <v>12075.11</v>
      </c>
      <c r="H434" s="69">
        <v>12075.11</v>
      </c>
      <c r="I434" s="69">
        <v>12075.11</v>
      </c>
      <c r="J434" s="69">
        <v>12075.11</v>
      </c>
      <c r="K434" s="69">
        <v>12075.11</v>
      </c>
      <c r="L434" s="69">
        <v>12075.11</v>
      </c>
      <c r="M434" s="69">
        <v>12075.11</v>
      </c>
      <c r="N434" s="69">
        <v>12075.11</v>
      </c>
      <c r="O434" s="69">
        <v>12075.11</v>
      </c>
      <c r="P434" s="69">
        <v>12075.11</v>
      </c>
    </row>
    <row r="435" spans="1:16" ht="14.4" x14ac:dyDescent="0.3">
      <c r="A435" s="25" t="s">
        <v>69</v>
      </c>
      <c r="B435" s="25"/>
      <c r="C435" s="16"/>
      <c r="D435" s="24"/>
      <c r="E435" s="24"/>
      <c r="F435" s="24"/>
      <c r="G435" s="24"/>
      <c r="H435" s="24"/>
      <c r="I435" s="24"/>
      <c r="J435" s="24"/>
      <c r="K435" s="24"/>
      <c r="L435" s="24"/>
      <c r="M435" s="24"/>
      <c r="N435" s="24"/>
      <c r="O435" s="24"/>
      <c r="P435" s="24"/>
    </row>
    <row r="436" spans="1:16" ht="14.4" x14ac:dyDescent="0.3">
      <c r="A436" s="25" t="s">
        <v>88</v>
      </c>
      <c r="B436" s="25"/>
      <c r="C436" s="16" t="s">
        <v>32</v>
      </c>
      <c r="D436" s="69">
        <f t="shared" ref="D436:P436" si="35">D429*110%</f>
        <v>5.5</v>
      </c>
      <c r="E436" s="69">
        <f t="shared" si="35"/>
        <v>5.5</v>
      </c>
      <c r="F436" s="69">
        <f t="shared" si="35"/>
        <v>5.5</v>
      </c>
      <c r="G436" s="69">
        <f t="shared" si="35"/>
        <v>5.5</v>
      </c>
      <c r="H436" s="69">
        <f t="shared" si="35"/>
        <v>5.5</v>
      </c>
      <c r="I436" s="69">
        <f t="shared" si="35"/>
        <v>5.5</v>
      </c>
      <c r="J436" s="69">
        <f t="shared" si="35"/>
        <v>5.5</v>
      </c>
      <c r="K436" s="69">
        <f t="shared" si="35"/>
        <v>5.5</v>
      </c>
      <c r="L436" s="69">
        <f t="shared" si="35"/>
        <v>5.5</v>
      </c>
      <c r="M436" s="69">
        <f t="shared" si="35"/>
        <v>5.5</v>
      </c>
      <c r="N436" s="69">
        <f t="shared" si="35"/>
        <v>5.5</v>
      </c>
      <c r="O436" s="69">
        <f t="shared" si="35"/>
        <v>5.5</v>
      </c>
      <c r="P436" s="69">
        <f t="shared" si="35"/>
        <v>5.5</v>
      </c>
    </row>
    <row r="437" spans="1:16" ht="14.4" x14ac:dyDescent="0.3">
      <c r="A437" s="25" t="s">
        <v>91</v>
      </c>
      <c r="B437" s="25"/>
      <c r="C437" s="16" t="s">
        <v>32</v>
      </c>
      <c r="D437" s="69"/>
      <c r="E437" s="69"/>
      <c r="F437" s="69"/>
      <c r="G437" s="69"/>
      <c r="H437" s="69"/>
      <c r="I437" s="69"/>
      <c r="J437" s="69"/>
      <c r="K437" s="69"/>
      <c r="L437" s="69">
        <f>L430*110%</f>
        <v>306.30599999999998</v>
      </c>
      <c r="M437" s="69">
        <f>M430*110%</f>
        <v>306.30599999999998</v>
      </c>
      <c r="N437" s="69">
        <f>N430*110%</f>
        <v>306.30599999999998</v>
      </c>
      <c r="O437" s="69">
        <f>O430*110%</f>
        <v>306.30599999999998</v>
      </c>
      <c r="P437" s="69">
        <f>P430*110%</f>
        <v>306.30599999999998</v>
      </c>
    </row>
    <row r="438" spans="1:16" ht="14.4" x14ac:dyDescent="0.3">
      <c r="A438" s="25" t="s">
        <v>92</v>
      </c>
      <c r="B438" s="25"/>
      <c r="C438" s="16" t="s">
        <v>32</v>
      </c>
      <c r="D438" s="69">
        <f t="shared" ref="D438:P441" si="36">D431*110%</f>
        <v>398.57400000000001</v>
      </c>
      <c r="E438" s="69">
        <f t="shared" si="36"/>
        <v>398.57400000000001</v>
      </c>
      <c r="F438" s="69">
        <f t="shared" si="36"/>
        <v>398.57400000000001</v>
      </c>
      <c r="G438" s="69">
        <f t="shared" si="36"/>
        <v>398.57400000000001</v>
      </c>
      <c r="H438" s="69">
        <f t="shared" si="36"/>
        <v>398.57400000000001</v>
      </c>
      <c r="I438" s="69">
        <f t="shared" si="36"/>
        <v>398.57400000000001</v>
      </c>
      <c r="J438" s="69">
        <f t="shared" si="36"/>
        <v>398.57400000000001</v>
      </c>
      <c r="K438" s="69">
        <f t="shared" si="36"/>
        <v>398.57400000000001</v>
      </c>
      <c r="L438" s="69">
        <f t="shared" si="36"/>
        <v>398.57400000000001</v>
      </c>
      <c r="M438" s="69">
        <f t="shared" si="36"/>
        <v>398.57400000000001</v>
      </c>
      <c r="N438" s="69">
        <f t="shared" si="36"/>
        <v>398.57400000000001</v>
      </c>
      <c r="O438" s="69">
        <f t="shared" si="36"/>
        <v>398.57400000000001</v>
      </c>
      <c r="P438" s="69">
        <f t="shared" si="36"/>
        <v>398.57400000000001</v>
      </c>
    </row>
    <row r="439" spans="1:16" ht="14.4" x14ac:dyDescent="0.3">
      <c r="A439" s="25" t="s">
        <v>93</v>
      </c>
      <c r="B439" s="25"/>
      <c r="C439" s="16" t="s">
        <v>32</v>
      </c>
      <c r="D439" s="69">
        <f t="shared" si="36"/>
        <v>934.38400000000013</v>
      </c>
      <c r="E439" s="69">
        <f t="shared" si="36"/>
        <v>934.38400000000013</v>
      </c>
      <c r="F439" s="69">
        <f t="shared" si="36"/>
        <v>934.38400000000013</v>
      </c>
      <c r="G439" s="69">
        <f t="shared" si="36"/>
        <v>934.38400000000013</v>
      </c>
      <c r="H439" s="69">
        <f t="shared" si="36"/>
        <v>934.38400000000013</v>
      </c>
      <c r="I439" s="69">
        <f t="shared" si="36"/>
        <v>934.38400000000013</v>
      </c>
      <c r="J439" s="69">
        <f t="shared" si="36"/>
        <v>934.38400000000013</v>
      </c>
      <c r="K439" s="69">
        <f t="shared" si="36"/>
        <v>934.38400000000013</v>
      </c>
      <c r="L439" s="69">
        <f t="shared" si="36"/>
        <v>934.38400000000013</v>
      </c>
      <c r="M439" s="69">
        <f t="shared" si="36"/>
        <v>934.38400000000013</v>
      </c>
      <c r="N439" s="69">
        <f t="shared" si="36"/>
        <v>934.38400000000013</v>
      </c>
      <c r="O439" s="69">
        <f t="shared" si="36"/>
        <v>934.38400000000013</v>
      </c>
      <c r="P439" s="69">
        <f t="shared" si="36"/>
        <v>934.38400000000013</v>
      </c>
    </row>
    <row r="440" spans="1:16" ht="14.4" x14ac:dyDescent="0.3">
      <c r="A440" s="25" t="s">
        <v>94</v>
      </c>
      <c r="B440" s="25"/>
      <c r="C440" s="16" t="s">
        <v>32</v>
      </c>
      <c r="D440" s="69">
        <f t="shared" si="36"/>
        <v>3877.6320000000001</v>
      </c>
      <c r="E440" s="69">
        <f t="shared" si="36"/>
        <v>3877.6320000000001</v>
      </c>
      <c r="F440" s="69">
        <f t="shared" si="36"/>
        <v>3877.6320000000001</v>
      </c>
      <c r="G440" s="69">
        <f t="shared" si="36"/>
        <v>3877.6320000000001</v>
      </c>
      <c r="H440" s="69">
        <f t="shared" si="36"/>
        <v>3877.6320000000001</v>
      </c>
      <c r="I440" s="69">
        <f t="shared" si="36"/>
        <v>3877.6320000000001</v>
      </c>
      <c r="J440" s="69">
        <f t="shared" si="36"/>
        <v>3877.6320000000001</v>
      </c>
      <c r="K440" s="69">
        <f t="shared" si="36"/>
        <v>3877.6320000000001</v>
      </c>
      <c r="L440" s="69">
        <f t="shared" si="36"/>
        <v>3877.6320000000001</v>
      </c>
      <c r="M440" s="69">
        <f t="shared" si="36"/>
        <v>3877.6320000000001</v>
      </c>
      <c r="N440" s="69">
        <f t="shared" si="36"/>
        <v>3877.6320000000001</v>
      </c>
      <c r="O440" s="69">
        <f t="shared" si="36"/>
        <v>3877.6320000000001</v>
      </c>
      <c r="P440" s="69">
        <f t="shared" si="36"/>
        <v>3877.6320000000001</v>
      </c>
    </row>
    <row r="441" spans="1:16" ht="14.4" x14ac:dyDescent="0.3">
      <c r="A441" s="25" t="s">
        <v>95</v>
      </c>
      <c r="B441" s="25"/>
      <c r="C441" s="16" t="s">
        <v>32</v>
      </c>
      <c r="D441" s="69">
        <f t="shared" si="36"/>
        <v>13282.621000000001</v>
      </c>
      <c r="E441" s="69">
        <f t="shared" si="36"/>
        <v>13282.621000000001</v>
      </c>
      <c r="F441" s="69">
        <f t="shared" si="36"/>
        <v>13282.621000000001</v>
      </c>
      <c r="G441" s="69">
        <f t="shared" si="36"/>
        <v>13282.621000000001</v>
      </c>
      <c r="H441" s="69">
        <f t="shared" si="36"/>
        <v>13282.621000000001</v>
      </c>
      <c r="I441" s="69">
        <f t="shared" si="36"/>
        <v>13282.621000000001</v>
      </c>
      <c r="J441" s="69">
        <f t="shared" si="36"/>
        <v>13282.621000000001</v>
      </c>
      <c r="K441" s="69">
        <f t="shared" si="36"/>
        <v>13282.621000000001</v>
      </c>
      <c r="L441" s="69">
        <f t="shared" si="36"/>
        <v>13282.621000000001</v>
      </c>
      <c r="M441" s="69">
        <f t="shared" si="36"/>
        <v>13282.621000000001</v>
      </c>
      <c r="N441" s="69">
        <f t="shared" si="36"/>
        <v>13282.621000000001</v>
      </c>
      <c r="O441" s="69">
        <f t="shared" si="36"/>
        <v>13282.621000000001</v>
      </c>
      <c r="P441" s="69">
        <f t="shared" si="36"/>
        <v>13282.621000000001</v>
      </c>
    </row>
    <row r="442" spans="1:16" ht="14.4" x14ac:dyDescent="0.3">
      <c r="A442" s="25"/>
      <c r="B442" s="25"/>
      <c r="C442" s="16"/>
      <c r="D442" s="24"/>
      <c r="E442" s="24"/>
      <c r="F442" s="24"/>
      <c r="G442" s="24"/>
      <c r="H442" s="24"/>
      <c r="I442" s="24"/>
      <c r="J442" s="24"/>
      <c r="K442" s="24"/>
      <c r="L442" s="24"/>
      <c r="M442" s="24"/>
      <c r="N442" s="24"/>
      <c r="O442" s="24"/>
      <c r="P442" s="24"/>
    </row>
    <row r="443" spans="1:16" ht="14.4" x14ac:dyDescent="0.3">
      <c r="A443" s="61" t="s">
        <v>97</v>
      </c>
      <c r="B443" s="62"/>
      <c r="C443" s="63"/>
      <c r="D443" s="62"/>
      <c r="E443" s="62"/>
      <c r="F443" s="62"/>
      <c r="G443" s="62"/>
      <c r="H443" s="62"/>
      <c r="I443" s="62"/>
      <c r="J443" s="62"/>
      <c r="K443" s="62"/>
      <c r="L443" s="62"/>
      <c r="M443" s="62"/>
      <c r="N443" s="62"/>
      <c r="O443" s="62"/>
      <c r="P443" s="62"/>
    </row>
    <row r="444" spans="1:16" ht="14.4" x14ac:dyDescent="0.3">
      <c r="A444" s="25" t="s">
        <v>98</v>
      </c>
      <c r="B444" s="25"/>
      <c r="C444" s="16" t="s">
        <v>44</v>
      </c>
      <c r="D444" s="70">
        <v>1</v>
      </c>
      <c r="E444" s="70">
        <v>1</v>
      </c>
      <c r="F444" s="70">
        <v>1</v>
      </c>
      <c r="G444" s="70">
        <v>1</v>
      </c>
      <c r="H444" s="70">
        <v>1</v>
      </c>
      <c r="I444" s="70">
        <v>1</v>
      </c>
      <c r="J444" s="70">
        <v>1</v>
      </c>
      <c r="K444" s="70">
        <v>1</v>
      </c>
      <c r="L444" s="70">
        <v>1</v>
      </c>
      <c r="M444" s="70">
        <v>1</v>
      </c>
      <c r="N444" s="70">
        <v>1</v>
      </c>
      <c r="O444" s="70">
        <v>1</v>
      </c>
      <c r="P444" s="70">
        <v>1</v>
      </c>
    </row>
    <row r="445" spans="1:16" ht="14.4" x14ac:dyDescent="0.3">
      <c r="A445" s="25" t="s">
        <v>99</v>
      </c>
      <c r="B445" s="25"/>
      <c r="C445" s="16" t="s">
        <v>44</v>
      </c>
      <c r="D445" s="70">
        <v>0.5</v>
      </c>
      <c r="E445" s="70">
        <v>0.5</v>
      </c>
      <c r="F445" s="70">
        <v>0.5</v>
      </c>
      <c r="G445" s="70">
        <v>0.5</v>
      </c>
      <c r="H445" s="70">
        <v>0.5</v>
      </c>
      <c r="I445" s="70">
        <v>0.5</v>
      </c>
      <c r="J445" s="70">
        <v>0.5</v>
      </c>
      <c r="K445" s="70">
        <v>0.5</v>
      </c>
      <c r="L445" s="70">
        <v>0.5</v>
      </c>
      <c r="M445" s="70">
        <v>0.5</v>
      </c>
      <c r="N445" s="70">
        <v>0.5</v>
      </c>
      <c r="O445" s="70">
        <v>0.5</v>
      </c>
      <c r="P445" s="70">
        <v>0.5</v>
      </c>
    </row>
    <row r="446" spans="1:16" ht="14.4" x14ac:dyDescent="0.3">
      <c r="A446" s="25" t="s">
        <v>100</v>
      </c>
      <c r="B446" s="25"/>
      <c r="C446" s="16" t="s">
        <v>44</v>
      </c>
      <c r="D446" s="70">
        <v>0.35</v>
      </c>
      <c r="E446" s="70">
        <v>0.35</v>
      </c>
      <c r="F446" s="70">
        <v>0.35</v>
      </c>
      <c r="G446" s="70">
        <v>0.35</v>
      </c>
      <c r="H446" s="70">
        <v>0.35</v>
      </c>
      <c r="I446" s="70">
        <v>0.35</v>
      </c>
      <c r="J446" s="70">
        <v>0.35</v>
      </c>
      <c r="K446" s="70">
        <v>0.35</v>
      </c>
      <c r="L446" s="70">
        <v>0.35</v>
      </c>
      <c r="M446" s="70">
        <v>0.35</v>
      </c>
      <c r="N446" s="70">
        <v>0.35</v>
      </c>
      <c r="O446" s="70">
        <v>0.35</v>
      </c>
      <c r="P446" s="70">
        <v>0.35</v>
      </c>
    </row>
    <row r="447" spans="1:16" ht="14.4" x14ac:dyDescent="0.3">
      <c r="A447" s="25" t="s">
        <v>101</v>
      </c>
      <c r="B447" s="25"/>
      <c r="C447" s="16" t="s">
        <v>44</v>
      </c>
      <c r="D447" s="70">
        <v>0.2</v>
      </c>
      <c r="E447" s="70">
        <v>0.2</v>
      </c>
      <c r="F447" s="70">
        <v>0.2</v>
      </c>
      <c r="G447" s="70">
        <v>0.2</v>
      </c>
      <c r="H447" s="70">
        <v>0.2</v>
      </c>
      <c r="I447" s="70">
        <v>0.2</v>
      </c>
      <c r="J447" s="70">
        <v>0.2</v>
      </c>
      <c r="K447" s="70">
        <v>0.2</v>
      </c>
      <c r="L447" s="70">
        <v>0.2</v>
      </c>
      <c r="M447" s="70">
        <v>0.2</v>
      </c>
      <c r="N447" s="70">
        <v>0.2</v>
      </c>
      <c r="O447" s="70">
        <v>0.2</v>
      </c>
      <c r="P447" s="70">
        <v>0.2</v>
      </c>
    </row>
    <row r="448" spans="1:16" x14ac:dyDescent="0.3">
      <c r="A448" s="62"/>
      <c r="B448" s="62"/>
      <c r="C448" s="63"/>
      <c r="D448" s="62"/>
      <c r="E448" s="62"/>
      <c r="F448" s="62"/>
      <c r="G448" s="62"/>
      <c r="H448" s="62"/>
      <c r="I448" s="62"/>
      <c r="J448" s="62"/>
      <c r="K448" s="62"/>
      <c r="L448" s="62"/>
      <c r="M448" s="62"/>
      <c r="N448" s="62"/>
      <c r="O448" s="62"/>
      <c r="P448" s="62"/>
    </row>
    <row r="449" spans="1:16" ht="14.4" x14ac:dyDescent="0.3">
      <c r="A449" s="61" t="s">
        <v>102</v>
      </c>
      <c r="B449" s="62"/>
      <c r="C449" s="63"/>
      <c r="D449" s="62"/>
      <c r="E449" s="62"/>
      <c r="F449" s="62"/>
      <c r="G449" s="62"/>
      <c r="H449" s="62"/>
      <c r="I449" s="62"/>
      <c r="J449" s="62"/>
      <c r="K449" s="62"/>
      <c r="L449" s="62"/>
      <c r="M449" s="62"/>
      <c r="N449" s="62"/>
      <c r="O449" s="62"/>
      <c r="P449" s="62"/>
    </row>
    <row r="450" spans="1:16" ht="14.4" x14ac:dyDescent="0.3">
      <c r="A450" s="25" t="s">
        <v>103</v>
      </c>
      <c r="B450" s="25" t="s">
        <v>104</v>
      </c>
      <c r="C450" s="16" t="s">
        <v>19</v>
      </c>
      <c r="D450" s="20" t="s">
        <v>104</v>
      </c>
      <c r="E450" s="20" t="s">
        <v>104</v>
      </c>
      <c r="F450" s="20" t="s">
        <v>104</v>
      </c>
      <c r="G450" s="20" t="s">
        <v>104</v>
      </c>
      <c r="H450" s="20" t="s">
        <v>104</v>
      </c>
      <c r="I450" s="20" t="s">
        <v>104</v>
      </c>
      <c r="J450" s="20" t="s">
        <v>104</v>
      </c>
      <c r="K450" s="20" t="s">
        <v>104</v>
      </c>
      <c r="L450" s="20" t="s">
        <v>104</v>
      </c>
      <c r="M450" s="20" t="s">
        <v>104</v>
      </c>
      <c r="N450" s="20" t="s">
        <v>104</v>
      </c>
      <c r="O450" s="20" t="s">
        <v>104</v>
      </c>
      <c r="P450" s="20" t="s">
        <v>104</v>
      </c>
    </row>
    <row r="451" spans="1:16" ht="14.4" x14ac:dyDescent="0.3">
      <c r="A451" s="25" t="s">
        <v>105</v>
      </c>
      <c r="B451" s="25" t="s">
        <v>106</v>
      </c>
      <c r="C451" s="16" t="s">
        <v>19</v>
      </c>
      <c r="D451" s="20">
        <v>0.1</v>
      </c>
      <c r="E451" s="20">
        <v>0.1</v>
      </c>
      <c r="F451" s="20">
        <v>0.1</v>
      </c>
      <c r="G451" s="20">
        <v>0.1</v>
      </c>
      <c r="H451" s="20">
        <v>0.1</v>
      </c>
      <c r="I451" s="20">
        <v>0.1</v>
      </c>
      <c r="J451" s="20">
        <v>0.1</v>
      </c>
      <c r="K451" s="20">
        <v>0.1</v>
      </c>
      <c r="L451" s="20">
        <v>0.1</v>
      </c>
      <c r="M451" s="20">
        <v>0.1</v>
      </c>
      <c r="N451" s="20">
        <v>0.1</v>
      </c>
      <c r="O451" s="20">
        <v>0.1</v>
      </c>
      <c r="P451" s="20">
        <v>0.1</v>
      </c>
    </row>
    <row r="452" spans="1:16" ht="14.4" x14ac:dyDescent="0.3">
      <c r="A452" s="25" t="s">
        <v>107</v>
      </c>
      <c r="B452" s="25" t="s">
        <v>108</v>
      </c>
      <c r="C452" s="16" t="s">
        <v>19</v>
      </c>
      <c r="D452" s="20">
        <v>0.2</v>
      </c>
      <c r="E452" s="20">
        <v>0.2</v>
      </c>
      <c r="F452" s="20">
        <v>0.2</v>
      </c>
      <c r="G452" s="20">
        <v>0.2</v>
      </c>
      <c r="H452" s="20">
        <v>0.2</v>
      </c>
      <c r="I452" s="20">
        <v>0.2</v>
      </c>
      <c r="J452" s="20">
        <v>0.2</v>
      </c>
      <c r="K452" s="20">
        <v>0.2</v>
      </c>
      <c r="L452" s="20">
        <v>0.2</v>
      </c>
      <c r="M452" s="20">
        <v>0.2</v>
      </c>
      <c r="N452" s="20">
        <v>0.2</v>
      </c>
      <c r="O452" s="20">
        <v>0.2</v>
      </c>
      <c r="P452" s="20">
        <v>0.2</v>
      </c>
    </row>
    <row r="453" spans="1:16" ht="14.4" x14ac:dyDescent="0.3">
      <c r="A453" s="25" t="s">
        <v>109</v>
      </c>
      <c r="B453" s="25" t="s">
        <v>110</v>
      </c>
      <c r="C453" s="16" t="s">
        <v>19</v>
      </c>
      <c r="D453" s="20">
        <v>0.35</v>
      </c>
      <c r="E453" s="20">
        <v>0.35</v>
      </c>
      <c r="F453" s="20">
        <v>0.35</v>
      </c>
      <c r="G453" s="20">
        <v>0.35</v>
      </c>
      <c r="H453" s="20">
        <v>0.35</v>
      </c>
      <c r="I453" s="20">
        <v>0.35</v>
      </c>
      <c r="J453" s="20">
        <v>0.35</v>
      </c>
      <c r="K453" s="20">
        <v>0.35</v>
      </c>
      <c r="L453" s="20">
        <v>0.35</v>
      </c>
      <c r="M453" s="20">
        <v>0.35</v>
      </c>
      <c r="N453" s="20">
        <v>0.35</v>
      </c>
      <c r="O453" s="20">
        <v>0.35</v>
      </c>
      <c r="P453" s="20">
        <v>0.35</v>
      </c>
    </row>
    <row r="454" spans="1:16" x14ac:dyDescent="0.3">
      <c r="A454" s="71"/>
      <c r="B454" s="71"/>
      <c r="C454" s="72"/>
      <c r="D454" s="71"/>
      <c r="E454" s="71"/>
      <c r="F454" s="71"/>
      <c r="G454" s="71"/>
      <c r="H454" s="71"/>
      <c r="I454" s="71"/>
      <c r="J454" s="71"/>
      <c r="K454" s="71"/>
      <c r="L454" s="71"/>
      <c r="M454" s="71"/>
      <c r="N454" s="71"/>
      <c r="O454" s="71"/>
      <c r="P454" s="71"/>
    </row>
    <row r="455" spans="1:16" x14ac:dyDescent="0.3">
      <c r="A455" s="33"/>
      <c r="B455" s="71"/>
      <c r="C455" s="72"/>
      <c r="D455" s="71"/>
      <c r="E455" s="71"/>
      <c r="F455" s="71"/>
      <c r="G455" s="71"/>
      <c r="H455" s="71"/>
      <c r="I455" s="71"/>
      <c r="J455" s="71"/>
      <c r="K455" s="71"/>
      <c r="L455" s="71"/>
      <c r="M455" s="71"/>
      <c r="N455" s="71"/>
      <c r="O455" s="71"/>
      <c r="P455" s="71"/>
    </row>
    <row r="457" spans="1:16" x14ac:dyDescent="0.3">
      <c r="A457" s="33"/>
    </row>
  </sheetData>
  <printOptions horizontalCentered="1"/>
  <pageMargins left="0.2" right="0.2" top="0.2" bottom="0.4" header="0.5" footer="0.1"/>
  <pageSetup paperSize="14" scale="65" orientation="landscape" r:id="rId1"/>
  <headerFooter scaleWithDoc="0" alignWithMargins="0">
    <oddFooter>&amp;L&amp;"Calibri,Regular"GENERAL NOTE: All data used in the actual implemented rates were based on available information as of the time rates were computed.&amp;R&amp;"Calibri,Italic"&amp;8
Actual Implemented Rates Page &amp;P of &amp;N</oddFooter>
  </headerFooter>
  <rowBreaks count="10" manualBreakCount="10">
    <brk id="45" max="14" man="1"/>
    <brk id="86" max="14" man="1"/>
    <brk id="127" max="14" man="1"/>
    <brk id="168" max="14" man="1"/>
    <brk id="209" max="14" man="1"/>
    <brk id="250" max="14" man="1"/>
    <brk id="291" max="14" man="1"/>
    <brk id="333" max="14" man="1"/>
    <brk id="376" max="14" man="1"/>
    <brk id="426" max="14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R460"/>
  <sheetViews>
    <sheetView view="pageBreakPreview" zoomScale="115" zoomScaleNormal="85" zoomScaleSheetLayoutView="115" workbookViewId="0">
      <pane xSplit="1" topLeftCell="G1" activePane="topRight" state="frozen"/>
      <selection pane="topRight" activeCell="U402" sqref="U402"/>
    </sheetView>
  </sheetViews>
  <sheetFormatPr defaultColWidth="9.109375" defaultRowHeight="13.8" x14ac:dyDescent="0.3"/>
  <cols>
    <col min="1" max="1" width="39.109375" style="3" customWidth="1"/>
    <col min="2" max="2" width="1.109375" style="3" customWidth="1"/>
    <col min="3" max="3" width="14.5546875" style="32" customWidth="1"/>
    <col min="4" max="15" width="15.88671875" style="3" customWidth="1"/>
    <col min="16" max="16" width="15.88671875" style="3" hidden="1" customWidth="1"/>
    <col min="17" max="16384" width="9.109375" style="3"/>
  </cols>
  <sheetData>
    <row r="1" spans="1:16" ht="21" x14ac:dyDescent="0.4">
      <c r="A1" s="1" t="s">
        <v>0</v>
      </c>
      <c r="B1" s="1"/>
      <c r="C1" s="2"/>
    </row>
    <row r="2" spans="1:16" ht="21" x14ac:dyDescent="0.4">
      <c r="A2" s="4" t="s">
        <v>1</v>
      </c>
      <c r="B2" s="4"/>
      <c r="C2" s="5"/>
    </row>
    <row r="3" spans="1:16" ht="21" x14ac:dyDescent="0.4">
      <c r="A3" s="6" t="str">
        <f>'[45]Supplier &amp; Trans Data'!A3</f>
        <v>For January - December 2017 Billing</v>
      </c>
      <c r="B3" s="6"/>
      <c r="C3" s="7"/>
    </row>
    <row r="4" spans="1:16" ht="21" x14ac:dyDescent="0.4">
      <c r="A4" s="4"/>
      <c r="B4" s="4"/>
      <c r="C4" s="5"/>
    </row>
    <row r="5" spans="1:16" ht="21" x14ac:dyDescent="0.4">
      <c r="A5" s="8"/>
      <c r="B5" s="4"/>
      <c r="C5" s="5"/>
    </row>
    <row r="6" spans="1:16" ht="18" x14ac:dyDescent="0.35">
      <c r="A6" s="9" t="s">
        <v>2</v>
      </c>
      <c r="B6" s="9"/>
      <c r="C6" s="5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</row>
    <row r="7" spans="1:16" s="13" customFormat="1" ht="14.4" x14ac:dyDescent="0.3">
      <c r="A7" s="11" t="s">
        <v>3</v>
      </c>
      <c r="B7" s="11"/>
      <c r="C7" s="11" t="s">
        <v>4</v>
      </c>
      <c r="D7" s="12" t="s">
        <v>5</v>
      </c>
      <c r="E7" s="12" t="s">
        <v>6</v>
      </c>
      <c r="F7" s="12" t="s">
        <v>7</v>
      </c>
      <c r="G7" s="12" t="s">
        <v>8</v>
      </c>
      <c r="H7" s="12" t="s">
        <v>9</v>
      </c>
      <c r="I7" s="12" t="s">
        <v>10</v>
      </c>
      <c r="J7" s="12" t="s">
        <v>11</v>
      </c>
      <c r="K7" s="12" t="s">
        <v>12</v>
      </c>
      <c r="L7" s="12" t="s">
        <v>13</v>
      </c>
      <c r="M7" s="12" t="s">
        <v>14</v>
      </c>
      <c r="N7" s="12" t="s">
        <v>15</v>
      </c>
      <c r="O7" s="12" t="s">
        <v>16</v>
      </c>
      <c r="P7" s="12" t="s">
        <v>5</v>
      </c>
    </row>
    <row r="8" spans="1:16" ht="14.4" x14ac:dyDescent="0.3">
      <c r="A8" s="14" t="s">
        <v>17</v>
      </c>
      <c r="B8" s="15"/>
      <c r="C8" s="16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</row>
    <row r="9" spans="1:16" ht="14.4" x14ac:dyDescent="0.3">
      <c r="A9" s="18" t="s">
        <v>18</v>
      </c>
      <c r="B9" s="19"/>
      <c r="C9" s="16" t="s">
        <v>19</v>
      </c>
      <c r="D9" s="20">
        <f t="shared" ref="D9:P9" si="0">D389</f>
        <v>3.7</v>
      </c>
      <c r="E9" s="20">
        <f t="shared" si="0"/>
        <v>4.3212000000000002</v>
      </c>
      <c r="F9" s="20">
        <f t="shared" si="0"/>
        <v>4.9013999999999998</v>
      </c>
      <c r="G9" s="20">
        <f t="shared" si="0"/>
        <v>5.0964999999999998</v>
      </c>
      <c r="H9" s="20">
        <f t="shared" si="0"/>
        <v>4.8838999999999997</v>
      </c>
      <c r="I9" s="20">
        <f t="shared" si="0"/>
        <v>3.8586</v>
      </c>
      <c r="J9" s="20">
        <f t="shared" si="0"/>
        <v>3.9384999999999999</v>
      </c>
      <c r="K9" s="20">
        <f t="shared" si="0"/>
        <v>3.9763000000000002</v>
      </c>
      <c r="L9" s="20">
        <f t="shared" si="0"/>
        <v>4.5377999999999998</v>
      </c>
      <c r="M9" s="20">
        <f t="shared" si="0"/>
        <v>4.7154999999999996</v>
      </c>
      <c r="N9" s="20">
        <f t="shared" si="0"/>
        <v>4.9080000000000004</v>
      </c>
      <c r="O9" s="20">
        <f t="shared" si="0"/>
        <v>4.6044999999999998</v>
      </c>
      <c r="P9" s="20" t="e">
        <f t="shared" si="0"/>
        <v>#DIV/0!</v>
      </c>
    </row>
    <row r="10" spans="1:16" ht="14.4" x14ac:dyDescent="0.3">
      <c r="A10" s="14" t="s">
        <v>20</v>
      </c>
      <c r="B10" s="15"/>
      <c r="C10" s="16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</row>
    <row r="11" spans="1:16" ht="14.4" x14ac:dyDescent="0.3">
      <c r="A11" s="18" t="s">
        <v>21</v>
      </c>
      <c r="B11" s="19"/>
      <c r="C11" s="16" t="s">
        <v>19</v>
      </c>
      <c r="D11" s="20">
        <f>[45]TR!D62</f>
        <v>0.76490000000000002</v>
      </c>
      <c r="E11" s="20">
        <f>[45]TR!E62</f>
        <v>0.91400000000000003</v>
      </c>
      <c r="F11" s="20">
        <f>[45]TR!F62</f>
        <v>0.90700000000000003</v>
      </c>
      <c r="G11" s="20">
        <f>[45]TR!G62</f>
        <v>0.83550000000000002</v>
      </c>
      <c r="H11" s="20">
        <f>[45]TR!H62</f>
        <v>0.86470000000000002</v>
      </c>
      <c r="I11" s="20">
        <f>[45]TR!I62</f>
        <v>0.751</v>
      </c>
      <c r="J11" s="20">
        <f>[45]TR!J62</f>
        <v>0.75690000000000002</v>
      </c>
      <c r="K11" s="20">
        <f>[45]TR!K62</f>
        <v>0.79269999999999996</v>
      </c>
      <c r="L11" s="20">
        <f>[45]TR!L62</f>
        <v>0.74139999999999995</v>
      </c>
      <c r="M11" s="20">
        <f>[45]TR!M62</f>
        <v>0.68120000000000003</v>
      </c>
      <c r="N11" s="20">
        <f>[45]TR!N62</f>
        <v>0.76629999999999998</v>
      </c>
      <c r="O11" s="20">
        <f>[45]TR!O62</f>
        <v>0.74809999999999999</v>
      </c>
      <c r="P11" s="20">
        <f>[45]TR!P62</f>
        <v>0</v>
      </c>
    </row>
    <row r="12" spans="1:16" ht="14.4" x14ac:dyDescent="0.3">
      <c r="A12" s="18" t="s">
        <v>22</v>
      </c>
      <c r="B12" s="19"/>
      <c r="C12" s="16" t="s">
        <v>23</v>
      </c>
      <c r="D12" s="20">
        <v>0</v>
      </c>
      <c r="E12" s="20">
        <v>0</v>
      </c>
      <c r="F12" s="20">
        <v>0</v>
      </c>
      <c r="G12" s="20">
        <v>0</v>
      </c>
      <c r="H12" s="20">
        <v>0</v>
      </c>
      <c r="I12" s="20">
        <v>0</v>
      </c>
      <c r="J12" s="20">
        <v>0</v>
      </c>
      <c r="K12" s="20">
        <v>0</v>
      </c>
      <c r="L12" s="20">
        <v>0</v>
      </c>
      <c r="M12" s="20">
        <v>0</v>
      </c>
      <c r="N12" s="20">
        <v>0</v>
      </c>
      <c r="O12" s="20">
        <v>0</v>
      </c>
      <c r="P12" s="20">
        <v>0</v>
      </c>
    </row>
    <row r="13" spans="1:16" ht="14.4" x14ac:dyDescent="0.3">
      <c r="A13" s="14" t="s">
        <v>24</v>
      </c>
      <c r="B13" s="15"/>
      <c r="C13" s="16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</row>
    <row r="14" spans="1:16" ht="14.4" x14ac:dyDescent="0.3">
      <c r="A14" s="18" t="s">
        <v>25</v>
      </c>
      <c r="B14" s="19"/>
      <c r="C14" s="16" t="s">
        <v>19</v>
      </c>
      <c r="D14" s="20">
        <f>[45]SLR!D68</f>
        <v>0.38219999999999998</v>
      </c>
      <c r="E14" s="20">
        <f>[45]SLR!E68</f>
        <v>0.43809999999999999</v>
      </c>
      <c r="F14" s="20">
        <f>[45]SLR!F68</f>
        <v>0.48199999999999998</v>
      </c>
      <c r="G14" s="20">
        <f>[45]SLR!G68</f>
        <v>0.50070000000000003</v>
      </c>
      <c r="H14" s="20">
        <f>[45]SLR!H68</f>
        <v>0.47420000000000001</v>
      </c>
      <c r="I14" s="20">
        <f>[45]SLR!I68</f>
        <v>0.2666</v>
      </c>
      <c r="J14" s="20">
        <f>[45]SLR!J68</f>
        <v>0.27100000000000002</v>
      </c>
      <c r="K14" s="20">
        <f>[45]SLR!K68</f>
        <v>0.27160000000000001</v>
      </c>
      <c r="L14" s="20">
        <f>[45]SLR!L68</f>
        <v>0.53139999999999998</v>
      </c>
      <c r="M14" s="20">
        <f>[45]SLR!M68</f>
        <v>0.44500000000000001</v>
      </c>
      <c r="N14" s="20">
        <f>[45]SLR!N68</f>
        <v>0.46439999999999998</v>
      </c>
      <c r="O14" s="20">
        <f>[45]SLR!O68</f>
        <v>0.43690000000000001</v>
      </c>
      <c r="P14" s="20" t="e">
        <f>[45]SLR!P68</f>
        <v>#DIV/0!</v>
      </c>
    </row>
    <row r="15" spans="1:16" ht="14.4" x14ac:dyDescent="0.3">
      <c r="A15" s="14" t="s">
        <v>26</v>
      </c>
      <c r="B15" s="14"/>
      <c r="C15" s="16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</row>
    <row r="16" spans="1:16" ht="14.4" x14ac:dyDescent="0.3">
      <c r="A16" s="18" t="s">
        <v>27</v>
      </c>
      <c r="B16" s="18"/>
      <c r="C16" s="16" t="s">
        <v>19</v>
      </c>
      <c r="D16" s="20">
        <v>2.0082</v>
      </c>
      <c r="E16" s="20">
        <v>2.0082</v>
      </c>
      <c r="F16" s="20">
        <v>2.0082</v>
      </c>
      <c r="G16" s="20">
        <v>2.0082</v>
      </c>
      <c r="H16" s="20">
        <v>2.0082</v>
      </c>
      <c r="I16" s="20">
        <v>2.0082</v>
      </c>
      <c r="J16" s="20">
        <v>2.0082</v>
      </c>
      <c r="K16" s="20">
        <v>2.0082</v>
      </c>
      <c r="L16" s="20">
        <v>2.0082</v>
      </c>
      <c r="M16" s="20">
        <v>2.0082</v>
      </c>
      <c r="N16" s="20">
        <v>2.0082</v>
      </c>
      <c r="O16" s="20">
        <v>2.0082</v>
      </c>
      <c r="P16" s="20">
        <v>2.0082</v>
      </c>
    </row>
    <row r="17" spans="1:16" ht="14.4" x14ac:dyDescent="0.3">
      <c r="A17" s="18" t="s">
        <v>28</v>
      </c>
      <c r="B17" s="18"/>
      <c r="C17" s="16" t="s">
        <v>23</v>
      </c>
      <c r="D17" s="23">
        <v>0</v>
      </c>
      <c r="E17" s="23">
        <v>0</v>
      </c>
      <c r="F17" s="23">
        <v>0</v>
      </c>
      <c r="G17" s="23">
        <v>0</v>
      </c>
      <c r="H17" s="23">
        <v>0</v>
      </c>
      <c r="I17" s="23">
        <v>0</v>
      </c>
      <c r="J17" s="23">
        <v>0</v>
      </c>
      <c r="K17" s="23">
        <v>0</v>
      </c>
      <c r="L17" s="23">
        <v>0</v>
      </c>
      <c r="M17" s="23">
        <v>0</v>
      </c>
      <c r="N17" s="23">
        <v>0</v>
      </c>
      <c r="O17" s="23">
        <v>0</v>
      </c>
      <c r="P17" s="23">
        <v>0</v>
      </c>
    </row>
    <row r="18" spans="1:16" s="5" customFormat="1" ht="14.4" x14ac:dyDescent="0.3">
      <c r="A18" s="14" t="s">
        <v>29</v>
      </c>
      <c r="B18" s="14"/>
      <c r="C18" s="16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</row>
    <row r="19" spans="1:16" ht="14.4" x14ac:dyDescent="0.3">
      <c r="A19" s="18" t="s">
        <v>30</v>
      </c>
      <c r="B19" s="18"/>
      <c r="C19" s="16" t="s">
        <v>19</v>
      </c>
      <c r="D19" s="20">
        <v>0.64949999999999997</v>
      </c>
      <c r="E19" s="20">
        <v>0.64949999999999997</v>
      </c>
      <c r="F19" s="20">
        <v>0.64949999999999997</v>
      </c>
      <c r="G19" s="20">
        <v>0.64949999999999997</v>
      </c>
      <c r="H19" s="20">
        <v>0.64949999999999997</v>
      </c>
      <c r="I19" s="20">
        <v>0.64949999999999997</v>
      </c>
      <c r="J19" s="20">
        <v>0.64949999999999997</v>
      </c>
      <c r="K19" s="20">
        <v>0.64949999999999997</v>
      </c>
      <c r="L19" s="20">
        <v>0.64949999999999997</v>
      </c>
      <c r="M19" s="20">
        <v>0.64949999999999997</v>
      </c>
      <c r="N19" s="20">
        <v>0.64949999999999997</v>
      </c>
      <c r="O19" s="20">
        <v>0.64949999999999997</v>
      </c>
      <c r="P19" s="20">
        <v>0.64949999999999997</v>
      </c>
    </row>
    <row r="20" spans="1:16" ht="14.4" x14ac:dyDescent="0.3">
      <c r="A20" s="18" t="s">
        <v>31</v>
      </c>
      <c r="B20" s="18"/>
      <c r="C20" s="16" t="s">
        <v>32</v>
      </c>
      <c r="D20" s="23">
        <v>0</v>
      </c>
      <c r="E20" s="23">
        <v>0</v>
      </c>
      <c r="F20" s="23">
        <v>0</v>
      </c>
      <c r="G20" s="23">
        <v>0</v>
      </c>
      <c r="H20" s="23">
        <v>0</v>
      </c>
      <c r="I20" s="23">
        <v>0</v>
      </c>
      <c r="J20" s="23">
        <v>0</v>
      </c>
      <c r="K20" s="23">
        <v>0</v>
      </c>
      <c r="L20" s="23">
        <v>0</v>
      </c>
      <c r="M20" s="23">
        <v>0</v>
      </c>
      <c r="N20" s="23">
        <v>0</v>
      </c>
      <c r="O20" s="23">
        <v>0</v>
      </c>
      <c r="P20" s="23">
        <v>0</v>
      </c>
    </row>
    <row r="21" spans="1:16" ht="14.4" x14ac:dyDescent="0.3">
      <c r="A21" s="14" t="s">
        <v>33</v>
      </c>
      <c r="B21" s="14"/>
      <c r="C21" s="16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</row>
    <row r="22" spans="1:16" ht="14.4" x14ac:dyDescent="0.3">
      <c r="A22" s="18" t="s">
        <v>34</v>
      </c>
      <c r="B22" s="18"/>
      <c r="C22" s="16" t="s">
        <v>19</v>
      </c>
      <c r="D22" s="20">
        <v>0</v>
      </c>
      <c r="E22" s="20">
        <v>0</v>
      </c>
      <c r="F22" s="20">
        <v>0</v>
      </c>
      <c r="G22" s="20">
        <v>0</v>
      </c>
      <c r="H22" s="20">
        <v>0</v>
      </c>
      <c r="I22" s="20">
        <v>0</v>
      </c>
      <c r="J22" s="20">
        <v>0</v>
      </c>
      <c r="K22" s="20">
        <v>0</v>
      </c>
      <c r="L22" s="20">
        <v>0</v>
      </c>
      <c r="M22" s="20">
        <v>0</v>
      </c>
      <c r="N22" s="20">
        <v>0</v>
      </c>
      <c r="O22" s="20">
        <v>0</v>
      </c>
      <c r="P22" s="20">
        <v>0</v>
      </c>
    </row>
    <row r="23" spans="1:16" ht="14.4" x14ac:dyDescent="0.3">
      <c r="A23" s="18" t="s">
        <v>35</v>
      </c>
      <c r="B23" s="18"/>
      <c r="C23" s="16" t="s">
        <v>36</v>
      </c>
      <c r="D23" s="23">
        <v>0</v>
      </c>
      <c r="E23" s="23">
        <v>0</v>
      </c>
      <c r="F23" s="23">
        <v>0</v>
      </c>
      <c r="G23" s="23">
        <v>0</v>
      </c>
      <c r="H23" s="23">
        <v>0</v>
      </c>
      <c r="I23" s="23">
        <v>0</v>
      </c>
      <c r="J23" s="23">
        <v>0</v>
      </c>
      <c r="K23" s="23">
        <v>0</v>
      </c>
      <c r="L23" s="23">
        <v>0</v>
      </c>
      <c r="M23" s="23">
        <v>0</v>
      </c>
      <c r="N23" s="23">
        <v>0</v>
      </c>
      <c r="O23" s="23">
        <v>0</v>
      </c>
      <c r="P23" s="23">
        <v>0</v>
      </c>
    </row>
    <row r="24" spans="1:16" ht="14.4" x14ac:dyDescent="0.3">
      <c r="A24" s="14" t="s">
        <v>37</v>
      </c>
      <c r="B24" s="14"/>
      <c r="C24" s="16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</row>
    <row r="25" spans="1:16" ht="14.4" x14ac:dyDescent="0.3">
      <c r="A25" s="25" t="s">
        <v>38</v>
      </c>
      <c r="B25" s="18"/>
      <c r="C25" s="16" t="s">
        <v>19</v>
      </c>
      <c r="D25" s="20">
        <f>[45]LD!E31</f>
        <v>8.8499999999999995E-2</v>
      </c>
      <c r="E25" s="20">
        <f>[45]LD!F31</f>
        <v>8.8999999999999996E-2</v>
      </c>
      <c r="F25" s="20">
        <f>[45]LD!G31</f>
        <v>0.10780000000000001</v>
      </c>
      <c r="G25" s="20">
        <f>[45]LD!H31</f>
        <v>0.1246</v>
      </c>
      <c r="H25" s="20">
        <f>[45]LD!I31</f>
        <v>8.7999999999999995E-2</v>
      </c>
      <c r="I25" s="20">
        <f>[45]LD!J31</f>
        <v>5.9900000000000002E-2</v>
      </c>
      <c r="J25" s="20">
        <f>[45]LD!K31</f>
        <v>4.3099999999999999E-2</v>
      </c>
      <c r="K25" s="20">
        <f>[45]LD!L31</f>
        <v>5.4600000000000003E-2</v>
      </c>
      <c r="L25" s="20">
        <f>[45]LD!M31</f>
        <v>7.3800000000000004E-2</v>
      </c>
      <c r="M25" s="20">
        <f>[45]LD!N31</f>
        <v>7.2999999999999995E-2</v>
      </c>
      <c r="N25" s="20">
        <f>[45]LD!O31</f>
        <v>8.1799999999999998E-2</v>
      </c>
      <c r="O25" s="20">
        <f>[45]LD!P31</f>
        <v>8.5900000000000004E-2</v>
      </c>
      <c r="P25" s="20">
        <f>[45]LD!Q31</f>
        <v>0</v>
      </c>
    </row>
    <row r="26" spans="1:16" ht="14.4" x14ac:dyDescent="0.3">
      <c r="A26" s="25" t="s">
        <v>39</v>
      </c>
      <c r="B26" s="18"/>
      <c r="C26" s="16" t="s">
        <v>19</v>
      </c>
      <c r="D26" s="20">
        <v>0</v>
      </c>
      <c r="E26" s="20">
        <v>0</v>
      </c>
      <c r="F26" s="20">
        <v>0</v>
      </c>
      <c r="G26" s="20">
        <v>0</v>
      </c>
      <c r="H26" s="20">
        <v>0</v>
      </c>
      <c r="I26" s="20">
        <v>0</v>
      </c>
      <c r="J26" s="20">
        <v>0</v>
      </c>
      <c r="K26" s="20">
        <v>0</v>
      </c>
      <c r="L26" s="20">
        <v>0</v>
      </c>
      <c r="M26" s="20">
        <v>0</v>
      </c>
      <c r="N26" s="20">
        <v>0</v>
      </c>
      <c r="O26" s="20">
        <v>0</v>
      </c>
      <c r="P26" s="20">
        <v>0</v>
      </c>
    </row>
    <row r="27" spans="1:16" ht="14.4" x14ac:dyDescent="0.3">
      <c r="A27" s="26" t="s">
        <v>40</v>
      </c>
      <c r="B27" s="18"/>
      <c r="C27" s="16" t="s">
        <v>19</v>
      </c>
      <c r="D27" s="20">
        <f>'[45]SR CIT. SUBSIDY'!E95</f>
        <v>1E-4</v>
      </c>
      <c r="E27" s="20">
        <f>'[45]SR CIT. SUBSIDY'!F95</f>
        <v>1E-4</v>
      </c>
      <c r="F27" s="20">
        <f>'[45]SR CIT. SUBSIDY'!G95</f>
        <v>1E-4</v>
      </c>
      <c r="G27" s="20">
        <f>'[45]SR CIT. SUBSIDY'!H95</f>
        <v>1E-4</v>
      </c>
      <c r="H27" s="20">
        <f>'[45]SR CIT. SUBSIDY'!I95</f>
        <v>1E-4</v>
      </c>
      <c r="I27" s="20">
        <f>'[45]SR CIT. SUBSIDY'!J95</f>
        <v>-2.0000000000000001E-4</v>
      </c>
      <c r="J27" s="20">
        <f>'[45]SR CIT. SUBSIDY'!K95</f>
        <v>-2.0000000000000001E-4</v>
      </c>
      <c r="K27" s="20">
        <f>'[45]SR CIT. SUBSIDY'!L95</f>
        <v>-2.0000000000000001E-4</v>
      </c>
      <c r="L27" s="20">
        <f>'[45]SR CIT. SUBSIDY'!M95</f>
        <v>2.9999999999999997E-4</v>
      </c>
      <c r="M27" s="20">
        <f>'[45]SR CIT. SUBSIDY'!N95</f>
        <v>1E-4</v>
      </c>
      <c r="N27" s="20">
        <f>'[45]SR CIT. SUBSIDY'!O95</f>
        <v>1E-4</v>
      </c>
      <c r="O27" s="20">
        <f>'[45]SR CIT. SUBSIDY'!P95</f>
        <v>1E-4</v>
      </c>
      <c r="P27" s="20">
        <f>'[45]SR CIT. SUBSIDY'!Q95</f>
        <v>0</v>
      </c>
    </row>
    <row r="28" spans="1:16" ht="14.4" x14ac:dyDescent="0.3">
      <c r="A28" s="26" t="s">
        <v>41</v>
      </c>
      <c r="B28" s="18"/>
      <c r="C28" s="16" t="s">
        <v>19</v>
      </c>
      <c r="D28" s="20">
        <v>0</v>
      </c>
      <c r="E28" s="20">
        <v>0</v>
      </c>
      <c r="F28" s="20">
        <v>0</v>
      </c>
      <c r="G28" s="20">
        <v>0</v>
      </c>
      <c r="H28" s="20">
        <v>0</v>
      </c>
      <c r="I28" s="20">
        <v>0</v>
      </c>
      <c r="J28" s="20">
        <v>0</v>
      </c>
      <c r="K28" s="20">
        <v>0</v>
      </c>
      <c r="L28" s="20">
        <v>0</v>
      </c>
      <c r="M28" s="20">
        <v>0</v>
      </c>
      <c r="N28" s="20">
        <v>0</v>
      </c>
      <c r="O28" s="20">
        <v>0</v>
      </c>
      <c r="P28" s="20">
        <v>0</v>
      </c>
    </row>
    <row r="29" spans="1:16" ht="14.4" x14ac:dyDescent="0.3">
      <c r="A29" s="14" t="s">
        <v>42</v>
      </c>
      <c r="B29" s="14"/>
      <c r="C29" s="16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</row>
    <row r="30" spans="1:16" ht="14.4" x14ac:dyDescent="0.3">
      <c r="A30" s="14" t="s">
        <v>43</v>
      </c>
      <c r="B30" s="14"/>
      <c r="C30" s="16" t="s">
        <v>44</v>
      </c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</row>
    <row r="31" spans="1:16" ht="14.4" x14ac:dyDescent="0.3">
      <c r="A31" s="14" t="s">
        <v>45</v>
      </c>
      <c r="B31" s="14"/>
      <c r="C31" s="16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</row>
    <row r="32" spans="1:16" ht="14.4" x14ac:dyDescent="0.3">
      <c r="A32" s="14" t="s">
        <v>46</v>
      </c>
      <c r="B32" s="14"/>
      <c r="C32" s="16" t="s">
        <v>19</v>
      </c>
      <c r="D32" s="20">
        <v>0</v>
      </c>
      <c r="E32" s="20">
        <v>0</v>
      </c>
      <c r="F32" s="20">
        <v>0</v>
      </c>
      <c r="G32" s="20">
        <v>0</v>
      </c>
      <c r="H32" s="20">
        <v>0</v>
      </c>
      <c r="I32" s="20">
        <v>0</v>
      </c>
      <c r="J32" s="20">
        <v>0</v>
      </c>
      <c r="K32" s="20">
        <v>0</v>
      </c>
      <c r="L32" s="20">
        <v>0</v>
      </c>
      <c r="M32" s="20">
        <v>0</v>
      </c>
      <c r="N32" s="20">
        <v>0</v>
      </c>
      <c r="O32" s="20">
        <v>0</v>
      </c>
      <c r="P32" s="20">
        <v>0</v>
      </c>
    </row>
    <row r="33" spans="1:16" ht="14.4" x14ac:dyDescent="0.3">
      <c r="A33" s="14" t="s">
        <v>47</v>
      </c>
      <c r="B33" s="14"/>
      <c r="C33" s="16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</row>
    <row r="34" spans="1:16" ht="14.4" x14ac:dyDescent="0.3">
      <c r="A34" s="18" t="s">
        <v>48</v>
      </c>
      <c r="B34" s="18"/>
      <c r="C34" s="16" t="s">
        <v>19</v>
      </c>
      <c r="D34" s="20">
        <v>0.15609999999999999</v>
      </c>
      <c r="E34" s="20">
        <v>0.15609999999999999</v>
      </c>
      <c r="F34" s="20">
        <v>0.15609999999999999</v>
      </c>
      <c r="G34" s="20">
        <v>0.15609999999999999</v>
      </c>
      <c r="H34" s="20">
        <v>0.15609999999999999</v>
      </c>
      <c r="I34" s="20">
        <v>0.15609999999999999</v>
      </c>
      <c r="J34" s="20">
        <v>0.15609999999999999</v>
      </c>
      <c r="K34" s="20">
        <v>0.15609999999999999</v>
      </c>
      <c r="L34" s="20">
        <v>0.15609999999999999</v>
      </c>
      <c r="M34" s="20">
        <v>0.15609999999999999</v>
      </c>
      <c r="N34" s="20">
        <v>0.15609999999999999</v>
      </c>
      <c r="O34" s="20">
        <v>0.15609999999999999</v>
      </c>
      <c r="P34" s="20">
        <v>0.15609999999999999</v>
      </c>
    </row>
    <row r="35" spans="1:16" ht="14.4" x14ac:dyDescent="0.3">
      <c r="A35" s="18" t="s">
        <v>49</v>
      </c>
      <c r="B35" s="18"/>
      <c r="C35" s="16" t="s">
        <v>19</v>
      </c>
      <c r="D35" s="20">
        <v>2.5000000000000001E-3</v>
      </c>
      <c r="E35" s="20">
        <v>2.5000000000000001E-3</v>
      </c>
      <c r="F35" s="20">
        <v>2.5000000000000001E-3</v>
      </c>
      <c r="G35" s="20">
        <v>2.5000000000000001E-3</v>
      </c>
      <c r="H35" s="20">
        <v>2.5000000000000001E-3</v>
      </c>
      <c r="I35" s="20">
        <v>2.5000000000000001E-3</v>
      </c>
      <c r="J35" s="20">
        <v>2.5000000000000001E-3</v>
      </c>
      <c r="K35" s="20">
        <v>2.5000000000000001E-3</v>
      </c>
      <c r="L35" s="20">
        <v>2.5000000000000001E-3</v>
      </c>
      <c r="M35" s="20">
        <v>2.5000000000000001E-3</v>
      </c>
      <c r="N35" s="20">
        <v>2.5000000000000001E-3</v>
      </c>
      <c r="O35" s="20">
        <v>2.5000000000000001E-3</v>
      </c>
      <c r="P35" s="20">
        <v>2.5000000000000001E-3</v>
      </c>
    </row>
    <row r="36" spans="1:16" ht="14.4" x14ac:dyDescent="0.3">
      <c r="A36" s="18" t="s">
        <v>111</v>
      </c>
      <c r="B36" s="18"/>
      <c r="C36" s="16" t="s">
        <v>19</v>
      </c>
      <c r="D36" s="20">
        <v>0.1938</v>
      </c>
      <c r="E36" s="20">
        <v>0.1938</v>
      </c>
      <c r="F36" s="20">
        <v>0.1938</v>
      </c>
      <c r="G36" s="20">
        <v>0.1938</v>
      </c>
      <c r="H36" s="20">
        <v>0.1938</v>
      </c>
      <c r="I36" s="20">
        <v>0.1938</v>
      </c>
      <c r="J36" s="20">
        <v>0.1938</v>
      </c>
      <c r="K36" s="20">
        <v>0.1938</v>
      </c>
      <c r="L36" s="20">
        <v>0.1938</v>
      </c>
      <c r="M36" s="20">
        <v>0.1938</v>
      </c>
      <c r="N36" s="20">
        <v>0.1938</v>
      </c>
      <c r="O36" s="20">
        <v>0.1938</v>
      </c>
      <c r="P36" s="20">
        <v>0.1938</v>
      </c>
    </row>
    <row r="37" spans="1:16" ht="14.4" x14ac:dyDescent="0.3">
      <c r="A37" s="18" t="s">
        <v>112</v>
      </c>
      <c r="B37" s="18"/>
      <c r="C37" s="16" t="s">
        <v>19</v>
      </c>
      <c r="D37" s="20">
        <v>0</v>
      </c>
      <c r="E37" s="20">
        <v>0</v>
      </c>
      <c r="F37" s="20">
        <v>0</v>
      </c>
      <c r="G37" s="20">
        <v>0</v>
      </c>
      <c r="H37" s="20">
        <v>0</v>
      </c>
      <c r="I37" s="20">
        <v>0</v>
      </c>
      <c r="J37" s="20">
        <v>0</v>
      </c>
      <c r="K37" s="20">
        <v>2.6499999999999999E-2</v>
      </c>
      <c r="L37" s="20">
        <v>2.6499999999999999E-2</v>
      </c>
      <c r="M37" s="20">
        <v>2.6499999999999999E-2</v>
      </c>
      <c r="N37" s="20">
        <v>2.6499999999999999E-2</v>
      </c>
      <c r="O37" s="20">
        <v>2.6499999999999999E-2</v>
      </c>
      <c r="P37" s="20">
        <v>2.6499999999999999E-2</v>
      </c>
    </row>
    <row r="38" spans="1:16" ht="14.4" x14ac:dyDescent="0.3">
      <c r="A38" s="14" t="s">
        <v>51</v>
      </c>
      <c r="B38" s="14"/>
      <c r="C38" s="16" t="s">
        <v>19</v>
      </c>
      <c r="D38" s="20">
        <v>0.124</v>
      </c>
      <c r="E38" s="20">
        <v>0.124</v>
      </c>
      <c r="F38" s="20">
        <v>0.124</v>
      </c>
      <c r="G38" s="20">
        <v>0.124</v>
      </c>
      <c r="H38" s="20">
        <v>0.124</v>
      </c>
      <c r="I38" s="20">
        <v>0.183</v>
      </c>
      <c r="J38" s="20">
        <v>0.183</v>
      </c>
      <c r="K38" s="20">
        <v>0.183</v>
      </c>
      <c r="L38" s="20">
        <v>0.183</v>
      </c>
      <c r="M38" s="20">
        <v>0.183</v>
      </c>
      <c r="N38" s="20">
        <v>0.183</v>
      </c>
      <c r="O38" s="20">
        <v>0.183</v>
      </c>
      <c r="P38" s="20">
        <v>0.183</v>
      </c>
    </row>
    <row r="39" spans="1:16" ht="14.4" x14ac:dyDescent="0.3">
      <c r="A39" s="14" t="s">
        <v>52</v>
      </c>
      <c r="B39" s="14"/>
      <c r="C39" s="29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</row>
    <row r="40" spans="1:16" ht="14.4" x14ac:dyDescent="0.3">
      <c r="A40" s="18" t="s">
        <v>53</v>
      </c>
      <c r="B40" s="18"/>
      <c r="C40" s="16" t="s">
        <v>44</v>
      </c>
      <c r="D40" s="30">
        <f>'[45]DU VAT'!D18</f>
        <v>0.10979999999999999</v>
      </c>
      <c r="E40" s="30">
        <f>'[45]DU VAT'!E18</f>
        <v>0.1118</v>
      </c>
      <c r="F40" s="30">
        <f>'[45]DU VAT'!F18</f>
        <v>0.10390000000000001</v>
      </c>
      <c r="G40" s="30">
        <f>'[45]DU VAT'!G18</f>
        <v>0.1095</v>
      </c>
      <c r="H40" s="30">
        <f>'[45]DU VAT'!H18</f>
        <v>0.1061</v>
      </c>
      <c r="I40" s="30">
        <f>'[45]DU VAT'!I18</f>
        <v>0.1137</v>
      </c>
      <c r="J40" s="30">
        <f>'[45]DU VAT'!J18</f>
        <v>0.1135</v>
      </c>
      <c r="K40" s="30">
        <f>'[45]DU VAT'!K18</f>
        <v>0.1162</v>
      </c>
      <c r="L40" s="30">
        <f>'[45]DU VAT'!L18</f>
        <v>0.1128</v>
      </c>
      <c r="M40" s="30">
        <f>'[45]DU VAT'!M18</f>
        <v>0.112</v>
      </c>
      <c r="N40" s="30">
        <f>'[45]DU VAT'!N18</f>
        <v>0.11219999999999999</v>
      </c>
      <c r="O40" s="30">
        <f>'[45]DU VAT'!O18</f>
        <v>0.1149</v>
      </c>
      <c r="P40" s="30" t="e">
        <f>'[45]DU VAT'!P18</f>
        <v>#DIV/0!</v>
      </c>
    </row>
    <row r="41" spans="1:16" ht="14.4" x14ac:dyDescent="0.3">
      <c r="A41" s="18" t="s">
        <v>54</v>
      </c>
      <c r="B41" s="18"/>
      <c r="C41" s="16" t="s">
        <v>44</v>
      </c>
      <c r="D41" s="30">
        <f>'[45]DU VAT'!D26</f>
        <v>5.5999999999999999E-3</v>
      </c>
      <c r="E41" s="30">
        <f>'[45]DU VAT'!E26</f>
        <v>6.3E-3</v>
      </c>
      <c r="F41" s="30">
        <f>'[45]DU VAT'!F26</f>
        <v>4.0000000000000001E-3</v>
      </c>
      <c r="G41" s="30">
        <f>'[45]DU VAT'!G26</f>
        <v>6.7999999999999996E-3</v>
      </c>
      <c r="H41" s="30">
        <f>'[45]DU VAT'!H26</f>
        <v>2.2700000000000001E-2</v>
      </c>
      <c r="I41" s="30">
        <f>'[45]DU VAT'!I26</f>
        <v>2.0400000000000001E-2</v>
      </c>
      <c r="J41" s="30">
        <f>'[45]DU VAT'!J26</f>
        <v>1.6799999999999999E-2</v>
      </c>
      <c r="K41" s="30">
        <f>'[45]DU VAT'!K26</f>
        <v>1.8200000000000001E-2</v>
      </c>
      <c r="L41" s="30">
        <f>'[45]DU VAT'!L26</f>
        <v>8.8999999999999999E-3</v>
      </c>
      <c r="M41" s="30">
        <f>'[45]DU VAT'!M26</f>
        <v>3.5999999999999999E-3</v>
      </c>
      <c r="N41" s="30">
        <f>'[45]DU VAT'!N26</f>
        <v>1.5599999999999999E-2</v>
      </c>
      <c r="O41" s="30">
        <f>'[45]DU VAT'!O26</f>
        <v>5.7999999999999996E-3</v>
      </c>
      <c r="P41" s="30" t="e">
        <f>'[45]DU VAT'!P26</f>
        <v>#DIV/0!</v>
      </c>
    </row>
    <row r="42" spans="1:16" ht="14.4" x14ac:dyDescent="0.3">
      <c r="A42" s="18" t="s">
        <v>55</v>
      </c>
      <c r="B42" s="18"/>
      <c r="C42" s="16" t="s">
        <v>44</v>
      </c>
      <c r="D42" s="30">
        <f>'[45]DU VAT'!D34</f>
        <v>9.1899999999999996E-2</v>
      </c>
      <c r="E42" s="30">
        <f>'[45]DU VAT'!E34</f>
        <v>9.3200000000000005E-2</v>
      </c>
      <c r="F42" s="30">
        <f>'[45]DU VAT'!F34</f>
        <v>8.8800000000000004E-2</v>
      </c>
      <c r="G42" s="30">
        <f>'[45]DU VAT'!G34</f>
        <v>9.4799999999999995E-2</v>
      </c>
      <c r="H42" s="30">
        <f>'[45]DU VAT'!H34</f>
        <v>9.3799999999999994E-2</v>
      </c>
      <c r="I42" s="30">
        <f>'[45]DU VAT'!I34</f>
        <v>9.9400000000000002E-2</v>
      </c>
      <c r="J42" s="30">
        <f>'[45]DU VAT'!J34</f>
        <v>9.9199999999999997E-2</v>
      </c>
      <c r="K42" s="30">
        <f>'[45]DU VAT'!K34</f>
        <v>0.1007</v>
      </c>
      <c r="L42" s="30">
        <f>'[45]DU VAT'!L34</f>
        <v>9.9000000000000005E-2</v>
      </c>
      <c r="M42" s="30">
        <f>'[45]DU VAT'!M34</f>
        <v>9.8699999999999996E-2</v>
      </c>
      <c r="N42" s="30">
        <f>'[45]DU VAT'!N34</f>
        <v>9.9299999999999999E-2</v>
      </c>
      <c r="O42" s="30">
        <f>'[45]DU VAT'!O34</f>
        <v>9.9900000000000003E-2</v>
      </c>
      <c r="P42" s="30" t="e">
        <f>'[45]DU VAT'!P34</f>
        <v>#DIV/0!</v>
      </c>
    </row>
    <row r="43" spans="1:16" ht="14.4" x14ac:dyDescent="0.3">
      <c r="A43" s="18" t="s">
        <v>56</v>
      </c>
      <c r="B43" s="18"/>
      <c r="C43" s="16" t="s">
        <v>44</v>
      </c>
      <c r="D43" s="30">
        <v>0.12</v>
      </c>
      <c r="E43" s="30">
        <v>0.12</v>
      </c>
      <c r="F43" s="30">
        <v>0.12</v>
      </c>
      <c r="G43" s="30">
        <v>0.12</v>
      </c>
      <c r="H43" s="30">
        <v>0.12</v>
      </c>
      <c r="I43" s="30">
        <v>0.12</v>
      </c>
      <c r="J43" s="30">
        <v>0.12</v>
      </c>
      <c r="K43" s="30">
        <v>0.12</v>
      </c>
      <c r="L43" s="30">
        <v>0.12</v>
      </c>
      <c r="M43" s="30">
        <v>0.12</v>
      </c>
      <c r="N43" s="30">
        <v>0.12</v>
      </c>
      <c r="O43" s="30">
        <v>0.12</v>
      </c>
      <c r="P43" s="30">
        <v>0.12</v>
      </c>
    </row>
    <row r="44" spans="1:16" ht="14.4" x14ac:dyDescent="0.3">
      <c r="A44" s="18" t="s">
        <v>57</v>
      </c>
      <c r="B44" s="18"/>
      <c r="C44" s="16" t="s">
        <v>44</v>
      </c>
      <c r="D44" s="30">
        <v>0.12</v>
      </c>
      <c r="E44" s="30">
        <v>0.12</v>
      </c>
      <c r="F44" s="30">
        <v>0.12</v>
      </c>
      <c r="G44" s="30">
        <v>0.12</v>
      </c>
      <c r="H44" s="30">
        <v>0.12</v>
      </c>
      <c r="I44" s="30">
        <v>0.12</v>
      </c>
      <c r="J44" s="30">
        <v>0.12</v>
      </c>
      <c r="K44" s="30">
        <v>0.12</v>
      </c>
      <c r="L44" s="30">
        <v>0.12</v>
      </c>
      <c r="M44" s="30">
        <v>0.12</v>
      </c>
      <c r="N44" s="30">
        <v>0.12</v>
      </c>
      <c r="O44" s="30">
        <v>0.12</v>
      </c>
      <c r="P44" s="30">
        <v>0.12</v>
      </c>
    </row>
    <row r="45" spans="1:16" s="5" customFormat="1" x14ac:dyDescent="0.3">
      <c r="A45" s="31"/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</row>
    <row r="46" spans="1:16" x14ac:dyDescent="0.3">
      <c r="A46" s="3" t="s">
        <v>58</v>
      </c>
    </row>
    <row r="47" spans="1:16" x14ac:dyDescent="0.3">
      <c r="A47" s="33"/>
    </row>
    <row r="48" spans="1:16" ht="18" x14ac:dyDescent="0.35">
      <c r="A48" s="9" t="str">
        <f>'[45]Statistical data'!A160</f>
        <v xml:space="preserve">Residential </v>
      </c>
      <c r="B48" s="9"/>
      <c r="C48" s="5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</row>
    <row r="49" spans="1:16" s="13" customFormat="1" ht="14.4" x14ac:dyDescent="0.3">
      <c r="A49" s="11" t="s">
        <v>3</v>
      </c>
      <c r="B49" s="11"/>
      <c r="C49" s="11" t="s">
        <v>4</v>
      </c>
      <c r="D49" s="12" t="str">
        <f>D7</f>
        <v>JAN</v>
      </c>
      <c r="E49" s="12" t="str">
        <f t="shared" ref="E49:P49" si="1">E7</f>
        <v>FEB</v>
      </c>
      <c r="F49" s="12" t="str">
        <f t="shared" si="1"/>
        <v>MAR</v>
      </c>
      <c r="G49" s="12" t="str">
        <f t="shared" si="1"/>
        <v>APR</v>
      </c>
      <c r="H49" s="12" t="str">
        <f t="shared" si="1"/>
        <v>MAY</v>
      </c>
      <c r="I49" s="12" t="str">
        <f t="shared" si="1"/>
        <v>JUN</v>
      </c>
      <c r="J49" s="12" t="str">
        <f t="shared" si="1"/>
        <v>JUL</v>
      </c>
      <c r="K49" s="12" t="str">
        <f t="shared" si="1"/>
        <v>AUG</v>
      </c>
      <c r="L49" s="12" t="str">
        <f t="shared" si="1"/>
        <v>SEP</v>
      </c>
      <c r="M49" s="12" t="str">
        <f t="shared" si="1"/>
        <v>OCT</v>
      </c>
      <c r="N49" s="12" t="str">
        <f t="shared" si="1"/>
        <v>NOV</v>
      </c>
      <c r="O49" s="12" t="str">
        <f t="shared" si="1"/>
        <v>DEC</v>
      </c>
      <c r="P49" s="12" t="str">
        <f t="shared" si="1"/>
        <v>JAN</v>
      </c>
    </row>
    <row r="50" spans="1:16" ht="14.4" x14ac:dyDescent="0.3">
      <c r="A50" s="34" t="s">
        <v>17</v>
      </c>
      <c r="B50" s="35"/>
      <c r="C50" s="36"/>
      <c r="D50" s="37"/>
      <c r="E50" s="37"/>
      <c r="F50" s="37"/>
      <c r="G50" s="37"/>
      <c r="H50" s="37"/>
      <c r="I50" s="37"/>
      <c r="J50" s="37"/>
      <c r="K50" s="37"/>
      <c r="L50" s="37"/>
      <c r="M50" s="37"/>
      <c r="N50" s="37"/>
      <c r="O50" s="37"/>
      <c r="P50" s="37"/>
    </row>
    <row r="51" spans="1:16" ht="14.4" x14ac:dyDescent="0.3">
      <c r="A51" s="38" t="s">
        <v>18</v>
      </c>
      <c r="B51" s="39"/>
      <c r="C51" s="36" t="s">
        <v>19</v>
      </c>
      <c r="D51" s="40" t="s">
        <v>59</v>
      </c>
      <c r="E51" s="40" t="s">
        <v>59</v>
      </c>
      <c r="F51" s="40" t="s">
        <v>59</v>
      </c>
      <c r="G51" s="40" t="s">
        <v>59</v>
      </c>
      <c r="H51" s="40" t="s">
        <v>59</v>
      </c>
      <c r="I51" s="40" t="s">
        <v>59</v>
      </c>
      <c r="J51" s="40" t="s">
        <v>59</v>
      </c>
      <c r="K51" s="40" t="s">
        <v>59</v>
      </c>
      <c r="L51" s="40" t="s">
        <v>59</v>
      </c>
      <c r="M51" s="40" t="s">
        <v>59</v>
      </c>
      <c r="N51" s="40" t="s">
        <v>59</v>
      </c>
      <c r="O51" s="40" t="s">
        <v>59</v>
      </c>
      <c r="P51" s="40" t="s">
        <v>59</v>
      </c>
    </row>
    <row r="52" spans="1:16" ht="14.4" x14ac:dyDescent="0.3">
      <c r="A52" s="34" t="s">
        <v>20</v>
      </c>
      <c r="B52" s="35"/>
      <c r="C52" s="36"/>
      <c r="D52" s="41"/>
      <c r="E52" s="41"/>
      <c r="F52" s="41"/>
      <c r="G52" s="41"/>
      <c r="H52" s="41"/>
      <c r="I52" s="41"/>
      <c r="J52" s="41"/>
      <c r="K52" s="41"/>
      <c r="L52" s="41"/>
      <c r="M52" s="41"/>
      <c r="N52" s="41"/>
      <c r="O52" s="41"/>
      <c r="P52" s="41"/>
    </row>
    <row r="53" spans="1:16" ht="14.4" x14ac:dyDescent="0.3">
      <c r="A53" s="38" t="s">
        <v>21</v>
      </c>
      <c r="B53" s="39"/>
      <c r="C53" s="36" t="s">
        <v>19</v>
      </c>
      <c r="D53" s="42">
        <f>[45]TR!D63</f>
        <v>0.75570000000000004</v>
      </c>
      <c r="E53" s="42">
        <f>[45]TR!E63</f>
        <v>0.90510000000000002</v>
      </c>
      <c r="F53" s="42">
        <f>[45]TR!F63</f>
        <v>0.89270000000000005</v>
      </c>
      <c r="G53" s="42">
        <f>[45]TR!G63</f>
        <v>0.82979999999999998</v>
      </c>
      <c r="H53" s="42">
        <f>[45]TR!H63</f>
        <v>0.84989999999999999</v>
      </c>
      <c r="I53" s="42">
        <f>[45]TR!I63</f>
        <v>0.7379</v>
      </c>
      <c r="J53" s="42">
        <f>[45]TR!J63</f>
        <v>0.74209999999999998</v>
      </c>
      <c r="K53" s="42">
        <f>[45]TR!K63</f>
        <v>0.78039999999999998</v>
      </c>
      <c r="L53" s="42">
        <f>[45]TR!L63</f>
        <v>0.72940000000000005</v>
      </c>
      <c r="M53" s="42">
        <f>[45]TR!M63</f>
        <v>0.67010000000000003</v>
      </c>
      <c r="N53" s="42">
        <f>[45]TR!N63</f>
        <v>0.75609999999999999</v>
      </c>
      <c r="O53" s="42">
        <f>[45]TR!O63</f>
        <v>0.73750000000000004</v>
      </c>
      <c r="P53" s="42">
        <f>[45]TR!P63</f>
        <v>0</v>
      </c>
    </row>
    <row r="54" spans="1:16" ht="14.4" x14ac:dyDescent="0.3">
      <c r="A54" s="38" t="s">
        <v>22</v>
      </c>
      <c r="B54" s="39"/>
      <c r="C54" s="36" t="s">
        <v>23</v>
      </c>
      <c r="D54" s="43">
        <v>0</v>
      </c>
      <c r="E54" s="43">
        <v>0</v>
      </c>
      <c r="F54" s="43">
        <v>0</v>
      </c>
      <c r="G54" s="43">
        <v>0</v>
      </c>
      <c r="H54" s="43">
        <v>0</v>
      </c>
      <c r="I54" s="43">
        <v>0</v>
      </c>
      <c r="J54" s="43">
        <v>0</v>
      </c>
      <c r="K54" s="43">
        <v>0</v>
      </c>
      <c r="L54" s="43">
        <v>0</v>
      </c>
      <c r="M54" s="43">
        <v>0</v>
      </c>
      <c r="N54" s="43">
        <v>0</v>
      </c>
      <c r="O54" s="43">
        <v>0</v>
      </c>
      <c r="P54" s="43">
        <v>0</v>
      </c>
    </row>
    <row r="55" spans="1:16" ht="14.4" x14ac:dyDescent="0.3">
      <c r="A55" s="34" t="s">
        <v>24</v>
      </c>
      <c r="B55" s="35"/>
      <c r="C55" s="36"/>
      <c r="D55" s="41"/>
      <c r="E55" s="41"/>
      <c r="F55" s="41"/>
      <c r="G55" s="41"/>
      <c r="H55" s="41"/>
      <c r="I55" s="41"/>
      <c r="J55" s="41"/>
      <c r="K55" s="41"/>
      <c r="L55" s="41"/>
      <c r="M55" s="41"/>
      <c r="N55" s="41"/>
      <c r="O55" s="41"/>
      <c r="P55" s="41"/>
    </row>
    <row r="56" spans="1:16" ht="14.4" x14ac:dyDescent="0.3">
      <c r="A56" s="38" t="s">
        <v>25</v>
      </c>
      <c r="B56" s="39"/>
      <c r="C56" s="36" t="s">
        <v>19</v>
      </c>
      <c r="D56" s="42">
        <f>[45]SLR!D69</f>
        <v>0.38219999999999998</v>
      </c>
      <c r="E56" s="42">
        <f>[45]SLR!E69</f>
        <v>0.43809999999999999</v>
      </c>
      <c r="F56" s="42">
        <f>[45]SLR!F69</f>
        <v>0.48199999999999998</v>
      </c>
      <c r="G56" s="42">
        <f>[45]SLR!G69</f>
        <v>0.50070000000000003</v>
      </c>
      <c r="H56" s="42">
        <f>[45]SLR!H69</f>
        <v>0.47420000000000001</v>
      </c>
      <c r="I56" s="42">
        <f>[45]SLR!I69</f>
        <v>0.2666</v>
      </c>
      <c r="J56" s="42">
        <f>[45]SLR!J69</f>
        <v>0.27100000000000002</v>
      </c>
      <c r="K56" s="42">
        <f>[45]SLR!K69</f>
        <v>0.27160000000000001</v>
      </c>
      <c r="L56" s="42">
        <f>[45]SLR!L69</f>
        <v>0.53139999999999998</v>
      </c>
      <c r="M56" s="42">
        <f>[45]SLR!M69</f>
        <v>0.44500000000000001</v>
      </c>
      <c r="N56" s="42">
        <f>[45]SLR!N69</f>
        <v>0.46439999999999998</v>
      </c>
      <c r="O56" s="42">
        <f>[45]SLR!O69</f>
        <v>0.43690000000000001</v>
      </c>
      <c r="P56" s="42" t="e">
        <f>[45]SLR!P69</f>
        <v>#DIV/0!</v>
      </c>
    </row>
    <row r="57" spans="1:16" ht="14.4" x14ac:dyDescent="0.3">
      <c r="A57" s="34" t="s">
        <v>26</v>
      </c>
      <c r="B57" s="34"/>
      <c r="C57" s="36"/>
      <c r="D57" s="44"/>
      <c r="E57" s="44"/>
      <c r="F57" s="44"/>
      <c r="G57" s="44"/>
      <c r="H57" s="44"/>
      <c r="I57" s="44"/>
      <c r="J57" s="44"/>
      <c r="K57" s="44"/>
      <c r="L57" s="44"/>
      <c r="M57" s="44"/>
      <c r="N57" s="44"/>
      <c r="O57" s="44"/>
      <c r="P57" s="44"/>
    </row>
    <row r="58" spans="1:16" ht="14.4" x14ac:dyDescent="0.3">
      <c r="A58" s="38" t="s">
        <v>27</v>
      </c>
      <c r="B58" s="38"/>
      <c r="C58" s="36" t="s">
        <v>19</v>
      </c>
      <c r="D58" s="40" t="s">
        <v>60</v>
      </c>
      <c r="E58" s="40" t="s">
        <v>60</v>
      </c>
      <c r="F58" s="40" t="s">
        <v>60</v>
      </c>
      <c r="G58" s="40" t="s">
        <v>60</v>
      </c>
      <c r="H58" s="40" t="s">
        <v>60</v>
      </c>
      <c r="I58" s="40" t="s">
        <v>60</v>
      </c>
      <c r="J58" s="40" t="s">
        <v>60</v>
      </c>
      <c r="K58" s="40" t="s">
        <v>60</v>
      </c>
      <c r="L58" s="40" t="s">
        <v>60</v>
      </c>
      <c r="M58" s="40" t="s">
        <v>60</v>
      </c>
      <c r="N58" s="40" t="s">
        <v>60</v>
      </c>
      <c r="O58" s="40" t="s">
        <v>60</v>
      </c>
      <c r="P58" s="40" t="s">
        <v>60</v>
      </c>
    </row>
    <row r="59" spans="1:16" ht="14.4" x14ac:dyDescent="0.3">
      <c r="A59" s="38" t="s">
        <v>28</v>
      </c>
      <c r="B59" s="38"/>
      <c r="C59" s="36" t="s">
        <v>23</v>
      </c>
      <c r="D59" s="43">
        <v>0</v>
      </c>
      <c r="E59" s="43">
        <v>0</v>
      </c>
      <c r="F59" s="43">
        <v>0</v>
      </c>
      <c r="G59" s="43">
        <v>0</v>
      </c>
      <c r="H59" s="43">
        <v>0</v>
      </c>
      <c r="I59" s="43">
        <v>0</v>
      </c>
      <c r="J59" s="43">
        <v>0</v>
      </c>
      <c r="K59" s="43">
        <v>0</v>
      </c>
      <c r="L59" s="43">
        <v>0</v>
      </c>
      <c r="M59" s="43">
        <v>0</v>
      </c>
      <c r="N59" s="43">
        <v>0</v>
      </c>
      <c r="O59" s="43">
        <v>0</v>
      </c>
      <c r="P59" s="43">
        <v>0</v>
      </c>
    </row>
    <row r="60" spans="1:16" ht="14.4" x14ac:dyDescent="0.3">
      <c r="A60" s="34" t="s">
        <v>29</v>
      </c>
      <c r="B60" s="34"/>
      <c r="C60" s="36"/>
      <c r="D60" s="45"/>
      <c r="E60" s="45"/>
      <c r="F60" s="45"/>
      <c r="G60" s="45"/>
      <c r="H60" s="45"/>
      <c r="I60" s="45"/>
      <c r="J60" s="45"/>
      <c r="K60" s="45"/>
      <c r="L60" s="45"/>
      <c r="M60" s="45"/>
      <c r="N60" s="45"/>
      <c r="O60" s="45"/>
      <c r="P60" s="45"/>
    </row>
    <row r="61" spans="1:16" ht="14.4" x14ac:dyDescent="0.3">
      <c r="A61" s="38" t="s">
        <v>30</v>
      </c>
      <c r="B61" s="38"/>
      <c r="C61" s="36" t="s">
        <v>19</v>
      </c>
      <c r="D61" s="40" t="s">
        <v>61</v>
      </c>
      <c r="E61" s="40" t="s">
        <v>61</v>
      </c>
      <c r="F61" s="40" t="s">
        <v>61</v>
      </c>
      <c r="G61" s="40" t="s">
        <v>61</v>
      </c>
      <c r="H61" s="40" t="s">
        <v>61</v>
      </c>
      <c r="I61" s="40" t="s">
        <v>61</v>
      </c>
      <c r="J61" s="40" t="s">
        <v>61</v>
      </c>
      <c r="K61" s="40" t="s">
        <v>61</v>
      </c>
      <c r="L61" s="40" t="s">
        <v>61</v>
      </c>
      <c r="M61" s="40" t="s">
        <v>61</v>
      </c>
      <c r="N61" s="40" t="s">
        <v>61</v>
      </c>
      <c r="O61" s="40" t="s">
        <v>61</v>
      </c>
      <c r="P61" s="40" t="s">
        <v>61</v>
      </c>
    </row>
    <row r="62" spans="1:16" ht="14.4" x14ac:dyDescent="0.3">
      <c r="A62" s="38" t="s">
        <v>31</v>
      </c>
      <c r="B62" s="38"/>
      <c r="C62" s="36" t="s">
        <v>32</v>
      </c>
      <c r="D62" s="40" t="s">
        <v>62</v>
      </c>
      <c r="E62" s="40" t="s">
        <v>62</v>
      </c>
      <c r="F62" s="40" t="s">
        <v>62</v>
      </c>
      <c r="G62" s="40" t="s">
        <v>62</v>
      </c>
      <c r="H62" s="40" t="s">
        <v>62</v>
      </c>
      <c r="I62" s="40" t="s">
        <v>62</v>
      </c>
      <c r="J62" s="40" t="s">
        <v>62</v>
      </c>
      <c r="K62" s="40" t="s">
        <v>62</v>
      </c>
      <c r="L62" s="40" t="s">
        <v>62</v>
      </c>
      <c r="M62" s="40" t="s">
        <v>62</v>
      </c>
      <c r="N62" s="40" t="s">
        <v>62</v>
      </c>
      <c r="O62" s="40" t="s">
        <v>62</v>
      </c>
      <c r="P62" s="40" t="s">
        <v>62</v>
      </c>
    </row>
    <row r="63" spans="1:16" ht="14.4" x14ac:dyDescent="0.3">
      <c r="A63" s="34" t="s">
        <v>33</v>
      </c>
      <c r="B63" s="34"/>
      <c r="C63" s="36"/>
      <c r="D63" s="45"/>
      <c r="E63" s="45"/>
      <c r="F63" s="45"/>
      <c r="G63" s="45"/>
      <c r="H63" s="45"/>
      <c r="I63" s="45"/>
      <c r="J63" s="45"/>
      <c r="K63" s="45"/>
      <c r="L63" s="45"/>
      <c r="M63" s="45"/>
      <c r="N63" s="45"/>
      <c r="O63" s="45"/>
      <c r="P63" s="45"/>
    </row>
    <row r="64" spans="1:16" ht="14.4" x14ac:dyDescent="0.3">
      <c r="A64" s="38" t="s">
        <v>34</v>
      </c>
      <c r="B64" s="38"/>
      <c r="C64" s="36" t="s">
        <v>19</v>
      </c>
      <c r="D64" s="42">
        <v>0.3377</v>
      </c>
      <c r="E64" s="42">
        <v>0.3377</v>
      </c>
      <c r="F64" s="42">
        <v>0.3377</v>
      </c>
      <c r="G64" s="42">
        <v>0.3377</v>
      </c>
      <c r="H64" s="42">
        <v>0.3377</v>
      </c>
      <c r="I64" s="42">
        <v>0.3377</v>
      </c>
      <c r="J64" s="42">
        <v>0.3377</v>
      </c>
      <c r="K64" s="42">
        <v>0.3377</v>
      </c>
      <c r="L64" s="42">
        <v>0.3377</v>
      </c>
      <c r="M64" s="42">
        <v>0.3377</v>
      </c>
      <c r="N64" s="42">
        <v>0.3377</v>
      </c>
      <c r="O64" s="42">
        <v>0.3377</v>
      </c>
      <c r="P64" s="42">
        <v>0.3377</v>
      </c>
    </row>
    <row r="65" spans="1:16" ht="14.4" x14ac:dyDescent="0.3">
      <c r="A65" s="38" t="s">
        <v>35</v>
      </c>
      <c r="B65" s="38"/>
      <c r="C65" s="36" t="s">
        <v>36</v>
      </c>
      <c r="D65" s="40" t="s">
        <v>63</v>
      </c>
      <c r="E65" s="40" t="s">
        <v>63</v>
      </c>
      <c r="F65" s="40" t="s">
        <v>63</v>
      </c>
      <c r="G65" s="40" t="s">
        <v>63</v>
      </c>
      <c r="H65" s="40" t="s">
        <v>63</v>
      </c>
      <c r="I65" s="40" t="s">
        <v>63</v>
      </c>
      <c r="J65" s="40" t="s">
        <v>63</v>
      </c>
      <c r="K65" s="40" t="s">
        <v>63</v>
      </c>
      <c r="L65" s="40" t="s">
        <v>63</v>
      </c>
      <c r="M65" s="40" t="s">
        <v>63</v>
      </c>
      <c r="N65" s="40" t="s">
        <v>63</v>
      </c>
      <c r="O65" s="40" t="s">
        <v>63</v>
      </c>
      <c r="P65" s="40" t="s">
        <v>63</v>
      </c>
    </row>
    <row r="66" spans="1:16" ht="14.4" x14ac:dyDescent="0.3">
      <c r="A66" s="34" t="s">
        <v>37</v>
      </c>
      <c r="B66" s="34"/>
      <c r="C66" s="36"/>
      <c r="D66" s="45"/>
      <c r="E66" s="45"/>
      <c r="F66" s="45"/>
      <c r="G66" s="45"/>
      <c r="H66" s="45"/>
      <c r="I66" s="45"/>
      <c r="J66" s="45"/>
      <c r="K66" s="45"/>
      <c r="L66" s="45"/>
      <c r="M66" s="45"/>
      <c r="N66" s="45"/>
      <c r="O66" s="45"/>
      <c r="P66" s="45"/>
    </row>
    <row r="67" spans="1:16" ht="14.4" x14ac:dyDescent="0.3">
      <c r="A67" s="46" t="s">
        <v>38</v>
      </c>
      <c r="B67" s="38"/>
      <c r="C67" s="36" t="s">
        <v>19</v>
      </c>
      <c r="D67" s="42">
        <f>[45]LD!E31</f>
        <v>8.8499999999999995E-2</v>
      </c>
      <c r="E67" s="42">
        <f>[45]LD!F31</f>
        <v>8.8999999999999996E-2</v>
      </c>
      <c r="F67" s="42">
        <f>[45]LD!G31</f>
        <v>0.10780000000000001</v>
      </c>
      <c r="G67" s="42">
        <f>[45]LD!H31</f>
        <v>0.1246</v>
      </c>
      <c r="H67" s="42">
        <f>[45]LD!I31</f>
        <v>8.7999999999999995E-2</v>
      </c>
      <c r="I67" s="42">
        <f>[45]LD!J31</f>
        <v>5.9900000000000002E-2</v>
      </c>
      <c r="J67" s="42">
        <f>[45]LD!K31</f>
        <v>4.3099999999999999E-2</v>
      </c>
      <c r="K67" s="42">
        <f>[45]LD!L31</f>
        <v>5.4600000000000003E-2</v>
      </c>
      <c r="L67" s="42">
        <f>[45]LD!M31</f>
        <v>7.3800000000000004E-2</v>
      </c>
      <c r="M67" s="42">
        <f>[45]LD!N31</f>
        <v>7.2999999999999995E-2</v>
      </c>
      <c r="N67" s="42">
        <f>[45]LD!O31</f>
        <v>8.1799999999999998E-2</v>
      </c>
      <c r="O67" s="42">
        <f>[45]LD!P31</f>
        <v>8.5900000000000004E-2</v>
      </c>
      <c r="P67" s="42">
        <f>[45]LD!Q31</f>
        <v>0</v>
      </c>
    </row>
    <row r="68" spans="1:16" ht="14.4" x14ac:dyDescent="0.3">
      <c r="A68" s="46" t="s">
        <v>39</v>
      </c>
      <c r="B68" s="38"/>
      <c r="C68" s="36" t="s">
        <v>19</v>
      </c>
      <c r="D68" s="40" t="s">
        <v>64</v>
      </c>
      <c r="E68" s="40" t="s">
        <v>64</v>
      </c>
      <c r="F68" s="40" t="s">
        <v>64</v>
      </c>
      <c r="G68" s="40" t="s">
        <v>64</v>
      </c>
      <c r="H68" s="40" t="s">
        <v>64</v>
      </c>
      <c r="I68" s="40" t="s">
        <v>64</v>
      </c>
      <c r="J68" s="40" t="s">
        <v>64</v>
      </c>
      <c r="K68" s="40" t="s">
        <v>64</v>
      </c>
      <c r="L68" s="40" t="s">
        <v>64</v>
      </c>
      <c r="M68" s="40" t="s">
        <v>64</v>
      </c>
      <c r="N68" s="40" t="s">
        <v>64</v>
      </c>
      <c r="O68" s="40" t="s">
        <v>64</v>
      </c>
      <c r="P68" s="40" t="s">
        <v>64</v>
      </c>
    </row>
    <row r="69" spans="1:16" ht="14.4" x14ac:dyDescent="0.3">
      <c r="A69" s="47" t="s">
        <v>40</v>
      </c>
      <c r="B69" s="38"/>
      <c r="C69" s="36" t="s">
        <v>19</v>
      </c>
      <c r="D69" s="42">
        <f>'[45]SR CIT. SUBSIDY'!E95</f>
        <v>1E-4</v>
      </c>
      <c r="E69" s="42">
        <f>'[45]SR CIT. SUBSIDY'!F95</f>
        <v>1E-4</v>
      </c>
      <c r="F69" s="42">
        <f>'[45]SR CIT. SUBSIDY'!G95</f>
        <v>1E-4</v>
      </c>
      <c r="G69" s="42">
        <f>'[45]SR CIT. SUBSIDY'!H95</f>
        <v>1E-4</v>
      </c>
      <c r="H69" s="42">
        <f>'[45]SR CIT. SUBSIDY'!I95</f>
        <v>1E-4</v>
      </c>
      <c r="I69" s="42">
        <f>'[45]SR CIT. SUBSIDY'!J95</f>
        <v>-2.0000000000000001E-4</v>
      </c>
      <c r="J69" s="42">
        <f>'[45]SR CIT. SUBSIDY'!K95</f>
        <v>-2.0000000000000001E-4</v>
      </c>
      <c r="K69" s="42">
        <f>'[45]SR CIT. SUBSIDY'!L95</f>
        <v>-2.0000000000000001E-4</v>
      </c>
      <c r="L69" s="42">
        <f>'[45]SR CIT. SUBSIDY'!M95</f>
        <v>2.9999999999999997E-4</v>
      </c>
      <c r="M69" s="42">
        <f>'[45]SR CIT. SUBSIDY'!N95</f>
        <v>1E-4</v>
      </c>
      <c r="N69" s="42">
        <f>'[45]SR CIT. SUBSIDY'!O95</f>
        <v>1E-4</v>
      </c>
      <c r="O69" s="42">
        <f>'[45]SR CIT. SUBSIDY'!P95</f>
        <v>1E-4</v>
      </c>
      <c r="P69" s="42">
        <f>'[45]SR CIT. SUBSIDY'!Q95</f>
        <v>0</v>
      </c>
    </row>
    <row r="70" spans="1:16" ht="14.4" x14ac:dyDescent="0.3">
      <c r="A70" s="47" t="s">
        <v>41</v>
      </c>
      <c r="B70" s="38"/>
      <c r="C70" s="36" t="s">
        <v>19</v>
      </c>
      <c r="D70" s="42">
        <f>D28</f>
        <v>0</v>
      </c>
      <c r="E70" s="42">
        <f t="shared" ref="E70:P70" si="2">E28</f>
        <v>0</v>
      </c>
      <c r="F70" s="42">
        <f t="shared" si="2"/>
        <v>0</v>
      </c>
      <c r="G70" s="42">
        <f t="shared" si="2"/>
        <v>0</v>
      </c>
      <c r="H70" s="42">
        <f t="shared" si="2"/>
        <v>0</v>
      </c>
      <c r="I70" s="42">
        <f t="shared" si="2"/>
        <v>0</v>
      </c>
      <c r="J70" s="42">
        <f t="shared" si="2"/>
        <v>0</v>
      </c>
      <c r="K70" s="42">
        <f t="shared" si="2"/>
        <v>0</v>
      </c>
      <c r="L70" s="42">
        <f t="shared" si="2"/>
        <v>0</v>
      </c>
      <c r="M70" s="42">
        <f t="shared" si="2"/>
        <v>0</v>
      </c>
      <c r="N70" s="42">
        <f t="shared" si="2"/>
        <v>0</v>
      </c>
      <c r="O70" s="42">
        <f t="shared" si="2"/>
        <v>0</v>
      </c>
      <c r="P70" s="42">
        <f t="shared" si="2"/>
        <v>0</v>
      </c>
    </row>
    <row r="71" spans="1:16" ht="14.4" x14ac:dyDescent="0.3">
      <c r="A71" s="34" t="s">
        <v>42</v>
      </c>
      <c r="B71" s="34"/>
      <c r="C71" s="36"/>
      <c r="D71" s="45"/>
      <c r="E71" s="45"/>
      <c r="F71" s="45"/>
      <c r="G71" s="45"/>
      <c r="H71" s="45"/>
      <c r="I71" s="45"/>
      <c r="J71" s="45"/>
      <c r="K71" s="45"/>
      <c r="L71" s="45"/>
      <c r="M71" s="45"/>
      <c r="N71" s="45"/>
      <c r="O71" s="45"/>
      <c r="P71" s="45"/>
    </row>
    <row r="72" spans="1:16" ht="14.4" x14ac:dyDescent="0.3">
      <c r="A72" s="34" t="s">
        <v>43</v>
      </c>
      <c r="B72" s="34"/>
      <c r="C72" s="36" t="s">
        <v>44</v>
      </c>
      <c r="D72" s="48"/>
      <c r="E72" s="48"/>
      <c r="F72" s="48"/>
      <c r="G72" s="48"/>
      <c r="H72" s="48"/>
      <c r="I72" s="48"/>
      <c r="J72" s="48"/>
      <c r="K72" s="48"/>
      <c r="L72" s="48"/>
      <c r="M72" s="48"/>
      <c r="N72" s="48"/>
      <c r="O72" s="48"/>
      <c r="P72" s="48"/>
    </row>
    <row r="73" spans="1:16" ht="14.4" x14ac:dyDescent="0.3">
      <c r="A73" s="34" t="s">
        <v>45</v>
      </c>
      <c r="B73" s="34"/>
      <c r="C73" s="36"/>
      <c r="D73" s="49"/>
      <c r="E73" s="49"/>
      <c r="F73" s="49"/>
      <c r="G73" s="49"/>
      <c r="H73" s="49"/>
      <c r="I73" s="49"/>
      <c r="J73" s="49"/>
      <c r="K73" s="49"/>
      <c r="L73" s="49"/>
      <c r="M73" s="49"/>
      <c r="N73" s="49"/>
      <c r="O73" s="49"/>
      <c r="P73" s="49"/>
    </row>
    <row r="74" spans="1:16" ht="14.4" x14ac:dyDescent="0.3">
      <c r="A74" s="34" t="s">
        <v>46</v>
      </c>
      <c r="B74" s="34"/>
      <c r="C74" s="36" t="s">
        <v>19</v>
      </c>
      <c r="D74" s="40" t="s">
        <v>65</v>
      </c>
      <c r="E74" s="40" t="s">
        <v>65</v>
      </c>
      <c r="F74" s="40" t="s">
        <v>65</v>
      </c>
      <c r="G74" s="40" t="s">
        <v>65</v>
      </c>
      <c r="H74" s="40" t="s">
        <v>65</v>
      </c>
      <c r="I74" s="40" t="s">
        <v>65</v>
      </c>
      <c r="J74" s="40" t="s">
        <v>65</v>
      </c>
      <c r="K74" s="40" t="s">
        <v>65</v>
      </c>
      <c r="L74" s="40" t="s">
        <v>65</v>
      </c>
      <c r="M74" s="40" t="s">
        <v>65</v>
      </c>
      <c r="N74" s="40" t="s">
        <v>65</v>
      </c>
      <c r="O74" s="40" t="s">
        <v>65</v>
      </c>
      <c r="P74" s="40" t="s">
        <v>65</v>
      </c>
    </row>
    <row r="75" spans="1:16" ht="14.4" x14ac:dyDescent="0.3">
      <c r="A75" s="34" t="s">
        <v>47</v>
      </c>
      <c r="B75" s="34"/>
      <c r="C75" s="36"/>
      <c r="D75" s="45"/>
      <c r="E75" s="45"/>
      <c r="F75" s="45"/>
      <c r="G75" s="45"/>
      <c r="H75" s="45"/>
      <c r="I75" s="45"/>
      <c r="J75" s="45"/>
      <c r="K75" s="45"/>
      <c r="L75" s="45"/>
      <c r="M75" s="45"/>
      <c r="N75" s="45"/>
      <c r="O75" s="45"/>
      <c r="P75" s="45"/>
    </row>
    <row r="76" spans="1:16" ht="14.4" x14ac:dyDescent="0.3">
      <c r="A76" s="38" t="s">
        <v>48</v>
      </c>
      <c r="B76" s="38"/>
      <c r="C76" s="36" t="s">
        <v>19</v>
      </c>
      <c r="D76" s="42">
        <f>D34</f>
        <v>0.15609999999999999</v>
      </c>
      <c r="E76" s="42">
        <f t="shared" ref="E76:P80" si="3">E34</f>
        <v>0.15609999999999999</v>
      </c>
      <c r="F76" s="42">
        <f t="shared" si="3"/>
        <v>0.15609999999999999</v>
      </c>
      <c r="G76" s="42">
        <f t="shared" si="3"/>
        <v>0.15609999999999999</v>
      </c>
      <c r="H76" s="42">
        <f t="shared" si="3"/>
        <v>0.15609999999999999</v>
      </c>
      <c r="I76" s="42">
        <f t="shared" si="3"/>
        <v>0.15609999999999999</v>
      </c>
      <c r="J76" s="42">
        <f t="shared" si="3"/>
        <v>0.15609999999999999</v>
      </c>
      <c r="K76" s="42">
        <f t="shared" si="3"/>
        <v>0.15609999999999999</v>
      </c>
      <c r="L76" s="42">
        <f t="shared" si="3"/>
        <v>0.15609999999999999</v>
      </c>
      <c r="M76" s="42">
        <f t="shared" si="3"/>
        <v>0.15609999999999999</v>
      </c>
      <c r="N76" s="42">
        <f t="shared" si="3"/>
        <v>0.15609999999999999</v>
      </c>
      <c r="O76" s="42">
        <f t="shared" si="3"/>
        <v>0.15609999999999999</v>
      </c>
      <c r="P76" s="42">
        <f t="shared" si="3"/>
        <v>0.15609999999999999</v>
      </c>
    </row>
    <row r="77" spans="1:16" ht="14.4" x14ac:dyDescent="0.3">
      <c r="A77" s="38" t="s">
        <v>49</v>
      </c>
      <c r="B77" s="38"/>
      <c r="C77" s="36" t="s">
        <v>19</v>
      </c>
      <c r="D77" s="42">
        <f>D35</f>
        <v>2.5000000000000001E-3</v>
      </c>
      <c r="E77" s="42">
        <f t="shared" si="3"/>
        <v>2.5000000000000001E-3</v>
      </c>
      <c r="F77" s="42">
        <f t="shared" si="3"/>
        <v>2.5000000000000001E-3</v>
      </c>
      <c r="G77" s="42">
        <f t="shared" si="3"/>
        <v>2.5000000000000001E-3</v>
      </c>
      <c r="H77" s="42">
        <f t="shared" si="3"/>
        <v>2.5000000000000001E-3</v>
      </c>
      <c r="I77" s="42">
        <f t="shared" si="3"/>
        <v>2.5000000000000001E-3</v>
      </c>
      <c r="J77" s="42">
        <f t="shared" si="3"/>
        <v>2.5000000000000001E-3</v>
      </c>
      <c r="K77" s="42">
        <f t="shared" si="3"/>
        <v>2.5000000000000001E-3</v>
      </c>
      <c r="L77" s="42">
        <f t="shared" si="3"/>
        <v>2.5000000000000001E-3</v>
      </c>
      <c r="M77" s="42">
        <f t="shared" si="3"/>
        <v>2.5000000000000001E-3</v>
      </c>
      <c r="N77" s="42">
        <f t="shared" si="3"/>
        <v>2.5000000000000001E-3</v>
      </c>
      <c r="O77" s="42">
        <f t="shared" si="3"/>
        <v>2.5000000000000001E-3</v>
      </c>
      <c r="P77" s="42">
        <f t="shared" si="3"/>
        <v>2.5000000000000001E-3</v>
      </c>
    </row>
    <row r="78" spans="1:16" ht="14.4" x14ac:dyDescent="0.3">
      <c r="A78" s="18" t="s">
        <v>111</v>
      </c>
      <c r="B78" s="18"/>
      <c r="C78" s="36" t="s">
        <v>19</v>
      </c>
      <c r="D78" s="42">
        <f>D36</f>
        <v>0.1938</v>
      </c>
      <c r="E78" s="42">
        <f t="shared" si="3"/>
        <v>0.1938</v>
      </c>
      <c r="F78" s="42">
        <f t="shared" si="3"/>
        <v>0.1938</v>
      </c>
      <c r="G78" s="42">
        <f t="shared" si="3"/>
        <v>0.1938</v>
      </c>
      <c r="H78" s="42">
        <f t="shared" si="3"/>
        <v>0.1938</v>
      </c>
      <c r="I78" s="42">
        <f t="shared" si="3"/>
        <v>0.1938</v>
      </c>
      <c r="J78" s="42">
        <f t="shared" si="3"/>
        <v>0.1938</v>
      </c>
      <c r="K78" s="42">
        <f t="shared" si="3"/>
        <v>0.1938</v>
      </c>
      <c r="L78" s="42">
        <f t="shared" si="3"/>
        <v>0.1938</v>
      </c>
      <c r="M78" s="42">
        <f t="shared" si="3"/>
        <v>0.1938</v>
      </c>
      <c r="N78" s="42">
        <f t="shared" si="3"/>
        <v>0.1938</v>
      </c>
      <c r="O78" s="42">
        <f t="shared" si="3"/>
        <v>0.1938</v>
      </c>
      <c r="P78" s="42">
        <f t="shared" si="3"/>
        <v>0.1938</v>
      </c>
    </row>
    <row r="79" spans="1:16" ht="14.4" x14ac:dyDescent="0.3">
      <c r="A79" s="18" t="s">
        <v>112</v>
      </c>
      <c r="B79" s="18"/>
      <c r="C79" s="16" t="s">
        <v>19</v>
      </c>
      <c r="D79" s="42">
        <f>D37</f>
        <v>0</v>
      </c>
      <c r="E79" s="42">
        <f t="shared" si="3"/>
        <v>0</v>
      </c>
      <c r="F79" s="42">
        <f t="shared" si="3"/>
        <v>0</v>
      </c>
      <c r="G79" s="42">
        <f t="shared" si="3"/>
        <v>0</v>
      </c>
      <c r="H79" s="42">
        <f t="shared" si="3"/>
        <v>0</v>
      </c>
      <c r="I79" s="42">
        <f t="shared" si="3"/>
        <v>0</v>
      </c>
      <c r="J79" s="42">
        <f t="shared" si="3"/>
        <v>0</v>
      </c>
      <c r="K79" s="42">
        <f t="shared" si="3"/>
        <v>2.6499999999999999E-2</v>
      </c>
      <c r="L79" s="42">
        <f t="shared" si="3"/>
        <v>2.6499999999999999E-2</v>
      </c>
      <c r="M79" s="42">
        <f t="shared" si="3"/>
        <v>2.6499999999999999E-2</v>
      </c>
      <c r="N79" s="42">
        <f t="shared" si="3"/>
        <v>2.6499999999999999E-2</v>
      </c>
      <c r="O79" s="42">
        <f t="shared" si="3"/>
        <v>2.6499999999999999E-2</v>
      </c>
      <c r="P79" s="42">
        <f t="shared" si="3"/>
        <v>2.6499999999999999E-2</v>
      </c>
    </row>
    <row r="80" spans="1:16" ht="14.4" x14ac:dyDescent="0.3">
      <c r="A80" s="14" t="s">
        <v>51</v>
      </c>
      <c r="B80" s="14"/>
      <c r="C80" s="16" t="s">
        <v>19</v>
      </c>
      <c r="D80" s="20">
        <f>D38</f>
        <v>0.124</v>
      </c>
      <c r="E80" s="20">
        <f t="shared" si="3"/>
        <v>0.124</v>
      </c>
      <c r="F80" s="20">
        <f t="shared" si="3"/>
        <v>0.124</v>
      </c>
      <c r="G80" s="20">
        <f t="shared" si="3"/>
        <v>0.124</v>
      </c>
      <c r="H80" s="20">
        <f t="shared" si="3"/>
        <v>0.124</v>
      </c>
      <c r="I80" s="20">
        <f t="shared" si="3"/>
        <v>0.183</v>
      </c>
      <c r="J80" s="20">
        <f t="shared" si="3"/>
        <v>0.183</v>
      </c>
      <c r="K80" s="20">
        <f t="shared" si="3"/>
        <v>0.183</v>
      </c>
      <c r="L80" s="20">
        <f t="shared" si="3"/>
        <v>0.183</v>
      </c>
      <c r="M80" s="20">
        <f t="shared" si="3"/>
        <v>0.183</v>
      </c>
      <c r="N80" s="20">
        <f t="shared" si="3"/>
        <v>0.183</v>
      </c>
      <c r="O80" s="20">
        <f t="shared" si="3"/>
        <v>0.183</v>
      </c>
      <c r="P80" s="20">
        <f t="shared" si="3"/>
        <v>0.183</v>
      </c>
    </row>
    <row r="81" spans="1:16" ht="14.4" x14ac:dyDescent="0.3">
      <c r="A81" s="34" t="s">
        <v>52</v>
      </c>
      <c r="B81" s="34"/>
      <c r="C81" s="50"/>
      <c r="D81" s="44"/>
      <c r="E81" s="44"/>
      <c r="F81" s="44"/>
      <c r="G81" s="44"/>
      <c r="H81" s="44"/>
      <c r="I81" s="44"/>
      <c r="J81" s="44"/>
      <c r="K81" s="44"/>
      <c r="L81" s="44"/>
      <c r="M81" s="44"/>
      <c r="N81" s="44"/>
      <c r="O81" s="44"/>
      <c r="P81" s="44"/>
    </row>
    <row r="82" spans="1:16" ht="14.4" x14ac:dyDescent="0.3">
      <c r="A82" s="38" t="s">
        <v>53</v>
      </c>
      <c r="B82" s="38"/>
      <c r="C82" s="36" t="s">
        <v>44</v>
      </c>
      <c r="D82" s="51">
        <f>'[45]DU VAT'!D18</f>
        <v>0.10979999999999999</v>
      </c>
      <c r="E82" s="51">
        <f>'[45]DU VAT'!E18</f>
        <v>0.1118</v>
      </c>
      <c r="F82" s="51">
        <f>'[45]DU VAT'!F18</f>
        <v>0.10390000000000001</v>
      </c>
      <c r="G82" s="51">
        <f>'[45]DU VAT'!G18</f>
        <v>0.1095</v>
      </c>
      <c r="H82" s="51">
        <f>'[45]DU VAT'!H18</f>
        <v>0.1061</v>
      </c>
      <c r="I82" s="51">
        <f>'[45]DU VAT'!I18</f>
        <v>0.1137</v>
      </c>
      <c r="J82" s="51">
        <f>'[45]DU VAT'!J18</f>
        <v>0.1135</v>
      </c>
      <c r="K82" s="51">
        <f>'[45]DU VAT'!K18</f>
        <v>0.1162</v>
      </c>
      <c r="L82" s="51">
        <f>'[45]DU VAT'!L18</f>
        <v>0.1128</v>
      </c>
      <c r="M82" s="51">
        <f>'[45]DU VAT'!M18</f>
        <v>0.112</v>
      </c>
      <c r="N82" s="51">
        <f>'[45]DU VAT'!N18</f>
        <v>0.11219999999999999</v>
      </c>
      <c r="O82" s="51">
        <f>'[45]DU VAT'!O18</f>
        <v>0.1149</v>
      </c>
      <c r="P82" s="51" t="e">
        <f>'[45]DU VAT'!P18</f>
        <v>#DIV/0!</v>
      </c>
    </row>
    <row r="83" spans="1:16" ht="14.4" x14ac:dyDescent="0.3">
      <c r="A83" s="38" t="s">
        <v>54</v>
      </c>
      <c r="B83" s="38"/>
      <c r="C83" s="36" t="s">
        <v>44</v>
      </c>
      <c r="D83" s="51">
        <f>'[45]DU VAT'!D26</f>
        <v>5.5999999999999999E-3</v>
      </c>
      <c r="E83" s="51">
        <f>'[45]DU VAT'!E26</f>
        <v>6.3E-3</v>
      </c>
      <c r="F83" s="51">
        <f>'[45]DU VAT'!F26</f>
        <v>4.0000000000000001E-3</v>
      </c>
      <c r="G83" s="51">
        <f>'[45]DU VAT'!G26</f>
        <v>6.7999999999999996E-3</v>
      </c>
      <c r="H83" s="51">
        <f>'[45]DU VAT'!H26</f>
        <v>2.2700000000000001E-2</v>
      </c>
      <c r="I83" s="51">
        <f>'[45]DU VAT'!I26</f>
        <v>2.0400000000000001E-2</v>
      </c>
      <c r="J83" s="51">
        <f>'[45]DU VAT'!J26</f>
        <v>1.6799999999999999E-2</v>
      </c>
      <c r="K83" s="51">
        <f>'[45]DU VAT'!K26</f>
        <v>1.8200000000000001E-2</v>
      </c>
      <c r="L83" s="51">
        <f>'[45]DU VAT'!L26</f>
        <v>8.8999999999999999E-3</v>
      </c>
      <c r="M83" s="51">
        <f>'[45]DU VAT'!M26</f>
        <v>3.5999999999999999E-3</v>
      </c>
      <c r="N83" s="51">
        <f>'[45]DU VAT'!N26</f>
        <v>1.5599999999999999E-2</v>
      </c>
      <c r="O83" s="51">
        <f>'[45]DU VAT'!O26</f>
        <v>5.7999999999999996E-3</v>
      </c>
      <c r="P83" s="51" t="e">
        <f>'[45]DU VAT'!P26</f>
        <v>#DIV/0!</v>
      </c>
    </row>
    <row r="84" spans="1:16" ht="14.4" x14ac:dyDescent="0.3">
      <c r="A84" s="38" t="s">
        <v>55</v>
      </c>
      <c r="B84" s="38"/>
      <c r="C84" s="36" t="s">
        <v>44</v>
      </c>
      <c r="D84" s="51">
        <f>'[45]DU VAT'!D34</f>
        <v>9.1899999999999996E-2</v>
      </c>
      <c r="E84" s="51">
        <f>'[45]DU VAT'!E34</f>
        <v>9.3200000000000005E-2</v>
      </c>
      <c r="F84" s="51">
        <f>'[45]DU VAT'!F34</f>
        <v>8.8800000000000004E-2</v>
      </c>
      <c r="G84" s="51">
        <f>'[45]DU VAT'!G34</f>
        <v>9.4799999999999995E-2</v>
      </c>
      <c r="H84" s="51">
        <f>'[45]DU VAT'!H34</f>
        <v>9.3799999999999994E-2</v>
      </c>
      <c r="I84" s="51">
        <f>'[45]DU VAT'!I34</f>
        <v>9.9400000000000002E-2</v>
      </c>
      <c r="J84" s="51">
        <f>'[45]DU VAT'!J34</f>
        <v>9.9199999999999997E-2</v>
      </c>
      <c r="K84" s="51">
        <f>'[45]DU VAT'!K34</f>
        <v>0.1007</v>
      </c>
      <c r="L84" s="51">
        <f>'[45]DU VAT'!L34</f>
        <v>9.9000000000000005E-2</v>
      </c>
      <c r="M84" s="51">
        <f>'[45]DU VAT'!M34</f>
        <v>9.8699999999999996E-2</v>
      </c>
      <c r="N84" s="51">
        <f>'[45]DU VAT'!N34</f>
        <v>9.9299999999999999E-2</v>
      </c>
      <c r="O84" s="51">
        <f>'[45]DU VAT'!O34</f>
        <v>9.9900000000000003E-2</v>
      </c>
      <c r="P84" s="51" t="e">
        <f>'[45]DU VAT'!P34</f>
        <v>#DIV/0!</v>
      </c>
    </row>
    <row r="85" spans="1:16" ht="14.4" x14ac:dyDescent="0.3">
      <c r="A85" s="38" t="s">
        <v>56</v>
      </c>
      <c r="B85" s="38"/>
      <c r="C85" s="36" t="s">
        <v>44</v>
      </c>
      <c r="D85" s="51">
        <f>D43</f>
        <v>0.12</v>
      </c>
      <c r="E85" s="51">
        <f t="shared" ref="E85:P86" si="4">E43</f>
        <v>0.12</v>
      </c>
      <c r="F85" s="51">
        <f t="shared" si="4"/>
        <v>0.12</v>
      </c>
      <c r="G85" s="51">
        <f t="shared" si="4"/>
        <v>0.12</v>
      </c>
      <c r="H85" s="51">
        <f t="shared" si="4"/>
        <v>0.12</v>
      </c>
      <c r="I85" s="51">
        <f t="shared" si="4"/>
        <v>0.12</v>
      </c>
      <c r="J85" s="51">
        <f t="shared" si="4"/>
        <v>0.12</v>
      </c>
      <c r="K85" s="51">
        <f t="shared" si="4"/>
        <v>0.12</v>
      </c>
      <c r="L85" s="51">
        <f t="shared" si="4"/>
        <v>0.12</v>
      </c>
      <c r="M85" s="51">
        <f t="shared" si="4"/>
        <v>0.12</v>
      </c>
      <c r="N85" s="51">
        <f t="shared" si="4"/>
        <v>0.12</v>
      </c>
      <c r="O85" s="51">
        <f t="shared" si="4"/>
        <v>0.12</v>
      </c>
      <c r="P85" s="51">
        <f t="shared" si="4"/>
        <v>0.12</v>
      </c>
    </row>
    <row r="86" spans="1:16" ht="14.4" x14ac:dyDescent="0.3">
      <c r="A86" s="38" t="s">
        <v>57</v>
      </c>
      <c r="B86" s="38"/>
      <c r="C86" s="36" t="s">
        <v>44</v>
      </c>
      <c r="D86" s="51">
        <f>D44</f>
        <v>0.12</v>
      </c>
      <c r="E86" s="51">
        <f t="shared" si="4"/>
        <v>0.12</v>
      </c>
      <c r="F86" s="51">
        <f t="shared" si="4"/>
        <v>0.12</v>
      </c>
      <c r="G86" s="51">
        <f t="shared" si="4"/>
        <v>0.12</v>
      </c>
      <c r="H86" s="51">
        <f t="shared" si="4"/>
        <v>0.12</v>
      </c>
      <c r="I86" s="51">
        <f t="shared" si="4"/>
        <v>0.12</v>
      </c>
      <c r="J86" s="51">
        <f t="shared" si="4"/>
        <v>0.12</v>
      </c>
      <c r="K86" s="51">
        <f t="shared" si="4"/>
        <v>0.12</v>
      </c>
      <c r="L86" s="51">
        <f t="shared" si="4"/>
        <v>0.12</v>
      </c>
      <c r="M86" s="51">
        <f t="shared" si="4"/>
        <v>0.12</v>
      </c>
      <c r="N86" s="51">
        <f t="shared" si="4"/>
        <v>0.12</v>
      </c>
      <c r="O86" s="51">
        <f t="shared" si="4"/>
        <v>0.12</v>
      </c>
      <c r="P86" s="51">
        <f t="shared" si="4"/>
        <v>0.12</v>
      </c>
    </row>
    <row r="88" spans="1:16" x14ac:dyDescent="0.3">
      <c r="A88" s="3" t="s">
        <v>58</v>
      </c>
    </row>
    <row r="89" spans="1:16" x14ac:dyDescent="0.3">
      <c r="A89" s="33"/>
    </row>
    <row r="90" spans="1:16" ht="18" x14ac:dyDescent="0.35">
      <c r="A90" s="9" t="str">
        <f>'[45]Statistical data'!A163</f>
        <v>General Service A</v>
      </c>
      <c r="B90" s="9"/>
      <c r="C90" s="5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</row>
    <row r="91" spans="1:16" s="13" customFormat="1" ht="14.4" x14ac:dyDescent="0.3">
      <c r="A91" s="11" t="s">
        <v>3</v>
      </c>
      <c r="B91" s="11"/>
      <c r="C91" s="11" t="s">
        <v>4</v>
      </c>
      <c r="D91" s="12" t="str">
        <f>D49</f>
        <v>JAN</v>
      </c>
      <c r="E91" s="12" t="str">
        <f t="shared" ref="E91:P91" si="5">E49</f>
        <v>FEB</v>
      </c>
      <c r="F91" s="12" t="str">
        <f t="shared" si="5"/>
        <v>MAR</v>
      </c>
      <c r="G91" s="12" t="str">
        <f t="shared" si="5"/>
        <v>APR</v>
      </c>
      <c r="H91" s="12" t="str">
        <f t="shared" si="5"/>
        <v>MAY</v>
      </c>
      <c r="I91" s="12" t="str">
        <f t="shared" si="5"/>
        <v>JUN</v>
      </c>
      <c r="J91" s="12" t="str">
        <f t="shared" si="5"/>
        <v>JUL</v>
      </c>
      <c r="K91" s="12" t="str">
        <f t="shared" si="5"/>
        <v>AUG</v>
      </c>
      <c r="L91" s="12" t="str">
        <f t="shared" si="5"/>
        <v>SEP</v>
      </c>
      <c r="M91" s="12" t="str">
        <f t="shared" si="5"/>
        <v>OCT</v>
      </c>
      <c r="N91" s="12" t="str">
        <f t="shared" si="5"/>
        <v>NOV</v>
      </c>
      <c r="O91" s="12" t="str">
        <f t="shared" si="5"/>
        <v>DEC</v>
      </c>
      <c r="P91" s="12" t="str">
        <f t="shared" si="5"/>
        <v>JAN</v>
      </c>
    </row>
    <row r="92" spans="1:16" ht="14.4" x14ac:dyDescent="0.3">
      <c r="A92" s="14" t="s">
        <v>17</v>
      </c>
      <c r="B92" s="15"/>
      <c r="C92" s="16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</row>
    <row r="93" spans="1:16" ht="14.4" x14ac:dyDescent="0.3">
      <c r="A93" s="18" t="s">
        <v>18</v>
      </c>
      <c r="B93" s="19"/>
      <c r="C93" s="16" t="s">
        <v>19</v>
      </c>
      <c r="D93" s="42">
        <f>[45]GR!D25</f>
        <v>3.7</v>
      </c>
      <c r="E93" s="42">
        <f>[45]GR!E25</f>
        <v>4.3212000000000002</v>
      </c>
      <c r="F93" s="42">
        <f>[45]GR!F25</f>
        <v>4.9013999999999998</v>
      </c>
      <c r="G93" s="42">
        <f>[45]GR!G25</f>
        <v>5.0964999999999998</v>
      </c>
      <c r="H93" s="42">
        <f>[45]GR!H25</f>
        <v>4.8838999999999997</v>
      </c>
      <c r="I93" s="42">
        <f>[45]GR!I25</f>
        <v>3.8586</v>
      </c>
      <c r="J93" s="42">
        <f>[45]GR!J25</f>
        <v>3.9384999999999999</v>
      </c>
      <c r="K93" s="42">
        <f>[45]GR!K25</f>
        <v>3.9763000000000002</v>
      </c>
      <c r="L93" s="42">
        <f>[45]GR!L25</f>
        <v>4.5377999999999998</v>
      </c>
      <c r="M93" s="42">
        <f>[45]GR!M25</f>
        <v>4.7154999999999996</v>
      </c>
      <c r="N93" s="42">
        <f>[45]GR!N25</f>
        <v>4.9080000000000004</v>
      </c>
      <c r="O93" s="42">
        <f>[45]GR!O25</f>
        <v>4.6044999999999998</v>
      </c>
      <c r="P93" s="42" t="e">
        <f>[45]GR!P25</f>
        <v>#DIV/0!</v>
      </c>
    </row>
    <row r="94" spans="1:16" ht="14.4" x14ac:dyDescent="0.3">
      <c r="A94" s="14" t="s">
        <v>20</v>
      </c>
      <c r="B94" s="15"/>
      <c r="C94" s="16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</row>
    <row r="95" spans="1:16" ht="14.4" x14ac:dyDescent="0.3">
      <c r="A95" s="18" t="s">
        <v>21</v>
      </c>
      <c r="B95" s="19"/>
      <c r="C95" s="16" t="s">
        <v>19</v>
      </c>
      <c r="D95" s="20">
        <f>[45]TR!D64</f>
        <v>0.75570000000000004</v>
      </c>
      <c r="E95" s="20">
        <f>[45]TR!E64</f>
        <v>0.90510000000000002</v>
      </c>
      <c r="F95" s="20">
        <f>[45]TR!F64</f>
        <v>0.89270000000000005</v>
      </c>
      <c r="G95" s="20">
        <f>[45]TR!G64</f>
        <v>0.82979999999999998</v>
      </c>
      <c r="H95" s="20">
        <f>[45]TR!H64</f>
        <v>0.84989999999999999</v>
      </c>
      <c r="I95" s="20">
        <f>[45]TR!I64</f>
        <v>0.7379</v>
      </c>
      <c r="J95" s="20">
        <f>[45]TR!J64</f>
        <v>0.74209999999999998</v>
      </c>
      <c r="K95" s="20">
        <f>[45]TR!K64</f>
        <v>0.78039999999999998</v>
      </c>
      <c r="L95" s="20">
        <f>[45]TR!L64</f>
        <v>0.72940000000000005</v>
      </c>
      <c r="M95" s="20">
        <f>[45]TR!M64</f>
        <v>0.67010000000000003</v>
      </c>
      <c r="N95" s="20">
        <f>[45]TR!N64</f>
        <v>0.75609999999999999</v>
      </c>
      <c r="O95" s="20">
        <f>[45]TR!O64</f>
        <v>0.73750000000000004</v>
      </c>
      <c r="P95" s="20">
        <f>[45]TR!P64</f>
        <v>0</v>
      </c>
    </row>
    <row r="96" spans="1:16" ht="14.4" x14ac:dyDescent="0.3">
      <c r="A96" s="18" t="s">
        <v>22</v>
      </c>
      <c r="B96" s="19"/>
      <c r="C96" s="16" t="s">
        <v>23</v>
      </c>
      <c r="D96" s="23">
        <f>D54</f>
        <v>0</v>
      </c>
      <c r="E96" s="23">
        <f t="shared" ref="E96:P96" si="6">E54</f>
        <v>0</v>
      </c>
      <c r="F96" s="23">
        <f t="shared" si="6"/>
        <v>0</v>
      </c>
      <c r="G96" s="23">
        <f t="shared" si="6"/>
        <v>0</v>
      </c>
      <c r="H96" s="23">
        <f t="shared" si="6"/>
        <v>0</v>
      </c>
      <c r="I96" s="23">
        <f t="shared" si="6"/>
        <v>0</v>
      </c>
      <c r="J96" s="23">
        <f t="shared" si="6"/>
        <v>0</v>
      </c>
      <c r="K96" s="23">
        <f t="shared" si="6"/>
        <v>0</v>
      </c>
      <c r="L96" s="23">
        <f t="shared" si="6"/>
        <v>0</v>
      </c>
      <c r="M96" s="23">
        <f t="shared" si="6"/>
        <v>0</v>
      </c>
      <c r="N96" s="23">
        <f t="shared" si="6"/>
        <v>0</v>
      </c>
      <c r="O96" s="23">
        <f t="shared" si="6"/>
        <v>0</v>
      </c>
      <c r="P96" s="23">
        <f t="shared" si="6"/>
        <v>0</v>
      </c>
    </row>
    <row r="97" spans="1:16" ht="14.4" x14ac:dyDescent="0.3">
      <c r="A97" s="14" t="s">
        <v>24</v>
      </c>
      <c r="B97" s="15"/>
      <c r="C97" s="16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</row>
    <row r="98" spans="1:16" ht="14.4" x14ac:dyDescent="0.3">
      <c r="A98" s="18" t="s">
        <v>25</v>
      </c>
      <c r="B98" s="19"/>
      <c r="C98" s="16" t="s">
        <v>19</v>
      </c>
      <c r="D98" s="20">
        <f>[45]SLR!D70</f>
        <v>0.38219999999999998</v>
      </c>
      <c r="E98" s="20">
        <f>[45]SLR!E70</f>
        <v>0.43809999999999999</v>
      </c>
      <c r="F98" s="20">
        <f>[45]SLR!F70</f>
        <v>0.48199999999999998</v>
      </c>
      <c r="G98" s="20">
        <f>[45]SLR!G70</f>
        <v>0.50070000000000003</v>
      </c>
      <c r="H98" s="20">
        <f>[45]SLR!H70</f>
        <v>0.47420000000000001</v>
      </c>
      <c r="I98" s="20">
        <f>[45]SLR!I70</f>
        <v>0.2666</v>
      </c>
      <c r="J98" s="20">
        <f>[45]SLR!J70</f>
        <v>0.27100000000000002</v>
      </c>
      <c r="K98" s="20">
        <f>[45]SLR!K70</f>
        <v>0.27160000000000001</v>
      </c>
      <c r="L98" s="20">
        <f>[45]SLR!L70</f>
        <v>0.53139999999999998</v>
      </c>
      <c r="M98" s="20">
        <f>[45]SLR!M70</f>
        <v>0.44500000000000001</v>
      </c>
      <c r="N98" s="20">
        <f>[45]SLR!N70</f>
        <v>0.46439999999999998</v>
      </c>
      <c r="O98" s="20">
        <f>[45]SLR!O70</f>
        <v>0.43690000000000001</v>
      </c>
      <c r="P98" s="20" t="e">
        <f>[45]SLR!P70</f>
        <v>#DIV/0!</v>
      </c>
    </row>
    <row r="99" spans="1:16" ht="14.4" x14ac:dyDescent="0.3">
      <c r="A99" s="14" t="s">
        <v>26</v>
      </c>
      <c r="B99" s="14"/>
      <c r="C99" s="16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</row>
    <row r="100" spans="1:16" ht="14.4" x14ac:dyDescent="0.3">
      <c r="A100" s="18" t="s">
        <v>27</v>
      </c>
      <c r="B100" s="18"/>
      <c r="C100" s="16" t="s">
        <v>19</v>
      </c>
      <c r="D100" s="52" t="str">
        <f>D58</f>
        <v>See Schedule 2</v>
      </c>
      <c r="E100" s="52" t="str">
        <f t="shared" ref="E100:P100" si="7">E58</f>
        <v>See Schedule 2</v>
      </c>
      <c r="F100" s="52" t="str">
        <f t="shared" si="7"/>
        <v>See Schedule 2</v>
      </c>
      <c r="G100" s="52" t="str">
        <f t="shared" si="7"/>
        <v>See Schedule 2</v>
      </c>
      <c r="H100" s="52" t="str">
        <f t="shared" si="7"/>
        <v>See Schedule 2</v>
      </c>
      <c r="I100" s="52" t="str">
        <f t="shared" si="7"/>
        <v>See Schedule 2</v>
      </c>
      <c r="J100" s="52" t="str">
        <f t="shared" si="7"/>
        <v>See Schedule 2</v>
      </c>
      <c r="K100" s="52" t="str">
        <f t="shared" si="7"/>
        <v>See Schedule 2</v>
      </c>
      <c r="L100" s="52" t="str">
        <f t="shared" si="7"/>
        <v>See Schedule 2</v>
      </c>
      <c r="M100" s="52" t="str">
        <f t="shared" si="7"/>
        <v>See Schedule 2</v>
      </c>
      <c r="N100" s="52" t="str">
        <f t="shared" si="7"/>
        <v>See Schedule 2</v>
      </c>
      <c r="O100" s="52" t="str">
        <f t="shared" si="7"/>
        <v>See Schedule 2</v>
      </c>
      <c r="P100" s="52" t="str">
        <f t="shared" si="7"/>
        <v>See Schedule 2</v>
      </c>
    </row>
    <row r="101" spans="1:16" ht="14.4" x14ac:dyDescent="0.3">
      <c r="A101" s="18" t="s">
        <v>28</v>
      </c>
      <c r="B101" s="18"/>
      <c r="C101" s="16" t="s">
        <v>23</v>
      </c>
      <c r="D101" s="23">
        <v>0</v>
      </c>
      <c r="E101" s="23">
        <v>0</v>
      </c>
      <c r="F101" s="23">
        <v>0</v>
      </c>
      <c r="G101" s="23">
        <v>0</v>
      </c>
      <c r="H101" s="23">
        <v>0</v>
      </c>
      <c r="I101" s="23">
        <v>0</v>
      </c>
      <c r="J101" s="23">
        <v>0</v>
      </c>
      <c r="K101" s="23">
        <v>0</v>
      </c>
      <c r="L101" s="23">
        <v>0</v>
      </c>
      <c r="M101" s="23">
        <v>0</v>
      </c>
      <c r="N101" s="23">
        <v>0</v>
      </c>
      <c r="O101" s="23">
        <v>0</v>
      </c>
      <c r="P101" s="23">
        <v>0</v>
      </c>
    </row>
    <row r="102" spans="1:16" ht="14.4" x14ac:dyDescent="0.3">
      <c r="A102" s="14" t="s">
        <v>29</v>
      </c>
      <c r="B102" s="14"/>
      <c r="C102" s="16"/>
      <c r="D102" s="24"/>
      <c r="E102" s="24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</row>
    <row r="103" spans="1:16" ht="14.4" x14ac:dyDescent="0.3">
      <c r="A103" s="18" t="s">
        <v>30</v>
      </c>
      <c r="B103" s="18"/>
      <c r="C103" s="16" t="s">
        <v>19</v>
      </c>
      <c r="D103" s="20">
        <v>0.50849999999999995</v>
      </c>
      <c r="E103" s="20">
        <v>0.50849999999999995</v>
      </c>
      <c r="F103" s="20">
        <v>0.50849999999999995</v>
      </c>
      <c r="G103" s="20">
        <v>0.50849999999999995</v>
      </c>
      <c r="H103" s="20">
        <v>0.50849999999999995</v>
      </c>
      <c r="I103" s="20">
        <v>0.50849999999999995</v>
      </c>
      <c r="J103" s="20">
        <v>0.50849999999999995</v>
      </c>
      <c r="K103" s="20">
        <v>0.50849999999999995</v>
      </c>
      <c r="L103" s="20">
        <v>0.50849999999999995</v>
      </c>
      <c r="M103" s="20">
        <v>0.50849999999999995</v>
      </c>
      <c r="N103" s="20">
        <v>0.50849999999999995</v>
      </c>
      <c r="O103" s="20">
        <v>0.50849999999999995</v>
      </c>
      <c r="P103" s="20">
        <v>0.50849999999999995</v>
      </c>
    </row>
    <row r="104" spans="1:16" ht="14.4" x14ac:dyDescent="0.3">
      <c r="A104" s="18" t="s">
        <v>31</v>
      </c>
      <c r="B104" s="18"/>
      <c r="C104" s="16" t="s">
        <v>32</v>
      </c>
      <c r="D104" s="23">
        <v>16.73</v>
      </c>
      <c r="E104" s="23">
        <v>16.73</v>
      </c>
      <c r="F104" s="23">
        <v>16.73</v>
      </c>
      <c r="G104" s="23">
        <v>16.73</v>
      </c>
      <c r="H104" s="23">
        <v>16.73</v>
      </c>
      <c r="I104" s="23">
        <v>16.73</v>
      </c>
      <c r="J104" s="23">
        <v>16.73</v>
      </c>
      <c r="K104" s="23">
        <v>16.73</v>
      </c>
      <c r="L104" s="23">
        <v>16.73</v>
      </c>
      <c r="M104" s="23">
        <v>16.73</v>
      </c>
      <c r="N104" s="23">
        <v>16.73</v>
      </c>
      <c r="O104" s="23">
        <v>16.73</v>
      </c>
      <c r="P104" s="23">
        <v>16.73</v>
      </c>
    </row>
    <row r="105" spans="1:16" ht="14.4" x14ac:dyDescent="0.3">
      <c r="A105" s="14" t="s">
        <v>33</v>
      </c>
      <c r="B105" s="14"/>
      <c r="C105" s="16"/>
      <c r="D105" s="24"/>
      <c r="E105" s="24"/>
      <c r="F105" s="24"/>
      <c r="G105" s="24"/>
      <c r="H105" s="24"/>
      <c r="I105" s="24"/>
      <c r="J105" s="24"/>
      <c r="K105" s="24"/>
      <c r="L105" s="24"/>
      <c r="M105" s="24"/>
      <c r="N105" s="24"/>
      <c r="O105" s="24"/>
      <c r="P105" s="24"/>
    </row>
    <row r="106" spans="1:16" ht="14.4" x14ac:dyDescent="0.3">
      <c r="A106" s="18" t="s">
        <v>34</v>
      </c>
      <c r="B106" s="18"/>
      <c r="C106" s="16" t="s">
        <v>19</v>
      </c>
      <c r="D106" s="20">
        <v>0.3377</v>
      </c>
      <c r="E106" s="20">
        <v>0.3377</v>
      </c>
      <c r="F106" s="20">
        <v>0.3377</v>
      </c>
      <c r="G106" s="20">
        <v>0.3377</v>
      </c>
      <c r="H106" s="20">
        <v>0.3377</v>
      </c>
      <c r="I106" s="20">
        <v>0.3377</v>
      </c>
      <c r="J106" s="20">
        <v>0.3377</v>
      </c>
      <c r="K106" s="20">
        <v>0.3377</v>
      </c>
      <c r="L106" s="20">
        <v>0.3377</v>
      </c>
      <c r="M106" s="20">
        <v>0.3377</v>
      </c>
      <c r="N106" s="20">
        <v>0.3377</v>
      </c>
      <c r="O106" s="20">
        <v>0.3377</v>
      </c>
      <c r="P106" s="20">
        <v>0.3377</v>
      </c>
    </row>
    <row r="107" spans="1:16" ht="14.4" x14ac:dyDescent="0.3">
      <c r="A107" s="18" t="s">
        <v>35</v>
      </c>
      <c r="B107" s="18"/>
      <c r="C107" s="16" t="s">
        <v>36</v>
      </c>
      <c r="D107" s="23">
        <v>5</v>
      </c>
      <c r="E107" s="23">
        <v>5</v>
      </c>
      <c r="F107" s="23">
        <v>5</v>
      </c>
      <c r="G107" s="23">
        <v>5</v>
      </c>
      <c r="H107" s="23">
        <v>5</v>
      </c>
      <c r="I107" s="23">
        <v>5</v>
      </c>
      <c r="J107" s="23">
        <v>5</v>
      </c>
      <c r="K107" s="23">
        <v>5</v>
      </c>
      <c r="L107" s="23">
        <v>5</v>
      </c>
      <c r="M107" s="23">
        <v>5</v>
      </c>
      <c r="N107" s="23">
        <v>5</v>
      </c>
      <c r="O107" s="23">
        <v>5</v>
      </c>
      <c r="P107" s="23">
        <v>5</v>
      </c>
    </row>
    <row r="108" spans="1:16" ht="14.4" x14ac:dyDescent="0.3">
      <c r="A108" s="14" t="s">
        <v>37</v>
      </c>
      <c r="B108" s="14"/>
      <c r="C108" s="16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</row>
    <row r="109" spans="1:16" ht="14.4" x14ac:dyDescent="0.3">
      <c r="A109" s="25" t="s">
        <v>38</v>
      </c>
      <c r="B109" s="18"/>
      <c r="C109" s="16" t="s">
        <v>19</v>
      </c>
      <c r="D109" s="20">
        <f>[45]LD!E31</f>
        <v>8.8499999999999995E-2</v>
      </c>
      <c r="E109" s="20">
        <f>[45]LD!F31</f>
        <v>8.8999999999999996E-2</v>
      </c>
      <c r="F109" s="20">
        <f>[45]LD!G31</f>
        <v>0.10780000000000001</v>
      </c>
      <c r="G109" s="20">
        <f>[45]LD!H31</f>
        <v>0.1246</v>
      </c>
      <c r="H109" s="20">
        <f>[45]LD!I31</f>
        <v>8.7999999999999995E-2</v>
      </c>
      <c r="I109" s="20">
        <f>[45]LD!J31</f>
        <v>5.9900000000000002E-2</v>
      </c>
      <c r="J109" s="20">
        <f>[45]LD!K31</f>
        <v>4.3099999999999999E-2</v>
      </c>
      <c r="K109" s="20">
        <f>[45]LD!L31</f>
        <v>5.4600000000000003E-2</v>
      </c>
      <c r="L109" s="20">
        <f>[45]LD!M31</f>
        <v>7.3800000000000004E-2</v>
      </c>
      <c r="M109" s="20">
        <f>[45]LD!N31</f>
        <v>7.2999999999999995E-2</v>
      </c>
      <c r="N109" s="20">
        <f>[45]LD!O31</f>
        <v>8.1799999999999998E-2</v>
      </c>
      <c r="O109" s="20">
        <f>[45]LD!P31</f>
        <v>8.5900000000000004E-2</v>
      </c>
      <c r="P109" s="20">
        <f>[45]LD!Q31</f>
        <v>0</v>
      </c>
    </row>
    <row r="110" spans="1:16" ht="14.4" x14ac:dyDescent="0.3">
      <c r="A110" s="25" t="s">
        <v>39</v>
      </c>
      <c r="B110" s="18"/>
      <c r="C110" s="16" t="s">
        <v>19</v>
      </c>
      <c r="D110" s="20">
        <v>0</v>
      </c>
      <c r="E110" s="20">
        <v>0</v>
      </c>
      <c r="F110" s="20">
        <v>0</v>
      </c>
      <c r="G110" s="20">
        <v>0</v>
      </c>
      <c r="H110" s="20">
        <v>0</v>
      </c>
      <c r="I110" s="20">
        <v>0</v>
      </c>
      <c r="J110" s="20">
        <v>0</v>
      </c>
      <c r="K110" s="20">
        <v>0</v>
      </c>
      <c r="L110" s="20">
        <v>0</v>
      </c>
      <c r="M110" s="20">
        <v>0</v>
      </c>
      <c r="N110" s="20">
        <v>0</v>
      </c>
      <c r="O110" s="20">
        <v>0</v>
      </c>
      <c r="P110" s="20">
        <v>0</v>
      </c>
    </row>
    <row r="111" spans="1:16" ht="14.4" x14ac:dyDescent="0.3">
      <c r="A111" s="26" t="s">
        <v>40</v>
      </c>
      <c r="B111" s="18"/>
      <c r="C111" s="16" t="s">
        <v>19</v>
      </c>
      <c r="D111" s="20">
        <f>'[45]SR CIT. SUBSIDY'!E95</f>
        <v>1E-4</v>
      </c>
      <c r="E111" s="20">
        <f>'[45]SR CIT. SUBSIDY'!F95</f>
        <v>1E-4</v>
      </c>
      <c r="F111" s="20">
        <f>'[45]SR CIT. SUBSIDY'!G95</f>
        <v>1E-4</v>
      </c>
      <c r="G111" s="20">
        <f>'[45]SR CIT. SUBSIDY'!H95</f>
        <v>1E-4</v>
      </c>
      <c r="H111" s="20">
        <f>'[45]SR CIT. SUBSIDY'!I95</f>
        <v>1E-4</v>
      </c>
      <c r="I111" s="20">
        <f>'[45]SR CIT. SUBSIDY'!J95</f>
        <v>-2.0000000000000001E-4</v>
      </c>
      <c r="J111" s="20">
        <f>'[45]SR CIT. SUBSIDY'!K95</f>
        <v>-2.0000000000000001E-4</v>
      </c>
      <c r="K111" s="20">
        <f>'[45]SR CIT. SUBSIDY'!L95</f>
        <v>-2.0000000000000001E-4</v>
      </c>
      <c r="L111" s="20">
        <f>'[45]SR CIT. SUBSIDY'!M95</f>
        <v>2.9999999999999997E-4</v>
      </c>
      <c r="M111" s="20">
        <f>'[45]SR CIT. SUBSIDY'!N95</f>
        <v>1E-4</v>
      </c>
      <c r="N111" s="20">
        <f>'[45]SR CIT. SUBSIDY'!O95</f>
        <v>1E-4</v>
      </c>
      <c r="O111" s="20">
        <f>'[45]SR CIT. SUBSIDY'!P95</f>
        <v>1E-4</v>
      </c>
      <c r="P111" s="20">
        <f>'[45]SR CIT. SUBSIDY'!Q95</f>
        <v>0</v>
      </c>
    </row>
    <row r="112" spans="1:16" ht="14.4" x14ac:dyDescent="0.3">
      <c r="A112" s="26" t="s">
        <v>41</v>
      </c>
      <c r="B112" s="18"/>
      <c r="C112" s="16" t="s">
        <v>19</v>
      </c>
      <c r="D112" s="20">
        <v>0</v>
      </c>
      <c r="E112" s="20">
        <v>0</v>
      </c>
      <c r="F112" s="20">
        <v>0</v>
      </c>
      <c r="G112" s="20">
        <v>0</v>
      </c>
      <c r="H112" s="20">
        <v>0</v>
      </c>
      <c r="I112" s="20">
        <v>0</v>
      </c>
      <c r="J112" s="20">
        <v>0</v>
      </c>
      <c r="K112" s="20">
        <v>0</v>
      </c>
      <c r="L112" s="20">
        <v>0</v>
      </c>
      <c r="M112" s="20">
        <v>0</v>
      </c>
      <c r="N112" s="20">
        <v>0</v>
      </c>
      <c r="O112" s="20">
        <v>0</v>
      </c>
      <c r="P112" s="20">
        <v>0</v>
      </c>
    </row>
    <row r="113" spans="1:16" ht="14.4" x14ac:dyDescent="0.3">
      <c r="A113" s="14" t="s">
        <v>42</v>
      </c>
      <c r="B113" s="14"/>
      <c r="C113" s="16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</row>
    <row r="114" spans="1:16" ht="14.4" x14ac:dyDescent="0.3">
      <c r="A114" s="14" t="s">
        <v>43</v>
      </c>
      <c r="B114" s="14"/>
      <c r="C114" s="16" t="s">
        <v>44</v>
      </c>
      <c r="D114" s="27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</row>
    <row r="115" spans="1:16" ht="14.4" x14ac:dyDescent="0.3">
      <c r="A115" s="14" t="s">
        <v>45</v>
      </c>
      <c r="B115" s="14"/>
      <c r="C115" s="16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</row>
    <row r="116" spans="1:16" ht="14.4" x14ac:dyDescent="0.3">
      <c r="A116" s="14" t="s">
        <v>46</v>
      </c>
      <c r="B116" s="14"/>
      <c r="C116" s="16" t="s">
        <v>19</v>
      </c>
      <c r="D116" s="20">
        <v>0</v>
      </c>
      <c r="E116" s="20">
        <v>0</v>
      </c>
      <c r="F116" s="20">
        <v>0</v>
      </c>
      <c r="G116" s="20">
        <v>0</v>
      </c>
      <c r="H116" s="20">
        <v>0</v>
      </c>
      <c r="I116" s="20">
        <v>0</v>
      </c>
      <c r="J116" s="20">
        <v>0</v>
      </c>
      <c r="K116" s="20">
        <v>0</v>
      </c>
      <c r="L116" s="20">
        <v>0</v>
      </c>
      <c r="M116" s="20">
        <v>0</v>
      </c>
      <c r="N116" s="20">
        <v>0</v>
      </c>
      <c r="O116" s="20">
        <v>0</v>
      </c>
      <c r="P116" s="20">
        <v>0</v>
      </c>
    </row>
    <row r="117" spans="1:16" ht="14.4" x14ac:dyDescent="0.3">
      <c r="A117" s="14" t="s">
        <v>47</v>
      </c>
      <c r="B117" s="14"/>
      <c r="C117" s="16"/>
      <c r="D117" s="24"/>
      <c r="E117" s="24"/>
      <c r="F117" s="24"/>
      <c r="G117" s="24"/>
      <c r="H117" s="24"/>
      <c r="I117" s="24"/>
      <c r="J117" s="24"/>
      <c r="K117" s="24"/>
      <c r="L117" s="24"/>
      <c r="M117" s="24"/>
      <c r="N117" s="24"/>
      <c r="O117" s="24"/>
      <c r="P117" s="24"/>
    </row>
    <row r="118" spans="1:16" ht="14.4" x14ac:dyDescent="0.3">
      <c r="A118" s="18" t="s">
        <v>48</v>
      </c>
      <c r="B118" s="18"/>
      <c r="C118" s="16" t="s">
        <v>19</v>
      </c>
      <c r="D118" s="20">
        <f>D76</f>
        <v>0.15609999999999999</v>
      </c>
      <c r="E118" s="20">
        <f t="shared" ref="E118:P122" si="8">E76</f>
        <v>0.15609999999999999</v>
      </c>
      <c r="F118" s="20">
        <f t="shared" si="8"/>
        <v>0.15609999999999999</v>
      </c>
      <c r="G118" s="20">
        <f t="shared" si="8"/>
        <v>0.15609999999999999</v>
      </c>
      <c r="H118" s="20">
        <f t="shared" si="8"/>
        <v>0.15609999999999999</v>
      </c>
      <c r="I118" s="20">
        <f t="shared" si="8"/>
        <v>0.15609999999999999</v>
      </c>
      <c r="J118" s="20">
        <f t="shared" si="8"/>
        <v>0.15609999999999999</v>
      </c>
      <c r="K118" s="20">
        <f t="shared" si="8"/>
        <v>0.15609999999999999</v>
      </c>
      <c r="L118" s="20">
        <f t="shared" si="8"/>
        <v>0.15609999999999999</v>
      </c>
      <c r="M118" s="20">
        <f t="shared" si="8"/>
        <v>0.15609999999999999</v>
      </c>
      <c r="N118" s="20">
        <f t="shared" si="8"/>
        <v>0.15609999999999999</v>
      </c>
      <c r="O118" s="20">
        <f t="shared" si="8"/>
        <v>0.15609999999999999</v>
      </c>
      <c r="P118" s="20">
        <f t="shared" si="8"/>
        <v>0.15609999999999999</v>
      </c>
    </row>
    <row r="119" spans="1:16" ht="14.4" x14ac:dyDescent="0.3">
      <c r="A119" s="18" t="s">
        <v>49</v>
      </c>
      <c r="B119" s="18"/>
      <c r="C119" s="16" t="s">
        <v>19</v>
      </c>
      <c r="D119" s="20">
        <f>D77</f>
        <v>2.5000000000000001E-3</v>
      </c>
      <c r="E119" s="20">
        <f t="shared" si="8"/>
        <v>2.5000000000000001E-3</v>
      </c>
      <c r="F119" s="20">
        <f t="shared" si="8"/>
        <v>2.5000000000000001E-3</v>
      </c>
      <c r="G119" s="20">
        <f t="shared" si="8"/>
        <v>2.5000000000000001E-3</v>
      </c>
      <c r="H119" s="20">
        <f t="shared" si="8"/>
        <v>2.5000000000000001E-3</v>
      </c>
      <c r="I119" s="20">
        <f t="shared" si="8"/>
        <v>2.5000000000000001E-3</v>
      </c>
      <c r="J119" s="20">
        <f t="shared" si="8"/>
        <v>2.5000000000000001E-3</v>
      </c>
      <c r="K119" s="20">
        <f t="shared" si="8"/>
        <v>2.5000000000000001E-3</v>
      </c>
      <c r="L119" s="20">
        <f t="shared" si="8"/>
        <v>2.5000000000000001E-3</v>
      </c>
      <c r="M119" s="20">
        <f t="shared" si="8"/>
        <v>2.5000000000000001E-3</v>
      </c>
      <c r="N119" s="20">
        <f t="shared" si="8"/>
        <v>2.5000000000000001E-3</v>
      </c>
      <c r="O119" s="20">
        <f t="shared" si="8"/>
        <v>2.5000000000000001E-3</v>
      </c>
      <c r="P119" s="20">
        <f t="shared" si="8"/>
        <v>2.5000000000000001E-3</v>
      </c>
    </row>
    <row r="120" spans="1:16" ht="14.4" x14ac:dyDescent="0.3">
      <c r="A120" s="18" t="s">
        <v>111</v>
      </c>
      <c r="B120" s="18"/>
      <c r="C120" s="16" t="s">
        <v>19</v>
      </c>
      <c r="D120" s="20">
        <f>D78</f>
        <v>0.1938</v>
      </c>
      <c r="E120" s="20">
        <f t="shared" si="8"/>
        <v>0.1938</v>
      </c>
      <c r="F120" s="20">
        <f t="shared" si="8"/>
        <v>0.1938</v>
      </c>
      <c r="G120" s="20">
        <f t="shared" si="8"/>
        <v>0.1938</v>
      </c>
      <c r="H120" s="20">
        <f t="shared" si="8"/>
        <v>0.1938</v>
      </c>
      <c r="I120" s="20">
        <f t="shared" si="8"/>
        <v>0.1938</v>
      </c>
      <c r="J120" s="20">
        <f t="shared" si="8"/>
        <v>0.1938</v>
      </c>
      <c r="K120" s="20">
        <f t="shared" si="8"/>
        <v>0.1938</v>
      </c>
      <c r="L120" s="20">
        <f t="shared" si="8"/>
        <v>0.1938</v>
      </c>
      <c r="M120" s="20">
        <f t="shared" si="8"/>
        <v>0.1938</v>
      </c>
      <c r="N120" s="20">
        <f t="shared" si="8"/>
        <v>0.1938</v>
      </c>
      <c r="O120" s="20">
        <f t="shared" si="8"/>
        <v>0.1938</v>
      </c>
      <c r="P120" s="20">
        <f t="shared" si="8"/>
        <v>0.1938</v>
      </c>
    </row>
    <row r="121" spans="1:16" ht="14.4" x14ac:dyDescent="0.3">
      <c r="A121" s="18" t="s">
        <v>112</v>
      </c>
      <c r="B121" s="18"/>
      <c r="C121" s="16" t="s">
        <v>19</v>
      </c>
      <c r="D121" s="42">
        <f>D79</f>
        <v>0</v>
      </c>
      <c r="E121" s="42">
        <f t="shared" si="8"/>
        <v>0</v>
      </c>
      <c r="F121" s="42">
        <f t="shared" si="8"/>
        <v>0</v>
      </c>
      <c r="G121" s="42">
        <f t="shared" si="8"/>
        <v>0</v>
      </c>
      <c r="H121" s="42">
        <f t="shared" si="8"/>
        <v>0</v>
      </c>
      <c r="I121" s="42">
        <f t="shared" si="8"/>
        <v>0</v>
      </c>
      <c r="J121" s="42">
        <f t="shared" si="8"/>
        <v>0</v>
      </c>
      <c r="K121" s="42">
        <f t="shared" si="8"/>
        <v>2.6499999999999999E-2</v>
      </c>
      <c r="L121" s="42">
        <f t="shared" si="8"/>
        <v>2.6499999999999999E-2</v>
      </c>
      <c r="M121" s="42">
        <f t="shared" si="8"/>
        <v>2.6499999999999999E-2</v>
      </c>
      <c r="N121" s="42">
        <f t="shared" si="8"/>
        <v>2.6499999999999999E-2</v>
      </c>
      <c r="O121" s="42">
        <f t="shared" si="8"/>
        <v>2.6499999999999999E-2</v>
      </c>
      <c r="P121" s="42">
        <f t="shared" si="8"/>
        <v>2.6499999999999999E-2</v>
      </c>
    </row>
    <row r="122" spans="1:16" ht="14.4" x14ac:dyDescent="0.3">
      <c r="A122" s="14" t="s">
        <v>51</v>
      </c>
      <c r="B122" s="14"/>
      <c r="C122" s="16" t="s">
        <v>19</v>
      </c>
      <c r="D122" s="20">
        <f>D80</f>
        <v>0.124</v>
      </c>
      <c r="E122" s="20">
        <f t="shared" si="8"/>
        <v>0.124</v>
      </c>
      <c r="F122" s="20">
        <f t="shared" si="8"/>
        <v>0.124</v>
      </c>
      <c r="G122" s="20">
        <f t="shared" si="8"/>
        <v>0.124</v>
      </c>
      <c r="H122" s="20">
        <f t="shared" si="8"/>
        <v>0.124</v>
      </c>
      <c r="I122" s="20">
        <f t="shared" si="8"/>
        <v>0.183</v>
      </c>
      <c r="J122" s="20">
        <f t="shared" si="8"/>
        <v>0.183</v>
      </c>
      <c r="K122" s="20">
        <f t="shared" si="8"/>
        <v>0.183</v>
      </c>
      <c r="L122" s="20">
        <f t="shared" si="8"/>
        <v>0.183</v>
      </c>
      <c r="M122" s="20">
        <f t="shared" si="8"/>
        <v>0.183</v>
      </c>
      <c r="N122" s="20">
        <f t="shared" si="8"/>
        <v>0.183</v>
      </c>
      <c r="O122" s="20">
        <f t="shared" si="8"/>
        <v>0.183</v>
      </c>
      <c r="P122" s="20">
        <f t="shared" si="8"/>
        <v>0.183</v>
      </c>
    </row>
    <row r="123" spans="1:16" ht="14.4" x14ac:dyDescent="0.3">
      <c r="A123" s="14" t="s">
        <v>52</v>
      </c>
      <c r="B123" s="14"/>
      <c r="C123" s="29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</row>
    <row r="124" spans="1:16" ht="14.4" x14ac:dyDescent="0.3">
      <c r="A124" s="18" t="s">
        <v>53</v>
      </c>
      <c r="B124" s="18"/>
      <c r="C124" s="16" t="s">
        <v>44</v>
      </c>
      <c r="D124" s="27">
        <f>'[45]DU VAT'!D18</f>
        <v>0.10979999999999999</v>
      </c>
      <c r="E124" s="27">
        <f>'[45]DU VAT'!E18</f>
        <v>0.1118</v>
      </c>
      <c r="F124" s="27">
        <f>'[45]DU VAT'!F18</f>
        <v>0.10390000000000001</v>
      </c>
      <c r="G124" s="27">
        <f>'[45]DU VAT'!G18</f>
        <v>0.1095</v>
      </c>
      <c r="H124" s="27">
        <f>'[45]DU VAT'!H18</f>
        <v>0.1061</v>
      </c>
      <c r="I124" s="27">
        <f>'[45]DU VAT'!I18</f>
        <v>0.1137</v>
      </c>
      <c r="J124" s="27">
        <f>'[45]DU VAT'!J18</f>
        <v>0.1135</v>
      </c>
      <c r="K124" s="27">
        <f>'[45]DU VAT'!K18</f>
        <v>0.1162</v>
      </c>
      <c r="L124" s="27">
        <f>'[45]DU VAT'!L18</f>
        <v>0.1128</v>
      </c>
      <c r="M124" s="27">
        <f>'[45]DU VAT'!M18</f>
        <v>0.112</v>
      </c>
      <c r="N124" s="27">
        <f>'[45]DU VAT'!N18</f>
        <v>0.11219999999999999</v>
      </c>
      <c r="O124" s="27">
        <f>'[45]DU VAT'!O18</f>
        <v>0.1149</v>
      </c>
      <c r="P124" s="27" t="e">
        <f>'[45]DU VAT'!P18</f>
        <v>#DIV/0!</v>
      </c>
    </row>
    <row r="125" spans="1:16" ht="14.4" x14ac:dyDescent="0.3">
      <c r="A125" s="18" t="s">
        <v>54</v>
      </c>
      <c r="B125" s="18"/>
      <c r="C125" s="16" t="s">
        <v>44</v>
      </c>
      <c r="D125" s="27">
        <f>'[45]DU VAT'!D26</f>
        <v>5.5999999999999999E-3</v>
      </c>
      <c r="E125" s="27">
        <f>'[45]DU VAT'!E26</f>
        <v>6.3E-3</v>
      </c>
      <c r="F125" s="27">
        <f>'[45]DU VAT'!F26</f>
        <v>4.0000000000000001E-3</v>
      </c>
      <c r="G125" s="27">
        <f>'[45]DU VAT'!G26</f>
        <v>6.7999999999999996E-3</v>
      </c>
      <c r="H125" s="27">
        <f>'[45]DU VAT'!H26</f>
        <v>2.2700000000000001E-2</v>
      </c>
      <c r="I125" s="27">
        <f>'[45]DU VAT'!I26</f>
        <v>2.0400000000000001E-2</v>
      </c>
      <c r="J125" s="27">
        <f>'[45]DU VAT'!J26</f>
        <v>1.6799999999999999E-2</v>
      </c>
      <c r="K125" s="27">
        <f>'[45]DU VAT'!K26</f>
        <v>1.8200000000000001E-2</v>
      </c>
      <c r="L125" s="27">
        <f>'[45]DU VAT'!L26</f>
        <v>8.8999999999999999E-3</v>
      </c>
      <c r="M125" s="27">
        <f>'[45]DU VAT'!M26</f>
        <v>3.5999999999999999E-3</v>
      </c>
      <c r="N125" s="27">
        <f>'[45]DU VAT'!N26</f>
        <v>1.5599999999999999E-2</v>
      </c>
      <c r="O125" s="27">
        <f>'[45]DU VAT'!O26</f>
        <v>5.7999999999999996E-3</v>
      </c>
      <c r="P125" s="27" t="e">
        <f>'[45]DU VAT'!P26</f>
        <v>#DIV/0!</v>
      </c>
    </row>
    <row r="126" spans="1:16" ht="14.4" x14ac:dyDescent="0.3">
      <c r="A126" s="18" t="s">
        <v>55</v>
      </c>
      <c r="B126" s="18"/>
      <c r="C126" s="16" t="s">
        <v>44</v>
      </c>
      <c r="D126" s="27">
        <f>'[45]DU VAT'!D34</f>
        <v>9.1899999999999996E-2</v>
      </c>
      <c r="E126" s="27">
        <f>'[45]DU VAT'!E34</f>
        <v>9.3200000000000005E-2</v>
      </c>
      <c r="F126" s="27">
        <f>'[45]DU VAT'!F34</f>
        <v>8.8800000000000004E-2</v>
      </c>
      <c r="G126" s="27">
        <f>'[45]DU VAT'!G34</f>
        <v>9.4799999999999995E-2</v>
      </c>
      <c r="H126" s="27">
        <f>'[45]DU VAT'!H34</f>
        <v>9.3799999999999994E-2</v>
      </c>
      <c r="I126" s="27">
        <f>'[45]DU VAT'!I34</f>
        <v>9.9400000000000002E-2</v>
      </c>
      <c r="J126" s="27">
        <f>'[45]DU VAT'!J34</f>
        <v>9.9199999999999997E-2</v>
      </c>
      <c r="K126" s="27">
        <f>'[45]DU VAT'!K34</f>
        <v>0.1007</v>
      </c>
      <c r="L126" s="27">
        <f>'[45]DU VAT'!L34</f>
        <v>9.9000000000000005E-2</v>
      </c>
      <c r="M126" s="27">
        <f>'[45]DU VAT'!M34</f>
        <v>9.8699999999999996E-2</v>
      </c>
      <c r="N126" s="27">
        <f>'[45]DU VAT'!N34</f>
        <v>9.9299999999999999E-2</v>
      </c>
      <c r="O126" s="27">
        <f>'[45]DU VAT'!O34</f>
        <v>9.9900000000000003E-2</v>
      </c>
      <c r="P126" s="27" t="e">
        <f>'[45]DU VAT'!P34</f>
        <v>#DIV/0!</v>
      </c>
    </row>
    <row r="127" spans="1:16" ht="14.4" x14ac:dyDescent="0.3">
      <c r="A127" s="18" t="s">
        <v>56</v>
      </c>
      <c r="B127" s="18"/>
      <c r="C127" s="16" t="s">
        <v>44</v>
      </c>
      <c r="D127" s="27">
        <f>D85</f>
        <v>0.12</v>
      </c>
      <c r="E127" s="27">
        <f t="shared" ref="E127:P128" si="9">E85</f>
        <v>0.12</v>
      </c>
      <c r="F127" s="27">
        <f t="shared" si="9"/>
        <v>0.12</v>
      </c>
      <c r="G127" s="27">
        <f t="shared" si="9"/>
        <v>0.12</v>
      </c>
      <c r="H127" s="27">
        <f t="shared" si="9"/>
        <v>0.12</v>
      </c>
      <c r="I127" s="27">
        <f t="shared" si="9"/>
        <v>0.12</v>
      </c>
      <c r="J127" s="27">
        <f t="shared" si="9"/>
        <v>0.12</v>
      </c>
      <c r="K127" s="27">
        <f t="shared" si="9"/>
        <v>0.12</v>
      </c>
      <c r="L127" s="27">
        <f t="shared" si="9"/>
        <v>0.12</v>
      </c>
      <c r="M127" s="27">
        <f t="shared" si="9"/>
        <v>0.12</v>
      </c>
      <c r="N127" s="27">
        <f t="shared" si="9"/>
        <v>0.12</v>
      </c>
      <c r="O127" s="27">
        <f t="shared" si="9"/>
        <v>0.12</v>
      </c>
      <c r="P127" s="27">
        <f t="shared" si="9"/>
        <v>0.12</v>
      </c>
    </row>
    <row r="128" spans="1:16" ht="14.4" x14ac:dyDescent="0.3">
      <c r="A128" s="18" t="s">
        <v>57</v>
      </c>
      <c r="B128" s="18"/>
      <c r="C128" s="16" t="s">
        <v>44</v>
      </c>
      <c r="D128" s="27">
        <f>D86</f>
        <v>0.12</v>
      </c>
      <c r="E128" s="27">
        <f t="shared" si="9"/>
        <v>0.12</v>
      </c>
      <c r="F128" s="27">
        <f t="shared" si="9"/>
        <v>0.12</v>
      </c>
      <c r="G128" s="27">
        <f t="shared" si="9"/>
        <v>0.12</v>
      </c>
      <c r="H128" s="27">
        <f t="shared" si="9"/>
        <v>0.12</v>
      </c>
      <c r="I128" s="27">
        <f t="shared" si="9"/>
        <v>0.12</v>
      </c>
      <c r="J128" s="27">
        <f t="shared" si="9"/>
        <v>0.12</v>
      </c>
      <c r="K128" s="27">
        <f t="shared" si="9"/>
        <v>0.12</v>
      </c>
      <c r="L128" s="27">
        <f t="shared" si="9"/>
        <v>0.12</v>
      </c>
      <c r="M128" s="27">
        <f t="shared" si="9"/>
        <v>0.12</v>
      </c>
      <c r="N128" s="27">
        <f t="shared" si="9"/>
        <v>0.12</v>
      </c>
      <c r="O128" s="27">
        <f t="shared" si="9"/>
        <v>0.12</v>
      </c>
      <c r="P128" s="27">
        <f t="shared" si="9"/>
        <v>0.12</v>
      </c>
    </row>
    <row r="130" spans="1:16" x14ac:dyDescent="0.3">
      <c r="A130" s="3" t="s">
        <v>58</v>
      </c>
    </row>
    <row r="131" spans="1:16" x14ac:dyDescent="0.3">
      <c r="A131" s="33"/>
    </row>
    <row r="132" spans="1:16" ht="18" x14ac:dyDescent="0.35">
      <c r="A132" s="9" t="str">
        <f>'[45]Statistical data'!A164</f>
        <v>GHMSCI</v>
      </c>
      <c r="B132" s="9"/>
      <c r="C132" s="5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</row>
    <row r="133" spans="1:16" s="13" customFormat="1" ht="14.4" x14ac:dyDescent="0.3">
      <c r="A133" s="11" t="s">
        <v>3</v>
      </c>
      <c r="B133" s="11"/>
      <c r="C133" s="11" t="s">
        <v>4</v>
      </c>
      <c r="D133" s="12" t="str">
        <f>D91</f>
        <v>JAN</v>
      </c>
      <c r="E133" s="12" t="str">
        <f t="shared" ref="E133:P133" si="10">E91</f>
        <v>FEB</v>
      </c>
      <c r="F133" s="12" t="str">
        <f t="shared" si="10"/>
        <v>MAR</v>
      </c>
      <c r="G133" s="12" t="str">
        <f t="shared" si="10"/>
        <v>APR</v>
      </c>
      <c r="H133" s="12" t="str">
        <f t="shared" si="10"/>
        <v>MAY</v>
      </c>
      <c r="I133" s="12" t="str">
        <f t="shared" si="10"/>
        <v>JUN</v>
      </c>
      <c r="J133" s="12" t="str">
        <f t="shared" si="10"/>
        <v>JUL</v>
      </c>
      <c r="K133" s="12" t="str">
        <f t="shared" si="10"/>
        <v>AUG</v>
      </c>
      <c r="L133" s="12" t="str">
        <f t="shared" si="10"/>
        <v>SEP</v>
      </c>
      <c r="M133" s="12" t="str">
        <f t="shared" si="10"/>
        <v>OCT</v>
      </c>
      <c r="N133" s="12" t="str">
        <f t="shared" si="10"/>
        <v>NOV</v>
      </c>
      <c r="O133" s="12" t="str">
        <f t="shared" si="10"/>
        <v>DEC</v>
      </c>
      <c r="P133" s="12" t="str">
        <f t="shared" si="10"/>
        <v>JAN</v>
      </c>
    </row>
    <row r="134" spans="1:16" ht="14.4" x14ac:dyDescent="0.3">
      <c r="A134" s="14" t="s">
        <v>17</v>
      </c>
      <c r="B134" s="15"/>
      <c r="C134" s="16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</row>
    <row r="135" spans="1:16" ht="14.4" x14ac:dyDescent="0.3">
      <c r="A135" s="18" t="s">
        <v>18</v>
      </c>
      <c r="B135" s="19"/>
      <c r="C135" s="16" t="s">
        <v>19</v>
      </c>
      <c r="D135" s="20">
        <f>[45]GR!D25</f>
        <v>3.7</v>
      </c>
      <c r="E135" s="20">
        <f>[45]GR!E25</f>
        <v>4.3212000000000002</v>
      </c>
      <c r="F135" s="20">
        <f>[45]GR!F25</f>
        <v>4.9013999999999998</v>
      </c>
      <c r="G135" s="20">
        <f>[45]GR!G25</f>
        <v>5.0964999999999998</v>
      </c>
      <c r="H135" s="20">
        <f>[45]GR!H25</f>
        <v>4.8838999999999997</v>
      </c>
      <c r="I135" s="20">
        <f>[45]GR!I25</f>
        <v>3.8586</v>
      </c>
      <c r="J135" s="20">
        <f>[45]GR!J25</f>
        <v>3.9384999999999999</v>
      </c>
      <c r="K135" s="20">
        <f>[45]GR!K25</f>
        <v>3.9763000000000002</v>
      </c>
      <c r="L135" s="20">
        <f>[45]GR!L25</f>
        <v>4.5377999999999998</v>
      </c>
      <c r="M135" s="20">
        <f>[45]GR!M25</f>
        <v>4.7154999999999996</v>
      </c>
      <c r="N135" s="20">
        <f>[45]GR!N25</f>
        <v>4.9080000000000004</v>
      </c>
      <c r="O135" s="20">
        <f>[45]GR!O25</f>
        <v>4.6044999999999998</v>
      </c>
      <c r="P135" s="20" t="e">
        <f>[45]GR!P25</f>
        <v>#DIV/0!</v>
      </c>
    </row>
    <row r="136" spans="1:16" ht="14.4" x14ac:dyDescent="0.3">
      <c r="A136" s="14" t="s">
        <v>20</v>
      </c>
      <c r="B136" s="15"/>
      <c r="C136" s="16"/>
      <c r="D136" s="53"/>
      <c r="E136" s="53"/>
      <c r="F136" s="53"/>
      <c r="G136" s="53"/>
      <c r="H136" s="53"/>
      <c r="I136" s="53"/>
      <c r="J136" s="53"/>
      <c r="K136" s="53"/>
      <c r="L136" s="53"/>
      <c r="M136" s="53"/>
      <c r="N136" s="53"/>
      <c r="O136" s="53"/>
      <c r="P136" s="53"/>
    </row>
    <row r="137" spans="1:16" ht="14.4" x14ac:dyDescent="0.3">
      <c r="A137" s="18" t="s">
        <v>21</v>
      </c>
      <c r="B137" s="19"/>
      <c r="C137" s="16" t="s">
        <v>19</v>
      </c>
      <c r="D137" s="20">
        <f>[45]TR!D65</f>
        <v>0.86650000000000005</v>
      </c>
      <c r="E137" s="20">
        <f>[45]TR!E65</f>
        <v>1.0361</v>
      </c>
      <c r="F137" s="20">
        <f>[45]TR!F65</f>
        <v>0.94910000000000005</v>
      </c>
      <c r="G137" s="20">
        <f>[45]TR!G65</f>
        <v>1.0142</v>
      </c>
      <c r="H137" s="20">
        <f>[45]TR!H65</f>
        <v>0.95330000000000004</v>
      </c>
      <c r="I137" s="20">
        <f>[45]TR!I65</f>
        <v>0.82799999999999996</v>
      </c>
      <c r="J137" s="20">
        <f>[45]TR!J65</f>
        <v>0.80400000000000005</v>
      </c>
      <c r="K137" s="20">
        <f>[45]TR!K65</f>
        <v>0.88529999999999998</v>
      </c>
      <c r="L137" s="20">
        <f>[45]TR!L65</f>
        <v>0.81789999999999996</v>
      </c>
      <c r="M137" s="20">
        <f>[45]TR!M65</f>
        <v>0.74329999999999996</v>
      </c>
      <c r="N137" s="20">
        <f>[45]TR!N65</f>
        <v>0.85289999999999999</v>
      </c>
      <c r="O137" s="20">
        <f>[45]TR!O65</f>
        <v>0.82179999999999997</v>
      </c>
      <c r="P137" s="20">
        <f>[45]TR!P65</f>
        <v>0</v>
      </c>
    </row>
    <row r="138" spans="1:16" ht="14.4" x14ac:dyDescent="0.3">
      <c r="A138" s="18" t="s">
        <v>22</v>
      </c>
      <c r="B138" s="19"/>
      <c r="C138" s="16" t="s">
        <v>23</v>
      </c>
      <c r="D138" s="23">
        <v>0</v>
      </c>
      <c r="E138" s="23">
        <v>0</v>
      </c>
      <c r="F138" s="23">
        <v>0</v>
      </c>
      <c r="G138" s="23">
        <v>0</v>
      </c>
      <c r="H138" s="23">
        <v>0</v>
      </c>
      <c r="I138" s="23">
        <v>0</v>
      </c>
      <c r="J138" s="23">
        <v>0</v>
      </c>
      <c r="K138" s="23">
        <v>0</v>
      </c>
      <c r="L138" s="23">
        <v>0</v>
      </c>
      <c r="M138" s="23">
        <v>0</v>
      </c>
      <c r="N138" s="23">
        <v>0</v>
      </c>
      <c r="O138" s="23">
        <v>0</v>
      </c>
      <c r="P138" s="23">
        <v>0</v>
      </c>
    </row>
    <row r="139" spans="1:16" ht="14.4" x14ac:dyDescent="0.3">
      <c r="A139" s="14" t="s">
        <v>24</v>
      </c>
      <c r="B139" s="15"/>
      <c r="C139" s="16"/>
      <c r="D139" s="53"/>
      <c r="E139" s="53"/>
      <c r="F139" s="53"/>
      <c r="G139" s="53"/>
      <c r="H139" s="53"/>
      <c r="I139" s="53"/>
      <c r="J139" s="53"/>
      <c r="K139" s="53"/>
      <c r="L139" s="53"/>
      <c r="M139" s="53"/>
      <c r="N139" s="53"/>
      <c r="O139" s="53"/>
      <c r="P139" s="53"/>
    </row>
    <row r="140" spans="1:16" ht="14.4" x14ac:dyDescent="0.3">
      <c r="A140" s="18" t="s">
        <v>25</v>
      </c>
      <c r="B140" s="19"/>
      <c r="C140" s="16" t="s">
        <v>19</v>
      </c>
      <c r="D140" s="20">
        <f>[45]SLR!D71</f>
        <v>0.38219999999999998</v>
      </c>
      <c r="E140" s="20">
        <f>[45]SLR!E71</f>
        <v>0.43809999999999999</v>
      </c>
      <c r="F140" s="20">
        <f>[45]SLR!F71</f>
        <v>0.48199999999999998</v>
      </c>
      <c r="G140" s="20">
        <f>[45]SLR!G71</f>
        <v>0.50070000000000003</v>
      </c>
      <c r="H140" s="20">
        <f>[45]SLR!H71</f>
        <v>0.47420000000000001</v>
      </c>
      <c r="I140" s="20">
        <f>[45]SLR!I71</f>
        <v>0.2666</v>
      </c>
      <c r="J140" s="20">
        <f>[45]SLR!J71</f>
        <v>0.27100000000000002</v>
      </c>
      <c r="K140" s="20">
        <f>[45]SLR!K71</f>
        <v>0.27160000000000001</v>
      </c>
      <c r="L140" s="20">
        <f>[45]SLR!L71</f>
        <v>0.53139999999999998</v>
      </c>
      <c r="M140" s="20">
        <f>[45]SLR!M71</f>
        <v>0.44500000000000001</v>
      </c>
      <c r="N140" s="20">
        <f>[45]SLR!N71</f>
        <v>0.46439999999999998</v>
      </c>
      <c r="O140" s="20">
        <f>[45]SLR!O71</f>
        <v>0.43690000000000001</v>
      </c>
      <c r="P140" s="20" t="e">
        <f>[45]SLR!P71</f>
        <v>#DIV/0!</v>
      </c>
    </row>
    <row r="141" spans="1:16" ht="14.4" x14ac:dyDescent="0.3">
      <c r="A141" s="14" t="s">
        <v>26</v>
      </c>
      <c r="B141" s="14"/>
      <c r="C141" s="16"/>
      <c r="D141" s="54"/>
      <c r="E141" s="54"/>
      <c r="F141" s="54"/>
      <c r="G141" s="54"/>
      <c r="H141" s="54"/>
      <c r="I141" s="54"/>
      <c r="J141" s="54"/>
      <c r="K141" s="54"/>
      <c r="L141" s="54"/>
      <c r="M141" s="54"/>
      <c r="N141" s="54"/>
      <c r="O141" s="54"/>
      <c r="P141" s="54"/>
    </row>
    <row r="142" spans="1:16" ht="14.4" x14ac:dyDescent="0.3">
      <c r="A142" s="18" t="s">
        <v>27</v>
      </c>
      <c r="B142" s="18"/>
      <c r="C142" s="16" t="s">
        <v>19</v>
      </c>
      <c r="D142" s="20">
        <v>0.86670000000000003</v>
      </c>
      <c r="E142" s="20">
        <v>0.86670000000000003</v>
      </c>
      <c r="F142" s="20">
        <v>0.86670000000000003</v>
      </c>
      <c r="G142" s="20">
        <v>0.86670000000000003</v>
      </c>
      <c r="H142" s="20">
        <v>0.86670000000000003</v>
      </c>
      <c r="I142" s="20">
        <v>0.86670000000000003</v>
      </c>
      <c r="J142" s="20">
        <v>0.86670000000000003</v>
      </c>
      <c r="K142" s="20">
        <v>0.86670000000000003</v>
      </c>
      <c r="L142" s="20">
        <v>0.86670000000000003</v>
      </c>
      <c r="M142" s="20">
        <v>0.86670000000000003</v>
      </c>
      <c r="N142" s="20">
        <v>0.86670000000000003</v>
      </c>
      <c r="O142" s="20">
        <v>0.86670000000000003</v>
      </c>
      <c r="P142" s="20">
        <v>0.86670000000000003</v>
      </c>
    </row>
    <row r="143" spans="1:16" ht="14.4" x14ac:dyDescent="0.3">
      <c r="A143" s="18" t="s">
        <v>28</v>
      </c>
      <c r="B143" s="18"/>
      <c r="C143" s="16" t="s">
        <v>23</v>
      </c>
      <c r="D143" s="23">
        <v>0</v>
      </c>
      <c r="E143" s="23">
        <v>0</v>
      </c>
      <c r="F143" s="23">
        <v>0</v>
      </c>
      <c r="G143" s="23">
        <v>0</v>
      </c>
      <c r="H143" s="23">
        <v>0</v>
      </c>
      <c r="I143" s="23">
        <v>0</v>
      </c>
      <c r="J143" s="23">
        <v>0</v>
      </c>
      <c r="K143" s="23">
        <v>0</v>
      </c>
      <c r="L143" s="23">
        <v>0</v>
      </c>
      <c r="M143" s="23">
        <v>0</v>
      </c>
      <c r="N143" s="23">
        <v>0</v>
      </c>
      <c r="O143" s="23">
        <v>0</v>
      </c>
      <c r="P143" s="23">
        <v>0</v>
      </c>
    </row>
    <row r="144" spans="1:16" ht="14.4" x14ac:dyDescent="0.3">
      <c r="A144" s="14" t="s">
        <v>29</v>
      </c>
      <c r="B144" s="14"/>
      <c r="C144" s="16"/>
      <c r="D144" s="24"/>
      <c r="E144" s="24"/>
      <c r="F144" s="24"/>
      <c r="G144" s="24"/>
      <c r="H144" s="24"/>
      <c r="I144" s="24"/>
      <c r="J144" s="24"/>
      <c r="K144" s="24"/>
      <c r="L144" s="24"/>
      <c r="M144" s="24"/>
      <c r="N144" s="24"/>
      <c r="O144" s="24"/>
      <c r="P144" s="24"/>
    </row>
    <row r="145" spans="1:16" ht="14.4" x14ac:dyDescent="0.3">
      <c r="A145" s="18" t="s">
        <v>30</v>
      </c>
      <c r="B145" s="18"/>
      <c r="C145" s="16" t="s">
        <v>19</v>
      </c>
      <c r="D145" s="20">
        <v>0</v>
      </c>
      <c r="E145" s="20">
        <v>0</v>
      </c>
      <c r="F145" s="20">
        <v>0</v>
      </c>
      <c r="G145" s="20">
        <v>0</v>
      </c>
      <c r="H145" s="20">
        <v>0</v>
      </c>
      <c r="I145" s="20">
        <v>0</v>
      </c>
      <c r="J145" s="20">
        <v>0</v>
      </c>
      <c r="K145" s="20">
        <v>0</v>
      </c>
      <c r="L145" s="20">
        <v>0</v>
      </c>
      <c r="M145" s="20">
        <v>0</v>
      </c>
      <c r="N145" s="20">
        <v>0</v>
      </c>
      <c r="O145" s="20">
        <v>0</v>
      </c>
      <c r="P145" s="20">
        <v>0</v>
      </c>
    </row>
    <row r="146" spans="1:16" ht="14.4" x14ac:dyDescent="0.3">
      <c r="A146" s="18" t="s">
        <v>31</v>
      </c>
      <c r="B146" s="18"/>
      <c r="C146" s="16" t="s">
        <v>32</v>
      </c>
      <c r="D146" s="23">
        <v>278.58999999999997</v>
      </c>
      <c r="E146" s="23">
        <v>278.58999999999997</v>
      </c>
      <c r="F146" s="23">
        <v>278.58999999999997</v>
      </c>
      <c r="G146" s="23">
        <v>278.58999999999997</v>
      </c>
      <c r="H146" s="23">
        <v>278.58999999999997</v>
      </c>
      <c r="I146" s="23">
        <v>278.58999999999997</v>
      </c>
      <c r="J146" s="23">
        <v>278.58999999999997</v>
      </c>
      <c r="K146" s="23">
        <v>278.58999999999997</v>
      </c>
      <c r="L146" s="23">
        <v>278.58999999999997</v>
      </c>
      <c r="M146" s="23">
        <v>278.58999999999997</v>
      </c>
      <c r="N146" s="23">
        <v>278.58999999999997</v>
      </c>
      <c r="O146" s="23">
        <v>278.58999999999997</v>
      </c>
      <c r="P146" s="23">
        <v>278.58999999999997</v>
      </c>
    </row>
    <row r="147" spans="1:16" ht="14.4" x14ac:dyDescent="0.3">
      <c r="A147" s="14" t="s">
        <v>33</v>
      </c>
      <c r="B147" s="14"/>
      <c r="C147" s="16"/>
      <c r="D147" s="24"/>
      <c r="E147" s="24"/>
      <c r="F147" s="24"/>
      <c r="G147" s="24"/>
      <c r="H147" s="24"/>
      <c r="I147" s="24"/>
      <c r="J147" s="24"/>
      <c r="K147" s="24"/>
      <c r="L147" s="24"/>
      <c r="M147" s="24"/>
      <c r="N147" s="24"/>
      <c r="O147" s="24"/>
      <c r="P147" s="24"/>
    </row>
    <row r="148" spans="1:16" ht="14.4" x14ac:dyDescent="0.3">
      <c r="A148" s="18" t="s">
        <v>34</v>
      </c>
      <c r="B148" s="18"/>
      <c r="C148" s="16" t="s">
        <v>19</v>
      </c>
      <c r="D148" s="20">
        <v>0</v>
      </c>
      <c r="E148" s="20">
        <v>0</v>
      </c>
      <c r="F148" s="20">
        <v>0</v>
      </c>
      <c r="G148" s="20">
        <v>0</v>
      </c>
      <c r="H148" s="20">
        <v>0</v>
      </c>
      <c r="I148" s="20">
        <v>0</v>
      </c>
      <c r="J148" s="20">
        <v>0</v>
      </c>
      <c r="K148" s="20">
        <v>0</v>
      </c>
      <c r="L148" s="20">
        <v>0</v>
      </c>
      <c r="M148" s="20">
        <v>0</v>
      </c>
      <c r="N148" s="20">
        <v>0</v>
      </c>
      <c r="O148" s="20">
        <v>0</v>
      </c>
      <c r="P148" s="20">
        <v>0</v>
      </c>
    </row>
    <row r="149" spans="1:16" ht="14.4" x14ac:dyDescent="0.3">
      <c r="A149" s="18" t="s">
        <v>35</v>
      </c>
      <c r="B149" s="18"/>
      <c r="C149" s="16" t="s">
        <v>36</v>
      </c>
      <c r="D149" s="23">
        <v>278.45999999999998</v>
      </c>
      <c r="E149" s="23">
        <v>278.45999999999998</v>
      </c>
      <c r="F149" s="23">
        <v>278.45999999999998</v>
      </c>
      <c r="G149" s="23">
        <v>278.45999999999998</v>
      </c>
      <c r="H149" s="23">
        <v>278.45999999999998</v>
      </c>
      <c r="I149" s="23">
        <v>278.45999999999998</v>
      </c>
      <c r="J149" s="23">
        <v>278.45999999999998</v>
      </c>
      <c r="K149" s="23">
        <v>278.45999999999998</v>
      </c>
      <c r="L149" s="23">
        <v>278.45999999999998</v>
      </c>
      <c r="M149" s="23">
        <v>278.45999999999998</v>
      </c>
      <c r="N149" s="23">
        <v>278.45999999999998</v>
      </c>
      <c r="O149" s="23">
        <v>278.45999999999998</v>
      </c>
      <c r="P149" s="23">
        <v>278.45999999999998</v>
      </c>
    </row>
    <row r="150" spans="1:16" ht="14.4" x14ac:dyDescent="0.3">
      <c r="A150" s="14" t="s">
        <v>37</v>
      </c>
      <c r="B150" s="14"/>
      <c r="C150" s="16"/>
      <c r="D150" s="24"/>
      <c r="E150" s="24"/>
      <c r="F150" s="24"/>
      <c r="G150" s="24"/>
      <c r="H150" s="24"/>
      <c r="I150" s="24"/>
      <c r="J150" s="24"/>
      <c r="K150" s="24"/>
      <c r="L150" s="24"/>
      <c r="M150" s="24"/>
      <c r="N150" s="24"/>
      <c r="O150" s="24"/>
      <c r="P150" s="24"/>
    </row>
    <row r="151" spans="1:16" ht="14.4" x14ac:dyDescent="0.3">
      <c r="A151" s="25" t="s">
        <v>38</v>
      </c>
      <c r="B151" s="18"/>
      <c r="C151" s="16" t="s">
        <v>19</v>
      </c>
      <c r="D151" s="20">
        <f>[45]LD!E31</f>
        <v>8.8499999999999995E-2</v>
      </c>
      <c r="E151" s="20">
        <f>[45]LD!F31</f>
        <v>8.8999999999999996E-2</v>
      </c>
      <c r="F151" s="20">
        <f>[45]LD!G31</f>
        <v>0.10780000000000001</v>
      </c>
      <c r="G151" s="20">
        <f>[45]LD!H31</f>
        <v>0.1246</v>
      </c>
      <c r="H151" s="20">
        <f>[45]LD!I31</f>
        <v>8.7999999999999995E-2</v>
      </c>
      <c r="I151" s="20">
        <f>[45]LD!J31</f>
        <v>5.9900000000000002E-2</v>
      </c>
      <c r="J151" s="20">
        <f>[45]LD!K31</f>
        <v>4.3099999999999999E-2</v>
      </c>
      <c r="K151" s="20">
        <f>[45]LD!L31</f>
        <v>5.4600000000000003E-2</v>
      </c>
      <c r="L151" s="20">
        <f>[45]LD!M31</f>
        <v>7.3800000000000004E-2</v>
      </c>
      <c r="M151" s="20">
        <f>[45]LD!N31</f>
        <v>7.2999999999999995E-2</v>
      </c>
      <c r="N151" s="20">
        <f>[45]LD!O31</f>
        <v>8.1799999999999998E-2</v>
      </c>
      <c r="O151" s="20">
        <f>[45]LD!P31</f>
        <v>8.5900000000000004E-2</v>
      </c>
      <c r="P151" s="20">
        <f>[45]LD!Q31</f>
        <v>0</v>
      </c>
    </row>
    <row r="152" spans="1:16" ht="14.4" x14ac:dyDescent="0.3">
      <c r="A152" s="25" t="s">
        <v>39</v>
      </c>
      <c r="B152" s="18"/>
      <c r="C152" s="16" t="s">
        <v>19</v>
      </c>
      <c r="D152" s="20">
        <v>0</v>
      </c>
      <c r="E152" s="20">
        <v>0</v>
      </c>
      <c r="F152" s="20">
        <v>0</v>
      </c>
      <c r="G152" s="20">
        <v>0</v>
      </c>
      <c r="H152" s="20">
        <v>0</v>
      </c>
      <c r="I152" s="20">
        <v>0</v>
      </c>
      <c r="J152" s="20">
        <v>0</v>
      </c>
      <c r="K152" s="20">
        <v>0</v>
      </c>
      <c r="L152" s="20">
        <v>0</v>
      </c>
      <c r="M152" s="20">
        <v>0</v>
      </c>
      <c r="N152" s="20">
        <v>0</v>
      </c>
      <c r="O152" s="20">
        <v>0</v>
      </c>
      <c r="P152" s="20">
        <v>0</v>
      </c>
    </row>
    <row r="153" spans="1:16" ht="14.4" x14ac:dyDescent="0.3">
      <c r="A153" s="26" t="s">
        <v>40</v>
      </c>
      <c r="B153" s="18"/>
      <c r="C153" s="16" t="s">
        <v>19</v>
      </c>
      <c r="D153" s="20">
        <f>'[45]SR CIT. SUBSIDY'!E95</f>
        <v>1E-4</v>
      </c>
      <c r="E153" s="20">
        <f>'[45]SR CIT. SUBSIDY'!F95</f>
        <v>1E-4</v>
      </c>
      <c r="F153" s="20">
        <f>'[45]SR CIT. SUBSIDY'!G95</f>
        <v>1E-4</v>
      </c>
      <c r="G153" s="20">
        <f>'[45]SR CIT. SUBSIDY'!H95</f>
        <v>1E-4</v>
      </c>
      <c r="H153" s="20">
        <f>'[45]SR CIT. SUBSIDY'!I95</f>
        <v>1E-4</v>
      </c>
      <c r="I153" s="20">
        <f>'[45]SR CIT. SUBSIDY'!J95</f>
        <v>-2.0000000000000001E-4</v>
      </c>
      <c r="J153" s="20">
        <f>'[45]SR CIT. SUBSIDY'!K95</f>
        <v>-2.0000000000000001E-4</v>
      </c>
      <c r="K153" s="20">
        <f>'[45]SR CIT. SUBSIDY'!L95</f>
        <v>-2.0000000000000001E-4</v>
      </c>
      <c r="L153" s="20">
        <f>'[45]SR CIT. SUBSIDY'!M95</f>
        <v>2.9999999999999997E-4</v>
      </c>
      <c r="M153" s="20">
        <f>'[45]SR CIT. SUBSIDY'!N95</f>
        <v>1E-4</v>
      </c>
      <c r="N153" s="20">
        <f>'[45]SR CIT. SUBSIDY'!O95</f>
        <v>1E-4</v>
      </c>
      <c r="O153" s="20">
        <f>'[45]SR CIT. SUBSIDY'!P95</f>
        <v>1E-4</v>
      </c>
      <c r="P153" s="20">
        <f>'[45]SR CIT. SUBSIDY'!Q95</f>
        <v>0</v>
      </c>
    </row>
    <row r="154" spans="1:16" ht="14.4" x14ac:dyDescent="0.3">
      <c r="A154" s="26" t="s">
        <v>41</v>
      </c>
      <c r="B154" s="18"/>
      <c r="C154" s="16" t="s">
        <v>19</v>
      </c>
      <c r="D154" s="20">
        <v>0</v>
      </c>
      <c r="E154" s="20">
        <v>0</v>
      </c>
      <c r="F154" s="20">
        <v>0</v>
      </c>
      <c r="G154" s="20">
        <v>0</v>
      </c>
      <c r="H154" s="20">
        <v>0</v>
      </c>
      <c r="I154" s="20">
        <v>0</v>
      </c>
      <c r="J154" s="20">
        <v>0</v>
      </c>
      <c r="K154" s="20">
        <v>0</v>
      </c>
      <c r="L154" s="20">
        <v>0</v>
      </c>
      <c r="M154" s="20">
        <v>0</v>
      </c>
      <c r="N154" s="20">
        <v>0</v>
      </c>
      <c r="O154" s="20">
        <v>0</v>
      </c>
      <c r="P154" s="20">
        <v>0</v>
      </c>
    </row>
    <row r="155" spans="1:16" ht="14.4" x14ac:dyDescent="0.3">
      <c r="A155" s="14" t="s">
        <v>42</v>
      </c>
      <c r="B155" s="14"/>
      <c r="C155" s="16"/>
      <c r="D155" s="24"/>
      <c r="E155" s="24"/>
      <c r="F155" s="24"/>
      <c r="G155" s="24"/>
      <c r="H155" s="24"/>
      <c r="I155" s="24"/>
      <c r="J155" s="24"/>
      <c r="K155" s="24"/>
      <c r="L155" s="24"/>
      <c r="M155" s="24"/>
      <c r="N155" s="24"/>
      <c r="O155" s="24"/>
      <c r="P155" s="24"/>
    </row>
    <row r="156" spans="1:16" ht="14.4" x14ac:dyDescent="0.3">
      <c r="A156" s="14" t="s">
        <v>43</v>
      </c>
      <c r="B156" s="14"/>
      <c r="C156" s="16" t="s">
        <v>44</v>
      </c>
      <c r="D156" s="27"/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</row>
    <row r="157" spans="1:16" ht="14.4" x14ac:dyDescent="0.3">
      <c r="A157" s="14" t="s">
        <v>45</v>
      </c>
      <c r="B157" s="14"/>
      <c r="C157" s="16"/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</row>
    <row r="158" spans="1:16" ht="14.4" x14ac:dyDescent="0.3">
      <c r="A158" s="14" t="s">
        <v>46</v>
      </c>
      <c r="B158" s="14"/>
      <c r="C158" s="16" t="s">
        <v>19</v>
      </c>
      <c r="D158" s="20">
        <v>0</v>
      </c>
      <c r="E158" s="20">
        <v>0</v>
      </c>
      <c r="F158" s="20">
        <v>0</v>
      </c>
      <c r="G158" s="20">
        <v>0</v>
      </c>
      <c r="H158" s="20">
        <v>0</v>
      </c>
      <c r="I158" s="20">
        <v>0</v>
      </c>
      <c r="J158" s="20">
        <v>0</v>
      </c>
      <c r="K158" s="20">
        <v>0</v>
      </c>
      <c r="L158" s="20">
        <v>0</v>
      </c>
      <c r="M158" s="20">
        <v>0</v>
      </c>
      <c r="N158" s="20">
        <v>0</v>
      </c>
      <c r="O158" s="20">
        <v>0</v>
      </c>
      <c r="P158" s="20">
        <v>0</v>
      </c>
    </row>
    <row r="159" spans="1:16" ht="14.4" x14ac:dyDescent="0.3">
      <c r="A159" s="14" t="s">
        <v>47</v>
      </c>
      <c r="B159" s="14"/>
      <c r="C159" s="16"/>
      <c r="D159" s="24"/>
      <c r="E159" s="24"/>
      <c r="F159" s="24"/>
      <c r="G159" s="24"/>
      <c r="H159" s="24"/>
      <c r="I159" s="24"/>
      <c r="J159" s="24"/>
      <c r="K159" s="24"/>
      <c r="L159" s="24"/>
      <c r="M159" s="24"/>
      <c r="N159" s="24"/>
      <c r="O159" s="24"/>
      <c r="P159" s="24"/>
    </row>
    <row r="160" spans="1:16" ht="14.4" x14ac:dyDescent="0.3">
      <c r="A160" s="18" t="s">
        <v>48</v>
      </c>
      <c r="B160" s="18"/>
      <c r="C160" s="16" t="s">
        <v>19</v>
      </c>
      <c r="D160" s="20">
        <f t="shared" ref="D160:P164" si="11">D118</f>
        <v>0.15609999999999999</v>
      </c>
      <c r="E160" s="20">
        <f t="shared" si="11"/>
        <v>0.15609999999999999</v>
      </c>
      <c r="F160" s="20">
        <f t="shared" si="11"/>
        <v>0.15609999999999999</v>
      </c>
      <c r="G160" s="20">
        <f t="shared" si="11"/>
        <v>0.15609999999999999</v>
      </c>
      <c r="H160" s="20">
        <f t="shared" si="11"/>
        <v>0.15609999999999999</v>
      </c>
      <c r="I160" s="20">
        <f t="shared" si="11"/>
        <v>0.15609999999999999</v>
      </c>
      <c r="J160" s="20">
        <f t="shared" si="11"/>
        <v>0.15609999999999999</v>
      </c>
      <c r="K160" s="20">
        <f t="shared" si="11"/>
        <v>0.15609999999999999</v>
      </c>
      <c r="L160" s="20">
        <f t="shared" si="11"/>
        <v>0.15609999999999999</v>
      </c>
      <c r="M160" s="20">
        <f t="shared" si="11"/>
        <v>0.15609999999999999</v>
      </c>
      <c r="N160" s="20">
        <f t="shared" si="11"/>
        <v>0.15609999999999999</v>
      </c>
      <c r="O160" s="20">
        <f t="shared" si="11"/>
        <v>0.15609999999999999</v>
      </c>
      <c r="P160" s="20">
        <f t="shared" si="11"/>
        <v>0.15609999999999999</v>
      </c>
    </row>
    <row r="161" spans="1:16" ht="14.4" x14ac:dyDescent="0.3">
      <c r="A161" s="18" t="s">
        <v>49</v>
      </c>
      <c r="B161" s="18"/>
      <c r="C161" s="16" t="s">
        <v>19</v>
      </c>
      <c r="D161" s="20">
        <f t="shared" si="11"/>
        <v>2.5000000000000001E-3</v>
      </c>
      <c r="E161" s="20">
        <f t="shared" si="11"/>
        <v>2.5000000000000001E-3</v>
      </c>
      <c r="F161" s="20">
        <f t="shared" si="11"/>
        <v>2.5000000000000001E-3</v>
      </c>
      <c r="G161" s="20">
        <f t="shared" si="11"/>
        <v>2.5000000000000001E-3</v>
      </c>
      <c r="H161" s="20">
        <f t="shared" si="11"/>
        <v>2.5000000000000001E-3</v>
      </c>
      <c r="I161" s="20">
        <f t="shared" si="11"/>
        <v>2.5000000000000001E-3</v>
      </c>
      <c r="J161" s="20">
        <f t="shared" si="11"/>
        <v>2.5000000000000001E-3</v>
      </c>
      <c r="K161" s="20">
        <f t="shared" si="11"/>
        <v>2.5000000000000001E-3</v>
      </c>
      <c r="L161" s="20">
        <f t="shared" si="11"/>
        <v>2.5000000000000001E-3</v>
      </c>
      <c r="M161" s="20">
        <f t="shared" si="11"/>
        <v>2.5000000000000001E-3</v>
      </c>
      <c r="N161" s="20">
        <f t="shared" si="11"/>
        <v>2.5000000000000001E-3</v>
      </c>
      <c r="O161" s="20">
        <f t="shared" si="11"/>
        <v>2.5000000000000001E-3</v>
      </c>
      <c r="P161" s="20">
        <f t="shared" si="11"/>
        <v>2.5000000000000001E-3</v>
      </c>
    </row>
    <row r="162" spans="1:16" ht="14.4" x14ac:dyDescent="0.3">
      <c r="A162" s="18" t="s">
        <v>111</v>
      </c>
      <c r="B162" s="18"/>
      <c r="C162" s="16" t="s">
        <v>19</v>
      </c>
      <c r="D162" s="20">
        <f t="shared" si="11"/>
        <v>0.1938</v>
      </c>
      <c r="E162" s="20">
        <f t="shared" si="11"/>
        <v>0.1938</v>
      </c>
      <c r="F162" s="20">
        <f t="shared" si="11"/>
        <v>0.1938</v>
      </c>
      <c r="G162" s="20">
        <f t="shared" si="11"/>
        <v>0.1938</v>
      </c>
      <c r="H162" s="20">
        <f t="shared" si="11"/>
        <v>0.1938</v>
      </c>
      <c r="I162" s="20">
        <f t="shared" si="11"/>
        <v>0.1938</v>
      </c>
      <c r="J162" s="20">
        <f t="shared" si="11"/>
        <v>0.1938</v>
      </c>
      <c r="K162" s="20">
        <f t="shared" si="11"/>
        <v>0.1938</v>
      </c>
      <c r="L162" s="20">
        <f t="shared" si="11"/>
        <v>0.1938</v>
      </c>
      <c r="M162" s="20">
        <f t="shared" si="11"/>
        <v>0.1938</v>
      </c>
      <c r="N162" s="20">
        <f t="shared" si="11"/>
        <v>0.1938</v>
      </c>
      <c r="O162" s="20">
        <f t="shared" si="11"/>
        <v>0.1938</v>
      </c>
      <c r="P162" s="20">
        <f t="shared" si="11"/>
        <v>0.1938</v>
      </c>
    </row>
    <row r="163" spans="1:16" ht="14.4" x14ac:dyDescent="0.3">
      <c r="A163" s="18" t="s">
        <v>112</v>
      </c>
      <c r="B163" s="18"/>
      <c r="C163" s="16" t="s">
        <v>19</v>
      </c>
      <c r="D163" s="42">
        <f>D121</f>
        <v>0</v>
      </c>
      <c r="E163" s="42">
        <f t="shared" si="11"/>
        <v>0</v>
      </c>
      <c r="F163" s="42">
        <f t="shared" si="11"/>
        <v>0</v>
      </c>
      <c r="G163" s="42">
        <f t="shared" si="11"/>
        <v>0</v>
      </c>
      <c r="H163" s="42">
        <f t="shared" si="11"/>
        <v>0</v>
      </c>
      <c r="I163" s="42">
        <f t="shared" si="11"/>
        <v>0</v>
      </c>
      <c r="J163" s="42">
        <f t="shared" si="11"/>
        <v>0</v>
      </c>
      <c r="K163" s="42">
        <f t="shared" si="11"/>
        <v>2.6499999999999999E-2</v>
      </c>
      <c r="L163" s="42">
        <f t="shared" si="11"/>
        <v>2.6499999999999999E-2</v>
      </c>
      <c r="M163" s="42">
        <f t="shared" si="11"/>
        <v>2.6499999999999999E-2</v>
      </c>
      <c r="N163" s="42">
        <f t="shared" si="11"/>
        <v>2.6499999999999999E-2</v>
      </c>
      <c r="O163" s="42">
        <f t="shared" si="11"/>
        <v>2.6499999999999999E-2</v>
      </c>
      <c r="P163" s="42">
        <f t="shared" si="11"/>
        <v>2.6499999999999999E-2</v>
      </c>
    </row>
    <row r="164" spans="1:16" ht="14.4" x14ac:dyDescent="0.3">
      <c r="A164" s="14" t="s">
        <v>51</v>
      </c>
      <c r="B164" s="14"/>
      <c r="C164" s="16" t="s">
        <v>19</v>
      </c>
      <c r="D164" s="20">
        <f>D122</f>
        <v>0.124</v>
      </c>
      <c r="E164" s="20">
        <f t="shared" si="11"/>
        <v>0.124</v>
      </c>
      <c r="F164" s="20">
        <f t="shared" si="11"/>
        <v>0.124</v>
      </c>
      <c r="G164" s="20">
        <f t="shared" si="11"/>
        <v>0.124</v>
      </c>
      <c r="H164" s="20">
        <f t="shared" si="11"/>
        <v>0.124</v>
      </c>
      <c r="I164" s="20">
        <f t="shared" si="11"/>
        <v>0.183</v>
      </c>
      <c r="J164" s="20">
        <f t="shared" si="11"/>
        <v>0.183</v>
      </c>
      <c r="K164" s="20">
        <f t="shared" si="11"/>
        <v>0.183</v>
      </c>
      <c r="L164" s="20">
        <f t="shared" si="11"/>
        <v>0.183</v>
      </c>
      <c r="M164" s="20">
        <f t="shared" si="11"/>
        <v>0.183</v>
      </c>
      <c r="N164" s="20">
        <f t="shared" si="11"/>
        <v>0.183</v>
      </c>
      <c r="O164" s="20">
        <f t="shared" si="11"/>
        <v>0.183</v>
      </c>
      <c r="P164" s="20">
        <f t="shared" si="11"/>
        <v>0.183</v>
      </c>
    </row>
    <row r="165" spans="1:16" ht="14.4" x14ac:dyDescent="0.3">
      <c r="A165" s="14" t="s">
        <v>52</v>
      </c>
      <c r="B165" s="14"/>
      <c r="C165" s="29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</row>
    <row r="166" spans="1:16" ht="14.4" x14ac:dyDescent="0.3">
      <c r="A166" s="18" t="s">
        <v>53</v>
      </c>
      <c r="B166" s="18"/>
      <c r="C166" s="16" t="s">
        <v>44</v>
      </c>
      <c r="D166" s="30">
        <f t="shared" ref="D166:P170" si="12">D124</f>
        <v>0.10979999999999999</v>
      </c>
      <c r="E166" s="30">
        <f t="shared" si="12"/>
        <v>0.1118</v>
      </c>
      <c r="F166" s="30">
        <f t="shared" si="12"/>
        <v>0.10390000000000001</v>
      </c>
      <c r="G166" s="30">
        <f t="shared" si="12"/>
        <v>0.1095</v>
      </c>
      <c r="H166" s="30">
        <f t="shared" si="12"/>
        <v>0.1061</v>
      </c>
      <c r="I166" s="30">
        <f t="shared" si="12"/>
        <v>0.1137</v>
      </c>
      <c r="J166" s="30">
        <f t="shared" si="12"/>
        <v>0.1135</v>
      </c>
      <c r="K166" s="30">
        <f t="shared" si="12"/>
        <v>0.1162</v>
      </c>
      <c r="L166" s="30">
        <f t="shared" si="12"/>
        <v>0.1128</v>
      </c>
      <c r="M166" s="30">
        <f t="shared" si="12"/>
        <v>0.112</v>
      </c>
      <c r="N166" s="30">
        <f t="shared" si="12"/>
        <v>0.11219999999999999</v>
      </c>
      <c r="O166" s="30">
        <f t="shared" si="12"/>
        <v>0.1149</v>
      </c>
      <c r="P166" s="30" t="e">
        <f t="shared" si="12"/>
        <v>#DIV/0!</v>
      </c>
    </row>
    <row r="167" spans="1:16" ht="14.4" x14ac:dyDescent="0.3">
      <c r="A167" s="18" t="s">
        <v>54</v>
      </c>
      <c r="B167" s="18"/>
      <c r="C167" s="16" t="s">
        <v>44</v>
      </c>
      <c r="D167" s="30">
        <f t="shared" si="12"/>
        <v>5.5999999999999999E-3</v>
      </c>
      <c r="E167" s="30">
        <f t="shared" si="12"/>
        <v>6.3E-3</v>
      </c>
      <c r="F167" s="30">
        <f t="shared" si="12"/>
        <v>4.0000000000000001E-3</v>
      </c>
      <c r="G167" s="30">
        <f t="shared" si="12"/>
        <v>6.7999999999999996E-3</v>
      </c>
      <c r="H167" s="30">
        <f t="shared" si="12"/>
        <v>2.2700000000000001E-2</v>
      </c>
      <c r="I167" s="30">
        <f t="shared" si="12"/>
        <v>2.0400000000000001E-2</v>
      </c>
      <c r="J167" s="30">
        <f t="shared" si="12"/>
        <v>1.6799999999999999E-2</v>
      </c>
      <c r="K167" s="30">
        <f t="shared" si="12"/>
        <v>1.8200000000000001E-2</v>
      </c>
      <c r="L167" s="30">
        <f t="shared" si="12"/>
        <v>8.8999999999999999E-3</v>
      </c>
      <c r="M167" s="30">
        <f t="shared" si="12"/>
        <v>3.5999999999999999E-3</v>
      </c>
      <c r="N167" s="30">
        <f t="shared" si="12"/>
        <v>1.5599999999999999E-2</v>
      </c>
      <c r="O167" s="30">
        <f t="shared" si="12"/>
        <v>5.7999999999999996E-3</v>
      </c>
      <c r="P167" s="30" t="e">
        <f t="shared" si="12"/>
        <v>#DIV/0!</v>
      </c>
    </row>
    <row r="168" spans="1:16" ht="14.4" x14ac:dyDescent="0.3">
      <c r="A168" s="18" t="s">
        <v>55</v>
      </c>
      <c r="B168" s="18"/>
      <c r="C168" s="16" t="s">
        <v>44</v>
      </c>
      <c r="D168" s="30">
        <f t="shared" si="12"/>
        <v>9.1899999999999996E-2</v>
      </c>
      <c r="E168" s="30">
        <f t="shared" si="12"/>
        <v>9.3200000000000005E-2</v>
      </c>
      <c r="F168" s="30">
        <f t="shared" si="12"/>
        <v>8.8800000000000004E-2</v>
      </c>
      <c r="G168" s="30">
        <f t="shared" si="12"/>
        <v>9.4799999999999995E-2</v>
      </c>
      <c r="H168" s="30">
        <f t="shared" si="12"/>
        <v>9.3799999999999994E-2</v>
      </c>
      <c r="I168" s="30">
        <f t="shared" si="12"/>
        <v>9.9400000000000002E-2</v>
      </c>
      <c r="J168" s="30">
        <f t="shared" si="12"/>
        <v>9.9199999999999997E-2</v>
      </c>
      <c r="K168" s="30">
        <f t="shared" si="12"/>
        <v>0.1007</v>
      </c>
      <c r="L168" s="30">
        <f t="shared" si="12"/>
        <v>9.9000000000000005E-2</v>
      </c>
      <c r="M168" s="30">
        <f t="shared" si="12"/>
        <v>9.8699999999999996E-2</v>
      </c>
      <c r="N168" s="30">
        <f t="shared" si="12"/>
        <v>9.9299999999999999E-2</v>
      </c>
      <c r="O168" s="30">
        <f t="shared" si="12"/>
        <v>9.9900000000000003E-2</v>
      </c>
      <c r="P168" s="30" t="e">
        <f t="shared" si="12"/>
        <v>#DIV/0!</v>
      </c>
    </row>
    <row r="169" spans="1:16" ht="14.4" x14ac:dyDescent="0.3">
      <c r="A169" s="18" t="s">
        <v>56</v>
      </c>
      <c r="B169" s="18"/>
      <c r="C169" s="16" t="s">
        <v>44</v>
      </c>
      <c r="D169" s="30">
        <f t="shared" si="12"/>
        <v>0.12</v>
      </c>
      <c r="E169" s="30">
        <f t="shared" si="12"/>
        <v>0.12</v>
      </c>
      <c r="F169" s="30">
        <f t="shared" si="12"/>
        <v>0.12</v>
      </c>
      <c r="G169" s="30">
        <f t="shared" si="12"/>
        <v>0.12</v>
      </c>
      <c r="H169" s="30">
        <f t="shared" si="12"/>
        <v>0.12</v>
      </c>
      <c r="I169" s="30">
        <f t="shared" si="12"/>
        <v>0.12</v>
      </c>
      <c r="J169" s="30">
        <f t="shared" si="12"/>
        <v>0.12</v>
      </c>
      <c r="K169" s="30">
        <f t="shared" si="12"/>
        <v>0.12</v>
      </c>
      <c r="L169" s="30">
        <f t="shared" si="12"/>
        <v>0.12</v>
      </c>
      <c r="M169" s="30">
        <f t="shared" si="12"/>
        <v>0.12</v>
      </c>
      <c r="N169" s="30">
        <f t="shared" si="12"/>
        <v>0.12</v>
      </c>
      <c r="O169" s="30">
        <f t="shared" si="12"/>
        <v>0.12</v>
      </c>
      <c r="P169" s="30">
        <f t="shared" si="12"/>
        <v>0.12</v>
      </c>
    </row>
    <row r="170" spans="1:16" ht="14.4" x14ac:dyDescent="0.3">
      <c r="A170" s="18" t="s">
        <v>57</v>
      </c>
      <c r="B170" s="18"/>
      <c r="C170" s="16" t="s">
        <v>44</v>
      </c>
      <c r="D170" s="30">
        <f t="shared" si="12"/>
        <v>0.12</v>
      </c>
      <c r="E170" s="30">
        <f t="shared" si="12"/>
        <v>0.12</v>
      </c>
      <c r="F170" s="30">
        <f t="shared" si="12"/>
        <v>0.12</v>
      </c>
      <c r="G170" s="30">
        <f t="shared" si="12"/>
        <v>0.12</v>
      </c>
      <c r="H170" s="30">
        <f t="shared" si="12"/>
        <v>0.12</v>
      </c>
      <c r="I170" s="30">
        <f t="shared" si="12"/>
        <v>0.12</v>
      </c>
      <c r="J170" s="30">
        <f t="shared" si="12"/>
        <v>0.12</v>
      </c>
      <c r="K170" s="30">
        <f t="shared" si="12"/>
        <v>0.12</v>
      </c>
      <c r="L170" s="30">
        <f t="shared" si="12"/>
        <v>0.12</v>
      </c>
      <c r="M170" s="30">
        <f t="shared" si="12"/>
        <v>0.12</v>
      </c>
      <c r="N170" s="30">
        <f t="shared" si="12"/>
        <v>0.12</v>
      </c>
      <c r="O170" s="30">
        <f t="shared" si="12"/>
        <v>0.12</v>
      </c>
      <c r="P170" s="30">
        <f t="shared" si="12"/>
        <v>0.12</v>
      </c>
    </row>
    <row r="171" spans="1:16" s="5" customFormat="1" ht="14.4" x14ac:dyDescent="0.3">
      <c r="A171" s="55"/>
      <c r="B171" s="55"/>
      <c r="C171" s="56"/>
      <c r="D171" s="57"/>
      <c r="E171" s="57"/>
      <c r="F171" s="57"/>
      <c r="G171" s="57"/>
      <c r="H171" s="57"/>
      <c r="I171" s="57"/>
      <c r="J171" s="57"/>
      <c r="K171" s="57"/>
      <c r="L171" s="57"/>
      <c r="M171" s="57"/>
      <c r="N171" s="57"/>
      <c r="O171" s="57"/>
      <c r="P171" s="57"/>
    </row>
    <row r="172" spans="1:16" x14ac:dyDescent="0.3">
      <c r="A172" s="3" t="s">
        <v>58</v>
      </c>
    </row>
    <row r="173" spans="1:16" ht="14.4" x14ac:dyDescent="0.3">
      <c r="D173" s="58"/>
      <c r="E173" s="58"/>
      <c r="F173" s="58"/>
      <c r="G173" s="58"/>
      <c r="H173" s="58"/>
      <c r="I173" s="58"/>
      <c r="J173" s="58"/>
      <c r="K173" s="58"/>
      <c r="L173" s="58"/>
      <c r="M173" s="58"/>
      <c r="N173" s="58"/>
      <c r="O173" s="58"/>
      <c r="P173" s="58"/>
    </row>
    <row r="174" spans="1:16" ht="18" x14ac:dyDescent="0.35">
      <c r="A174" s="59" t="str">
        <f>'[45]Statistical data'!A165</f>
        <v>General Service B</v>
      </c>
      <c r="B174" s="59"/>
      <c r="C174" s="5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</row>
    <row r="175" spans="1:16" s="13" customFormat="1" ht="14.4" x14ac:dyDescent="0.3">
      <c r="A175" s="11" t="s">
        <v>3</v>
      </c>
      <c r="B175" s="11"/>
      <c r="C175" s="11" t="s">
        <v>4</v>
      </c>
      <c r="D175" s="12" t="str">
        <f t="shared" ref="D175:P175" si="13">D133</f>
        <v>JAN</v>
      </c>
      <c r="E175" s="12" t="str">
        <f t="shared" si="13"/>
        <v>FEB</v>
      </c>
      <c r="F175" s="12" t="str">
        <f t="shared" si="13"/>
        <v>MAR</v>
      </c>
      <c r="G175" s="12" t="str">
        <f t="shared" si="13"/>
        <v>APR</v>
      </c>
      <c r="H175" s="12" t="str">
        <f t="shared" si="13"/>
        <v>MAY</v>
      </c>
      <c r="I175" s="12" t="str">
        <f t="shared" si="13"/>
        <v>JUN</v>
      </c>
      <c r="J175" s="12" t="str">
        <f t="shared" si="13"/>
        <v>JUL</v>
      </c>
      <c r="K175" s="12" t="str">
        <f t="shared" si="13"/>
        <v>AUG</v>
      </c>
      <c r="L175" s="12" t="str">
        <f t="shared" si="13"/>
        <v>SEP</v>
      </c>
      <c r="M175" s="12" t="str">
        <f t="shared" si="13"/>
        <v>OCT</v>
      </c>
      <c r="N175" s="12" t="str">
        <f t="shared" si="13"/>
        <v>NOV</v>
      </c>
      <c r="O175" s="12" t="str">
        <f t="shared" si="13"/>
        <v>DEC</v>
      </c>
      <c r="P175" s="12" t="str">
        <f t="shared" si="13"/>
        <v>JAN</v>
      </c>
    </row>
    <row r="176" spans="1:16" ht="14.4" x14ac:dyDescent="0.3">
      <c r="A176" s="14" t="s">
        <v>17</v>
      </c>
      <c r="B176" s="15"/>
      <c r="C176" s="16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</row>
    <row r="177" spans="1:16" ht="14.4" x14ac:dyDescent="0.3">
      <c r="A177" s="18" t="s">
        <v>18</v>
      </c>
      <c r="B177" s="19"/>
      <c r="C177" s="16" t="s">
        <v>19</v>
      </c>
      <c r="D177" s="52" t="s">
        <v>59</v>
      </c>
      <c r="E177" s="52" t="s">
        <v>59</v>
      </c>
      <c r="F177" s="52" t="s">
        <v>59</v>
      </c>
      <c r="G177" s="52" t="s">
        <v>59</v>
      </c>
      <c r="H177" s="52" t="s">
        <v>59</v>
      </c>
      <c r="I177" s="52" t="s">
        <v>59</v>
      </c>
      <c r="J177" s="52" t="s">
        <v>59</v>
      </c>
      <c r="K177" s="52" t="s">
        <v>59</v>
      </c>
      <c r="L177" s="52" t="s">
        <v>59</v>
      </c>
      <c r="M177" s="52" t="s">
        <v>59</v>
      </c>
      <c r="N177" s="52" t="s">
        <v>59</v>
      </c>
      <c r="O177" s="52" t="s">
        <v>59</v>
      </c>
      <c r="P177" s="52" t="s">
        <v>59</v>
      </c>
    </row>
    <row r="178" spans="1:16" ht="14.4" x14ac:dyDescent="0.3">
      <c r="A178" s="14" t="s">
        <v>20</v>
      </c>
      <c r="B178" s="15"/>
      <c r="C178" s="16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</row>
    <row r="179" spans="1:16" ht="14.4" x14ac:dyDescent="0.3">
      <c r="A179" s="18" t="s">
        <v>21</v>
      </c>
      <c r="B179" s="19"/>
      <c r="C179" s="16" t="s">
        <v>19</v>
      </c>
      <c r="D179" s="20">
        <v>0</v>
      </c>
      <c r="E179" s="20">
        <v>0</v>
      </c>
      <c r="F179" s="20">
        <v>0</v>
      </c>
      <c r="G179" s="20">
        <v>0</v>
      </c>
      <c r="H179" s="20">
        <v>0</v>
      </c>
      <c r="I179" s="20">
        <v>0</v>
      </c>
      <c r="J179" s="20">
        <v>0</v>
      </c>
      <c r="K179" s="20">
        <v>0</v>
      </c>
      <c r="L179" s="20">
        <v>0</v>
      </c>
      <c r="M179" s="20">
        <v>0</v>
      </c>
      <c r="N179" s="20">
        <v>0</v>
      </c>
      <c r="O179" s="20">
        <v>0</v>
      </c>
      <c r="P179" s="20">
        <v>0</v>
      </c>
    </row>
    <row r="180" spans="1:16" ht="14.4" x14ac:dyDescent="0.3">
      <c r="A180" s="18" t="s">
        <v>22</v>
      </c>
      <c r="B180" s="19"/>
      <c r="C180" s="16" t="s">
        <v>23</v>
      </c>
      <c r="D180" s="20">
        <f>[45]TR!D66</f>
        <v>234.13849999999999</v>
      </c>
      <c r="E180" s="20">
        <f>[45]TR!E66</f>
        <v>267.43849999999998</v>
      </c>
      <c r="F180" s="20">
        <f>[45]TR!F66</f>
        <v>250.61850000000001</v>
      </c>
      <c r="G180" s="20">
        <f>[45]TR!G66</f>
        <v>261.52850000000001</v>
      </c>
      <c r="H180" s="20">
        <f>[45]TR!H66</f>
        <v>257.64850000000001</v>
      </c>
      <c r="I180" s="20">
        <f>[45]TR!I66</f>
        <v>226.2808</v>
      </c>
      <c r="J180" s="20">
        <f>[45]TR!J66</f>
        <v>221.71539999999999</v>
      </c>
      <c r="K180" s="20">
        <f>[45]TR!K66</f>
        <v>238.87979999999999</v>
      </c>
      <c r="L180" s="20">
        <f>[45]TR!L66</f>
        <v>226.99879999999999</v>
      </c>
      <c r="M180" s="20">
        <f>[45]TR!M66</f>
        <v>200.36879999999999</v>
      </c>
      <c r="N180" s="20">
        <f>[45]TR!N66</f>
        <v>230.31880000000001</v>
      </c>
      <c r="O180" s="20">
        <f>[45]TR!O66</f>
        <v>217.15</v>
      </c>
      <c r="P180" s="20">
        <f>[45]TR!P66</f>
        <v>0</v>
      </c>
    </row>
    <row r="181" spans="1:16" ht="14.4" x14ac:dyDescent="0.3">
      <c r="A181" s="14" t="s">
        <v>24</v>
      </c>
      <c r="B181" s="15"/>
      <c r="C181" s="16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</row>
    <row r="182" spans="1:16" ht="14.4" x14ac:dyDescent="0.3">
      <c r="A182" s="18" t="s">
        <v>25</v>
      </c>
      <c r="B182" s="19"/>
      <c r="C182" s="16" t="s">
        <v>19</v>
      </c>
      <c r="D182" s="20">
        <f>[45]SLR!D72</f>
        <v>0.38219999999999998</v>
      </c>
      <c r="E182" s="20">
        <f>[45]SLR!E72</f>
        <v>0.43809999999999999</v>
      </c>
      <c r="F182" s="20">
        <f>[45]SLR!F72</f>
        <v>0.48199999999999998</v>
      </c>
      <c r="G182" s="20">
        <f>[45]SLR!G72</f>
        <v>0.50070000000000003</v>
      </c>
      <c r="H182" s="20">
        <f>[45]SLR!H72</f>
        <v>0.47420000000000001</v>
      </c>
      <c r="I182" s="20">
        <f>[45]SLR!I72</f>
        <v>0.2666</v>
      </c>
      <c r="J182" s="20">
        <f>[45]SLR!J72</f>
        <v>0.27100000000000002</v>
      </c>
      <c r="K182" s="20">
        <f>[45]SLR!K72</f>
        <v>0.27160000000000001</v>
      </c>
      <c r="L182" s="20">
        <f>[45]SLR!L72</f>
        <v>0.53139999999999998</v>
      </c>
      <c r="M182" s="20">
        <f>[45]SLR!M72</f>
        <v>0.44500000000000001</v>
      </c>
      <c r="N182" s="20">
        <f>[45]SLR!N72</f>
        <v>0.46439999999999998</v>
      </c>
      <c r="O182" s="20">
        <f>[45]SLR!O72</f>
        <v>0.43690000000000001</v>
      </c>
      <c r="P182" s="20" t="e">
        <f>[45]SLR!P72</f>
        <v>#DIV/0!</v>
      </c>
    </row>
    <row r="183" spans="1:16" ht="14.4" x14ac:dyDescent="0.3">
      <c r="A183" s="14" t="s">
        <v>26</v>
      </c>
      <c r="B183" s="14"/>
      <c r="C183" s="16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</row>
    <row r="184" spans="1:16" ht="14.4" x14ac:dyDescent="0.3">
      <c r="A184" s="18" t="s">
        <v>27</v>
      </c>
      <c r="B184" s="18"/>
      <c r="C184" s="16" t="s">
        <v>19</v>
      </c>
      <c r="D184" s="20">
        <v>0.1368</v>
      </c>
      <c r="E184" s="20">
        <v>0.1368</v>
      </c>
      <c r="F184" s="20">
        <v>0.1368</v>
      </c>
      <c r="G184" s="20">
        <v>0.1368</v>
      </c>
      <c r="H184" s="20">
        <v>0.1368</v>
      </c>
      <c r="I184" s="20">
        <v>0.1368</v>
      </c>
      <c r="J184" s="20">
        <v>0.1368</v>
      </c>
      <c r="K184" s="20">
        <v>0.1368</v>
      </c>
      <c r="L184" s="20">
        <v>0.1368</v>
      </c>
      <c r="M184" s="20">
        <v>0.1368</v>
      </c>
      <c r="N184" s="20">
        <v>0.1368</v>
      </c>
      <c r="O184" s="20">
        <v>0.1368</v>
      </c>
      <c r="P184" s="20">
        <v>0.1368</v>
      </c>
    </row>
    <row r="185" spans="1:16" ht="14.4" x14ac:dyDescent="0.3">
      <c r="A185" s="18" t="s">
        <v>28</v>
      </c>
      <c r="B185" s="18"/>
      <c r="C185" s="16" t="s">
        <v>23</v>
      </c>
      <c r="D185" s="23">
        <v>237.15</v>
      </c>
      <c r="E185" s="23">
        <v>237.15</v>
      </c>
      <c r="F185" s="23">
        <v>237.15</v>
      </c>
      <c r="G185" s="23">
        <v>237.15</v>
      </c>
      <c r="H185" s="23">
        <v>237.15</v>
      </c>
      <c r="I185" s="23">
        <v>237.15</v>
      </c>
      <c r="J185" s="23">
        <v>237.15</v>
      </c>
      <c r="K185" s="23">
        <v>237.15</v>
      </c>
      <c r="L185" s="23">
        <v>237.15</v>
      </c>
      <c r="M185" s="23">
        <v>237.15</v>
      </c>
      <c r="N185" s="23">
        <v>237.15</v>
      </c>
      <c r="O185" s="23">
        <v>237.15</v>
      </c>
      <c r="P185" s="23">
        <v>237.15</v>
      </c>
    </row>
    <row r="186" spans="1:16" ht="14.4" x14ac:dyDescent="0.3">
      <c r="A186" s="14" t="s">
        <v>29</v>
      </c>
      <c r="B186" s="14"/>
      <c r="C186" s="16"/>
      <c r="D186" s="24"/>
      <c r="E186" s="24"/>
      <c r="F186" s="24"/>
      <c r="G186" s="24"/>
      <c r="H186" s="24"/>
      <c r="I186" s="24"/>
      <c r="J186" s="24"/>
      <c r="K186" s="24"/>
      <c r="L186" s="24"/>
      <c r="M186" s="24"/>
      <c r="N186" s="24"/>
      <c r="O186" s="24"/>
      <c r="P186" s="24"/>
    </row>
    <row r="187" spans="1:16" ht="14.4" x14ac:dyDescent="0.3">
      <c r="A187" s="18" t="s">
        <v>30</v>
      </c>
      <c r="B187" s="18"/>
      <c r="C187" s="16" t="s">
        <v>19</v>
      </c>
      <c r="D187" s="52" t="s">
        <v>61</v>
      </c>
      <c r="E187" s="52" t="s">
        <v>61</v>
      </c>
      <c r="F187" s="52" t="s">
        <v>61</v>
      </c>
      <c r="G187" s="52" t="s">
        <v>61</v>
      </c>
      <c r="H187" s="52" t="s">
        <v>61</v>
      </c>
      <c r="I187" s="52" t="s">
        <v>61</v>
      </c>
      <c r="J187" s="52" t="s">
        <v>61</v>
      </c>
      <c r="K187" s="52" t="s">
        <v>61</v>
      </c>
      <c r="L187" s="52" t="s">
        <v>61</v>
      </c>
      <c r="M187" s="52" t="s">
        <v>61</v>
      </c>
      <c r="N187" s="52" t="s">
        <v>61</v>
      </c>
      <c r="O187" s="52" t="s">
        <v>61</v>
      </c>
      <c r="P187" s="52" t="s">
        <v>61</v>
      </c>
    </row>
    <row r="188" spans="1:16" ht="14.4" x14ac:dyDescent="0.3">
      <c r="A188" s="18" t="s">
        <v>31</v>
      </c>
      <c r="B188" s="18"/>
      <c r="C188" s="16" t="s">
        <v>32</v>
      </c>
      <c r="D188" s="52" t="s">
        <v>62</v>
      </c>
      <c r="E188" s="52" t="s">
        <v>62</v>
      </c>
      <c r="F188" s="52" t="s">
        <v>62</v>
      </c>
      <c r="G188" s="52" t="s">
        <v>62</v>
      </c>
      <c r="H188" s="52" t="s">
        <v>62</v>
      </c>
      <c r="I188" s="52" t="s">
        <v>62</v>
      </c>
      <c r="J188" s="52" t="s">
        <v>62</v>
      </c>
      <c r="K188" s="52" t="s">
        <v>62</v>
      </c>
      <c r="L188" s="52" t="s">
        <v>62</v>
      </c>
      <c r="M188" s="52" t="s">
        <v>62</v>
      </c>
      <c r="N188" s="52" t="s">
        <v>62</v>
      </c>
      <c r="O188" s="52" t="s">
        <v>62</v>
      </c>
      <c r="P188" s="52" t="s">
        <v>62</v>
      </c>
    </row>
    <row r="189" spans="1:16" ht="14.4" x14ac:dyDescent="0.3">
      <c r="A189" s="14" t="s">
        <v>33</v>
      </c>
      <c r="B189" s="14"/>
      <c r="C189" s="16"/>
      <c r="D189" s="24"/>
      <c r="E189" s="24"/>
      <c r="F189" s="24"/>
      <c r="G189" s="24"/>
      <c r="H189" s="24"/>
      <c r="I189" s="24"/>
      <c r="J189" s="24"/>
      <c r="K189" s="24"/>
      <c r="L189" s="24"/>
      <c r="M189" s="24"/>
      <c r="N189" s="24"/>
      <c r="O189" s="24"/>
      <c r="P189" s="24"/>
    </row>
    <row r="190" spans="1:16" ht="14.4" x14ac:dyDescent="0.3">
      <c r="A190" s="18" t="s">
        <v>34</v>
      </c>
      <c r="B190" s="18"/>
      <c r="C190" s="16" t="s">
        <v>19</v>
      </c>
      <c r="D190" s="20">
        <v>0</v>
      </c>
      <c r="E190" s="20">
        <v>0</v>
      </c>
      <c r="F190" s="20">
        <v>0</v>
      </c>
      <c r="G190" s="20">
        <v>0</v>
      </c>
      <c r="H190" s="20">
        <v>0</v>
      </c>
      <c r="I190" s="20">
        <v>0</v>
      </c>
      <c r="J190" s="20">
        <v>0</v>
      </c>
      <c r="K190" s="20">
        <v>0</v>
      </c>
      <c r="L190" s="20">
        <v>0</v>
      </c>
      <c r="M190" s="20">
        <v>0</v>
      </c>
      <c r="N190" s="20">
        <v>0</v>
      </c>
      <c r="O190" s="20">
        <v>0</v>
      </c>
      <c r="P190" s="20">
        <v>0</v>
      </c>
    </row>
    <row r="191" spans="1:16" ht="14.4" x14ac:dyDescent="0.3">
      <c r="A191" s="18" t="s">
        <v>35</v>
      </c>
      <c r="B191" s="18"/>
      <c r="C191" s="16" t="s">
        <v>36</v>
      </c>
      <c r="D191" s="52" t="s">
        <v>63</v>
      </c>
      <c r="E191" s="52" t="s">
        <v>63</v>
      </c>
      <c r="F191" s="52" t="s">
        <v>63</v>
      </c>
      <c r="G191" s="52" t="s">
        <v>63</v>
      </c>
      <c r="H191" s="52" t="s">
        <v>63</v>
      </c>
      <c r="I191" s="52" t="s">
        <v>63</v>
      </c>
      <c r="J191" s="52" t="s">
        <v>63</v>
      </c>
      <c r="K191" s="52" t="s">
        <v>63</v>
      </c>
      <c r="L191" s="52" t="s">
        <v>63</v>
      </c>
      <c r="M191" s="52" t="s">
        <v>63</v>
      </c>
      <c r="N191" s="52" t="s">
        <v>63</v>
      </c>
      <c r="O191" s="52" t="s">
        <v>63</v>
      </c>
      <c r="P191" s="52" t="s">
        <v>63</v>
      </c>
    </row>
    <row r="192" spans="1:16" ht="14.4" x14ac:dyDescent="0.3">
      <c r="A192" s="14" t="s">
        <v>37</v>
      </c>
      <c r="B192" s="14"/>
      <c r="C192" s="16"/>
      <c r="D192" s="24"/>
      <c r="E192" s="24"/>
      <c r="F192" s="24"/>
      <c r="G192" s="24"/>
      <c r="H192" s="24"/>
      <c r="I192" s="24"/>
      <c r="J192" s="24"/>
      <c r="K192" s="24"/>
      <c r="L192" s="24"/>
      <c r="M192" s="24"/>
      <c r="N192" s="24"/>
      <c r="O192" s="24"/>
      <c r="P192" s="24"/>
    </row>
    <row r="193" spans="1:16" ht="14.4" x14ac:dyDescent="0.3">
      <c r="A193" s="25" t="s">
        <v>38</v>
      </c>
      <c r="B193" s="18"/>
      <c r="C193" s="16" t="s">
        <v>19</v>
      </c>
      <c r="D193" s="20">
        <f>[45]LD!E31</f>
        <v>8.8499999999999995E-2</v>
      </c>
      <c r="E193" s="20">
        <f>[45]LD!F31</f>
        <v>8.8999999999999996E-2</v>
      </c>
      <c r="F193" s="20">
        <f>[45]LD!G31</f>
        <v>0.10780000000000001</v>
      </c>
      <c r="G193" s="20">
        <f>[45]LD!H31</f>
        <v>0.1246</v>
      </c>
      <c r="H193" s="20">
        <f>[45]LD!I31</f>
        <v>8.7999999999999995E-2</v>
      </c>
      <c r="I193" s="20">
        <f>[45]LD!J31</f>
        <v>5.9900000000000002E-2</v>
      </c>
      <c r="J193" s="20">
        <f>[45]LD!K31</f>
        <v>4.3099999999999999E-2</v>
      </c>
      <c r="K193" s="20">
        <f>[45]LD!L31</f>
        <v>5.4600000000000003E-2</v>
      </c>
      <c r="L193" s="20">
        <f>[45]LD!M31</f>
        <v>7.3800000000000004E-2</v>
      </c>
      <c r="M193" s="20">
        <f>[45]LD!N31</f>
        <v>7.2999999999999995E-2</v>
      </c>
      <c r="N193" s="20">
        <f>[45]LD!O31</f>
        <v>8.1799999999999998E-2</v>
      </c>
      <c r="O193" s="20">
        <f>[45]LD!P31</f>
        <v>8.5900000000000004E-2</v>
      </c>
      <c r="P193" s="20">
        <f>[45]LD!Q31</f>
        <v>0</v>
      </c>
    </row>
    <row r="194" spans="1:16" ht="14.4" x14ac:dyDescent="0.3">
      <c r="A194" s="25" t="s">
        <v>39</v>
      </c>
      <c r="B194" s="18"/>
      <c r="C194" s="16" t="s">
        <v>19</v>
      </c>
      <c r="D194" s="20">
        <v>0</v>
      </c>
      <c r="E194" s="20">
        <v>0</v>
      </c>
      <c r="F194" s="20">
        <v>0</v>
      </c>
      <c r="G194" s="20">
        <v>0</v>
      </c>
      <c r="H194" s="20">
        <v>0</v>
      </c>
      <c r="I194" s="20">
        <v>0</v>
      </c>
      <c r="J194" s="20">
        <v>0</v>
      </c>
      <c r="K194" s="20">
        <v>0</v>
      </c>
      <c r="L194" s="20">
        <v>0</v>
      </c>
      <c r="M194" s="20">
        <v>0</v>
      </c>
      <c r="N194" s="20">
        <v>0</v>
      </c>
      <c r="O194" s="20">
        <v>0</v>
      </c>
      <c r="P194" s="20">
        <v>0</v>
      </c>
    </row>
    <row r="195" spans="1:16" ht="14.4" x14ac:dyDescent="0.3">
      <c r="A195" s="26" t="s">
        <v>40</v>
      </c>
      <c r="B195" s="18"/>
      <c r="C195" s="16" t="s">
        <v>19</v>
      </c>
      <c r="D195" s="20">
        <f>'[45]SR CIT. SUBSIDY'!E95</f>
        <v>1E-4</v>
      </c>
      <c r="E195" s="20">
        <f>'[45]SR CIT. SUBSIDY'!F95</f>
        <v>1E-4</v>
      </c>
      <c r="F195" s="20">
        <f>'[45]SR CIT. SUBSIDY'!G95</f>
        <v>1E-4</v>
      </c>
      <c r="G195" s="20">
        <f>'[45]SR CIT. SUBSIDY'!H95</f>
        <v>1E-4</v>
      </c>
      <c r="H195" s="20">
        <f>'[45]SR CIT. SUBSIDY'!I95</f>
        <v>1E-4</v>
      </c>
      <c r="I195" s="20">
        <f>'[45]SR CIT. SUBSIDY'!J95</f>
        <v>-2.0000000000000001E-4</v>
      </c>
      <c r="J195" s="20">
        <f>'[45]SR CIT. SUBSIDY'!K95</f>
        <v>-2.0000000000000001E-4</v>
      </c>
      <c r="K195" s="20">
        <f>'[45]SR CIT. SUBSIDY'!L95</f>
        <v>-2.0000000000000001E-4</v>
      </c>
      <c r="L195" s="20">
        <f>'[45]SR CIT. SUBSIDY'!M95</f>
        <v>2.9999999999999997E-4</v>
      </c>
      <c r="M195" s="20">
        <f>'[45]SR CIT. SUBSIDY'!N95</f>
        <v>1E-4</v>
      </c>
      <c r="N195" s="20">
        <f>'[45]SR CIT. SUBSIDY'!O95</f>
        <v>1E-4</v>
      </c>
      <c r="O195" s="20">
        <f>'[45]SR CIT. SUBSIDY'!P95</f>
        <v>1E-4</v>
      </c>
      <c r="P195" s="20">
        <f>'[45]SR CIT. SUBSIDY'!Q95</f>
        <v>0</v>
      </c>
    </row>
    <row r="196" spans="1:16" ht="14.4" x14ac:dyDescent="0.3">
      <c r="A196" s="26" t="s">
        <v>41</v>
      </c>
      <c r="B196" s="18"/>
      <c r="C196" s="16" t="s">
        <v>19</v>
      </c>
      <c r="D196" s="20">
        <v>0</v>
      </c>
      <c r="E196" s="20">
        <v>0</v>
      </c>
      <c r="F196" s="20">
        <v>0</v>
      </c>
      <c r="G196" s="20">
        <v>0</v>
      </c>
      <c r="H196" s="20">
        <v>0</v>
      </c>
      <c r="I196" s="20">
        <v>0</v>
      </c>
      <c r="J196" s="20">
        <v>0</v>
      </c>
      <c r="K196" s="20">
        <v>0</v>
      </c>
      <c r="L196" s="20">
        <v>0</v>
      </c>
      <c r="M196" s="20">
        <v>0</v>
      </c>
      <c r="N196" s="20">
        <v>0</v>
      </c>
      <c r="O196" s="20">
        <v>0</v>
      </c>
      <c r="P196" s="20">
        <v>0</v>
      </c>
    </row>
    <row r="197" spans="1:16" ht="14.4" x14ac:dyDescent="0.3">
      <c r="A197" s="14" t="s">
        <v>42</v>
      </c>
      <c r="B197" s="14"/>
      <c r="C197" s="16"/>
      <c r="D197" s="24"/>
      <c r="E197" s="24"/>
      <c r="F197" s="24"/>
      <c r="G197" s="24"/>
      <c r="H197" s="24"/>
      <c r="I197" s="24"/>
      <c r="J197" s="24"/>
      <c r="K197" s="24"/>
      <c r="L197" s="24"/>
      <c r="M197" s="24"/>
      <c r="N197" s="24"/>
      <c r="O197" s="24"/>
      <c r="P197" s="24"/>
    </row>
    <row r="198" spans="1:16" ht="14.4" x14ac:dyDescent="0.3">
      <c r="A198" s="14" t="s">
        <v>43</v>
      </c>
      <c r="B198" s="14"/>
      <c r="C198" s="16" t="s">
        <v>44</v>
      </c>
      <c r="D198" s="27"/>
      <c r="E198" s="27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</row>
    <row r="199" spans="1:16" ht="14.4" x14ac:dyDescent="0.3">
      <c r="A199" s="14" t="s">
        <v>45</v>
      </c>
      <c r="B199" s="14"/>
      <c r="C199" s="16"/>
      <c r="D199" s="28"/>
      <c r="E199" s="28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28"/>
    </row>
    <row r="200" spans="1:16" ht="14.4" x14ac:dyDescent="0.3">
      <c r="A200" s="14" t="s">
        <v>46</v>
      </c>
      <c r="B200" s="14"/>
      <c r="C200" s="16" t="s">
        <v>19</v>
      </c>
      <c r="D200" s="20">
        <v>0</v>
      </c>
      <c r="E200" s="20">
        <v>0</v>
      </c>
      <c r="F200" s="20">
        <v>0</v>
      </c>
      <c r="G200" s="20">
        <v>0</v>
      </c>
      <c r="H200" s="20">
        <v>0</v>
      </c>
      <c r="I200" s="20">
        <v>0</v>
      </c>
      <c r="J200" s="20">
        <v>0</v>
      </c>
      <c r="K200" s="20">
        <v>0</v>
      </c>
      <c r="L200" s="20">
        <v>0</v>
      </c>
      <c r="M200" s="20">
        <v>0</v>
      </c>
      <c r="N200" s="20">
        <v>0</v>
      </c>
      <c r="O200" s="20">
        <v>0</v>
      </c>
      <c r="P200" s="20">
        <v>0</v>
      </c>
    </row>
    <row r="201" spans="1:16" ht="14.4" x14ac:dyDescent="0.3">
      <c r="A201" s="14" t="s">
        <v>47</v>
      </c>
      <c r="B201" s="14"/>
      <c r="C201" s="16"/>
      <c r="D201" s="24"/>
      <c r="E201" s="24"/>
      <c r="F201" s="24"/>
      <c r="G201" s="24"/>
      <c r="H201" s="24"/>
      <c r="I201" s="24"/>
      <c r="J201" s="24"/>
      <c r="K201" s="24"/>
      <c r="L201" s="24"/>
      <c r="M201" s="24"/>
      <c r="N201" s="24"/>
      <c r="O201" s="24"/>
      <c r="P201" s="24"/>
    </row>
    <row r="202" spans="1:16" ht="14.4" x14ac:dyDescent="0.3">
      <c r="A202" s="18" t="s">
        <v>48</v>
      </c>
      <c r="B202" s="18"/>
      <c r="C202" s="16" t="s">
        <v>19</v>
      </c>
      <c r="D202" s="20">
        <f t="shared" ref="D202:P206" si="14">D160</f>
        <v>0.15609999999999999</v>
      </c>
      <c r="E202" s="20">
        <f t="shared" si="14"/>
        <v>0.15609999999999999</v>
      </c>
      <c r="F202" s="20">
        <f t="shared" si="14"/>
        <v>0.15609999999999999</v>
      </c>
      <c r="G202" s="20">
        <f t="shared" si="14"/>
        <v>0.15609999999999999</v>
      </c>
      <c r="H202" s="20">
        <f t="shared" si="14"/>
        <v>0.15609999999999999</v>
      </c>
      <c r="I202" s="20">
        <f t="shared" si="14"/>
        <v>0.15609999999999999</v>
      </c>
      <c r="J202" s="20">
        <f t="shared" si="14"/>
        <v>0.15609999999999999</v>
      </c>
      <c r="K202" s="20">
        <f t="shared" si="14"/>
        <v>0.15609999999999999</v>
      </c>
      <c r="L202" s="20">
        <f t="shared" si="14"/>
        <v>0.15609999999999999</v>
      </c>
      <c r="M202" s="20">
        <f t="shared" si="14"/>
        <v>0.15609999999999999</v>
      </c>
      <c r="N202" s="20">
        <f t="shared" si="14"/>
        <v>0.15609999999999999</v>
      </c>
      <c r="O202" s="20">
        <f t="shared" si="14"/>
        <v>0.15609999999999999</v>
      </c>
      <c r="P202" s="20">
        <f t="shared" si="14"/>
        <v>0.15609999999999999</v>
      </c>
    </row>
    <row r="203" spans="1:16" ht="14.4" x14ac:dyDescent="0.3">
      <c r="A203" s="18" t="s">
        <v>49</v>
      </c>
      <c r="B203" s="18"/>
      <c r="C203" s="16" t="s">
        <v>19</v>
      </c>
      <c r="D203" s="20">
        <f t="shared" si="14"/>
        <v>2.5000000000000001E-3</v>
      </c>
      <c r="E203" s="20">
        <f t="shared" si="14"/>
        <v>2.5000000000000001E-3</v>
      </c>
      <c r="F203" s="20">
        <f t="shared" si="14"/>
        <v>2.5000000000000001E-3</v>
      </c>
      <c r="G203" s="20">
        <f t="shared" si="14"/>
        <v>2.5000000000000001E-3</v>
      </c>
      <c r="H203" s="20">
        <f t="shared" si="14"/>
        <v>2.5000000000000001E-3</v>
      </c>
      <c r="I203" s="20">
        <f t="shared" si="14"/>
        <v>2.5000000000000001E-3</v>
      </c>
      <c r="J203" s="20">
        <f t="shared" si="14"/>
        <v>2.5000000000000001E-3</v>
      </c>
      <c r="K203" s="20">
        <f t="shared" si="14"/>
        <v>2.5000000000000001E-3</v>
      </c>
      <c r="L203" s="20">
        <f t="shared" si="14"/>
        <v>2.5000000000000001E-3</v>
      </c>
      <c r="M203" s="20">
        <f t="shared" si="14"/>
        <v>2.5000000000000001E-3</v>
      </c>
      <c r="N203" s="20">
        <f t="shared" si="14"/>
        <v>2.5000000000000001E-3</v>
      </c>
      <c r="O203" s="20">
        <f t="shared" si="14"/>
        <v>2.5000000000000001E-3</v>
      </c>
      <c r="P203" s="20">
        <f t="shared" si="14"/>
        <v>2.5000000000000001E-3</v>
      </c>
    </row>
    <row r="204" spans="1:16" ht="14.4" x14ac:dyDescent="0.3">
      <c r="A204" s="18" t="s">
        <v>111</v>
      </c>
      <c r="B204" s="18"/>
      <c r="C204" s="16" t="s">
        <v>19</v>
      </c>
      <c r="D204" s="20">
        <f t="shared" si="14"/>
        <v>0.1938</v>
      </c>
      <c r="E204" s="20">
        <f t="shared" si="14"/>
        <v>0.1938</v>
      </c>
      <c r="F204" s="20">
        <f t="shared" si="14"/>
        <v>0.1938</v>
      </c>
      <c r="G204" s="20">
        <f t="shared" si="14"/>
        <v>0.1938</v>
      </c>
      <c r="H204" s="20">
        <f t="shared" si="14"/>
        <v>0.1938</v>
      </c>
      <c r="I204" s="20">
        <f t="shared" si="14"/>
        <v>0.1938</v>
      </c>
      <c r="J204" s="20">
        <f t="shared" si="14"/>
        <v>0.1938</v>
      </c>
      <c r="K204" s="20">
        <f t="shared" si="14"/>
        <v>0.1938</v>
      </c>
      <c r="L204" s="20">
        <f t="shared" si="14"/>
        <v>0.1938</v>
      </c>
      <c r="M204" s="20">
        <f t="shared" si="14"/>
        <v>0.1938</v>
      </c>
      <c r="N204" s="20">
        <f t="shared" si="14"/>
        <v>0.1938</v>
      </c>
      <c r="O204" s="20">
        <f t="shared" si="14"/>
        <v>0.1938</v>
      </c>
      <c r="P204" s="20">
        <f t="shared" si="14"/>
        <v>0.1938</v>
      </c>
    </row>
    <row r="205" spans="1:16" ht="14.4" x14ac:dyDescent="0.3">
      <c r="A205" s="18" t="s">
        <v>112</v>
      </c>
      <c r="B205" s="18"/>
      <c r="C205" s="16" t="s">
        <v>19</v>
      </c>
      <c r="D205" s="42">
        <f>D163</f>
        <v>0</v>
      </c>
      <c r="E205" s="42">
        <f t="shared" si="14"/>
        <v>0</v>
      </c>
      <c r="F205" s="42">
        <f t="shared" si="14"/>
        <v>0</v>
      </c>
      <c r="G205" s="42">
        <f t="shared" si="14"/>
        <v>0</v>
      </c>
      <c r="H205" s="42">
        <f t="shared" si="14"/>
        <v>0</v>
      </c>
      <c r="I205" s="42">
        <f t="shared" si="14"/>
        <v>0</v>
      </c>
      <c r="J205" s="42">
        <f t="shared" si="14"/>
        <v>0</v>
      </c>
      <c r="K205" s="42">
        <f t="shared" si="14"/>
        <v>2.6499999999999999E-2</v>
      </c>
      <c r="L205" s="42">
        <f t="shared" si="14"/>
        <v>2.6499999999999999E-2</v>
      </c>
      <c r="M205" s="42">
        <f t="shared" si="14"/>
        <v>2.6499999999999999E-2</v>
      </c>
      <c r="N205" s="42">
        <f t="shared" si="14"/>
        <v>2.6499999999999999E-2</v>
      </c>
      <c r="O205" s="42">
        <f t="shared" si="14"/>
        <v>2.6499999999999999E-2</v>
      </c>
      <c r="P205" s="42">
        <f t="shared" si="14"/>
        <v>2.6499999999999999E-2</v>
      </c>
    </row>
    <row r="206" spans="1:16" ht="14.4" x14ac:dyDescent="0.3">
      <c r="A206" s="14" t="s">
        <v>51</v>
      </c>
      <c r="B206" s="14"/>
      <c r="C206" s="16" t="s">
        <v>19</v>
      </c>
      <c r="D206" s="20">
        <f>D164</f>
        <v>0.124</v>
      </c>
      <c r="E206" s="20">
        <f t="shared" si="14"/>
        <v>0.124</v>
      </c>
      <c r="F206" s="20">
        <f t="shared" si="14"/>
        <v>0.124</v>
      </c>
      <c r="G206" s="20">
        <f t="shared" si="14"/>
        <v>0.124</v>
      </c>
      <c r="H206" s="20">
        <f t="shared" si="14"/>
        <v>0.124</v>
      </c>
      <c r="I206" s="20">
        <f>I164</f>
        <v>0.183</v>
      </c>
      <c r="J206" s="20">
        <f t="shared" si="14"/>
        <v>0.183</v>
      </c>
      <c r="K206" s="20">
        <f t="shared" si="14"/>
        <v>0.183</v>
      </c>
      <c r="L206" s="20">
        <f t="shared" si="14"/>
        <v>0.183</v>
      </c>
      <c r="M206" s="20">
        <f t="shared" si="14"/>
        <v>0.183</v>
      </c>
      <c r="N206" s="20">
        <f t="shared" si="14"/>
        <v>0.183</v>
      </c>
      <c r="O206" s="20">
        <f t="shared" si="14"/>
        <v>0.183</v>
      </c>
      <c r="P206" s="20">
        <f t="shared" si="14"/>
        <v>0.183</v>
      </c>
    </row>
    <row r="207" spans="1:16" ht="14.4" x14ac:dyDescent="0.3">
      <c r="A207" s="14" t="s">
        <v>52</v>
      </c>
      <c r="B207" s="14"/>
      <c r="C207" s="29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</row>
    <row r="208" spans="1:16" ht="14.4" x14ac:dyDescent="0.3">
      <c r="A208" s="18" t="s">
        <v>53</v>
      </c>
      <c r="B208" s="18"/>
      <c r="C208" s="16" t="s">
        <v>44</v>
      </c>
      <c r="D208" s="30">
        <f>'[45]DU VAT'!D18</f>
        <v>0.10979999999999999</v>
      </c>
      <c r="E208" s="30">
        <f>'[45]DU VAT'!E18</f>
        <v>0.1118</v>
      </c>
      <c r="F208" s="30">
        <f>'[45]DU VAT'!F18</f>
        <v>0.10390000000000001</v>
      </c>
      <c r="G208" s="30">
        <f>'[45]DU VAT'!G18</f>
        <v>0.1095</v>
      </c>
      <c r="H208" s="30">
        <f>'[45]DU VAT'!H18</f>
        <v>0.1061</v>
      </c>
      <c r="I208" s="30">
        <f>'[45]DU VAT'!I18</f>
        <v>0.1137</v>
      </c>
      <c r="J208" s="30">
        <f>'[45]DU VAT'!J18</f>
        <v>0.1135</v>
      </c>
      <c r="K208" s="30">
        <f>'[45]DU VAT'!K18</f>
        <v>0.1162</v>
      </c>
      <c r="L208" s="30">
        <f>'[45]DU VAT'!L18</f>
        <v>0.1128</v>
      </c>
      <c r="M208" s="30">
        <f>'[45]DU VAT'!M18</f>
        <v>0.112</v>
      </c>
      <c r="N208" s="30">
        <f>'[45]DU VAT'!N18</f>
        <v>0.11219999999999999</v>
      </c>
      <c r="O208" s="30">
        <f>'[45]DU VAT'!O18</f>
        <v>0.1149</v>
      </c>
      <c r="P208" s="30" t="e">
        <f>'[45]DU VAT'!P18</f>
        <v>#DIV/0!</v>
      </c>
    </row>
    <row r="209" spans="1:16" ht="14.4" x14ac:dyDescent="0.3">
      <c r="A209" s="18" t="s">
        <v>54</v>
      </c>
      <c r="B209" s="18"/>
      <c r="C209" s="16" t="s">
        <v>44</v>
      </c>
      <c r="D209" s="30">
        <f>'[45]DU VAT'!D26</f>
        <v>5.5999999999999999E-3</v>
      </c>
      <c r="E209" s="30">
        <f>'[45]DU VAT'!E26</f>
        <v>6.3E-3</v>
      </c>
      <c r="F209" s="30">
        <f>'[45]DU VAT'!F26</f>
        <v>4.0000000000000001E-3</v>
      </c>
      <c r="G209" s="30">
        <f>'[45]DU VAT'!G26</f>
        <v>6.7999999999999996E-3</v>
      </c>
      <c r="H209" s="30">
        <f>'[45]DU VAT'!H26</f>
        <v>2.2700000000000001E-2</v>
      </c>
      <c r="I209" s="30">
        <f>'[45]DU VAT'!I26</f>
        <v>2.0400000000000001E-2</v>
      </c>
      <c r="J209" s="30">
        <f>'[45]DU VAT'!J26</f>
        <v>1.6799999999999999E-2</v>
      </c>
      <c r="K209" s="30">
        <f>'[45]DU VAT'!K26</f>
        <v>1.8200000000000001E-2</v>
      </c>
      <c r="L209" s="30">
        <f>'[45]DU VAT'!L26</f>
        <v>8.8999999999999999E-3</v>
      </c>
      <c r="M209" s="30">
        <f>'[45]DU VAT'!M26</f>
        <v>3.5999999999999999E-3</v>
      </c>
      <c r="N209" s="30">
        <f>'[45]DU VAT'!N26</f>
        <v>1.5599999999999999E-2</v>
      </c>
      <c r="O209" s="30">
        <f>'[45]DU VAT'!O26</f>
        <v>5.7999999999999996E-3</v>
      </c>
      <c r="P209" s="30" t="e">
        <f>'[45]DU VAT'!P26</f>
        <v>#DIV/0!</v>
      </c>
    </row>
    <row r="210" spans="1:16" ht="14.4" x14ac:dyDescent="0.3">
      <c r="A210" s="18" t="s">
        <v>55</v>
      </c>
      <c r="B210" s="18"/>
      <c r="C210" s="16" t="s">
        <v>44</v>
      </c>
      <c r="D210" s="30">
        <f>'[45]DU VAT'!D34</f>
        <v>9.1899999999999996E-2</v>
      </c>
      <c r="E210" s="30">
        <f>'[45]DU VAT'!E34</f>
        <v>9.3200000000000005E-2</v>
      </c>
      <c r="F210" s="30">
        <f>'[45]DU VAT'!F34</f>
        <v>8.8800000000000004E-2</v>
      </c>
      <c r="G210" s="30">
        <f>'[45]DU VAT'!G34</f>
        <v>9.4799999999999995E-2</v>
      </c>
      <c r="H210" s="30">
        <f>'[45]DU VAT'!H34</f>
        <v>9.3799999999999994E-2</v>
      </c>
      <c r="I210" s="30">
        <f>'[45]DU VAT'!I34</f>
        <v>9.9400000000000002E-2</v>
      </c>
      <c r="J210" s="30">
        <f>'[45]DU VAT'!J34</f>
        <v>9.9199999999999997E-2</v>
      </c>
      <c r="K210" s="30">
        <f>'[45]DU VAT'!K34</f>
        <v>0.1007</v>
      </c>
      <c r="L210" s="30">
        <f>'[45]DU VAT'!L34</f>
        <v>9.9000000000000005E-2</v>
      </c>
      <c r="M210" s="30">
        <f>'[45]DU VAT'!M34</f>
        <v>9.8699999999999996E-2</v>
      </c>
      <c r="N210" s="30">
        <f>'[45]DU VAT'!N34</f>
        <v>9.9299999999999999E-2</v>
      </c>
      <c r="O210" s="30">
        <f>'[45]DU VAT'!O34</f>
        <v>9.9900000000000003E-2</v>
      </c>
      <c r="P210" s="30" t="e">
        <f>'[45]DU VAT'!P34</f>
        <v>#DIV/0!</v>
      </c>
    </row>
    <row r="211" spans="1:16" ht="14.4" x14ac:dyDescent="0.3">
      <c r="A211" s="18" t="s">
        <v>56</v>
      </c>
      <c r="B211" s="18"/>
      <c r="C211" s="16" t="s">
        <v>44</v>
      </c>
      <c r="D211" s="30">
        <f t="shared" ref="D211:P212" si="15">D169</f>
        <v>0.12</v>
      </c>
      <c r="E211" s="30">
        <f t="shared" si="15"/>
        <v>0.12</v>
      </c>
      <c r="F211" s="30">
        <f t="shared" si="15"/>
        <v>0.12</v>
      </c>
      <c r="G211" s="30">
        <f t="shared" si="15"/>
        <v>0.12</v>
      </c>
      <c r="H211" s="30">
        <f t="shared" si="15"/>
        <v>0.12</v>
      </c>
      <c r="I211" s="30">
        <f t="shared" si="15"/>
        <v>0.12</v>
      </c>
      <c r="J211" s="30">
        <f t="shared" si="15"/>
        <v>0.12</v>
      </c>
      <c r="K211" s="30">
        <f t="shared" si="15"/>
        <v>0.12</v>
      </c>
      <c r="L211" s="30">
        <f t="shared" si="15"/>
        <v>0.12</v>
      </c>
      <c r="M211" s="30">
        <f t="shared" si="15"/>
        <v>0.12</v>
      </c>
      <c r="N211" s="30">
        <f t="shared" si="15"/>
        <v>0.12</v>
      </c>
      <c r="O211" s="30">
        <f t="shared" si="15"/>
        <v>0.12</v>
      </c>
      <c r="P211" s="30">
        <f t="shared" si="15"/>
        <v>0.12</v>
      </c>
    </row>
    <row r="212" spans="1:16" ht="14.4" x14ac:dyDescent="0.3">
      <c r="A212" s="18" t="s">
        <v>57</v>
      </c>
      <c r="B212" s="18"/>
      <c r="C212" s="16" t="s">
        <v>44</v>
      </c>
      <c r="D212" s="30">
        <f t="shared" si="15"/>
        <v>0.12</v>
      </c>
      <c r="E212" s="30">
        <f t="shared" si="15"/>
        <v>0.12</v>
      </c>
      <c r="F212" s="30">
        <f t="shared" si="15"/>
        <v>0.12</v>
      </c>
      <c r="G212" s="30">
        <f t="shared" si="15"/>
        <v>0.12</v>
      </c>
      <c r="H212" s="30">
        <f t="shared" si="15"/>
        <v>0.12</v>
      </c>
      <c r="I212" s="30">
        <f t="shared" si="15"/>
        <v>0.12</v>
      </c>
      <c r="J212" s="30">
        <f t="shared" si="15"/>
        <v>0.12</v>
      </c>
      <c r="K212" s="30">
        <f t="shared" si="15"/>
        <v>0.12</v>
      </c>
      <c r="L212" s="30">
        <f t="shared" si="15"/>
        <v>0.12</v>
      </c>
      <c r="M212" s="30">
        <f t="shared" si="15"/>
        <v>0.12</v>
      </c>
      <c r="N212" s="30">
        <f t="shared" si="15"/>
        <v>0.12</v>
      </c>
      <c r="O212" s="30">
        <f t="shared" si="15"/>
        <v>0.12</v>
      </c>
      <c r="P212" s="30">
        <f t="shared" si="15"/>
        <v>0.12</v>
      </c>
    </row>
    <row r="213" spans="1:16" s="5" customFormat="1" ht="14.4" x14ac:dyDescent="0.3">
      <c r="A213" s="55"/>
      <c r="B213" s="55"/>
      <c r="C213" s="56"/>
      <c r="D213" s="57"/>
      <c r="E213" s="57"/>
      <c r="F213" s="57"/>
      <c r="G213" s="57"/>
      <c r="H213" s="57"/>
      <c r="I213" s="57"/>
      <c r="J213" s="57"/>
      <c r="K213" s="57"/>
      <c r="L213" s="57"/>
      <c r="M213" s="57"/>
      <c r="N213" s="57"/>
      <c r="O213" s="57"/>
      <c r="P213" s="57"/>
    </row>
    <row r="214" spans="1:16" x14ac:dyDescent="0.3">
      <c r="A214" s="3" t="s">
        <v>58</v>
      </c>
    </row>
    <row r="216" spans="1:16" ht="18" x14ac:dyDescent="0.35">
      <c r="A216" s="59" t="str">
        <f>'[45]Statistical data'!A166</f>
        <v>General Power- Secondary</v>
      </c>
      <c r="B216" s="59"/>
      <c r="C216" s="5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</row>
    <row r="217" spans="1:16" s="13" customFormat="1" ht="14.4" x14ac:dyDescent="0.3">
      <c r="A217" s="11" t="s">
        <v>3</v>
      </c>
      <c r="B217" s="11"/>
      <c r="C217" s="11" t="s">
        <v>4</v>
      </c>
      <c r="D217" s="12" t="str">
        <f t="shared" ref="D217:P217" si="16">D175</f>
        <v>JAN</v>
      </c>
      <c r="E217" s="12" t="str">
        <f t="shared" si="16"/>
        <v>FEB</v>
      </c>
      <c r="F217" s="12" t="str">
        <f t="shared" si="16"/>
        <v>MAR</v>
      </c>
      <c r="G217" s="12" t="str">
        <f t="shared" si="16"/>
        <v>APR</v>
      </c>
      <c r="H217" s="12" t="str">
        <f t="shared" si="16"/>
        <v>MAY</v>
      </c>
      <c r="I217" s="12" t="str">
        <f t="shared" si="16"/>
        <v>JUN</v>
      </c>
      <c r="J217" s="12" t="str">
        <f t="shared" si="16"/>
        <v>JUL</v>
      </c>
      <c r="K217" s="12" t="str">
        <f t="shared" si="16"/>
        <v>AUG</v>
      </c>
      <c r="L217" s="12" t="str">
        <f t="shared" si="16"/>
        <v>SEP</v>
      </c>
      <c r="M217" s="12" t="str">
        <f t="shared" si="16"/>
        <v>OCT</v>
      </c>
      <c r="N217" s="12" t="str">
        <f t="shared" si="16"/>
        <v>NOV</v>
      </c>
      <c r="O217" s="12" t="str">
        <f t="shared" si="16"/>
        <v>DEC</v>
      </c>
      <c r="P217" s="12" t="str">
        <f t="shared" si="16"/>
        <v>JAN</v>
      </c>
    </row>
    <row r="218" spans="1:16" ht="14.4" x14ac:dyDescent="0.3">
      <c r="A218" s="14" t="s">
        <v>17</v>
      </c>
      <c r="B218" s="15"/>
      <c r="C218" s="16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</row>
    <row r="219" spans="1:16" ht="14.4" x14ac:dyDescent="0.3">
      <c r="A219" s="18" t="s">
        <v>18</v>
      </c>
      <c r="B219" s="19"/>
      <c r="C219" s="16" t="s">
        <v>19</v>
      </c>
      <c r="D219" s="52" t="s">
        <v>59</v>
      </c>
      <c r="E219" s="52" t="s">
        <v>59</v>
      </c>
      <c r="F219" s="52" t="s">
        <v>59</v>
      </c>
      <c r="G219" s="52" t="s">
        <v>59</v>
      </c>
      <c r="H219" s="52" t="s">
        <v>59</v>
      </c>
      <c r="I219" s="52" t="s">
        <v>59</v>
      </c>
      <c r="J219" s="52" t="s">
        <v>59</v>
      </c>
      <c r="K219" s="52" t="s">
        <v>59</v>
      </c>
      <c r="L219" s="52" t="s">
        <v>59</v>
      </c>
      <c r="M219" s="52" t="s">
        <v>59</v>
      </c>
      <c r="N219" s="52" t="s">
        <v>59</v>
      </c>
      <c r="O219" s="52" t="s">
        <v>59</v>
      </c>
      <c r="P219" s="52" t="s">
        <v>59</v>
      </c>
    </row>
    <row r="220" spans="1:16" ht="14.4" x14ac:dyDescent="0.3">
      <c r="A220" s="14" t="s">
        <v>20</v>
      </c>
      <c r="B220" s="15"/>
      <c r="C220" s="16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</row>
    <row r="221" spans="1:16" ht="14.4" x14ac:dyDescent="0.3">
      <c r="A221" s="18" t="s">
        <v>21</v>
      </c>
      <c r="B221" s="19"/>
      <c r="C221" s="16" t="s">
        <v>19</v>
      </c>
      <c r="D221" s="20">
        <v>0</v>
      </c>
      <c r="E221" s="20">
        <v>0</v>
      </c>
      <c r="F221" s="20">
        <v>0</v>
      </c>
      <c r="G221" s="20">
        <v>0</v>
      </c>
      <c r="H221" s="20">
        <v>0</v>
      </c>
      <c r="I221" s="20">
        <v>0</v>
      </c>
      <c r="J221" s="20">
        <v>0</v>
      </c>
      <c r="K221" s="20">
        <v>0</v>
      </c>
      <c r="L221" s="20">
        <v>0</v>
      </c>
      <c r="M221" s="20">
        <v>0</v>
      </c>
      <c r="N221" s="20">
        <v>0</v>
      </c>
      <c r="O221" s="20">
        <v>0</v>
      </c>
      <c r="P221" s="20">
        <v>0</v>
      </c>
    </row>
    <row r="222" spans="1:16" ht="14.4" x14ac:dyDescent="0.3">
      <c r="A222" s="18" t="s">
        <v>22</v>
      </c>
      <c r="B222" s="19"/>
      <c r="C222" s="16" t="s">
        <v>23</v>
      </c>
      <c r="D222" s="20">
        <f>[45]TR!D67</f>
        <v>260.65199999999999</v>
      </c>
      <c r="E222" s="20">
        <f>[45]TR!E67</f>
        <v>296.06200000000001</v>
      </c>
      <c r="F222" s="20">
        <f>[45]TR!F67</f>
        <v>291.96199999999999</v>
      </c>
      <c r="G222" s="20">
        <f>[45]TR!G67</f>
        <v>284.262</v>
      </c>
      <c r="H222" s="20">
        <f>[45]TR!H67</f>
        <v>287.16199999999998</v>
      </c>
      <c r="I222" s="20">
        <f>[45]TR!I67</f>
        <v>254.41059999999999</v>
      </c>
      <c r="J222" s="20">
        <f>[45]TR!J67</f>
        <v>253.18950000000001</v>
      </c>
      <c r="K222" s="20">
        <f>[45]TR!K67</f>
        <v>267.70569999999998</v>
      </c>
      <c r="L222" s="20">
        <f>[45]TR!L67</f>
        <v>255.41300000000001</v>
      </c>
      <c r="M222" s="20">
        <f>[45]TR!M67</f>
        <v>226.583</v>
      </c>
      <c r="N222" s="20">
        <f>[45]TR!N67</f>
        <v>260.74299999999999</v>
      </c>
      <c r="O222" s="20">
        <f>[45]TR!O67</f>
        <v>246.62</v>
      </c>
      <c r="P222" s="20">
        <f>[45]TR!P67</f>
        <v>0</v>
      </c>
    </row>
    <row r="223" spans="1:16" ht="14.4" x14ac:dyDescent="0.3">
      <c r="A223" s="14" t="s">
        <v>24</v>
      </c>
      <c r="B223" s="15"/>
      <c r="C223" s="16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</row>
    <row r="224" spans="1:16" ht="14.4" x14ac:dyDescent="0.3">
      <c r="A224" s="18" t="s">
        <v>25</v>
      </c>
      <c r="B224" s="19"/>
      <c r="C224" s="16" t="s">
        <v>19</v>
      </c>
      <c r="D224" s="20">
        <f>[45]SLR!D73</f>
        <v>0.38219999999999998</v>
      </c>
      <c r="E224" s="20">
        <f>[45]SLR!E73</f>
        <v>0.43809999999999999</v>
      </c>
      <c r="F224" s="20">
        <f>[45]SLR!F73</f>
        <v>0.48199999999999998</v>
      </c>
      <c r="G224" s="20">
        <f>[45]SLR!G73</f>
        <v>0.50070000000000003</v>
      </c>
      <c r="H224" s="20">
        <f>[45]SLR!H73</f>
        <v>0.47420000000000001</v>
      </c>
      <c r="I224" s="20">
        <f>[45]SLR!I73</f>
        <v>0.2666</v>
      </c>
      <c r="J224" s="20">
        <f>[45]SLR!J73</f>
        <v>0.27100000000000002</v>
      </c>
      <c r="K224" s="20">
        <f>[45]SLR!K73</f>
        <v>0.27160000000000001</v>
      </c>
      <c r="L224" s="20">
        <f>[45]SLR!L73</f>
        <v>0.53139999999999998</v>
      </c>
      <c r="M224" s="20">
        <f>[45]SLR!M73</f>
        <v>0.44500000000000001</v>
      </c>
      <c r="N224" s="20">
        <f>[45]SLR!N73</f>
        <v>0.46439999999999998</v>
      </c>
      <c r="O224" s="20">
        <f>[45]SLR!O73</f>
        <v>0.43690000000000001</v>
      </c>
      <c r="P224" s="20" t="e">
        <f>[45]SLR!P73</f>
        <v>#DIV/0!</v>
      </c>
    </row>
    <row r="225" spans="1:16" ht="14.4" x14ac:dyDescent="0.3">
      <c r="A225" s="14" t="s">
        <v>26</v>
      </c>
      <c r="B225" s="14"/>
      <c r="C225" s="16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</row>
    <row r="226" spans="1:16" ht="14.4" x14ac:dyDescent="0.3">
      <c r="A226" s="18" t="s">
        <v>27</v>
      </c>
      <c r="B226" s="18"/>
      <c r="C226" s="16" t="s">
        <v>19</v>
      </c>
      <c r="D226" s="20">
        <v>0.1368</v>
      </c>
      <c r="E226" s="20">
        <v>0.1368</v>
      </c>
      <c r="F226" s="20">
        <v>0.1368</v>
      </c>
      <c r="G226" s="20">
        <v>0.1368</v>
      </c>
      <c r="H226" s="20">
        <v>0.1368</v>
      </c>
      <c r="I226" s="20">
        <v>0.1368</v>
      </c>
      <c r="J226" s="20">
        <v>0.1368</v>
      </c>
      <c r="K226" s="20">
        <v>0.1368</v>
      </c>
      <c r="L226" s="20">
        <v>0.1368</v>
      </c>
      <c r="M226" s="20">
        <v>0.1368</v>
      </c>
      <c r="N226" s="20">
        <v>0.1368</v>
      </c>
      <c r="O226" s="20">
        <v>0.1368</v>
      </c>
      <c r="P226" s="20">
        <v>0.1368</v>
      </c>
    </row>
    <row r="227" spans="1:16" ht="14.4" x14ac:dyDescent="0.3">
      <c r="A227" s="18" t="s">
        <v>28</v>
      </c>
      <c r="B227" s="18"/>
      <c r="C227" s="16" t="s">
        <v>23</v>
      </c>
      <c r="D227" s="23">
        <v>237.15</v>
      </c>
      <c r="E227" s="23">
        <v>237.15</v>
      </c>
      <c r="F227" s="23">
        <v>237.15</v>
      </c>
      <c r="G227" s="23">
        <v>237.15</v>
      </c>
      <c r="H227" s="23">
        <v>237.15</v>
      </c>
      <c r="I227" s="23">
        <v>237.15</v>
      </c>
      <c r="J227" s="23">
        <v>237.15</v>
      </c>
      <c r="K227" s="23">
        <v>237.15</v>
      </c>
      <c r="L227" s="23">
        <v>237.15</v>
      </c>
      <c r="M227" s="23">
        <v>237.15</v>
      </c>
      <c r="N227" s="23">
        <v>237.15</v>
      </c>
      <c r="O227" s="23">
        <v>237.15</v>
      </c>
      <c r="P227" s="23">
        <v>237.15</v>
      </c>
    </row>
    <row r="228" spans="1:16" ht="14.4" x14ac:dyDescent="0.3">
      <c r="A228" s="14" t="s">
        <v>29</v>
      </c>
      <c r="B228" s="14"/>
      <c r="C228" s="16"/>
      <c r="D228" s="24"/>
      <c r="E228" s="24"/>
      <c r="F228" s="24"/>
      <c r="G228" s="24"/>
      <c r="H228" s="24"/>
      <c r="I228" s="24"/>
      <c r="J228" s="24"/>
      <c r="K228" s="24"/>
      <c r="L228" s="24"/>
      <c r="M228" s="24"/>
      <c r="N228" s="24"/>
      <c r="O228" s="24"/>
      <c r="P228" s="24"/>
    </row>
    <row r="229" spans="1:16" ht="14.4" x14ac:dyDescent="0.3">
      <c r="A229" s="18" t="s">
        <v>30</v>
      </c>
      <c r="B229" s="18"/>
      <c r="C229" s="16" t="s">
        <v>19</v>
      </c>
      <c r="D229" s="52" t="s">
        <v>61</v>
      </c>
      <c r="E229" s="52" t="s">
        <v>61</v>
      </c>
      <c r="F229" s="52" t="s">
        <v>61</v>
      </c>
      <c r="G229" s="52" t="s">
        <v>61</v>
      </c>
      <c r="H229" s="52" t="s">
        <v>61</v>
      </c>
      <c r="I229" s="52" t="s">
        <v>61</v>
      </c>
      <c r="J229" s="52" t="s">
        <v>61</v>
      </c>
      <c r="K229" s="52" t="s">
        <v>61</v>
      </c>
      <c r="L229" s="52" t="s">
        <v>61</v>
      </c>
      <c r="M229" s="52" t="s">
        <v>61</v>
      </c>
      <c r="N229" s="52" t="s">
        <v>61</v>
      </c>
      <c r="O229" s="52" t="s">
        <v>61</v>
      </c>
      <c r="P229" s="52" t="s">
        <v>61</v>
      </c>
    </row>
    <row r="230" spans="1:16" ht="14.4" x14ac:dyDescent="0.3">
      <c r="A230" s="18" t="s">
        <v>31</v>
      </c>
      <c r="B230" s="18"/>
      <c r="C230" s="16" t="s">
        <v>32</v>
      </c>
      <c r="D230" s="52" t="s">
        <v>62</v>
      </c>
      <c r="E230" s="52" t="s">
        <v>62</v>
      </c>
      <c r="F230" s="52" t="s">
        <v>62</v>
      </c>
      <c r="G230" s="52" t="s">
        <v>62</v>
      </c>
      <c r="H230" s="52" t="s">
        <v>62</v>
      </c>
      <c r="I230" s="52" t="s">
        <v>62</v>
      </c>
      <c r="J230" s="52" t="s">
        <v>62</v>
      </c>
      <c r="K230" s="52" t="s">
        <v>62</v>
      </c>
      <c r="L230" s="52" t="s">
        <v>62</v>
      </c>
      <c r="M230" s="52" t="s">
        <v>62</v>
      </c>
      <c r="N230" s="52" t="s">
        <v>62</v>
      </c>
      <c r="O230" s="52" t="s">
        <v>62</v>
      </c>
      <c r="P230" s="52" t="s">
        <v>62</v>
      </c>
    </row>
    <row r="231" spans="1:16" ht="14.4" x14ac:dyDescent="0.3">
      <c r="A231" s="14" t="s">
        <v>33</v>
      </c>
      <c r="B231" s="14"/>
      <c r="C231" s="16"/>
      <c r="D231" s="24"/>
      <c r="E231" s="24"/>
      <c r="F231" s="24"/>
      <c r="G231" s="24"/>
      <c r="H231" s="24"/>
      <c r="I231" s="24"/>
      <c r="J231" s="24"/>
      <c r="K231" s="24"/>
      <c r="L231" s="24"/>
      <c r="M231" s="24"/>
      <c r="N231" s="24"/>
      <c r="O231" s="24"/>
      <c r="P231" s="24"/>
    </row>
    <row r="232" spans="1:16" ht="14.4" x14ac:dyDescent="0.3">
      <c r="A232" s="18" t="s">
        <v>34</v>
      </c>
      <c r="B232" s="18"/>
      <c r="C232" s="16" t="s">
        <v>19</v>
      </c>
      <c r="D232" s="20">
        <v>0</v>
      </c>
      <c r="E232" s="20">
        <v>0</v>
      </c>
      <c r="F232" s="20">
        <v>0</v>
      </c>
      <c r="G232" s="20">
        <v>0</v>
      </c>
      <c r="H232" s="20">
        <v>0</v>
      </c>
      <c r="I232" s="20">
        <v>0</v>
      </c>
      <c r="J232" s="20">
        <v>0</v>
      </c>
      <c r="K232" s="20">
        <v>0</v>
      </c>
      <c r="L232" s="20">
        <v>0</v>
      </c>
      <c r="M232" s="20">
        <v>0</v>
      </c>
      <c r="N232" s="20">
        <v>0</v>
      </c>
      <c r="O232" s="20">
        <v>0</v>
      </c>
      <c r="P232" s="20">
        <v>0</v>
      </c>
    </row>
    <row r="233" spans="1:16" ht="14.4" x14ac:dyDescent="0.3">
      <c r="A233" s="18" t="s">
        <v>35</v>
      </c>
      <c r="B233" s="18"/>
      <c r="C233" s="16" t="s">
        <v>36</v>
      </c>
      <c r="D233" s="52" t="s">
        <v>63</v>
      </c>
      <c r="E233" s="52" t="s">
        <v>63</v>
      </c>
      <c r="F233" s="52" t="s">
        <v>63</v>
      </c>
      <c r="G233" s="52" t="s">
        <v>63</v>
      </c>
      <c r="H233" s="52" t="s">
        <v>63</v>
      </c>
      <c r="I233" s="52" t="s">
        <v>63</v>
      </c>
      <c r="J233" s="52" t="s">
        <v>63</v>
      </c>
      <c r="K233" s="52" t="s">
        <v>63</v>
      </c>
      <c r="L233" s="52" t="s">
        <v>63</v>
      </c>
      <c r="M233" s="52" t="s">
        <v>63</v>
      </c>
      <c r="N233" s="52" t="s">
        <v>63</v>
      </c>
      <c r="O233" s="52" t="s">
        <v>63</v>
      </c>
      <c r="P233" s="52" t="s">
        <v>63</v>
      </c>
    </row>
    <row r="234" spans="1:16" ht="14.4" x14ac:dyDescent="0.3">
      <c r="A234" s="14" t="s">
        <v>37</v>
      </c>
      <c r="B234" s="14"/>
      <c r="C234" s="16"/>
      <c r="D234" s="24"/>
      <c r="E234" s="24"/>
      <c r="F234" s="24"/>
      <c r="G234" s="24"/>
      <c r="H234" s="24"/>
      <c r="I234" s="24"/>
      <c r="J234" s="24"/>
      <c r="K234" s="24"/>
      <c r="L234" s="24"/>
      <c r="M234" s="24"/>
      <c r="N234" s="24"/>
      <c r="O234" s="24"/>
      <c r="P234" s="24"/>
    </row>
    <row r="235" spans="1:16" ht="14.4" x14ac:dyDescent="0.3">
      <c r="A235" s="25" t="s">
        <v>38</v>
      </c>
      <c r="B235" s="18"/>
      <c r="C235" s="16" t="s">
        <v>19</v>
      </c>
      <c r="D235" s="20">
        <f>[45]LD!E31</f>
        <v>8.8499999999999995E-2</v>
      </c>
      <c r="E235" s="20">
        <f>[45]LD!F31</f>
        <v>8.8999999999999996E-2</v>
      </c>
      <c r="F235" s="20">
        <f>[45]LD!G31</f>
        <v>0.10780000000000001</v>
      </c>
      <c r="G235" s="20">
        <f>[45]LD!H31</f>
        <v>0.1246</v>
      </c>
      <c r="H235" s="20">
        <f>[45]LD!I31</f>
        <v>8.7999999999999995E-2</v>
      </c>
      <c r="I235" s="20">
        <f>[45]LD!J31</f>
        <v>5.9900000000000002E-2</v>
      </c>
      <c r="J235" s="20">
        <f>[45]LD!K31</f>
        <v>4.3099999999999999E-2</v>
      </c>
      <c r="K235" s="20">
        <f>[45]LD!L31</f>
        <v>5.4600000000000003E-2</v>
      </c>
      <c r="L235" s="20">
        <f>[45]LD!M31</f>
        <v>7.3800000000000004E-2</v>
      </c>
      <c r="M235" s="20">
        <f>[45]LD!N31</f>
        <v>7.2999999999999995E-2</v>
      </c>
      <c r="N235" s="20">
        <f>[45]LD!O31</f>
        <v>8.1799999999999998E-2</v>
      </c>
      <c r="O235" s="20">
        <f>[45]LD!P31</f>
        <v>8.5900000000000004E-2</v>
      </c>
      <c r="P235" s="20">
        <f>[45]LD!Q31</f>
        <v>0</v>
      </c>
    </row>
    <row r="236" spans="1:16" ht="14.4" x14ac:dyDescent="0.3">
      <c r="A236" s="25" t="s">
        <v>39</v>
      </c>
      <c r="B236" s="18"/>
      <c r="C236" s="16" t="s">
        <v>19</v>
      </c>
      <c r="D236" s="20">
        <v>0</v>
      </c>
      <c r="E236" s="20">
        <v>0</v>
      </c>
      <c r="F236" s="20">
        <v>0</v>
      </c>
      <c r="G236" s="20">
        <v>0</v>
      </c>
      <c r="H236" s="20">
        <v>0</v>
      </c>
      <c r="I236" s="20">
        <v>0</v>
      </c>
      <c r="J236" s="20">
        <v>0</v>
      </c>
      <c r="K236" s="20">
        <v>0</v>
      </c>
      <c r="L236" s="20">
        <v>0</v>
      </c>
      <c r="M236" s="20">
        <v>0</v>
      </c>
      <c r="N236" s="20">
        <v>0</v>
      </c>
      <c r="O236" s="20">
        <v>0</v>
      </c>
      <c r="P236" s="20">
        <v>0</v>
      </c>
    </row>
    <row r="237" spans="1:16" ht="14.4" x14ac:dyDescent="0.3">
      <c r="A237" s="26" t="s">
        <v>40</v>
      </c>
      <c r="B237" s="18"/>
      <c r="C237" s="16" t="s">
        <v>19</v>
      </c>
      <c r="D237" s="20">
        <f>'[45]SR CIT. SUBSIDY'!E95</f>
        <v>1E-4</v>
      </c>
      <c r="E237" s="20">
        <f>'[45]SR CIT. SUBSIDY'!F95</f>
        <v>1E-4</v>
      </c>
      <c r="F237" s="20">
        <f>'[45]SR CIT. SUBSIDY'!G95</f>
        <v>1E-4</v>
      </c>
      <c r="G237" s="20">
        <f>'[45]SR CIT. SUBSIDY'!H95</f>
        <v>1E-4</v>
      </c>
      <c r="H237" s="20">
        <f>'[45]SR CIT. SUBSIDY'!I95</f>
        <v>1E-4</v>
      </c>
      <c r="I237" s="20">
        <f>'[45]SR CIT. SUBSIDY'!J95</f>
        <v>-2.0000000000000001E-4</v>
      </c>
      <c r="J237" s="20">
        <f>'[45]SR CIT. SUBSIDY'!K95</f>
        <v>-2.0000000000000001E-4</v>
      </c>
      <c r="K237" s="20">
        <f>'[45]SR CIT. SUBSIDY'!L95</f>
        <v>-2.0000000000000001E-4</v>
      </c>
      <c r="L237" s="20">
        <f>'[45]SR CIT. SUBSIDY'!M95</f>
        <v>2.9999999999999997E-4</v>
      </c>
      <c r="M237" s="20">
        <f>'[45]SR CIT. SUBSIDY'!N95</f>
        <v>1E-4</v>
      </c>
      <c r="N237" s="20">
        <f>'[45]SR CIT. SUBSIDY'!O95</f>
        <v>1E-4</v>
      </c>
      <c r="O237" s="20">
        <f>'[45]SR CIT. SUBSIDY'!P95</f>
        <v>1E-4</v>
      </c>
      <c r="P237" s="20">
        <f>'[45]SR CIT. SUBSIDY'!Q95</f>
        <v>0</v>
      </c>
    </row>
    <row r="238" spans="1:16" ht="14.4" x14ac:dyDescent="0.3">
      <c r="A238" s="26" t="s">
        <v>41</v>
      </c>
      <c r="B238" s="18"/>
      <c r="C238" s="16" t="s">
        <v>19</v>
      </c>
      <c r="D238" s="20">
        <v>0</v>
      </c>
      <c r="E238" s="20">
        <v>0</v>
      </c>
      <c r="F238" s="20">
        <v>0</v>
      </c>
      <c r="G238" s="20">
        <v>0</v>
      </c>
      <c r="H238" s="20">
        <v>0</v>
      </c>
      <c r="I238" s="20">
        <v>0</v>
      </c>
      <c r="J238" s="20">
        <v>0</v>
      </c>
      <c r="K238" s="20">
        <v>0</v>
      </c>
      <c r="L238" s="20">
        <v>0</v>
      </c>
      <c r="M238" s="20">
        <v>0</v>
      </c>
      <c r="N238" s="20">
        <v>0</v>
      </c>
      <c r="O238" s="20">
        <v>0</v>
      </c>
      <c r="P238" s="20">
        <v>0</v>
      </c>
    </row>
    <row r="239" spans="1:16" ht="14.4" x14ac:dyDescent="0.3">
      <c r="A239" s="14" t="s">
        <v>42</v>
      </c>
      <c r="B239" s="14"/>
      <c r="C239" s="16"/>
      <c r="D239" s="24"/>
      <c r="E239" s="24"/>
      <c r="F239" s="24"/>
      <c r="G239" s="24"/>
      <c r="H239" s="24"/>
      <c r="I239" s="24"/>
      <c r="J239" s="24"/>
      <c r="K239" s="24"/>
      <c r="L239" s="24"/>
      <c r="M239" s="24"/>
      <c r="N239" s="24"/>
      <c r="O239" s="24"/>
      <c r="P239" s="24"/>
    </row>
    <row r="240" spans="1:16" ht="14.4" x14ac:dyDescent="0.3">
      <c r="A240" s="14" t="s">
        <v>43</v>
      </c>
      <c r="B240" s="14"/>
      <c r="C240" s="16" t="s">
        <v>44</v>
      </c>
      <c r="D240" s="27"/>
      <c r="E240" s="27"/>
      <c r="F240" s="27"/>
      <c r="G240" s="27"/>
      <c r="H240" s="27"/>
      <c r="I240" s="27"/>
      <c r="J240" s="27"/>
      <c r="K240" s="27"/>
      <c r="L240" s="27"/>
      <c r="M240" s="27"/>
      <c r="N240" s="27"/>
      <c r="O240" s="27"/>
      <c r="P240" s="27"/>
    </row>
    <row r="241" spans="1:16" ht="14.4" x14ac:dyDescent="0.3">
      <c r="A241" s="14" t="s">
        <v>45</v>
      </c>
      <c r="B241" s="14"/>
      <c r="C241" s="16"/>
      <c r="D241" s="28"/>
      <c r="E241" s="28"/>
      <c r="F241" s="28"/>
      <c r="G241" s="28"/>
      <c r="H241" s="28"/>
      <c r="I241" s="28"/>
      <c r="J241" s="28"/>
      <c r="K241" s="28"/>
      <c r="L241" s="28"/>
      <c r="M241" s="28"/>
      <c r="N241" s="28"/>
      <c r="O241" s="28"/>
      <c r="P241" s="28"/>
    </row>
    <row r="242" spans="1:16" ht="14.4" x14ac:dyDescent="0.3">
      <c r="A242" s="14" t="s">
        <v>46</v>
      </c>
      <c r="B242" s="14"/>
      <c r="C242" s="16" t="s">
        <v>19</v>
      </c>
      <c r="D242" s="20">
        <v>0</v>
      </c>
      <c r="E242" s="20">
        <v>0</v>
      </c>
      <c r="F242" s="20">
        <v>0</v>
      </c>
      <c r="G242" s="20">
        <v>0</v>
      </c>
      <c r="H242" s="20">
        <v>0</v>
      </c>
      <c r="I242" s="20">
        <v>0</v>
      </c>
      <c r="J242" s="20">
        <v>0</v>
      </c>
      <c r="K242" s="20">
        <v>0</v>
      </c>
      <c r="L242" s="20">
        <v>0</v>
      </c>
      <c r="M242" s="20">
        <v>0</v>
      </c>
      <c r="N242" s="20">
        <v>0</v>
      </c>
      <c r="O242" s="20">
        <v>0</v>
      </c>
      <c r="P242" s="20">
        <v>0</v>
      </c>
    </row>
    <row r="243" spans="1:16" ht="14.4" x14ac:dyDescent="0.3">
      <c r="A243" s="14" t="s">
        <v>47</v>
      </c>
      <c r="B243" s="14"/>
      <c r="C243" s="16"/>
      <c r="D243" s="24"/>
      <c r="E243" s="24"/>
      <c r="F243" s="24"/>
      <c r="G243" s="24"/>
      <c r="H243" s="24"/>
      <c r="I243" s="24"/>
      <c r="J243" s="24"/>
      <c r="K243" s="24"/>
      <c r="L243" s="24"/>
      <c r="M243" s="24"/>
      <c r="N243" s="24"/>
      <c r="O243" s="24"/>
      <c r="P243" s="24"/>
    </row>
    <row r="244" spans="1:16" ht="14.4" x14ac:dyDescent="0.3">
      <c r="A244" s="18" t="s">
        <v>48</v>
      </c>
      <c r="B244" s="18"/>
      <c r="C244" s="16" t="s">
        <v>19</v>
      </c>
      <c r="D244" s="20">
        <f t="shared" ref="D244:P248" si="17">D202</f>
        <v>0.15609999999999999</v>
      </c>
      <c r="E244" s="20">
        <f t="shared" si="17"/>
        <v>0.15609999999999999</v>
      </c>
      <c r="F244" s="20">
        <f t="shared" si="17"/>
        <v>0.15609999999999999</v>
      </c>
      <c r="G244" s="20">
        <f t="shared" si="17"/>
        <v>0.15609999999999999</v>
      </c>
      <c r="H244" s="20">
        <f t="shared" si="17"/>
        <v>0.15609999999999999</v>
      </c>
      <c r="I244" s="20">
        <f t="shared" si="17"/>
        <v>0.15609999999999999</v>
      </c>
      <c r="J244" s="20">
        <f t="shared" si="17"/>
        <v>0.15609999999999999</v>
      </c>
      <c r="K244" s="20">
        <f t="shared" si="17"/>
        <v>0.15609999999999999</v>
      </c>
      <c r="L244" s="20">
        <f t="shared" si="17"/>
        <v>0.15609999999999999</v>
      </c>
      <c r="M244" s="20">
        <f t="shared" si="17"/>
        <v>0.15609999999999999</v>
      </c>
      <c r="N244" s="20">
        <f t="shared" si="17"/>
        <v>0.15609999999999999</v>
      </c>
      <c r="O244" s="20">
        <f t="shared" si="17"/>
        <v>0.15609999999999999</v>
      </c>
      <c r="P244" s="20">
        <f t="shared" si="17"/>
        <v>0.15609999999999999</v>
      </c>
    </row>
    <row r="245" spans="1:16" ht="14.4" x14ac:dyDescent="0.3">
      <c r="A245" s="18" t="s">
        <v>49</v>
      </c>
      <c r="B245" s="18"/>
      <c r="C245" s="16" t="s">
        <v>19</v>
      </c>
      <c r="D245" s="20">
        <f t="shared" si="17"/>
        <v>2.5000000000000001E-3</v>
      </c>
      <c r="E245" s="20">
        <f t="shared" si="17"/>
        <v>2.5000000000000001E-3</v>
      </c>
      <c r="F245" s="20">
        <f t="shared" si="17"/>
        <v>2.5000000000000001E-3</v>
      </c>
      <c r="G245" s="20">
        <f t="shared" si="17"/>
        <v>2.5000000000000001E-3</v>
      </c>
      <c r="H245" s="20">
        <f t="shared" si="17"/>
        <v>2.5000000000000001E-3</v>
      </c>
      <c r="I245" s="20">
        <f t="shared" si="17"/>
        <v>2.5000000000000001E-3</v>
      </c>
      <c r="J245" s="20">
        <f t="shared" si="17"/>
        <v>2.5000000000000001E-3</v>
      </c>
      <c r="K245" s="20">
        <f t="shared" si="17"/>
        <v>2.5000000000000001E-3</v>
      </c>
      <c r="L245" s="20">
        <f t="shared" si="17"/>
        <v>2.5000000000000001E-3</v>
      </c>
      <c r="M245" s="20">
        <f t="shared" si="17"/>
        <v>2.5000000000000001E-3</v>
      </c>
      <c r="N245" s="20">
        <f t="shared" si="17"/>
        <v>2.5000000000000001E-3</v>
      </c>
      <c r="O245" s="20">
        <f t="shared" si="17"/>
        <v>2.5000000000000001E-3</v>
      </c>
      <c r="P245" s="20">
        <f t="shared" si="17"/>
        <v>2.5000000000000001E-3</v>
      </c>
    </row>
    <row r="246" spans="1:16" ht="14.4" x14ac:dyDescent="0.3">
      <c r="A246" s="18" t="s">
        <v>111</v>
      </c>
      <c r="B246" s="18"/>
      <c r="C246" s="16" t="s">
        <v>19</v>
      </c>
      <c r="D246" s="20">
        <f t="shared" si="17"/>
        <v>0.1938</v>
      </c>
      <c r="E246" s="20">
        <f t="shared" si="17"/>
        <v>0.1938</v>
      </c>
      <c r="F246" s="20">
        <f t="shared" si="17"/>
        <v>0.1938</v>
      </c>
      <c r="G246" s="20">
        <f t="shared" si="17"/>
        <v>0.1938</v>
      </c>
      <c r="H246" s="20">
        <f t="shared" si="17"/>
        <v>0.1938</v>
      </c>
      <c r="I246" s="20">
        <f t="shared" si="17"/>
        <v>0.1938</v>
      </c>
      <c r="J246" s="20">
        <f t="shared" si="17"/>
        <v>0.1938</v>
      </c>
      <c r="K246" s="20">
        <f t="shared" si="17"/>
        <v>0.1938</v>
      </c>
      <c r="L246" s="20">
        <f t="shared" si="17"/>
        <v>0.1938</v>
      </c>
      <c r="M246" s="20">
        <f t="shared" si="17"/>
        <v>0.1938</v>
      </c>
      <c r="N246" s="20">
        <f t="shared" si="17"/>
        <v>0.1938</v>
      </c>
      <c r="O246" s="20">
        <f t="shared" si="17"/>
        <v>0.1938</v>
      </c>
      <c r="P246" s="20">
        <f t="shared" si="17"/>
        <v>0.1938</v>
      </c>
    </row>
    <row r="247" spans="1:16" ht="14.4" x14ac:dyDescent="0.3">
      <c r="A247" s="18" t="s">
        <v>112</v>
      </c>
      <c r="B247" s="18"/>
      <c r="C247" s="16" t="s">
        <v>19</v>
      </c>
      <c r="D247" s="42">
        <f>D205</f>
        <v>0</v>
      </c>
      <c r="E247" s="42">
        <f t="shared" si="17"/>
        <v>0</v>
      </c>
      <c r="F247" s="42">
        <f t="shared" si="17"/>
        <v>0</v>
      </c>
      <c r="G247" s="42">
        <f t="shared" si="17"/>
        <v>0</v>
      </c>
      <c r="H247" s="42">
        <f t="shared" si="17"/>
        <v>0</v>
      </c>
      <c r="I247" s="42">
        <f t="shared" si="17"/>
        <v>0</v>
      </c>
      <c r="J247" s="42">
        <f t="shared" si="17"/>
        <v>0</v>
      </c>
      <c r="K247" s="42">
        <f t="shared" si="17"/>
        <v>2.6499999999999999E-2</v>
      </c>
      <c r="L247" s="42">
        <f t="shared" si="17"/>
        <v>2.6499999999999999E-2</v>
      </c>
      <c r="M247" s="42">
        <f t="shared" si="17"/>
        <v>2.6499999999999999E-2</v>
      </c>
      <c r="N247" s="42">
        <f t="shared" si="17"/>
        <v>2.6499999999999999E-2</v>
      </c>
      <c r="O247" s="42">
        <f t="shared" si="17"/>
        <v>2.6499999999999999E-2</v>
      </c>
      <c r="P247" s="42">
        <f t="shared" si="17"/>
        <v>2.6499999999999999E-2</v>
      </c>
    </row>
    <row r="248" spans="1:16" ht="14.4" x14ac:dyDescent="0.3">
      <c r="A248" s="14" t="s">
        <v>51</v>
      </c>
      <c r="B248" s="14"/>
      <c r="C248" s="16" t="s">
        <v>19</v>
      </c>
      <c r="D248" s="20">
        <f>D206</f>
        <v>0.124</v>
      </c>
      <c r="E248" s="20">
        <f t="shared" si="17"/>
        <v>0.124</v>
      </c>
      <c r="F248" s="20">
        <f t="shared" si="17"/>
        <v>0.124</v>
      </c>
      <c r="G248" s="20">
        <f t="shared" si="17"/>
        <v>0.124</v>
      </c>
      <c r="H248" s="20">
        <f t="shared" si="17"/>
        <v>0.124</v>
      </c>
      <c r="I248" s="20">
        <f t="shared" si="17"/>
        <v>0.183</v>
      </c>
      <c r="J248" s="20">
        <f t="shared" si="17"/>
        <v>0.183</v>
      </c>
      <c r="K248" s="20">
        <f t="shared" si="17"/>
        <v>0.183</v>
      </c>
      <c r="L248" s="20">
        <f t="shared" si="17"/>
        <v>0.183</v>
      </c>
      <c r="M248" s="20">
        <f t="shared" si="17"/>
        <v>0.183</v>
      </c>
      <c r="N248" s="20">
        <f t="shared" si="17"/>
        <v>0.183</v>
      </c>
      <c r="O248" s="20">
        <f t="shared" si="17"/>
        <v>0.183</v>
      </c>
      <c r="P248" s="20">
        <f t="shared" si="17"/>
        <v>0.183</v>
      </c>
    </row>
    <row r="249" spans="1:16" ht="14.4" x14ac:dyDescent="0.3">
      <c r="A249" s="14" t="s">
        <v>52</v>
      </c>
      <c r="B249" s="14"/>
      <c r="C249" s="29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</row>
    <row r="250" spans="1:16" ht="14.4" x14ac:dyDescent="0.3">
      <c r="A250" s="18" t="s">
        <v>53</v>
      </c>
      <c r="B250" s="18"/>
      <c r="C250" s="16" t="s">
        <v>44</v>
      </c>
      <c r="D250" s="30">
        <f>'[45]DU VAT'!D18</f>
        <v>0.10979999999999999</v>
      </c>
      <c r="E250" s="30">
        <f>'[45]DU VAT'!E18</f>
        <v>0.1118</v>
      </c>
      <c r="F250" s="30">
        <f>'[45]DU VAT'!F18</f>
        <v>0.10390000000000001</v>
      </c>
      <c r="G250" s="30">
        <f>'[45]DU VAT'!G18</f>
        <v>0.1095</v>
      </c>
      <c r="H250" s="30">
        <f>'[45]DU VAT'!H18</f>
        <v>0.1061</v>
      </c>
      <c r="I250" s="30">
        <f>'[45]DU VAT'!I18</f>
        <v>0.1137</v>
      </c>
      <c r="J250" s="30">
        <f>'[45]DU VAT'!J18</f>
        <v>0.1135</v>
      </c>
      <c r="K250" s="30">
        <f>'[45]DU VAT'!K18</f>
        <v>0.1162</v>
      </c>
      <c r="L250" s="30">
        <f>'[45]DU VAT'!L18</f>
        <v>0.1128</v>
      </c>
      <c r="M250" s="30">
        <f>'[45]DU VAT'!M18</f>
        <v>0.112</v>
      </c>
      <c r="N250" s="30">
        <f>'[45]DU VAT'!N18</f>
        <v>0.11219999999999999</v>
      </c>
      <c r="O250" s="30">
        <f>'[45]DU VAT'!O18</f>
        <v>0.1149</v>
      </c>
      <c r="P250" s="30" t="e">
        <f>'[45]DU VAT'!P18</f>
        <v>#DIV/0!</v>
      </c>
    </row>
    <row r="251" spans="1:16" ht="14.4" x14ac:dyDescent="0.3">
      <c r="A251" s="18" t="s">
        <v>54</v>
      </c>
      <c r="B251" s="18"/>
      <c r="C251" s="16" t="s">
        <v>44</v>
      </c>
      <c r="D251" s="30">
        <f>'[45]DU VAT'!D26</f>
        <v>5.5999999999999999E-3</v>
      </c>
      <c r="E251" s="30">
        <f>'[45]DU VAT'!E26</f>
        <v>6.3E-3</v>
      </c>
      <c r="F251" s="30">
        <f>'[45]DU VAT'!F26</f>
        <v>4.0000000000000001E-3</v>
      </c>
      <c r="G251" s="30">
        <f>'[45]DU VAT'!G26</f>
        <v>6.7999999999999996E-3</v>
      </c>
      <c r="H251" s="30">
        <f>'[45]DU VAT'!H26</f>
        <v>2.2700000000000001E-2</v>
      </c>
      <c r="I251" s="30">
        <f>'[45]DU VAT'!I26</f>
        <v>2.0400000000000001E-2</v>
      </c>
      <c r="J251" s="30">
        <f>'[45]DU VAT'!J26</f>
        <v>1.6799999999999999E-2</v>
      </c>
      <c r="K251" s="30">
        <f>'[45]DU VAT'!K26</f>
        <v>1.8200000000000001E-2</v>
      </c>
      <c r="L251" s="30">
        <f>'[45]DU VAT'!L26</f>
        <v>8.8999999999999999E-3</v>
      </c>
      <c r="M251" s="30">
        <f>'[45]DU VAT'!M26</f>
        <v>3.5999999999999999E-3</v>
      </c>
      <c r="N251" s="30">
        <f>'[45]DU VAT'!N26</f>
        <v>1.5599999999999999E-2</v>
      </c>
      <c r="O251" s="30">
        <f>'[45]DU VAT'!O26</f>
        <v>5.7999999999999996E-3</v>
      </c>
      <c r="P251" s="30" t="e">
        <f>'[45]DU VAT'!P26</f>
        <v>#DIV/0!</v>
      </c>
    </row>
    <row r="252" spans="1:16" ht="14.4" x14ac:dyDescent="0.3">
      <c r="A252" s="18" t="s">
        <v>55</v>
      </c>
      <c r="B252" s="18"/>
      <c r="C252" s="16" t="s">
        <v>44</v>
      </c>
      <c r="D252" s="30">
        <f>'[45]DU VAT'!D34</f>
        <v>9.1899999999999996E-2</v>
      </c>
      <c r="E252" s="30">
        <f>'[45]DU VAT'!E34</f>
        <v>9.3200000000000005E-2</v>
      </c>
      <c r="F252" s="30">
        <f>'[45]DU VAT'!F34</f>
        <v>8.8800000000000004E-2</v>
      </c>
      <c r="G252" s="30">
        <f>'[45]DU VAT'!G34</f>
        <v>9.4799999999999995E-2</v>
      </c>
      <c r="H252" s="30">
        <f>'[45]DU VAT'!H34</f>
        <v>9.3799999999999994E-2</v>
      </c>
      <c r="I252" s="30">
        <f>'[45]DU VAT'!I34</f>
        <v>9.9400000000000002E-2</v>
      </c>
      <c r="J252" s="30">
        <f>'[45]DU VAT'!J34</f>
        <v>9.9199999999999997E-2</v>
      </c>
      <c r="K252" s="30">
        <f>'[45]DU VAT'!K34</f>
        <v>0.1007</v>
      </c>
      <c r="L252" s="30">
        <f>'[45]DU VAT'!L34</f>
        <v>9.9000000000000005E-2</v>
      </c>
      <c r="M252" s="30">
        <f>'[45]DU VAT'!M34</f>
        <v>9.8699999999999996E-2</v>
      </c>
      <c r="N252" s="30">
        <f>'[45]DU VAT'!N34</f>
        <v>9.9299999999999999E-2</v>
      </c>
      <c r="O252" s="30">
        <f>'[45]DU VAT'!O34</f>
        <v>9.9900000000000003E-2</v>
      </c>
      <c r="P252" s="30" t="e">
        <f>'[45]DU VAT'!P34</f>
        <v>#DIV/0!</v>
      </c>
    </row>
    <row r="253" spans="1:16" ht="14.4" x14ac:dyDescent="0.3">
      <c r="A253" s="18" t="s">
        <v>56</v>
      </c>
      <c r="B253" s="18"/>
      <c r="C253" s="16" t="s">
        <v>44</v>
      </c>
      <c r="D253" s="30">
        <f t="shared" ref="D253:P254" si="18">D211</f>
        <v>0.12</v>
      </c>
      <c r="E253" s="30">
        <f t="shared" si="18"/>
        <v>0.12</v>
      </c>
      <c r="F253" s="30">
        <f t="shared" si="18"/>
        <v>0.12</v>
      </c>
      <c r="G253" s="30">
        <f t="shared" si="18"/>
        <v>0.12</v>
      </c>
      <c r="H253" s="30">
        <f t="shared" si="18"/>
        <v>0.12</v>
      </c>
      <c r="I253" s="30">
        <f t="shared" si="18"/>
        <v>0.12</v>
      </c>
      <c r="J253" s="30">
        <f t="shared" si="18"/>
        <v>0.12</v>
      </c>
      <c r="K253" s="30">
        <f t="shared" si="18"/>
        <v>0.12</v>
      </c>
      <c r="L253" s="30">
        <f t="shared" si="18"/>
        <v>0.12</v>
      </c>
      <c r="M253" s="30">
        <f t="shared" si="18"/>
        <v>0.12</v>
      </c>
      <c r="N253" s="30">
        <f t="shared" si="18"/>
        <v>0.12</v>
      </c>
      <c r="O253" s="30">
        <f t="shared" si="18"/>
        <v>0.12</v>
      </c>
      <c r="P253" s="30">
        <f t="shared" si="18"/>
        <v>0.12</v>
      </c>
    </row>
    <row r="254" spans="1:16" ht="14.4" x14ac:dyDescent="0.3">
      <c r="A254" s="18" t="s">
        <v>57</v>
      </c>
      <c r="B254" s="18"/>
      <c r="C254" s="16" t="s">
        <v>44</v>
      </c>
      <c r="D254" s="30">
        <f t="shared" si="18"/>
        <v>0.12</v>
      </c>
      <c r="E254" s="30">
        <f t="shared" si="18"/>
        <v>0.12</v>
      </c>
      <c r="F254" s="30">
        <f t="shared" si="18"/>
        <v>0.12</v>
      </c>
      <c r="G254" s="30">
        <f t="shared" si="18"/>
        <v>0.12</v>
      </c>
      <c r="H254" s="30">
        <f t="shared" si="18"/>
        <v>0.12</v>
      </c>
      <c r="I254" s="30">
        <f t="shared" si="18"/>
        <v>0.12</v>
      </c>
      <c r="J254" s="30">
        <f t="shared" si="18"/>
        <v>0.12</v>
      </c>
      <c r="K254" s="30">
        <f t="shared" si="18"/>
        <v>0.12</v>
      </c>
      <c r="L254" s="30">
        <f t="shared" si="18"/>
        <v>0.12</v>
      </c>
      <c r="M254" s="30">
        <f t="shared" si="18"/>
        <v>0.12</v>
      </c>
      <c r="N254" s="30">
        <f t="shared" si="18"/>
        <v>0.12</v>
      </c>
      <c r="O254" s="30">
        <f t="shared" si="18"/>
        <v>0.12</v>
      </c>
      <c r="P254" s="30">
        <f t="shared" si="18"/>
        <v>0.12</v>
      </c>
    </row>
    <row r="255" spans="1:16" s="5" customFormat="1" ht="14.4" x14ac:dyDescent="0.3">
      <c r="A255" s="55"/>
      <c r="B255" s="55"/>
      <c r="C255" s="56"/>
      <c r="D255" s="57"/>
      <c r="E255" s="57"/>
      <c r="F255" s="57"/>
      <c r="G255" s="57"/>
      <c r="H255" s="57"/>
      <c r="I255" s="57"/>
      <c r="J255" s="57"/>
      <c r="K255" s="57"/>
      <c r="L255" s="57"/>
      <c r="M255" s="57"/>
      <c r="N255" s="57"/>
      <c r="O255" s="57"/>
      <c r="P255" s="57"/>
    </row>
    <row r="256" spans="1:16" x14ac:dyDescent="0.3">
      <c r="A256" s="3" t="s">
        <v>58</v>
      </c>
    </row>
    <row r="258" spans="1:16" ht="18" x14ac:dyDescent="0.35">
      <c r="A258" s="59" t="str">
        <f>'[45]Statistical data'!A167</f>
        <v>General Power-13.8 kV and Below</v>
      </c>
      <c r="B258" s="60"/>
      <c r="C258" s="5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</row>
    <row r="259" spans="1:16" s="13" customFormat="1" ht="14.4" x14ac:dyDescent="0.3">
      <c r="A259" s="11" t="s">
        <v>3</v>
      </c>
      <c r="B259" s="11"/>
      <c r="C259" s="11" t="s">
        <v>4</v>
      </c>
      <c r="D259" s="12" t="str">
        <f t="shared" ref="D259:P259" si="19">D217</f>
        <v>JAN</v>
      </c>
      <c r="E259" s="12" t="str">
        <f t="shared" si="19"/>
        <v>FEB</v>
      </c>
      <c r="F259" s="12" t="str">
        <f t="shared" si="19"/>
        <v>MAR</v>
      </c>
      <c r="G259" s="12" t="str">
        <f t="shared" si="19"/>
        <v>APR</v>
      </c>
      <c r="H259" s="12" t="str">
        <f t="shared" si="19"/>
        <v>MAY</v>
      </c>
      <c r="I259" s="12" t="str">
        <f t="shared" si="19"/>
        <v>JUN</v>
      </c>
      <c r="J259" s="12" t="str">
        <f t="shared" si="19"/>
        <v>JUL</v>
      </c>
      <c r="K259" s="12" t="str">
        <f t="shared" si="19"/>
        <v>AUG</v>
      </c>
      <c r="L259" s="12" t="str">
        <f t="shared" si="19"/>
        <v>SEP</v>
      </c>
      <c r="M259" s="12" t="str">
        <f t="shared" si="19"/>
        <v>OCT</v>
      </c>
      <c r="N259" s="12" t="str">
        <f t="shared" si="19"/>
        <v>NOV</v>
      </c>
      <c r="O259" s="12" t="str">
        <f t="shared" si="19"/>
        <v>DEC</v>
      </c>
      <c r="P259" s="12" t="str">
        <f t="shared" si="19"/>
        <v>JAN</v>
      </c>
    </row>
    <row r="260" spans="1:16" ht="14.4" x14ac:dyDescent="0.3">
      <c r="A260" s="14" t="s">
        <v>17</v>
      </c>
      <c r="B260" s="15"/>
      <c r="C260" s="16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</row>
    <row r="261" spans="1:16" ht="14.4" x14ac:dyDescent="0.3">
      <c r="A261" s="18" t="s">
        <v>18</v>
      </c>
      <c r="B261" s="19"/>
      <c r="C261" s="16" t="s">
        <v>19</v>
      </c>
      <c r="D261" s="52" t="s">
        <v>59</v>
      </c>
      <c r="E261" s="52" t="s">
        <v>59</v>
      </c>
      <c r="F261" s="52" t="s">
        <v>59</v>
      </c>
      <c r="G261" s="52" t="s">
        <v>59</v>
      </c>
      <c r="H261" s="52" t="s">
        <v>59</v>
      </c>
      <c r="I261" s="52" t="s">
        <v>59</v>
      </c>
      <c r="J261" s="52" t="s">
        <v>59</v>
      </c>
      <c r="K261" s="52" t="s">
        <v>59</v>
      </c>
      <c r="L261" s="52" t="s">
        <v>59</v>
      </c>
      <c r="M261" s="52" t="s">
        <v>59</v>
      </c>
      <c r="N261" s="52" t="s">
        <v>59</v>
      </c>
      <c r="O261" s="52" t="s">
        <v>59</v>
      </c>
      <c r="P261" s="52" t="s">
        <v>59</v>
      </c>
    </row>
    <row r="262" spans="1:16" ht="14.4" x14ac:dyDescent="0.3">
      <c r="A262" s="14" t="s">
        <v>20</v>
      </c>
      <c r="B262" s="15"/>
      <c r="C262" s="16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</row>
    <row r="263" spans="1:16" ht="14.4" x14ac:dyDescent="0.3">
      <c r="A263" s="18" t="s">
        <v>21</v>
      </c>
      <c r="B263" s="19"/>
      <c r="C263" s="16" t="s">
        <v>19</v>
      </c>
      <c r="D263" s="20">
        <v>0</v>
      </c>
      <c r="E263" s="20">
        <v>0</v>
      </c>
      <c r="F263" s="20">
        <v>0</v>
      </c>
      <c r="G263" s="20">
        <v>0</v>
      </c>
      <c r="H263" s="20">
        <v>0</v>
      </c>
      <c r="I263" s="20">
        <v>0</v>
      </c>
      <c r="J263" s="20">
        <v>0</v>
      </c>
      <c r="K263" s="20">
        <v>0</v>
      </c>
      <c r="L263" s="20">
        <v>0</v>
      </c>
      <c r="M263" s="20">
        <v>0</v>
      </c>
      <c r="N263" s="20">
        <v>0</v>
      </c>
      <c r="O263" s="20">
        <v>0</v>
      </c>
      <c r="P263" s="20">
        <v>0</v>
      </c>
    </row>
    <row r="264" spans="1:16" ht="14.4" x14ac:dyDescent="0.3">
      <c r="A264" s="18" t="s">
        <v>22</v>
      </c>
      <c r="B264" s="19"/>
      <c r="C264" s="16" t="s">
        <v>23</v>
      </c>
      <c r="D264" s="20">
        <f>[45]TR!D68</f>
        <v>275.64569999999998</v>
      </c>
      <c r="E264" s="20">
        <f>[45]TR!E68</f>
        <v>319.83569999999997</v>
      </c>
      <c r="F264" s="20">
        <f>[45]TR!F68</f>
        <v>314.96570000000003</v>
      </c>
      <c r="G264" s="20">
        <f>[45]TR!G68</f>
        <v>283.8057</v>
      </c>
      <c r="H264" s="20">
        <f>[45]TR!H68</f>
        <v>293.4357</v>
      </c>
      <c r="I264" s="20">
        <f>[45]TR!I68</f>
        <v>263.77069999999998</v>
      </c>
      <c r="J264" s="20">
        <f>[45]TR!J68</f>
        <v>269.90249999999997</v>
      </c>
      <c r="K264" s="20">
        <f>[45]TR!K68</f>
        <v>284.64049999999997</v>
      </c>
      <c r="L264" s="20">
        <f>[45]TR!L68</f>
        <v>267.9119</v>
      </c>
      <c r="M264" s="20">
        <f>[45]TR!M68</f>
        <v>241.42189999999999</v>
      </c>
      <c r="N264" s="20">
        <f>[45]TR!N68</f>
        <v>278.15190000000001</v>
      </c>
      <c r="O264" s="20">
        <f>[45]TR!O68</f>
        <v>270.85000000000002</v>
      </c>
      <c r="P264" s="20">
        <f>[45]TR!P68</f>
        <v>0</v>
      </c>
    </row>
    <row r="265" spans="1:16" ht="14.4" x14ac:dyDescent="0.3">
      <c r="A265" s="14" t="s">
        <v>24</v>
      </c>
      <c r="B265" s="15"/>
      <c r="C265" s="16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</row>
    <row r="266" spans="1:16" ht="14.4" x14ac:dyDescent="0.3">
      <c r="A266" s="18" t="s">
        <v>25</v>
      </c>
      <c r="B266" s="19"/>
      <c r="C266" s="16" t="s">
        <v>19</v>
      </c>
      <c r="D266" s="20">
        <f>[45]SLR!D74</f>
        <v>0.1479</v>
      </c>
      <c r="E266" s="20">
        <f>[45]SLR!E74</f>
        <v>0.17050000000000001</v>
      </c>
      <c r="F266" s="20">
        <f>[45]SLR!F74</f>
        <v>0.19500000000000001</v>
      </c>
      <c r="G266" s="20">
        <f>[45]SLR!G74</f>
        <v>0.2016</v>
      </c>
      <c r="H266" s="20">
        <f>[45]SLR!H74</f>
        <v>0.1895</v>
      </c>
      <c r="I266" s="20">
        <f>[45]SLR!I74</f>
        <v>0.1105</v>
      </c>
      <c r="J266" s="20">
        <f>[45]SLR!J74</f>
        <v>0.10979999999999999</v>
      </c>
      <c r="K266" s="20">
        <f>[45]SLR!K74</f>
        <v>0.1134</v>
      </c>
      <c r="L266" s="20">
        <f>[45]SLR!L74</f>
        <v>0.2215</v>
      </c>
      <c r="M266" s="20">
        <f>[45]SLR!M74</f>
        <v>0.184</v>
      </c>
      <c r="N266" s="20">
        <f>[45]SLR!N74</f>
        <v>0.1938</v>
      </c>
      <c r="O266" s="20">
        <f>[45]SLR!O74</f>
        <v>0.18459999999999999</v>
      </c>
      <c r="P266" s="20" t="e">
        <f>[45]SLR!P74</f>
        <v>#DIV/0!</v>
      </c>
    </row>
    <row r="267" spans="1:16" ht="14.4" x14ac:dyDescent="0.3">
      <c r="A267" s="14" t="s">
        <v>26</v>
      </c>
      <c r="B267" s="14"/>
      <c r="C267" s="16"/>
      <c r="D267" s="22"/>
      <c r="E267" s="22"/>
      <c r="F267" s="22"/>
      <c r="G267" s="22"/>
      <c r="H267" s="22"/>
      <c r="I267" s="22"/>
      <c r="J267" s="22"/>
      <c r="K267" s="22"/>
      <c r="L267" s="22"/>
      <c r="M267" s="22"/>
      <c r="N267" s="22"/>
      <c r="O267" s="22"/>
      <c r="P267" s="22"/>
    </row>
    <row r="268" spans="1:16" ht="14.4" x14ac:dyDescent="0.3">
      <c r="A268" s="18" t="s">
        <v>27</v>
      </c>
      <c r="B268" s="18"/>
      <c r="C268" s="16" t="s">
        <v>19</v>
      </c>
      <c r="D268" s="20">
        <v>5.1299999999999998E-2</v>
      </c>
      <c r="E268" s="20">
        <v>5.1299999999999998E-2</v>
      </c>
      <c r="F268" s="20">
        <v>5.1299999999999998E-2</v>
      </c>
      <c r="G268" s="20">
        <v>5.1299999999999998E-2</v>
      </c>
      <c r="H268" s="20">
        <v>5.1299999999999998E-2</v>
      </c>
      <c r="I268" s="20">
        <v>5.1299999999999998E-2</v>
      </c>
      <c r="J268" s="20">
        <v>5.1299999999999998E-2</v>
      </c>
      <c r="K268" s="20">
        <v>5.1299999999999998E-2</v>
      </c>
      <c r="L268" s="20">
        <v>5.1299999999999998E-2</v>
      </c>
      <c r="M268" s="20">
        <v>5.1299999999999998E-2</v>
      </c>
      <c r="N268" s="20">
        <v>5.1299999999999998E-2</v>
      </c>
      <c r="O268" s="20">
        <v>5.1299999999999998E-2</v>
      </c>
      <c r="P268" s="20">
        <v>5.1299999999999998E-2</v>
      </c>
    </row>
    <row r="269" spans="1:16" ht="14.4" x14ac:dyDescent="0.3">
      <c r="A269" s="18" t="s">
        <v>28</v>
      </c>
      <c r="B269" s="18"/>
      <c r="C269" s="16" t="s">
        <v>23</v>
      </c>
      <c r="D269" s="23">
        <v>182.66</v>
      </c>
      <c r="E269" s="23">
        <v>182.66</v>
      </c>
      <c r="F269" s="23">
        <v>182.66</v>
      </c>
      <c r="G269" s="23">
        <v>182.66</v>
      </c>
      <c r="H269" s="23">
        <v>182.66</v>
      </c>
      <c r="I269" s="23">
        <v>182.66</v>
      </c>
      <c r="J269" s="23">
        <v>182.66</v>
      </c>
      <c r="K269" s="23">
        <v>182.66</v>
      </c>
      <c r="L269" s="23">
        <v>182.66</v>
      </c>
      <c r="M269" s="23">
        <v>182.66</v>
      </c>
      <c r="N269" s="23">
        <v>182.66</v>
      </c>
      <c r="O269" s="23">
        <v>182.66</v>
      </c>
      <c r="P269" s="23">
        <v>182.66</v>
      </c>
    </row>
    <row r="270" spans="1:16" ht="14.4" x14ac:dyDescent="0.3">
      <c r="A270" s="14" t="s">
        <v>29</v>
      </c>
      <c r="B270" s="14"/>
      <c r="C270" s="16"/>
      <c r="D270" s="24"/>
      <c r="E270" s="24"/>
      <c r="F270" s="24"/>
      <c r="G270" s="24"/>
      <c r="H270" s="24"/>
      <c r="I270" s="24"/>
      <c r="J270" s="24"/>
      <c r="K270" s="24"/>
      <c r="L270" s="24"/>
      <c r="M270" s="24"/>
      <c r="N270" s="24"/>
      <c r="O270" s="24"/>
      <c r="P270" s="24"/>
    </row>
    <row r="271" spans="1:16" ht="14.4" x14ac:dyDescent="0.3">
      <c r="A271" s="18" t="s">
        <v>30</v>
      </c>
      <c r="B271" s="18"/>
      <c r="C271" s="16" t="s">
        <v>19</v>
      </c>
      <c r="D271" s="52" t="s">
        <v>61</v>
      </c>
      <c r="E271" s="52" t="s">
        <v>61</v>
      </c>
      <c r="F271" s="52" t="s">
        <v>61</v>
      </c>
      <c r="G271" s="52" t="s">
        <v>61</v>
      </c>
      <c r="H271" s="52" t="s">
        <v>61</v>
      </c>
      <c r="I271" s="52" t="s">
        <v>61</v>
      </c>
      <c r="J271" s="52" t="s">
        <v>61</v>
      </c>
      <c r="K271" s="52" t="s">
        <v>61</v>
      </c>
      <c r="L271" s="52" t="s">
        <v>61</v>
      </c>
      <c r="M271" s="52" t="s">
        <v>61</v>
      </c>
      <c r="N271" s="52" t="s">
        <v>61</v>
      </c>
      <c r="O271" s="52" t="s">
        <v>61</v>
      </c>
      <c r="P271" s="52" t="s">
        <v>61</v>
      </c>
    </row>
    <row r="272" spans="1:16" ht="14.4" x14ac:dyDescent="0.3">
      <c r="A272" s="18" t="s">
        <v>31</v>
      </c>
      <c r="B272" s="18"/>
      <c r="C272" s="16" t="s">
        <v>32</v>
      </c>
      <c r="D272" s="52" t="s">
        <v>62</v>
      </c>
      <c r="E272" s="52" t="s">
        <v>62</v>
      </c>
      <c r="F272" s="52" t="s">
        <v>62</v>
      </c>
      <c r="G272" s="52" t="s">
        <v>62</v>
      </c>
      <c r="H272" s="52" t="s">
        <v>62</v>
      </c>
      <c r="I272" s="52" t="s">
        <v>62</v>
      </c>
      <c r="J272" s="52" t="s">
        <v>62</v>
      </c>
      <c r="K272" s="52" t="s">
        <v>62</v>
      </c>
      <c r="L272" s="52" t="s">
        <v>62</v>
      </c>
      <c r="M272" s="52" t="s">
        <v>62</v>
      </c>
      <c r="N272" s="52" t="s">
        <v>62</v>
      </c>
      <c r="O272" s="52" t="s">
        <v>62</v>
      </c>
      <c r="P272" s="52" t="s">
        <v>62</v>
      </c>
    </row>
    <row r="273" spans="1:16" ht="14.4" x14ac:dyDescent="0.3">
      <c r="A273" s="14" t="s">
        <v>33</v>
      </c>
      <c r="B273" s="14"/>
      <c r="C273" s="16"/>
      <c r="D273" s="24"/>
      <c r="E273" s="24"/>
      <c r="F273" s="24"/>
      <c r="G273" s="24"/>
      <c r="H273" s="24"/>
      <c r="I273" s="24"/>
      <c r="J273" s="24"/>
      <c r="K273" s="24"/>
      <c r="L273" s="24"/>
      <c r="M273" s="24"/>
      <c r="N273" s="24"/>
      <c r="O273" s="24"/>
      <c r="P273" s="24"/>
    </row>
    <row r="274" spans="1:16" ht="14.4" x14ac:dyDescent="0.3">
      <c r="A274" s="18" t="s">
        <v>34</v>
      </c>
      <c r="B274" s="18"/>
      <c r="C274" s="16" t="s">
        <v>19</v>
      </c>
      <c r="D274" s="20">
        <v>0</v>
      </c>
      <c r="E274" s="20">
        <v>0</v>
      </c>
      <c r="F274" s="20">
        <v>0</v>
      </c>
      <c r="G274" s="20">
        <v>0</v>
      </c>
      <c r="H274" s="20">
        <v>0</v>
      </c>
      <c r="I274" s="20">
        <v>0</v>
      </c>
      <c r="J274" s="20">
        <v>0</v>
      </c>
      <c r="K274" s="20">
        <v>0</v>
      </c>
      <c r="L274" s="20">
        <v>0</v>
      </c>
      <c r="M274" s="20">
        <v>0</v>
      </c>
      <c r="N274" s="20">
        <v>0</v>
      </c>
      <c r="O274" s="20">
        <v>0</v>
      </c>
      <c r="P274" s="20">
        <v>0</v>
      </c>
    </row>
    <row r="275" spans="1:16" ht="14.4" x14ac:dyDescent="0.3">
      <c r="A275" s="18" t="s">
        <v>35</v>
      </c>
      <c r="B275" s="18"/>
      <c r="C275" s="16" t="s">
        <v>36</v>
      </c>
      <c r="D275" s="52" t="s">
        <v>63</v>
      </c>
      <c r="E275" s="52" t="s">
        <v>63</v>
      </c>
      <c r="F275" s="52" t="s">
        <v>63</v>
      </c>
      <c r="G275" s="52" t="s">
        <v>63</v>
      </c>
      <c r="H275" s="52" t="s">
        <v>63</v>
      </c>
      <c r="I275" s="52" t="s">
        <v>63</v>
      </c>
      <c r="J275" s="52" t="s">
        <v>63</v>
      </c>
      <c r="K275" s="52" t="s">
        <v>63</v>
      </c>
      <c r="L275" s="52" t="s">
        <v>63</v>
      </c>
      <c r="M275" s="52" t="s">
        <v>63</v>
      </c>
      <c r="N275" s="52" t="s">
        <v>63</v>
      </c>
      <c r="O275" s="52" t="s">
        <v>63</v>
      </c>
      <c r="P275" s="52" t="s">
        <v>63</v>
      </c>
    </row>
    <row r="276" spans="1:16" ht="14.4" x14ac:dyDescent="0.3">
      <c r="A276" s="14" t="s">
        <v>37</v>
      </c>
      <c r="B276" s="14"/>
      <c r="C276" s="16"/>
      <c r="D276" s="24"/>
      <c r="E276" s="24"/>
      <c r="F276" s="24"/>
      <c r="G276" s="24"/>
      <c r="H276" s="24"/>
      <c r="I276" s="24"/>
      <c r="J276" s="24"/>
      <c r="K276" s="24"/>
      <c r="L276" s="24"/>
      <c r="M276" s="24"/>
      <c r="N276" s="24"/>
      <c r="O276" s="24"/>
      <c r="P276" s="24"/>
    </row>
    <row r="277" spans="1:16" ht="14.4" x14ac:dyDescent="0.3">
      <c r="A277" s="25" t="s">
        <v>38</v>
      </c>
      <c r="B277" s="18"/>
      <c r="C277" s="16" t="s">
        <v>19</v>
      </c>
      <c r="D277" s="20">
        <f>[45]LD!E31</f>
        <v>8.8499999999999995E-2</v>
      </c>
      <c r="E277" s="20">
        <f>[45]LD!F31</f>
        <v>8.8999999999999996E-2</v>
      </c>
      <c r="F277" s="20">
        <f>[45]LD!G31</f>
        <v>0.10780000000000001</v>
      </c>
      <c r="G277" s="20">
        <f>[45]LD!H31</f>
        <v>0.1246</v>
      </c>
      <c r="H277" s="20">
        <f>[45]LD!I31</f>
        <v>8.7999999999999995E-2</v>
      </c>
      <c r="I277" s="20">
        <f>[45]LD!J31</f>
        <v>5.9900000000000002E-2</v>
      </c>
      <c r="J277" s="20">
        <f>[45]LD!K31</f>
        <v>4.3099999999999999E-2</v>
      </c>
      <c r="K277" s="20">
        <f>[45]LD!L31</f>
        <v>5.4600000000000003E-2</v>
      </c>
      <c r="L277" s="20">
        <f>[45]LD!M31</f>
        <v>7.3800000000000004E-2</v>
      </c>
      <c r="M277" s="20">
        <f>[45]LD!N31</f>
        <v>7.2999999999999995E-2</v>
      </c>
      <c r="N277" s="20">
        <f>[45]LD!O31</f>
        <v>8.1799999999999998E-2</v>
      </c>
      <c r="O277" s="20">
        <f>[45]LD!P31</f>
        <v>8.5900000000000004E-2</v>
      </c>
      <c r="P277" s="20">
        <f>[45]LD!Q31</f>
        <v>0</v>
      </c>
    </row>
    <row r="278" spans="1:16" ht="14.4" x14ac:dyDescent="0.3">
      <c r="A278" s="25" t="s">
        <v>39</v>
      </c>
      <c r="B278" s="18"/>
      <c r="C278" s="16" t="s">
        <v>19</v>
      </c>
      <c r="D278" s="20">
        <v>0</v>
      </c>
      <c r="E278" s="20">
        <v>0</v>
      </c>
      <c r="F278" s="20">
        <v>0</v>
      </c>
      <c r="G278" s="20">
        <v>0</v>
      </c>
      <c r="H278" s="20">
        <v>0</v>
      </c>
      <c r="I278" s="20">
        <v>0</v>
      </c>
      <c r="J278" s="20">
        <v>0</v>
      </c>
      <c r="K278" s="20">
        <v>0</v>
      </c>
      <c r="L278" s="20">
        <v>0</v>
      </c>
      <c r="M278" s="20">
        <v>0</v>
      </c>
      <c r="N278" s="20">
        <v>0</v>
      </c>
      <c r="O278" s="20">
        <v>0</v>
      </c>
      <c r="P278" s="20">
        <v>0</v>
      </c>
    </row>
    <row r="279" spans="1:16" ht="14.4" x14ac:dyDescent="0.3">
      <c r="A279" s="26" t="s">
        <v>40</v>
      </c>
      <c r="B279" s="18"/>
      <c r="C279" s="16" t="s">
        <v>19</v>
      </c>
      <c r="D279" s="20">
        <f>'[45]SR CIT. SUBSIDY'!E95</f>
        <v>1E-4</v>
      </c>
      <c r="E279" s="20">
        <f>'[45]SR CIT. SUBSIDY'!F95</f>
        <v>1E-4</v>
      </c>
      <c r="F279" s="20">
        <f>'[45]SR CIT. SUBSIDY'!G95</f>
        <v>1E-4</v>
      </c>
      <c r="G279" s="20">
        <f>'[45]SR CIT. SUBSIDY'!H95</f>
        <v>1E-4</v>
      </c>
      <c r="H279" s="20">
        <f>'[45]SR CIT. SUBSIDY'!I95</f>
        <v>1E-4</v>
      </c>
      <c r="I279" s="20">
        <f>'[45]SR CIT. SUBSIDY'!J95</f>
        <v>-2.0000000000000001E-4</v>
      </c>
      <c r="J279" s="20">
        <f>'[45]SR CIT. SUBSIDY'!K95</f>
        <v>-2.0000000000000001E-4</v>
      </c>
      <c r="K279" s="20">
        <f>'[45]SR CIT. SUBSIDY'!L95</f>
        <v>-2.0000000000000001E-4</v>
      </c>
      <c r="L279" s="20">
        <f>'[45]SR CIT. SUBSIDY'!M95</f>
        <v>2.9999999999999997E-4</v>
      </c>
      <c r="M279" s="20">
        <f>'[45]SR CIT. SUBSIDY'!N95</f>
        <v>1E-4</v>
      </c>
      <c r="N279" s="20">
        <f>'[45]SR CIT. SUBSIDY'!O95</f>
        <v>1E-4</v>
      </c>
      <c r="O279" s="20">
        <f>'[45]SR CIT. SUBSIDY'!P95</f>
        <v>1E-4</v>
      </c>
      <c r="P279" s="20">
        <f>'[45]SR CIT. SUBSIDY'!Q95</f>
        <v>0</v>
      </c>
    </row>
    <row r="280" spans="1:16" ht="14.4" x14ac:dyDescent="0.3">
      <c r="A280" s="26" t="s">
        <v>41</v>
      </c>
      <c r="B280" s="18"/>
      <c r="C280" s="16" t="s">
        <v>19</v>
      </c>
      <c r="D280" s="20">
        <v>0</v>
      </c>
      <c r="E280" s="20">
        <v>0</v>
      </c>
      <c r="F280" s="20">
        <v>0</v>
      </c>
      <c r="G280" s="20">
        <v>0</v>
      </c>
      <c r="H280" s="20">
        <v>0</v>
      </c>
      <c r="I280" s="20">
        <v>0</v>
      </c>
      <c r="J280" s="20">
        <v>0</v>
      </c>
      <c r="K280" s="20">
        <v>0</v>
      </c>
      <c r="L280" s="20">
        <v>0</v>
      </c>
      <c r="M280" s="20">
        <v>0</v>
      </c>
      <c r="N280" s="20">
        <v>0</v>
      </c>
      <c r="O280" s="20">
        <v>0</v>
      </c>
      <c r="P280" s="20">
        <v>0</v>
      </c>
    </row>
    <row r="281" spans="1:16" ht="14.4" x14ac:dyDescent="0.3">
      <c r="A281" s="14" t="s">
        <v>42</v>
      </c>
      <c r="B281" s="14"/>
      <c r="C281" s="16"/>
      <c r="D281" s="24"/>
      <c r="E281" s="24"/>
      <c r="F281" s="24"/>
      <c r="G281" s="24"/>
      <c r="H281" s="24"/>
      <c r="I281" s="24"/>
      <c r="J281" s="24"/>
      <c r="K281" s="24"/>
      <c r="L281" s="24"/>
      <c r="M281" s="24"/>
      <c r="N281" s="24"/>
      <c r="O281" s="24"/>
      <c r="P281" s="24"/>
    </row>
    <row r="282" spans="1:16" ht="14.4" x14ac:dyDescent="0.3">
      <c r="A282" s="14" t="s">
        <v>43</v>
      </c>
      <c r="B282" s="14"/>
      <c r="C282" s="16" t="s">
        <v>44</v>
      </c>
      <c r="D282" s="27"/>
      <c r="E282" s="27"/>
      <c r="F282" s="27"/>
      <c r="G282" s="27"/>
      <c r="H282" s="27"/>
      <c r="I282" s="27"/>
      <c r="J282" s="27"/>
      <c r="K282" s="27"/>
      <c r="L282" s="27"/>
      <c r="M282" s="27"/>
      <c r="N282" s="27"/>
      <c r="O282" s="27"/>
      <c r="P282" s="27"/>
    </row>
    <row r="283" spans="1:16" ht="14.4" x14ac:dyDescent="0.3">
      <c r="A283" s="14" t="s">
        <v>45</v>
      </c>
      <c r="B283" s="14"/>
      <c r="C283" s="16"/>
      <c r="D283" s="28"/>
      <c r="E283" s="28"/>
      <c r="F283" s="28"/>
      <c r="G283" s="28"/>
      <c r="H283" s="28"/>
      <c r="I283" s="28"/>
      <c r="J283" s="28"/>
      <c r="K283" s="28"/>
      <c r="L283" s="28"/>
      <c r="M283" s="28"/>
      <c r="N283" s="28"/>
      <c r="O283" s="28"/>
      <c r="P283" s="28"/>
    </row>
    <row r="284" spans="1:16" ht="14.4" x14ac:dyDescent="0.3">
      <c r="A284" s="14" t="s">
        <v>46</v>
      </c>
      <c r="B284" s="14"/>
      <c r="C284" s="16" t="s">
        <v>19</v>
      </c>
      <c r="D284" s="20">
        <v>0</v>
      </c>
      <c r="E284" s="20">
        <v>0</v>
      </c>
      <c r="F284" s="20">
        <v>0</v>
      </c>
      <c r="G284" s="20">
        <v>0</v>
      </c>
      <c r="H284" s="20">
        <v>0</v>
      </c>
      <c r="I284" s="20">
        <v>0</v>
      </c>
      <c r="J284" s="20">
        <v>0</v>
      </c>
      <c r="K284" s="20">
        <v>0</v>
      </c>
      <c r="L284" s="20">
        <v>0</v>
      </c>
      <c r="M284" s="20">
        <v>0</v>
      </c>
      <c r="N284" s="20">
        <v>0</v>
      </c>
      <c r="O284" s="20">
        <v>0</v>
      </c>
      <c r="P284" s="20">
        <v>0</v>
      </c>
    </row>
    <row r="285" spans="1:16" ht="14.4" x14ac:dyDescent="0.3">
      <c r="A285" s="14" t="s">
        <v>47</v>
      </c>
      <c r="B285" s="14"/>
      <c r="C285" s="16"/>
      <c r="D285" s="24"/>
      <c r="E285" s="24"/>
      <c r="F285" s="24"/>
      <c r="G285" s="24"/>
      <c r="H285" s="24"/>
      <c r="I285" s="24"/>
      <c r="J285" s="24"/>
      <c r="K285" s="24"/>
      <c r="L285" s="24"/>
      <c r="M285" s="24"/>
      <c r="N285" s="24"/>
      <c r="O285" s="24"/>
      <c r="P285" s="24"/>
    </row>
    <row r="286" spans="1:16" ht="14.4" x14ac:dyDescent="0.3">
      <c r="A286" s="18" t="s">
        <v>48</v>
      </c>
      <c r="B286" s="18"/>
      <c r="C286" s="16" t="s">
        <v>19</v>
      </c>
      <c r="D286" s="20">
        <f t="shared" ref="D286:P290" si="20">D244</f>
        <v>0.15609999999999999</v>
      </c>
      <c r="E286" s="20">
        <f t="shared" si="20"/>
        <v>0.15609999999999999</v>
      </c>
      <c r="F286" s="20">
        <f t="shared" si="20"/>
        <v>0.15609999999999999</v>
      </c>
      <c r="G286" s="20">
        <f t="shared" si="20"/>
        <v>0.15609999999999999</v>
      </c>
      <c r="H286" s="20">
        <f t="shared" si="20"/>
        <v>0.15609999999999999</v>
      </c>
      <c r="I286" s="20">
        <f t="shared" si="20"/>
        <v>0.15609999999999999</v>
      </c>
      <c r="J286" s="20">
        <f t="shared" si="20"/>
        <v>0.15609999999999999</v>
      </c>
      <c r="K286" s="20">
        <f t="shared" si="20"/>
        <v>0.15609999999999999</v>
      </c>
      <c r="L286" s="20">
        <f t="shared" si="20"/>
        <v>0.15609999999999999</v>
      </c>
      <c r="M286" s="20">
        <f t="shared" si="20"/>
        <v>0.15609999999999999</v>
      </c>
      <c r="N286" s="20">
        <f t="shared" si="20"/>
        <v>0.15609999999999999</v>
      </c>
      <c r="O286" s="20">
        <f t="shared" si="20"/>
        <v>0.15609999999999999</v>
      </c>
      <c r="P286" s="20">
        <f t="shared" si="20"/>
        <v>0.15609999999999999</v>
      </c>
    </row>
    <row r="287" spans="1:16" ht="14.4" x14ac:dyDescent="0.3">
      <c r="A287" s="18" t="s">
        <v>49</v>
      </c>
      <c r="B287" s="18"/>
      <c r="C287" s="16" t="s">
        <v>19</v>
      </c>
      <c r="D287" s="20">
        <f t="shared" si="20"/>
        <v>2.5000000000000001E-3</v>
      </c>
      <c r="E287" s="20">
        <f t="shared" si="20"/>
        <v>2.5000000000000001E-3</v>
      </c>
      <c r="F287" s="20">
        <f t="shared" si="20"/>
        <v>2.5000000000000001E-3</v>
      </c>
      <c r="G287" s="20">
        <f t="shared" si="20"/>
        <v>2.5000000000000001E-3</v>
      </c>
      <c r="H287" s="20">
        <f t="shared" si="20"/>
        <v>2.5000000000000001E-3</v>
      </c>
      <c r="I287" s="20">
        <f t="shared" si="20"/>
        <v>2.5000000000000001E-3</v>
      </c>
      <c r="J287" s="20">
        <f t="shared" si="20"/>
        <v>2.5000000000000001E-3</v>
      </c>
      <c r="K287" s="20">
        <f t="shared" si="20"/>
        <v>2.5000000000000001E-3</v>
      </c>
      <c r="L287" s="20">
        <f t="shared" si="20"/>
        <v>2.5000000000000001E-3</v>
      </c>
      <c r="M287" s="20">
        <f t="shared" si="20"/>
        <v>2.5000000000000001E-3</v>
      </c>
      <c r="N287" s="20">
        <f t="shared" si="20"/>
        <v>2.5000000000000001E-3</v>
      </c>
      <c r="O287" s="20">
        <f t="shared" si="20"/>
        <v>2.5000000000000001E-3</v>
      </c>
      <c r="P287" s="20">
        <f t="shared" si="20"/>
        <v>2.5000000000000001E-3</v>
      </c>
    </row>
    <row r="288" spans="1:16" ht="14.4" x14ac:dyDescent="0.3">
      <c r="A288" s="18" t="s">
        <v>111</v>
      </c>
      <c r="B288" s="18"/>
      <c r="C288" s="16" t="s">
        <v>19</v>
      </c>
      <c r="D288" s="20">
        <f t="shared" si="20"/>
        <v>0.1938</v>
      </c>
      <c r="E288" s="20">
        <f t="shared" si="20"/>
        <v>0.1938</v>
      </c>
      <c r="F288" s="20">
        <f t="shared" si="20"/>
        <v>0.1938</v>
      </c>
      <c r="G288" s="20">
        <f t="shared" si="20"/>
        <v>0.1938</v>
      </c>
      <c r="H288" s="20">
        <f t="shared" si="20"/>
        <v>0.1938</v>
      </c>
      <c r="I288" s="20">
        <f t="shared" si="20"/>
        <v>0.1938</v>
      </c>
      <c r="J288" s="20">
        <f t="shared" si="20"/>
        <v>0.1938</v>
      </c>
      <c r="K288" s="20">
        <f t="shared" si="20"/>
        <v>0.1938</v>
      </c>
      <c r="L288" s="20">
        <f t="shared" si="20"/>
        <v>0.1938</v>
      </c>
      <c r="M288" s="20">
        <f t="shared" si="20"/>
        <v>0.1938</v>
      </c>
      <c r="N288" s="20">
        <f t="shared" si="20"/>
        <v>0.1938</v>
      </c>
      <c r="O288" s="20">
        <f t="shared" si="20"/>
        <v>0.1938</v>
      </c>
      <c r="P288" s="20">
        <f t="shared" si="20"/>
        <v>0.1938</v>
      </c>
    </row>
    <row r="289" spans="1:16" ht="14.4" x14ac:dyDescent="0.3">
      <c r="A289" s="18" t="s">
        <v>112</v>
      </c>
      <c r="B289" s="18"/>
      <c r="C289" s="16" t="s">
        <v>19</v>
      </c>
      <c r="D289" s="42">
        <f>D247</f>
        <v>0</v>
      </c>
      <c r="E289" s="42">
        <f t="shared" si="20"/>
        <v>0</v>
      </c>
      <c r="F289" s="42">
        <f t="shared" si="20"/>
        <v>0</v>
      </c>
      <c r="G289" s="42">
        <f t="shared" si="20"/>
        <v>0</v>
      </c>
      <c r="H289" s="42">
        <f t="shared" si="20"/>
        <v>0</v>
      </c>
      <c r="I289" s="42">
        <f t="shared" si="20"/>
        <v>0</v>
      </c>
      <c r="J289" s="42">
        <f t="shared" si="20"/>
        <v>0</v>
      </c>
      <c r="K289" s="42">
        <f t="shared" si="20"/>
        <v>2.6499999999999999E-2</v>
      </c>
      <c r="L289" s="42">
        <f t="shared" si="20"/>
        <v>2.6499999999999999E-2</v>
      </c>
      <c r="M289" s="42">
        <f t="shared" si="20"/>
        <v>2.6499999999999999E-2</v>
      </c>
      <c r="N289" s="42">
        <f t="shared" si="20"/>
        <v>2.6499999999999999E-2</v>
      </c>
      <c r="O289" s="42">
        <f t="shared" si="20"/>
        <v>2.6499999999999999E-2</v>
      </c>
      <c r="P289" s="42">
        <f t="shared" si="20"/>
        <v>2.6499999999999999E-2</v>
      </c>
    </row>
    <row r="290" spans="1:16" ht="14.4" x14ac:dyDescent="0.3">
      <c r="A290" s="14" t="s">
        <v>51</v>
      </c>
      <c r="B290" s="14"/>
      <c r="C290" s="16" t="s">
        <v>19</v>
      </c>
      <c r="D290" s="20">
        <f>D248</f>
        <v>0.124</v>
      </c>
      <c r="E290" s="20">
        <f t="shared" si="20"/>
        <v>0.124</v>
      </c>
      <c r="F290" s="20">
        <f t="shared" si="20"/>
        <v>0.124</v>
      </c>
      <c r="G290" s="20">
        <f t="shared" si="20"/>
        <v>0.124</v>
      </c>
      <c r="H290" s="20">
        <f t="shared" si="20"/>
        <v>0.124</v>
      </c>
      <c r="I290" s="20">
        <f t="shared" si="20"/>
        <v>0.183</v>
      </c>
      <c r="J290" s="20">
        <f t="shared" si="20"/>
        <v>0.183</v>
      </c>
      <c r="K290" s="20">
        <f t="shared" si="20"/>
        <v>0.183</v>
      </c>
      <c r="L290" s="20">
        <f t="shared" si="20"/>
        <v>0.183</v>
      </c>
      <c r="M290" s="20">
        <f t="shared" si="20"/>
        <v>0.183</v>
      </c>
      <c r="N290" s="20">
        <f t="shared" si="20"/>
        <v>0.183</v>
      </c>
      <c r="O290" s="20">
        <f t="shared" si="20"/>
        <v>0.183</v>
      </c>
      <c r="P290" s="20">
        <f t="shared" si="20"/>
        <v>0.183</v>
      </c>
    </row>
    <row r="291" spans="1:16" ht="14.4" x14ac:dyDescent="0.3">
      <c r="A291" s="14" t="s">
        <v>52</v>
      </c>
      <c r="B291" s="14"/>
      <c r="C291" s="29"/>
      <c r="D291" s="22"/>
      <c r="E291" s="22"/>
      <c r="F291" s="22"/>
      <c r="G291" s="22"/>
      <c r="H291" s="22"/>
      <c r="I291" s="22"/>
      <c r="J291" s="22"/>
      <c r="K291" s="22"/>
      <c r="L291" s="22"/>
      <c r="M291" s="22"/>
      <c r="N291" s="22"/>
      <c r="O291" s="22"/>
      <c r="P291" s="22"/>
    </row>
    <row r="292" spans="1:16" ht="14.4" x14ac:dyDescent="0.3">
      <c r="A292" s="18" t="s">
        <v>53</v>
      </c>
      <c r="B292" s="18"/>
      <c r="C292" s="16" t="s">
        <v>44</v>
      </c>
      <c r="D292" s="30">
        <f>'[45]DU VAT'!D18</f>
        <v>0.10979999999999999</v>
      </c>
      <c r="E292" s="30">
        <f>'[45]DU VAT'!E18</f>
        <v>0.1118</v>
      </c>
      <c r="F292" s="30">
        <f>'[45]DU VAT'!F18</f>
        <v>0.10390000000000001</v>
      </c>
      <c r="G292" s="30">
        <f>'[45]DU VAT'!G18</f>
        <v>0.1095</v>
      </c>
      <c r="H292" s="30">
        <f>'[45]DU VAT'!H18</f>
        <v>0.1061</v>
      </c>
      <c r="I292" s="30">
        <f>'[45]DU VAT'!I18</f>
        <v>0.1137</v>
      </c>
      <c r="J292" s="30">
        <f>'[45]DU VAT'!J18</f>
        <v>0.1135</v>
      </c>
      <c r="K292" s="30">
        <f>'[45]DU VAT'!K18</f>
        <v>0.1162</v>
      </c>
      <c r="L292" s="30">
        <f>'[45]DU VAT'!L18</f>
        <v>0.1128</v>
      </c>
      <c r="M292" s="30">
        <f>'[45]DU VAT'!M18</f>
        <v>0.112</v>
      </c>
      <c r="N292" s="30">
        <f>'[45]DU VAT'!N18</f>
        <v>0.11219999999999999</v>
      </c>
      <c r="O292" s="30">
        <f>'[45]DU VAT'!O18</f>
        <v>0.1149</v>
      </c>
      <c r="P292" s="30" t="e">
        <f>'[45]DU VAT'!P18</f>
        <v>#DIV/0!</v>
      </c>
    </row>
    <row r="293" spans="1:16" ht="14.4" x14ac:dyDescent="0.3">
      <c r="A293" s="18" t="s">
        <v>54</v>
      </c>
      <c r="B293" s="18"/>
      <c r="C293" s="16" t="s">
        <v>44</v>
      </c>
      <c r="D293" s="30">
        <f>'[45]DU VAT'!D26</f>
        <v>5.5999999999999999E-3</v>
      </c>
      <c r="E293" s="30">
        <f>'[45]DU VAT'!E26</f>
        <v>6.3E-3</v>
      </c>
      <c r="F293" s="30">
        <f>'[45]DU VAT'!F26</f>
        <v>4.0000000000000001E-3</v>
      </c>
      <c r="G293" s="30">
        <f>'[45]DU VAT'!G26</f>
        <v>6.7999999999999996E-3</v>
      </c>
      <c r="H293" s="30">
        <f>'[45]DU VAT'!H26</f>
        <v>2.2700000000000001E-2</v>
      </c>
      <c r="I293" s="30">
        <f>'[45]DU VAT'!I26</f>
        <v>2.0400000000000001E-2</v>
      </c>
      <c r="J293" s="30">
        <f>'[45]DU VAT'!J26</f>
        <v>1.6799999999999999E-2</v>
      </c>
      <c r="K293" s="30">
        <f>'[45]DU VAT'!K26</f>
        <v>1.8200000000000001E-2</v>
      </c>
      <c r="L293" s="30">
        <f>'[45]DU VAT'!L26</f>
        <v>8.8999999999999999E-3</v>
      </c>
      <c r="M293" s="30">
        <f>'[45]DU VAT'!M26</f>
        <v>3.5999999999999999E-3</v>
      </c>
      <c r="N293" s="30">
        <f>'[45]DU VAT'!N26</f>
        <v>1.5599999999999999E-2</v>
      </c>
      <c r="O293" s="30">
        <f>'[45]DU VAT'!O26</f>
        <v>5.7999999999999996E-3</v>
      </c>
      <c r="P293" s="30" t="e">
        <f>'[45]DU VAT'!P26</f>
        <v>#DIV/0!</v>
      </c>
    </row>
    <row r="294" spans="1:16" ht="14.4" x14ac:dyDescent="0.3">
      <c r="A294" s="18" t="s">
        <v>55</v>
      </c>
      <c r="B294" s="18"/>
      <c r="C294" s="16" t="s">
        <v>44</v>
      </c>
      <c r="D294" s="30">
        <f>'[45]DU VAT'!D34</f>
        <v>9.1899999999999996E-2</v>
      </c>
      <c r="E294" s="30">
        <f>'[45]DU VAT'!E34</f>
        <v>9.3200000000000005E-2</v>
      </c>
      <c r="F294" s="30">
        <f>'[45]DU VAT'!F34</f>
        <v>8.8800000000000004E-2</v>
      </c>
      <c r="G294" s="30">
        <f>'[45]DU VAT'!G34</f>
        <v>9.4799999999999995E-2</v>
      </c>
      <c r="H294" s="30">
        <f>'[45]DU VAT'!H34</f>
        <v>9.3799999999999994E-2</v>
      </c>
      <c r="I294" s="30">
        <f>'[45]DU VAT'!I34</f>
        <v>9.9400000000000002E-2</v>
      </c>
      <c r="J294" s="30">
        <f>'[45]DU VAT'!J34</f>
        <v>9.9199999999999997E-2</v>
      </c>
      <c r="K294" s="30">
        <f>'[45]DU VAT'!K34</f>
        <v>0.1007</v>
      </c>
      <c r="L294" s="30">
        <f>'[45]DU VAT'!L34</f>
        <v>9.9000000000000005E-2</v>
      </c>
      <c r="M294" s="30">
        <f>'[45]DU VAT'!M34</f>
        <v>9.8699999999999996E-2</v>
      </c>
      <c r="N294" s="30">
        <f>'[45]DU VAT'!N34</f>
        <v>9.9299999999999999E-2</v>
      </c>
      <c r="O294" s="30">
        <f>'[45]DU VAT'!O34</f>
        <v>9.9900000000000003E-2</v>
      </c>
      <c r="P294" s="30" t="e">
        <f>'[45]DU VAT'!P34</f>
        <v>#DIV/0!</v>
      </c>
    </row>
    <row r="295" spans="1:16" ht="14.4" x14ac:dyDescent="0.3">
      <c r="A295" s="18" t="s">
        <v>56</v>
      </c>
      <c r="B295" s="18"/>
      <c r="C295" s="16" t="s">
        <v>44</v>
      </c>
      <c r="D295" s="30">
        <f t="shared" ref="D295:P296" si="21">D253</f>
        <v>0.12</v>
      </c>
      <c r="E295" s="30">
        <f t="shared" si="21"/>
        <v>0.12</v>
      </c>
      <c r="F295" s="30">
        <f t="shared" si="21"/>
        <v>0.12</v>
      </c>
      <c r="G295" s="30">
        <f t="shared" si="21"/>
        <v>0.12</v>
      </c>
      <c r="H295" s="30">
        <f t="shared" si="21"/>
        <v>0.12</v>
      </c>
      <c r="I295" s="30">
        <f t="shared" si="21"/>
        <v>0.12</v>
      </c>
      <c r="J295" s="30">
        <f t="shared" si="21"/>
        <v>0.12</v>
      </c>
      <c r="K295" s="30">
        <f t="shared" si="21"/>
        <v>0.12</v>
      </c>
      <c r="L295" s="30">
        <f t="shared" si="21"/>
        <v>0.12</v>
      </c>
      <c r="M295" s="30">
        <f t="shared" si="21"/>
        <v>0.12</v>
      </c>
      <c r="N295" s="30">
        <f t="shared" si="21"/>
        <v>0.12</v>
      </c>
      <c r="O295" s="30">
        <f t="shared" si="21"/>
        <v>0.12</v>
      </c>
      <c r="P295" s="30">
        <f t="shared" si="21"/>
        <v>0.12</v>
      </c>
    </row>
    <row r="296" spans="1:16" ht="14.4" x14ac:dyDescent="0.3">
      <c r="A296" s="18" t="s">
        <v>57</v>
      </c>
      <c r="B296" s="18"/>
      <c r="C296" s="16" t="s">
        <v>44</v>
      </c>
      <c r="D296" s="30">
        <f t="shared" si="21"/>
        <v>0.12</v>
      </c>
      <c r="E296" s="30">
        <f t="shared" si="21"/>
        <v>0.12</v>
      </c>
      <c r="F296" s="30">
        <f t="shared" si="21"/>
        <v>0.12</v>
      </c>
      <c r="G296" s="30">
        <f t="shared" si="21"/>
        <v>0.12</v>
      </c>
      <c r="H296" s="30">
        <f t="shared" si="21"/>
        <v>0.12</v>
      </c>
      <c r="I296" s="30">
        <f t="shared" si="21"/>
        <v>0.12</v>
      </c>
      <c r="J296" s="30">
        <f t="shared" si="21"/>
        <v>0.12</v>
      </c>
      <c r="K296" s="30">
        <f t="shared" si="21"/>
        <v>0.12</v>
      </c>
      <c r="L296" s="30">
        <f t="shared" si="21"/>
        <v>0.12</v>
      </c>
      <c r="M296" s="30">
        <f t="shared" si="21"/>
        <v>0.12</v>
      </c>
      <c r="N296" s="30">
        <f t="shared" si="21"/>
        <v>0.12</v>
      </c>
      <c r="O296" s="30">
        <f t="shared" si="21"/>
        <v>0.12</v>
      </c>
      <c r="P296" s="30">
        <f t="shared" si="21"/>
        <v>0.12</v>
      </c>
    </row>
    <row r="297" spans="1:16" s="5" customFormat="1" ht="14.4" x14ac:dyDescent="0.3">
      <c r="A297" s="55"/>
      <c r="B297" s="55"/>
      <c r="C297" s="56"/>
      <c r="D297" s="57"/>
      <c r="E297" s="57"/>
      <c r="F297" s="57"/>
      <c r="G297" s="57"/>
      <c r="H297" s="57"/>
      <c r="I297" s="57"/>
      <c r="J297" s="57"/>
      <c r="K297" s="57"/>
      <c r="L297" s="57"/>
      <c r="M297" s="57"/>
      <c r="N297" s="57"/>
      <c r="O297" s="57"/>
      <c r="P297" s="57"/>
    </row>
    <row r="298" spans="1:16" x14ac:dyDescent="0.3">
      <c r="A298" s="3" t="s">
        <v>58</v>
      </c>
    </row>
    <row r="299" spans="1:16" s="5" customFormat="1" ht="14.4" x14ac:dyDescent="0.3">
      <c r="A299" s="55"/>
      <c r="B299" s="55"/>
      <c r="C299" s="56"/>
      <c r="D299" s="57"/>
      <c r="E299" s="57"/>
      <c r="F299" s="57"/>
      <c r="G299" s="57"/>
      <c r="H299" s="57"/>
      <c r="I299" s="57"/>
      <c r="J299" s="57"/>
      <c r="K299" s="57"/>
      <c r="L299" s="57"/>
      <c r="M299" s="57"/>
      <c r="N299" s="57"/>
      <c r="O299" s="57"/>
      <c r="P299" s="57"/>
    </row>
    <row r="300" spans="1:16" ht="18" x14ac:dyDescent="0.35">
      <c r="A300" s="59" t="str">
        <f>'[45]Statistical data'!A168</f>
        <v>General Power-34.5kV</v>
      </c>
      <c r="B300" s="60"/>
      <c r="C300" s="5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</row>
    <row r="301" spans="1:16" s="13" customFormat="1" ht="14.4" x14ac:dyDescent="0.3">
      <c r="A301" s="11" t="s">
        <v>3</v>
      </c>
      <c r="B301" s="11"/>
      <c r="C301" s="11" t="s">
        <v>4</v>
      </c>
      <c r="D301" s="12" t="str">
        <f>D259</f>
        <v>JAN</v>
      </c>
      <c r="E301" s="12" t="str">
        <f t="shared" ref="E301:P301" si="22">E259</f>
        <v>FEB</v>
      </c>
      <c r="F301" s="12" t="str">
        <f t="shared" si="22"/>
        <v>MAR</v>
      </c>
      <c r="G301" s="12" t="str">
        <f t="shared" si="22"/>
        <v>APR</v>
      </c>
      <c r="H301" s="12" t="str">
        <f t="shared" si="22"/>
        <v>MAY</v>
      </c>
      <c r="I301" s="12" t="str">
        <f t="shared" si="22"/>
        <v>JUN</v>
      </c>
      <c r="J301" s="12" t="str">
        <f t="shared" si="22"/>
        <v>JUL</v>
      </c>
      <c r="K301" s="12" t="str">
        <f t="shared" si="22"/>
        <v>AUG</v>
      </c>
      <c r="L301" s="12" t="str">
        <f t="shared" si="22"/>
        <v>SEP</v>
      </c>
      <c r="M301" s="12" t="str">
        <f t="shared" si="22"/>
        <v>OCT</v>
      </c>
      <c r="N301" s="12" t="str">
        <f t="shared" si="22"/>
        <v>NOV</v>
      </c>
      <c r="O301" s="12" t="str">
        <f t="shared" si="22"/>
        <v>DEC</v>
      </c>
      <c r="P301" s="12" t="str">
        <f t="shared" si="22"/>
        <v>JAN</v>
      </c>
    </row>
    <row r="302" spans="1:16" ht="14.4" x14ac:dyDescent="0.3">
      <c r="A302" s="14" t="s">
        <v>17</v>
      </c>
      <c r="B302" s="15"/>
      <c r="C302" s="16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</row>
    <row r="303" spans="1:16" ht="14.4" x14ac:dyDescent="0.3">
      <c r="A303" s="18" t="s">
        <v>18</v>
      </c>
      <c r="B303" s="19"/>
      <c r="C303" s="16" t="s">
        <v>19</v>
      </c>
      <c r="D303" s="52" t="s">
        <v>59</v>
      </c>
      <c r="E303" s="52" t="s">
        <v>59</v>
      </c>
      <c r="F303" s="52" t="s">
        <v>59</v>
      </c>
      <c r="G303" s="52" t="s">
        <v>59</v>
      </c>
      <c r="H303" s="52" t="s">
        <v>59</v>
      </c>
      <c r="I303" s="52" t="s">
        <v>59</v>
      </c>
      <c r="J303" s="52" t="s">
        <v>59</v>
      </c>
      <c r="K303" s="52" t="s">
        <v>59</v>
      </c>
      <c r="L303" s="52" t="s">
        <v>59</v>
      </c>
      <c r="M303" s="52" t="s">
        <v>59</v>
      </c>
      <c r="N303" s="52" t="s">
        <v>59</v>
      </c>
      <c r="O303" s="52" t="s">
        <v>59</v>
      </c>
      <c r="P303" s="52" t="s">
        <v>59</v>
      </c>
    </row>
    <row r="304" spans="1:16" ht="14.4" hidden="1" x14ac:dyDescent="0.3">
      <c r="A304" s="18" t="s">
        <v>66</v>
      </c>
      <c r="B304" s="19"/>
      <c r="C304" s="16" t="s">
        <v>19</v>
      </c>
      <c r="D304" s="20">
        <v>0</v>
      </c>
      <c r="E304" s="20">
        <v>0</v>
      </c>
      <c r="F304" s="20">
        <v>0</v>
      </c>
      <c r="G304" s="20">
        <v>0</v>
      </c>
      <c r="H304" s="20">
        <v>0</v>
      </c>
      <c r="I304" s="20">
        <v>0</v>
      </c>
      <c r="J304" s="20">
        <v>0</v>
      </c>
      <c r="K304" s="20">
        <v>0</v>
      </c>
      <c r="L304" s="20">
        <v>0</v>
      </c>
      <c r="M304" s="20">
        <v>0</v>
      </c>
      <c r="N304" s="20">
        <v>0</v>
      </c>
      <c r="O304" s="20">
        <v>0</v>
      </c>
      <c r="P304" s="20">
        <v>0</v>
      </c>
    </row>
    <row r="305" spans="1:16" ht="14.4" x14ac:dyDescent="0.3">
      <c r="A305" s="14" t="s">
        <v>20</v>
      </c>
      <c r="B305" s="15"/>
      <c r="C305" s="16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</row>
    <row r="306" spans="1:16" ht="14.4" x14ac:dyDescent="0.3">
      <c r="A306" s="18" t="s">
        <v>21</v>
      </c>
      <c r="B306" s="19"/>
      <c r="C306" s="16" t="s">
        <v>19</v>
      </c>
      <c r="D306" s="20">
        <v>0</v>
      </c>
      <c r="E306" s="20">
        <v>0</v>
      </c>
      <c r="F306" s="20">
        <v>0</v>
      </c>
      <c r="G306" s="20">
        <v>0</v>
      </c>
      <c r="H306" s="20">
        <v>0</v>
      </c>
      <c r="I306" s="20">
        <v>0</v>
      </c>
      <c r="J306" s="20">
        <v>0</v>
      </c>
      <c r="K306" s="20">
        <v>0</v>
      </c>
      <c r="L306" s="20">
        <v>0</v>
      </c>
      <c r="M306" s="20">
        <v>0</v>
      </c>
      <c r="N306" s="20">
        <v>0</v>
      </c>
      <c r="O306" s="20">
        <v>0</v>
      </c>
      <c r="P306" s="20">
        <v>0</v>
      </c>
    </row>
    <row r="307" spans="1:16" ht="14.4" x14ac:dyDescent="0.3">
      <c r="A307" s="18" t="s">
        <v>22</v>
      </c>
      <c r="B307" s="19"/>
      <c r="C307" s="16" t="s">
        <v>23</v>
      </c>
      <c r="D307" s="20">
        <f>[45]TR!D69</f>
        <v>309.40800000000002</v>
      </c>
      <c r="E307" s="20">
        <f>[45]TR!E69</f>
        <v>364.32799999999997</v>
      </c>
      <c r="F307" s="20">
        <f>[45]TR!F69</f>
        <v>365.178</v>
      </c>
      <c r="G307" s="20">
        <f>[45]TR!G69</f>
        <v>316.82799999999997</v>
      </c>
      <c r="H307" s="20">
        <f>[45]TR!H69</f>
        <v>337.46800000000002</v>
      </c>
      <c r="I307" s="20">
        <f>[45]TR!I69</f>
        <v>302.14319999999998</v>
      </c>
      <c r="J307" s="20">
        <f>[45]TR!J69</f>
        <v>311.6386</v>
      </c>
      <c r="K307" s="20">
        <f>[45]TR!K69</f>
        <v>325.46899999999999</v>
      </c>
      <c r="L307" s="20">
        <f>[45]TR!L69</f>
        <v>307.40769999999998</v>
      </c>
      <c r="M307" s="20">
        <f>[45]TR!M69</f>
        <v>281.23770000000002</v>
      </c>
      <c r="N307" s="20">
        <f>[45]TR!N69</f>
        <v>318.16770000000002</v>
      </c>
      <c r="O307" s="20">
        <f>[45]TR!O69</f>
        <v>308.56</v>
      </c>
      <c r="P307" s="20">
        <f>[45]TR!P69</f>
        <v>0</v>
      </c>
    </row>
    <row r="308" spans="1:16" ht="14.4" x14ac:dyDescent="0.3">
      <c r="A308" s="14" t="s">
        <v>24</v>
      </c>
      <c r="B308" s="15"/>
      <c r="C308" s="16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</row>
    <row r="309" spans="1:16" ht="14.4" x14ac:dyDescent="0.3">
      <c r="A309" s="18" t="s">
        <v>25</v>
      </c>
      <c r="B309" s="19"/>
      <c r="C309" s="16" t="s">
        <v>19</v>
      </c>
      <c r="D309" s="20">
        <f>[45]SLR!D75</f>
        <v>0.1479</v>
      </c>
      <c r="E309" s="20">
        <f>[45]SLR!E75</f>
        <v>0.17050000000000001</v>
      </c>
      <c r="F309" s="20">
        <f>[45]SLR!F75</f>
        <v>0.19500000000000001</v>
      </c>
      <c r="G309" s="20">
        <f>[45]SLR!G75</f>
        <v>0.2016</v>
      </c>
      <c r="H309" s="20">
        <f>[45]SLR!H75</f>
        <v>0.1895</v>
      </c>
      <c r="I309" s="20">
        <f>[45]SLR!I75</f>
        <v>0.1105</v>
      </c>
      <c r="J309" s="20">
        <f>[45]SLR!J75</f>
        <v>0.10979999999999999</v>
      </c>
      <c r="K309" s="20">
        <f>[45]SLR!K75</f>
        <v>0.1134</v>
      </c>
      <c r="L309" s="20">
        <f>[45]SLR!L75</f>
        <v>0.2215</v>
      </c>
      <c r="M309" s="20">
        <f>[45]SLR!M75</f>
        <v>0.184</v>
      </c>
      <c r="N309" s="20">
        <f>[45]SLR!N75</f>
        <v>0.1938</v>
      </c>
      <c r="O309" s="20">
        <f>[45]SLR!O75</f>
        <v>0.18459999999999999</v>
      </c>
      <c r="P309" s="20" t="e">
        <f>[45]SLR!P75</f>
        <v>#DIV/0!</v>
      </c>
    </row>
    <row r="310" spans="1:16" ht="14.4" x14ac:dyDescent="0.3">
      <c r="A310" s="14" t="s">
        <v>26</v>
      </c>
      <c r="B310" s="14"/>
      <c r="C310" s="16"/>
      <c r="D310" s="22"/>
      <c r="E310" s="22"/>
      <c r="F310" s="22"/>
      <c r="G310" s="22"/>
      <c r="H310" s="22"/>
      <c r="I310" s="22"/>
      <c r="J310" s="22"/>
      <c r="K310" s="22"/>
      <c r="L310" s="22"/>
      <c r="M310" s="22"/>
      <c r="N310" s="22"/>
      <c r="O310" s="22"/>
      <c r="P310" s="22"/>
    </row>
    <row r="311" spans="1:16" ht="14.4" x14ac:dyDescent="0.3">
      <c r="A311" s="18" t="s">
        <v>27</v>
      </c>
      <c r="B311" s="18"/>
      <c r="C311" s="16" t="s">
        <v>19</v>
      </c>
      <c r="D311" s="20">
        <v>5.1299999999999998E-2</v>
      </c>
      <c r="E311" s="20">
        <v>5.1299999999999998E-2</v>
      </c>
      <c r="F311" s="20">
        <v>5.1299999999999998E-2</v>
      </c>
      <c r="G311" s="20">
        <v>5.1299999999999998E-2</v>
      </c>
      <c r="H311" s="20">
        <v>5.1299999999999998E-2</v>
      </c>
      <c r="I311" s="20">
        <v>5.1299999999999998E-2</v>
      </c>
      <c r="J311" s="20">
        <v>5.1299999999999998E-2</v>
      </c>
      <c r="K311" s="20">
        <v>5.1299999999999998E-2</v>
      </c>
      <c r="L311" s="20">
        <v>5.1299999999999998E-2</v>
      </c>
      <c r="M311" s="20">
        <v>5.1299999999999998E-2</v>
      </c>
      <c r="N311" s="20">
        <v>5.1299999999999998E-2</v>
      </c>
      <c r="O311" s="20">
        <v>5.1299999999999998E-2</v>
      </c>
      <c r="P311" s="20">
        <v>5.1299999999999998E-2</v>
      </c>
    </row>
    <row r="312" spans="1:16" ht="14.4" x14ac:dyDescent="0.3">
      <c r="A312" s="18" t="s">
        <v>28</v>
      </c>
      <c r="B312" s="18"/>
      <c r="C312" s="16" t="s">
        <v>23</v>
      </c>
      <c r="D312" s="23">
        <v>182.66</v>
      </c>
      <c r="E312" s="23">
        <v>182.66</v>
      </c>
      <c r="F312" s="23">
        <v>182.66</v>
      </c>
      <c r="G312" s="23">
        <v>182.66</v>
      </c>
      <c r="H312" s="23">
        <v>182.66</v>
      </c>
      <c r="I312" s="23">
        <v>182.66</v>
      </c>
      <c r="J312" s="23">
        <v>182.66</v>
      </c>
      <c r="K312" s="23">
        <v>182.66</v>
      </c>
      <c r="L312" s="23">
        <v>182.66</v>
      </c>
      <c r="M312" s="23">
        <v>182.66</v>
      </c>
      <c r="N312" s="23">
        <v>182.66</v>
      </c>
      <c r="O312" s="23">
        <v>182.66</v>
      </c>
      <c r="P312" s="23">
        <v>182.66</v>
      </c>
    </row>
    <row r="313" spans="1:16" ht="14.4" x14ac:dyDescent="0.3">
      <c r="A313" s="14" t="s">
        <v>29</v>
      </c>
      <c r="B313" s="14"/>
      <c r="C313" s="16"/>
      <c r="D313" s="24"/>
      <c r="E313" s="24"/>
      <c r="F313" s="24"/>
      <c r="G313" s="24"/>
      <c r="H313" s="24"/>
      <c r="I313" s="24"/>
      <c r="J313" s="24"/>
      <c r="K313" s="24"/>
      <c r="L313" s="24"/>
      <c r="M313" s="24"/>
      <c r="N313" s="24"/>
      <c r="O313" s="24"/>
      <c r="P313" s="24"/>
    </row>
    <row r="314" spans="1:16" ht="14.4" x14ac:dyDescent="0.3">
      <c r="A314" s="18" t="s">
        <v>30</v>
      </c>
      <c r="B314" s="18"/>
      <c r="C314" s="16" t="s">
        <v>19</v>
      </c>
      <c r="D314" s="52" t="s">
        <v>61</v>
      </c>
      <c r="E314" s="52" t="s">
        <v>61</v>
      </c>
      <c r="F314" s="52" t="s">
        <v>61</v>
      </c>
      <c r="G314" s="52" t="s">
        <v>61</v>
      </c>
      <c r="H314" s="52" t="s">
        <v>61</v>
      </c>
      <c r="I314" s="52" t="s">
        <v>61</v>
      </c>
      <c r="J314" s="52" t="s">
        <v>61</v>
      </c>
      <c r="K314" s="52" t="s">
        <v>61</v>
      </c>
      <c r="L314" s="52" t="s">
        <v>61</v>
      </c>
      <c r="M314" s="52" t="s">
        <v>61</v>
      </c>
      <c r="N314" s="52" t="s">
        <v>61</v>
      </c>
      <c r="O314" s="52" t="s">
        <v>61</v>
      </c>
      <c r="P314" s="52" t="s">
        <v>61</v>
      </c>
    </row>
    <row r="315" spans="1:16" ht="14.4" x14ac:dyDescent="0.3">
      <c r="A315" s="18" t="s">
        <v>31</v>
      </c>
      <c r="B315" s="18"/>
      <c r="C315" s="16" t="s">
        <v>32</v>
      </c>
      <c r="D315" s="52" t="s">
        <v>62</v>
      </c>
      <c r="E315" s="52" t="s">
        <v>62</v>
      </c>
      <c r="F315" s="52" t="s">
        <v>62</v>
      </c>
      <c r="G315" s="52" t="s">
        <v>62</v>
      </c>
      <c r="H315" s="52" t="s">
        <v>62</v>
      </c>
      <c r="I315" s="52" t="s">
        <v>62</v>
      </c>
      <c r="J315" s="52" t="s">
        <v>62</v>
      </c>
      <c r="K315" s="52" t="s">
        <v>62</v>
      </c>
      <c r="L315" s="52" t="s">
        <v>62</v>
      </c>
      <c r="M315" s="52" t="s">
        <v>62</v>
      </c>
      <c r="N315" s="52" t="s">
        <v>62</v>
      </c>
      <c r="O315" s="52" t="s">
        <v>62</v>
      </c>
      <c r="P315" s="52" t="s">
        <v>62</v>
      </c>
    </row>
    <row r="316" spans="1:16" ht="14.4" x14ac:dyDescent="0.3">
      <c r="A316" s="14" t="s">
        <v>33</v>
      </c>
      <c r="B316" s="14"/>
      <c r="C316" s="16"/>
      <c r="D316" s="24"/>
      <c r="E316" s="24"/>
      <c r="F316" s="24"/>
      <c r="G316" s="24"/>
      <c r="H316" s="24"/>
      <c r="I316" s="24"/>
      <c r="J316" s="24"/>
      <c r="K316" s="24"/>
      <c r="L316" s="24"/>
      <c r="M316" s="24"/>
      <c r="N316" s="24"/>
      <c r="O316" s="24"/>
      <c r="P316" s="24"/>
    </row>
    <row r="317" spans="1:16" ht="14.4" x14ac:dyDescent="0.3">
      <c r="A317" s="18" t="s">
        <v>34</v>
      </c>
      <c r="B317" s="18"/>
      <c r="C317" s="16" t="s">
        <v>19</v>
      </c>
      <c r="D317" s="20">
        <v>0</v>
      </c>
      <c r="E317" s="20">
        <v>0</v>
      </c>
      <c r="F317" s="20">
        <v>0</v>
      </c>
      <c r="G317" s="20">
        <v>0</v>
      </c>
      <c r="H317" s="20">
        <v>0</v>
      </c>
      <c r="I317" s="20">
        <v>0</v>
      </c>
      <c r="J317" s="20">
        <v>0</v>
      </c>
      <c r="K317" s="20">
        <v>0</v>
      </c>
      <c r="L317" s="20">
        <v>0</v>
      </c>
      <c r="M317" s="20">
        <v>0</v>
      </c>
      <c r="N317" s="20">
        <v>0</v>
      </c>
      <c r="O317" s="20">
        <v>0</v>
      </c>
      <c r="P317" s="20">
        <v>0</v>
      </c>
    </row>
    <row r="318" spans="1:16" ht="14.4" x14ac:dyDescent="0.3">
      <c r="A318" s="18" t="s">
        <v>35</v>
      </c>
      <c r="B318" s="18"/>
      <c r="C318" s="16" t="s">
        <v>36</v>
      </c>
      <c r="D318" s="52" t="s">
        <v>63</v>
      </c>
      <c r="E318" s="52" t="s">
        <v>63</v>
      </c>
      <c r="F318" s="52" t="s">
        <v>63</v>
      </c>
      <c r="G318" s="52" t="s">
        <v>63</v>
      </c>
      <c r="H318" s="52" t="s">
        <v>63</v>
      </c>
      <c r="I318" s="52" t="s">
        <v>63</v>
      </c>
      <c r="J318" s="52" t="s">
        <v>63</v>
      </c>
      <c r="K318" s="52" t="s">
        <v>63</v>
      </c>
      <c r="L318" s="52" t="s">
        <v>63</v>
      </c>
      <c r="M318" s="52" t="s">
        <v>63</v>
      </c>
      <c r="N318" s="52" t="s">
        <v>63</v>
      </c>
      <c r="O318" s="52" t="s">
        <v>63</v>
      </c>
      <c r="P318" s="52" t="s">
        <v>63</v>
      </c>
    </row>
    <row r="319" spans="1:16" ht="14.4" x14ac:dyDescent="0.3">
      <c r="A319" s="14" t="s">
        <v>37</v>
      </c>
      <c r="B319" s="14"/>
      <c r="C319" s="16"/>
      <c r="D319" s="24"/>
      <c r="E319" s="24"/>
      <c r="F319" s="24"/>
      <c r="G319" s="24"/>
      <c r="H319" s="24"/>
      <c r="I319" s="24"/>
      <c r="J319" s="24"/>
      <c r="K319" s="24"/>
      <c r="L319" s="24"/>
      <c r="M319" s="24"/>
      <c r="N319" s="24"/>
      <c r="O319" s="24"/>
      <c r="P319" s="24"/>
    </row>
    <row r="320" spans="1:16" ht="14.4" x14ac:dyDescent="0.3">
      <c r="A320" s="25" t="s">
        <v>38</v>
      </c>
      <c r="B320" s="18"/>
      <c r="C320" s="16" t="s">
        <v>19</v>
      </c>
      <c r="D320" s="20">
        <f>[45]LD!E31</f>
        <v>8.8499999999999995E-2</v>
      </c>
      <c r="E320" s="20">
        <f>[45]LD!F31</f>
        <v>8.8999999999999996E-2</v>
      </c>
      <c r="F320" s="20">
        <f>[45]LD!G31</f>
        <v>0.10780000000000001</v>
      </c>
      <c r="G320" s="20">
        <f>[45]LD!H31</f>
        <v>0.1246</v>
      </c>
      <c r="H320" s="20">
        <f>[45]LD!I31</f>
        <v>8.7999999999999995E-2</v>
      </c>
      <c r="I320" s="20">
        <f>[45]LD!J31</f>
        <v>5.9900000000000002E-2</v>
      </c>
      <c r="J320" s="20">
        <f>[45]LD!K31</f>
        <v>4.3099999999999999E-2</v>
      </c>
      <c r="K320" s="20">
        <f>[45]LD!L31</f>
        <v>5.4600000000000003E-2</v>
      </c>
      <c r="L320" s="20">
        <f>[45]LD!M31</f>
        <v>7.3800000000000004E-2</v>
      </c>
      <c r="M320" s="20">
        <f>[45]LD!N31</f>
        <v>7.2999999999999995E-2</v>
      </c>
      <c r="N320" s="20">
        <f>[45]LD!O31</f>
        <v>8.1799999999999998E-2</v>
      </c>
      <c r="O320" s="20">
        <f>[45]LD!P31</f>
        <v>8.5900000000000004E-2</v>
      </c>
      <c r="P320" s="20">
        <f>[45]LD!Q31</f>
        <v>0</v>
      </c>
    </row>
    <row r="321" spans="1:16" ht="14.4" x14ac:dyDescent="0.3">
      <c r="A321" s="25" t="s">
        <v>39</v>
      </c>
      <c r="B321" s="18"/>
      <c r="C321" s="16" t="s">
        <v>19</v>
      </c>
      <c r="D321" s="20">
        <v>0</v>
      </c>
      <c r="E321" s="20">
        <v>0</v>
      </c>
      <c r="F321" s="20">
        <v>0</v>
      </c>
      <c r="G321" s="20">
        <v>0</v>
      </c>
      <c r="H321" s="20">
        <v>0</v>
      </c>
      <c r="I321" s="20">
        <v>0</v>
      </c>
      <c r="J321" s="20">
        <v>0</v>
      </c>
      <c r="K321" s="20">
        <v>0</v>
      </c>
      <c r="L321" s="20">
        <v>0</v>
      </c>
      <c r="M321" s="20">
        <v>0</v>
      </c>
      <c r="N321" s="20">
        <v>0</v>
      </c>
      <c r="O321" s="20">
        <v>0</v>
      </c>
      <c r="P321" s="20">
        <v>0</v>
      </c>
    </row>
    <row r="322" spans="1:16" ht="14.4" x14ac:dyDescent="0.3">
      <c r="A322" s="26" t="s">
        <v>40</v>
      </c>
      <c r="B322" s="18"/>
      <c r="C322" s="16" t="s">
        <v>19</v>
      </c>
      <c r="D322" s="20">
        <f>'[45]SR CIT. SUBSIDY'!E95</f>
        <v>1E-4</v>
      </c>
      <c r="E322" s="20">
        <f>'[45]SR CIT. SUBSIDY'!F95</f>
        <v>1E-4</v>
      </c>
      <c r="F322" s="20">
        <f>'[45]SR CIT. SUBSIDY'!G95</f>
        <v>1E-4</v>
      </c>
      <c r="G322" s="20">
        <f>'[45]SR CIT. SUBSIDY'!H95</f>
        <v>1E-4</v>
      </c>
      <c r="H322" s="20">
        <f>'[45]SR CIT. SUBSIDY'!I95</f>
        <v>1E-4</v>
      </c>
      <c r="I322" s="20">
        <f>'[45]SR CIT. SUBSIDY'!J95</f>
        <v>-2.0000000000000001E-4</v>
      </c>
      <c r="J322" s="20">
        <f>'[45]SR CIT. SUBSIDY'!K95</f>
        <v>-2.0000000000000001E-4</v>
      </c>
      <c r="K322" s="20">
        <f>'[45]SR CIT. SUBSIDY'!L95</f>
        <v>-2.0000000000000001E-4</v>
      </c>
      <c r="L322" s="20">
        <f>'[45]SR CIT. SUBSIDY'!M95</f>
        <v>2.9999999999999997E-4</v>
      </c>
      <c r="M322" s="20">
        <f>'[45]SR CIT. SUBSIDY'!N95</f>
        <v>1E-4</v>
      </c>
      <c r="N322" s="20">
        <f>'[45]SR CIT. SUBSIDY'!O95</f>
        <v>1E-4</v>
      </c>
      <c r="O322" s="20">
        <f>'[45]SR CIT. SUBSIDY'!P95</f>
        <v>1E-4</v>
      </c>
      <c r="P322" s="20">
        <f>'[45]SR CIT. SUBSIDY'!Q95</f>
        <v>0</v>
      </c>
    </row>
    <row r="323" spans="1:16" ht="14.4" x14ac:dyDescent="0.3">
      <c r="A323" s="26" t="s">
        <v>41</v>
      </c>
      <c r="B323" s="18"/>
      <c r="C323" s="16" t="s">
        <v>19</v>
      </c>
      <c r="D323" s="20">
        <v>0</v>
      </c>
      <c r="E323" s="20">
        <v>0</v>
      </c>
      <c r="F323" s="20">
        <v>0</v>
      </c>
      <c r="G323" s="20">
        <v>0</v>
      </c>
      <c r="H323" s="20">
        <v>0</v>
      </c>
      <c r="I323" s="20">
        <v>0</v>
      </c>
      <c r="J323" s="20">
        <v>0</v>
      </c>
      <c r="K323" s="20">
        <v>0</v>
      </c>
      <c r="L323" s="20">
        <v>0</v>
      </c>
      <c r="M323" s="20">
        <v>0</v>
      </c>
      <c r="N323" s="20">
        <v>0</v>
      </c>
      <c r="O323" s="20">
        <v>0</v>
      </c>
      <c r="P323" s="20">
        <v>0</v>
      </c>
    </row>
    <row r="324" spans="1:16" ht="14.4" x14ac:dyDescent="0.3">
      <c r="A324" s="14" t="s">
        <v>42</v>
      </c>
      <c r="B324" s="14"/>
      <c r="C324" s="16"/>
      <c r="D324" s="24"/>
      <c r="E324" s="24"/>
      <c r="F324" s="24"/>
      <c r="G324" s="24"/>
      <c r="H324" s="24"/>
      <c r="I324" s="24"/>
      <c r="J324" s="24"/>
      <c r="K324" s="24"/>
      <c r="L324" s="24"/>
      <c r="M324" s="24"/>
      <c r="N324" s="24"/>
      <c r="O324" s="24"/>
      <c r="P324" s="24"/>
    </row>
    <row r="325" spans="1:16" ht="14.4" x14ac:dyDescent="0.3">
      <c r="A325" s="14" t="s">
        <v>43</v>
      </c>
      <c r="B325" s="14"/>
      <c r="C325" s="16" t="s">
        <v>44</v>
      </c>
      <c r="D325" s="27"/>
      <c r="E325" s="27"/>
      <c r="F325" s="27"/>
      <c r="G325" s="27"/>
      <c r="H325" s="27"/>
      <c r="I325" s="27"/>
      <c r="J325" s="27"/>
      <c r="K325" s="27"/>
      <c r="L325" s="27"/>
      <c r="M325" s="27"/>
      <c r="N325" s="27"/>
      <c r="O325" s="27"/>
      <c r="P325" s="27"/>
    </row>
    <row r="326" spans="1:16" ht="14.4" x14ac:dyDescent="0.3">
      <c r="A326" s="14" t="s">
        <v>45</v>
      </c>
      <c r="B326" s="14"/>
      <c r="C326" s="16"/>
      <c r="D326" s="28"/>
      <c r="E326" s="28"/>
      <c r="F326" s="28"/>
      <c r="G326" s="28"/>
      <c r="H326" s="28"/>
      <c r="I326" s="28"/>
      <c r="J326" s="28"/>
      <c r="K326" s="28"/>
      <c r="L326" s="28"/>
      <c r="M326" s="28"/>
      <c r="N326" s="28"/>
      <c r="O326" s="28"/>
      <c r="P326" s="28"/>
    </row>
    <row r="327" spans="1:16" ht="14.4" x14ac:dyDescent="0.3">
      <c r="A327" s="14" t="s">
        <v>46</v>
      </c>
      <c r="B327" s="14"/>
      <c r="C327" s="16" t="s">
        <v>19</v>
      </c>
      <c r="D327" s="20">
        <v>0</v>
      </c>
      <c r="E327" s="20">
        <v>0</v>
      </c>
      <c r="F327" s="20">
        <v>0</v>
      </c>
      <c r="G327" s="20">
        <v>0</v>
      </c>
      <c r="H327" s="20">
        <v>0</v>
      </c>
      <c r="I327" s="20">
        <v>0</v>
      </c>
      <c r="J327" s="20">
        <v>0</v>
      </c>
      <c r="K327" s="20">
        <v>0</v>
      </c>
      <c r="L327" s="20">
        <v>0</v>
      </c>
      <c r="M327" s="20">
        <v>0</v>
      </c>
      <c r="N327" s="20">
        <v>0</v>
      </c>
      <c r="O327" s="20">
        <v>0</v>
      </c>
      <c r="P327" s="20">
        <v>0</v>
      </c>
    </row>
    <row r="328" spans="1:16" ht="14.4" x14ac:dyDescent="0.3">
      <c r="A328" s="14" t="s">
        <v>47</v>
      </c>
      <c r="B328" s="14"/>
      <c r="C328" s="16"/>
      <c r="D328" s="24"/>
      <c r="E328" s="24"/>
      <c r="F328" s="24"/>
      <c r="G328" s="24"/>
      <c r="H328" s="24"/>
      <c r="I328" s="24"/>
      <c r="J328" s="24"/>
      <c r="K328" s="24"/>
      <c r="L328" s="24"/>
      <c r="M328" s="24"/>
      <c r="N328" s="24"/>
      <c r="O328" s="24"/>
      <c r="P328" s="24"/>
    </row>
    <row r="329" spans="1:16" ht="14.4" x14ac:dyDescent="0.3">
      <c r="A329" s="18" t="s">
        <v>48</v>
      </c>
      <c r="B329" s="18"/>
      <c r="C329" s="16" t="s">
        <v>19</v>
      </c>
      <c r="D329" s="20">
        <f>D286</f>
        <v>0.15609999999999999</v>
      </c>
      <c r="E329" s="20">
        <f t="shared" ref="E329:P333" si="23">E286</f>
        <v>0.15609999999999999</v>
      </c>
      <c r="F329" s="20">
        <f t="shared" si="23"/>
        <v>0.15609999999999999</v>
      </c>
      <c r="G329" s="20">
        <f t="shared" si="23"/>
        <v>0.15609999999999999</v>
      </c>
      <c r="H329" s="20">
        <f t="shared" si="23"/>
        <v>0.15609999999999999</v>
      </c>
      <c r="I329" s="20">
        <f t="shared" si="23"/>
        <v>0.15609999999999999</v>
      </c>
      <c r="J329" s="20">
        <f t="shared" si="23"/>
        <v>0.15609999999999999</v>
      </c>
      <c r="K329" s="20">
        <f t="shared" si="23"/>
        <v>0.15609999999999999</v>
      </c>
      <c r="L329" s="20">
        <f t="shared" si="23"/>
        <v>0.15609999999999999</v>
      </c>
      <c r="M329" s="20">
        <f t="shared" si="23"/>
        <v>0.15609999999999999</v>
      </c>
      <c r="N329" s="20">
        <f t="shared" si="23"/>
        <v>0.15609999999999999</v>
      </c>
      <c r="O329" s="20">
        <f t="shared" si="23"/>
        <v>0.15609999999999999</v>
      </c>
      <c r="P329" s="20">
        <f t="shared" si="23"/>
        <v>0.15609999999999999</v>
      </c>
    </row>
    <row r="330" spans="1:16" ht="14.4" x14ac:dyDescent="0.3">
      <c r="A330" s="18" t="s">
        <v>49</v>
      </c>
      <c r="B330" s="18"/>
      <c r="C330" s="16" t="s">
        <v>19</v>
      </c>
      <c r="D330" s="20">
        <f>D287</f>
        <v>2.5000000000000001E-3</v>
      </c>
      <c r="E330" s="20">
        <f t="shared" si="23"/>
        <v>2.5000000000000001E-3</v>
      </c>
      <c r="F330" s="20">
        <f t="shared" si="23"/>
        <v>2.5000000000000001E-3</v>
      </c>
      <c r="G330" s="20">
        <f t="shared" si="23"/>
        <v>2.5000000000000001E-3</v>
      </c>
      <c r="H330" s="20">
        <f t="shared" si="23"/>
        <v>2.5000000000000001E-3</v>
      </c>
      <c r="I330" s="20">
        <f t="shared" si="23"/>
        <v>2.5000000000000001E-3</v>
      </c>
      <c r="J330" s="20">
        <f t="shared" si="23"/>
        <v>2.5000000000000001E-3</v>
      </c>
      <c r="K330" s="20">
        <f t="shared" si="23"/>
        <v>2.5000000000000001E-3</v>
      </c>
      <c r="L330" s="20">
        <f t="shared" si="23"/>
        <v>2.5000000000000001E-3</v>
      </c>
      <c r="M330" s="20">
        <f t="shared" si="23"/>
        <v>2.5000000000000001E-3</v>
      </c>
      <c r="N330" s="20">
        <f t="shared" si="23"/>
        <v>2.5000000000000001E-3</v>
      </c>
      <c r="O330" s="20">
        <f t="shared" si="23"/>
        <v>2.5000000000000001E-3</v>
      </c>
      <c r="P330" s="20">
        <f t="shared" si="23"/>
        <v>2.5000000000000001E-3</v>
      </c>
    </row>
    <row r="331" spans="1:16" ht="14.4" x14ac:dyDescent="0.3">
      <c r="A331" s="18" t="s">
        <v>111</v>
      </c>
      <c r="B331" s="18"/>
      <c r="C331" s="16" t="s">
        <v>19</v>
      </c>
      <c r="D331" s="20">
        <f>D288</f>
        <v>0.1938</v>
      </c>
      <c r="E331" s="20">
        <f t="shared" si="23"/>
        <v>0.1938</v>
      </c>
      <c r="F331" s="20">
        <f t="shared" si="23"/>
        <v>0.1938</v>
      </c>
      <c r="G331" s="20">
        <f t="shared" si="23"/>
        <v>0.1938</v>
      </c>
      <c r="H331" s="20">
        <f t="shared" si="23"/>
        <v>0.1938</v>
      </c>
      <c r="I331" s="20">
        <f t="shared" si="23"/>
        <v>0.1938</v>
      </c>
      <c r="J331" s="20">
        <f t="shared" si="23"/>
        <v>0.1938</v>
      </c>
      <c r="K331" s="20">
        <f t="shared" si="23"/>
        <v>0.1938</v>
      </c>
      <c r="L331" s="20">
        <f t="shared" si="23"/>
        <v>0.1938</v>
      </c>
      <c r="M331" s="20">
        <f t="shared" si="23"/>
        <v>0.1938</v>
      </c>
      <c r="N331" s="20">
        <f t="shared" si="23"/>
        <v>0.1938</v>
      </c>
      <c r="O331" s="20">
        <f t="shared" si="23"/>
        <v>0.1938</v>
      </c>
      <c r="P331" s="20">
        <f t="shared" si="23"/>
        <v>0.1938</v>
      </c>
    </row>
    <row r="332" spans="1:16" ht="14.4" x14ac:dyDescent="0.3">
      <c r="A332" s="18" t="s">
        <v>112</v>
      </c>
      <c r="B332" s="18"/>
      <c r="C332" s="16" t="s">
        <v>19</v>
      </c>
      <c r="D332" s="20">
        <f>D289</f>
        <v>0</v>
      </c>
      <c r="E332" s="20">
        <f t="shared" si="23"/>
        <v>0</v>
      </c>
      <c r="F332" s="20">
        <f t="shared" si="23"/>
        <v>0</v>
      </c>
      <c r="G332" s="20">
        <f t="shared" si="23"/>
        <v>0</v>
      </c>
      <c r="H332" s="20">
        <f t="shared" si="23"/>
        <v>0</v>
      </c>
      <c r="I332" s="20">
        <f t="shared" si="23"/>
        <v>0</v>
      </c>
      <c r="J332" s="20">
        <f t="shared" si="23"/>
        <v>0</v>
      </c>
      <c r="K332" s="20">
        <f t="shared" si="23"/>
        <v>2.6499999999999999E-2</v>
      </c>
      <c r="L332" s="20">
        <f t="shared" si="23"/>
        <v>2.6499999999999999E-2</v>
      </c>
      <c r="M332" s="20">
        <f t="shared" si="23"/>
        <v>2.6499999999999999E-2</v>
      </c>
      <c r="N332" s="20">
        <f t="shared" si="23"/>
        <v>2.6499999999999999E-2</v>
      </c>
      <c r="O332" s="20">
        <f t="shared" si="23"/>
        <v>2.6499999999999999E-2</v>
      </c>
      <c r="P332" s="20">
        <f t="shared" si="23"/>
        <v>2.6499999999999999E-2</v>
      </c>
    </row>
    <row r="333" spans="1:16" ht="14.4" x14ac:dyDescent="0.3">
      <c r="A333" s="14" t="s">
        <v>51</v>
      </c>
      <c r="B333" s="14"/>
      <c r="C333" s="16" t="s">
        <v>19</v>
      </c>
      <c r="D333" s="20">
        <f>D290</f>
        <v>0.124</v>
      </c>
      <c r="E333" s="20">
        <f t="shared" si="23"/>
        <v>0.124</v>
      </c>
      <c r="F333" s="20">
        <f t="shared" si="23"/>
        <v>0.124</v>
      </c>
      <c r="G333" s="20">
        <f t="shared" si="23"/>
        <v>0.124</v>
      </c>
      <c r="H333" s="20">
        <f t="shared" si="23"/>
        <v>0.124</v>
      </c>
      <c r="I333" s="20">
        <f t="shared" si="23"/>
        <v>0.183</v>
      </c>
      <c r="J333" s="20">
        <f t="shared" si="23"/>
        <v>0.183</v>
      </c>
      <c r="K333" s="20">
        <f t="shared" si="23"/>
        <v>0.183</v>
      </c>
      <c r="L333" s="20">
        <f t="shared" si="23"/>
        <v>0.183</v>
      </c>
      <c r="M333" s="20">
        <f t="shared" si="23"/>
        <v>0.183</v>
      </c>
      <c r="N333" s="20">
        <f t="shared" si="23"/>
        <v>0.183</v>
      </c>
      <c r="O333" s="20">
        <f t="shared" si="23"/>
        <v>0.183</v>
      </c>
      <c r="P333" s="20">
        <f t="shared" si="23"/>
        <v>0.183</v>
      </c>
    </row>
    <row r="334" spans="1:16" ht="14.4" x14ac:dyDescent="0.3">
      <c r="A334" s="14" t="s">
        <v>52</v>
      </c>
      <c r="B334" s="14"/>
      <c r="C334" s="29"/>
      <c r="D334" s="22"/>
      <c r="E334" s="22"/>
      <c r="F334" s="22"/>
      <c r="G334" s="22"/>
      <c r="H334" s="22"/>
      <c r="I334" s="22"/>
      <c r="J334" s="22"/>
      <c r="K334" s="22"/>
      <c r="L334" s="22"/>
      <c r="M334" s="22"/>
      <c r="N334" s="22"/>
      <c r="O334" s="22"/>
      <c r="P334" s="22"/>
    </row>
    <row r="335" spans="1:16" ht="14.4" x14ac:dyDescent="0.3">
      <c r="A335" s="18" t="s">
        <v>53</v>
      </c>
      <c r="B335" s="18"/>
      <c r="C335" s="16" t="s">
        <v>44</v>
      </c>
      <c r="D335" s="30">
        <f>'[45]DU VAT'!D18</f>
        <v>0.10979999999999999</v>
      </c>
      <c r="E335" s="30">
        <f>'[45]DU VAT'!E18</f>
        <v>0.1118</v>
      </c>
      <c r="F335" s="30">
        <f>'[45]DU VAT'!F18</f>
        <v>0.10390000000000001</v>
      </c>
      <c r="G335" s="30">
        <f>'[45]DU VAT'!G18</f>
        <v>0.1095</v>
      </c>
      <c r="H335" s="30">
        <f>'[45]DU VAT'!H18</f>
        <v>0.1061</v>
      </c>
      <c r="I335" s="30">
        <f>'[45]DU VAT'!I18</f>
        <v>0.1137</v>
      </c>
      <c r="J335" s="30">
        <f>'[45]DU VAT'!J18</f>
        <v>0.1135</v>
      </c>
      <c r="K335" s="30">
        <f>'[45]DU VAT'!K18</f>
        <v>0.1162</v>
      </c>
      <c r="L335" s="30">
        <f>'[45]DU VAT'!L18</f>
        <v>0.1128</v>
      </c>
      <c r="M335" s="30">
        <f>'[45]DU VAT'!M18</f>
        <v>0.112</v>
      </c>
      <c r="N335" s="30">
        <f>'[45]DU VAT'!N18</f>
        <v>0.11219999999999999</v>
      </c>
      <c r="O335" s="30">
        <f>'[45]DU VAT'!O18</f>
        <v>0.1149</v>
      </c>
      <c r="P335" s="30" t="e">
        <f>'[45]DU VAT'!P18</f>
        <v>#DIV/0!</v>
      </c>
    </row>
    <row r="336" spans="1:16" ht="14.4" x14ac:dyDescent="0.3">
      <c r="A336" s="18" t="s">
        <v>54</v>
      </c>
      <c r="B336" s="18"/>
      <c r="C336" s="16" t="s">
        <v>44</v>
      </c>
      <c r="D336" s="30">
        <f>'[45]DU VAT'!D26</f>
        <v>5.5999999999999999E-3</v>
      </c>
      <c r="E336" s="30">
        <f>'[45]DU VAT'!E26</f>
        <v>6.3E-3</v>
      </c>
      <c r="F336" s="30">
        <f>'[45]DU VAT'!F26</f>
        <v>4.0000000000000001E-3</v>
      </c>
      <c r="G336" s="30">
        <f>'[45]DU VAT'!G26</f>
        <v>6.7999999999999996E-3</v>
      </c>
      <c r="H336" s="30">
        <f>'[45]DU VAT'!H26</f>
        <v>2.2700000000000001E-2</v>
      </c>
      <c r="I336" s="30">
        <f>'[45]DU VAT'!I26</f>
        <v>2.0400000000000001E-2</v>
      </c>
      <c r="J336" s="30">
        <f>'[45]DU VAT'!J26</f>
        <v>1.6799999999999999E-2</v>
      </c>
      <c r="K336" s="30">
        <f>'[45]DU VAT'!K26</f>
        <v>1.8200000000000001E-2</v>
      </c>
      <c r="L336" s="30">
        <f>'[45]DU VAT'!L26</f>
        <v>8.8999999999999999E-3</v>
      </c>
      <c r="M336" s="30">
        <f>'[45]DU VAT'!M26</f>
        <v>3.5999999999999999E-3</v>
      </c>
      <c r="N336" s="30">
        <f>'[45]DU VAT'!N26</f>
        <v>1.5599999999999999E-2</v>
      </c>
      <c r="O336" s="30">
        <f>'[45]DU VAT'!O26</f>
        <v>5.7999999999999996E-3</v>
      </c>
      <c r="P336" s="30" t="e">
        <f>'[45]DU VAT'!P26</f>
        <v>#DIV/0!</v>
      </c>
    </row>
    <row r="337" spans="1:16" ht="14.4" x14ac:dyDescent="0.3">
      <c r="A337" s="18" t="s">
        <v>55</v>
      </c>
      <c r="B337" s="18"/>
      <c r="C337" s="16" t="s">
        <v>44</v>
      </c>
      <c r="D337" s="30">
        <f>'[45]DU VAT'!D34</f>
        <v>9.1899999999999996E-2</v>
      </c>
      <c r="E337" s="30">
        <f>'[45]DU VAT'!E34</f>
        <v>9.3200000000000005E-2</v>
      </c>
      <c r="F337" s="30">
        <f>'[45]DU VAT'!F34</f>
        <v>8.8800000000000004E-2</v>
      </c>
      <c r="G337" s="30">
        <f>'[45]DU VAT'!G34</f>
        <v>9.4799999999999995E-2</v>
      </c>
      <c r="H337" s="30">
        <f>'[45]DU VAT'!H34</f>
        <v>9.3799999999999994E-2</v>
      </c>
      <c r="I337" s="30">
        <f>'[45]DU VAT'!I34</f>
        <v>9.9400000000000002E-2</v>
      </c>
      <c r="J337" s="30">
        <f>'[45]DU VAT'!J34</f>
        <v>9.9199999999999997E-2</v>
      </c>
      <c r="K337" s="30">
        <f>'[45]DU VAT'!K34</f>
        <v>0.1007</v>
      </c>
      <c r="L337" s="30">
        <f>'[45]DU VAT'!L34</f>
        <v>9.9000000000000005E-2</v>
      </c>
      <c r="M337" s="30">
        <f>'[45]DU VAT'!M34</f>
        <v>9.8699999999999996E-2</v>
      </c>
      <c r="N337" s="30">
        <f>'[45]DU VAT'!N34</f>
        <v>9.9299999999999999E-2</v>
      </c>
      <c r="O337" s="30">
        <f>'[45]DU VAT'!O34</f>
        <v>9.9900000000000003E-2</v>
      </c>
      <c r="P337" s="30" t="e">
        <f>'[45]DU VAT'!P34</f>
        <v>#DIV/0!</v>
      </c>
    </row>
    <row r="338" spans="1:16" ht="14.4" x14ac:dyDescent="0.3">
      <c r="A338" s="18" t="s">
        <v>56</v>
      </c>
      <c r="B338" s="18"/>
      <c r="C338" s="16" t="s">
        <v>44</v>
      </c>
      <c r="D338" s="30">
        <f>D295</f>
        <v>0.12</v>
      </c>
      <c r="E338" s="30">
        <f t="shared" ref="E338:P339" si="24">E295</f>
        <v>0.12</v>
      </c>
      <c r="F338" s="30">
        <f t="shared" si="24"/>
        <v>0.12</v>
      </c>
      <c r="G338" s="30">
        <f t="shared" si="24"/>
        <v>0.12</v>
      </c>
      <c r="H338" s="30">
        <f t="shared" si="24"/>
        <v>0.12</v>
      </c>
      <c r="I338" s="30">
        <f t="shared" si="24"/>
        <v>0.12</v>
      </c>
      <c r="J338" s="30">
        <f t="shared" si="24"/>
        <v>0.12</v>
      </c>
      <c r="K338" s="30">
        <f t="shared" si="24"/>
        <v>0.12</v>
      </c>
      <c r="L338" s="30">
        <f t="shared" si="24"/>
        <v>0.12</v>
      </c>
      <c r="M338" s="30">
        <f t="shared" si="24"/>
        <v>0.12</v>
      </c>
      <c r="N338" s="30">
        <f t="shared" si="24"/>
        <v>0.12</v>
      </c>
      <c r="O338" s="30">
        <f t="shared" si="24"/>
        <v>0.12</v>
      </c>
      <c r="P338" s="30">
        <f t="shared" si="24"/>
        <v>0.12</v>
      </c>
    </row>
    <row r="339" spans="1:16" ht="14.4" x14ac:dyDescent="0.3">
      <c r="A339" s="18" t="s">
        <v>57</v>
      </c>
      <c r="B339" s="18"/>
      <c r="C339" s="16" t="s">
        <v>44</v>
      </c>
      <c r="D339" s="30">
        <f>D296</f>
        <v>0.12</v>
      </c>
      <c r="E339" s="30">
        <f t="shared" si="24"/>
        <v>0.12</v>
      </c>
      <c r="F339" s="30">
        <f t="shared" si="24"/>
        <v>0.12</v>
      </c>
      <c r="G339" s="30">
        <f t="shared" si="24"/>
        <v>0.12</v>
      </c>
      <c r="H339" s="30">
        <f t="shared" si="24"/>
        <v>0.12</v>
      </c>
      <c r="I339" s="30">
        <f t="shared" si="24"/>
        <v>0.12</v>
      </c>
      <c r="J339" s="30">
        <f t="shared" si="24"/>
        <v>0.12</v>
      </c>
      <c r="K339" s="30">
        <f t="shared" si="24"/>
        <v>0.12</v>
      </c>
      <c r="L339" s="30">
        <f t="shared" si="24"/>
        <v>0.12</v>
      </c>
      <c r="M339" s="30">
        <f t="shared" si="24"/>
        <v>0.12</v>
      </c>
      <c r="N339" s="30">
        <f t="shared" si="24"/>
        <v>0.12</v>
      </c>
      <c r="O339" s="30">
        <f t="shared" si="24"/>
        <v>0.12</v>
      </c>
      <c r="P339" s="30">
        <f t="shared" si="24"/>
        <v>0.12</v>
      </c>
    </row>
    <row r="340" spans="1:16" s="5" customFormat="1" ht="14.4" x14ac:dyDescent="0.3">
      <c r="A340" s="55"/>
      <c r="B340" s="55"/>
      <c r="C340" s="56"/>
      <c r="D340" s="57"/>
      <c r="E340" s="57"/>
      <c r="F340" s="57"/>
      <c r="G340" s="57"/>
      <c r="H340" s="57"/>
      <c r="I340" s="57"/>
      <c r="J340" s="57"/>
      <c r="K340" s="57"/>
      <c r="L340" s="57"/>
      <c r="M340" s="57"/>
      <c r="N340" s="57"/>
      <c r="O340" s="57"/>
      <c r="P340" s="57"/>
    </row>
    <row r="341" spans="1:16" x14ac:dyDescent="0.3">
      <c r="A341" s="3" t="s">
        <v>58</v>
      </c>
    </row>
    <row r="342" spans="1:16" s="5" customFormat="1" ht="14.4" x14ac:dyDescent="0.3">
      <c r="A342" s="55"/>
      <c r="B342" s="55"/>
      <c r="C342" s="56"/>
      <c r="D342" s="57"/>
      <c r="E342" s="57"/>
      <c r="F342" s="57"/>
      <c r="G342" s="57"/>
      <c r="H342" s="57"/>
      <c r="I342" s="57"/>
      <c r="J342" s="57"/>
      <c r="K342" s="57"/>
      <c r="L342" s="57"/>
      <c r="M342" s="57"/>
      <c r="N342" s="57"/>
      <c r="O342" s="57"/>
      <c r="P342" s="57"/>
    </row>
    <row r="343" spans="1:16" ht="18" x14ac:dyDescent="0.35">
      <c r="A343" s="59" t="str">
        <f>'[45]Statistical data'!A169</f>
        <v>General Power-69/115kV</v>
      </c>
      <c r="B343" s="60"/>
      <c r="C343" s="5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</row>
    <row r="344" spans="1:16" s="13" customFormat="1" ht="14.4" x14ac:dyDescent="0.3">
      <c r="A344" s="11" t="s">
        <v>3</v>
      </c>
      <c r="B344" s="11"/>
      <c r="C344" s="11" t="s">
        <v>4</v>
      </c>
      <c r="D344" s="12" t="str">
        <f t="shared" ref="D344:P344" si="25">D301</f>
        <v>JAN</v>
      </c>
      <c r="E344" s="12" t="str">
        <f t="shared" si="25"/>
        <v>FEB</v>
      </c>
      <c r="F344" s="12" t="str">
        <f t="shared" si="25"/>
        <v>MAR</v>
      </c>
      <c r="G344" s="12" t="str">
        <f t="shared" si="25"/>
        <v>APR</v>
      </c>
      <c r="H344" s="12" t="str">
        <f t="shared" si="25"/>
        <v>MAY</v>
      </c>
      <c r="I344" s="12" t="str">
        <f t="shared" si="25"/>
        <v>JUN</v>
      </c>
      <c r="J344" s="12" t="str">
        <f t="shared" si="25"/>
        <v>JUL</v>
      </c>
      <c r="K344" s="12" t="str">
        <f t="shared" si="25"/>
        <v>AUG</v>
      </c>
      <c r="L344" s="12" t="str">
        <f t="shared" si="25"/>
        <v>SEP</v>
      </c>
      <c r="M344" s="12" t="str">
        <f t="shared" si="25"/>
        <v>OCT</v>
      </c>
      <c r="N344" s="12" t="str">
        <f t="shared" si="25"/>
        <v>NOV</v>
      </c>
      <c r="O344" s="12" t="str">
        <f t="shared" si="25"/>
        <v>DEC</v>
      </c>
      <c r="P344" s="12" t="str">
        <f t="shared" si="25"/>
        <v>JAN</v>
      </c>
    </row>
    <row r="345" spans="1:16" ht="14.4" x14ac:dyDescent="0.3">
      <c r="A345" s="14" t="s">
        <v>17</v>
      </c>
      <c r="B345" s="15"/>
      <c r="C345" s="16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</row>
    <row r="346" spans="1:16" ht="14.4" x14ac:dyDescent="0.3">
      <c r="A346" s="18" t="s">
        <v>18</v>
      </c>
      <c r="B346" s="19"/>
      <c r="C346" s="16" t="s">
        <v>19</v>
      </c>
      <c r="D346" s="52" t="s">
        <v>59</v>
      </c>
      <c r="E346" s="52" t="s">
        <v>59</v>
      </c>
      <c r="F346" s="52" t="s">
        <v>59</v>
      </c>
      <c r="G346" s="52" t="s">
        <v>59</v>
      </c>
      <c r="H346" s="52" t="s">
        <v>59</v>
      </c>
      <c r="I346" s="52" t="s">
        <v>59</v>
      </c>
      <c r="J346" s="52" t="s">
        <v>59</v>
      </c>
      <c r="K346" s="52" t="s">
        <v>59</v>
      </c>
      <c r="L346" s="52" t="s">
        <v>59</v>
      </c>
      <c r="M346" s="52" t="s">
        <v>59</v>
      </c>
      <c r="N346" s="52" t="s">
        <v>59</v>
      </c>
      <c r="O346" s="52" t="s">
        <v>59</v>
      </c>
      <c r="P346" s="52" t="s">
        <v>59</v>
      </c>
    </row>
    <row r="347" spans="1:16" ht="14.4" x14ac:dyDescent="0.3">
      <c r="A347" s="14" t="s">
        <v>20</v>
      </c>
      <c r="B347" s="15"/>
      <c r="C347" s="16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</row>
    <row r="348" spans="1:16" ht="14.4" x14ac:dyDescent="0.3">
      <c r="A348" s="18" t="s">
        <v>21</v>
      </c>
      <c r="B348" s="19"/>
      <c r="C348" s="16" t="s">
        <v>19</v>
      </c>
      <c r="D348" s="20">
        <v>0</v>
      </c>
      <c r="E348" s="20">
        <v>0</v>
      </c>
      <c r="F348" s="20">
        <v>0</v>
      </c>
      <c r="G348" s="20">
        <v>0</v>
      </c>
      <c r="H348" s="20">
        <v>0</v>
      </c>
      <c r="I348" s="20">
        <v>0</v>
      </c>
      <c r="J348" s="20">
        <v>0</v>
      </c>
      <c r="K348" s="20">
        <v>0</v>
      </c>
      <c r="L348" s="20">
        <v>0</v>
      </c>
      <c r="M348" s="20">
        <v>0</v>
      </c>
      <c r="N348" s="20">
        <v>0</v>
      </c>
      <c r="O348" s="20">
        <v>0</v>
      </c>
      <c r="P348" s="20">
        <v>0</v>
      </c>
    </row>
    <row r="349" spans="1:16" ht="14.4" x14ac:dyDescent="0.3">
      <c r="A349" s="18" t="s">
        <v>22</v>
      </c>
      <c r="B349" s="19"/>
      <c r="C349" s="16" t="s">
        <v>23</v>
      </c>
      <c r="D349" s="20">
        <f>[45]TR!D70</f>
        <v>226.35749999999999</v>
      </c>
      <c r="E349" s="20">
        <f>[45]TR!E70</f>
        <v>281.27749999999997</v>
      </c>
      <c r="F349" s="20">
        <f>[45]TR!F70</f>
        <v>282.1275</v>
      </c>
      <c r="G349" s="20">
        <f>[45]TR!G70</f>
        <v>233.7775</v>
      </c>
      <c r="H349" s="20">
        <f>[45]TR!H70</f>
        <v>254.41749999999999</v>
      </c>
      <c r="I349" s="20">
        <f>[45]TR!I70</f>
        <v>225.6001</v>
      </c>
      <c r="J349" s="20">
        <f>[45]TR!J70</f>
        <v>236.70419999999999</v>
      </c>
      <c r="K349" s="20">
        <f>[45]TR!K70</f>
        <v>250.0993</v>
      </c>
      <c r="L349" s="20">
        <f>[45]TR!L70</f>
        <v>224.6395</v>
      </c>
      <c r="M349" s="20">
        <f>[45]TR!M70</f>
        <v>198.46950000000001</v>
      </c>
      <c r="N349" s="20">
        <f>[45]TR!N70</f>
        <v>235.39949999999999</v>
      </c>
      <c r="O349" s="20">
        <f>[45]TR!O70</f>
        <v>225.7</v>
      </c>
      <c r="P349" s="20">
        <f>[45]TR!P70</f>
        <v>0</v>
      </c>
    </row>
    <row r="350" spans="1:16" ht="14.4" x14ac:dyDescent="0.3">
      <c r="A350" s="14" t="s">
        <v>24</v>
      </c>
      <c r="B350" s="15"/>
      <c r="C350" s="16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</row>
    <row r="351" spans="1:16" ht="14.4" x14ac:dyDescent="0.3">
      <c r="A351" s="18" t="s">
        <v>25</v>
      </c>
      <c r="B351" s="19"/>
      <c r="C351" s="16" t="s">
        <v>19</v>
      </c>
      <c r="D351" s="20">
        <f>[45]SLR!D76</f>
        <v>3.5499999999999997E-2</v>
      </c>
      <c r="E351" s="20">
        <f>[45]SLR!E76</f>
        <v>4.1799999999999997E-2</v>
      </c>
      <c r="F351" s="20">
        <f>[45]SLR!F76</f>
        <v>4.87E-2</v>
      </c>
      <c r="G351" s="20">
        <f>[45]SLR!G76</f>
        <v>5.04E-2</v>
      </c>
      <c r="H351" s="20">
        <f>[45]SLR!H76</f>
        <v>4.7300000000000002E-2</v>
      </c>
      <c r="I351" s="20">
        <f>[45]SLR!I76</f>
        <v>2.9700000000000001E-2</v>
      </c>
      <c r="J351" s="20">
        <f>[45]SLR!J76</f>
        <v>2.9600000000000001E-2</v>
      </c>
      <c r="K351" s="20">
        <f>[45]SLR!K76</f>
        <v>3.1099999999999999E-2</v>
      </c>
      <c r="L351" s="20">
        <f>[45]SLR!L76</f>
        <v>6.1699999999999998E-2</v>
      </c>
      <c r="M351" s="20">
        <f>[45]SLR!M76</f>
        <v>5.1499999999999997E-2</v>
      </c>
      <c r="N351" s="20">
        <f>[45]SLR!N76</f>
        <v>5.4699999999999999E-2</v>
      </c>
      <c r="O351" s="20">
        <f>[45]SLR!O76</f>
        <v>5.2200000000000003E-2</v>
      </c>
      <c r="P351" s="20" t="e">
        <f>[45]SLR!P76</f>
        <v>#DIV/0!</v>
      </c>
    </row>
    <row r="352" spans="1:16" ht="14.4" x14ac:dyDescent="0.3">
      <c r="A352" s="14" t="s">
        <v>26</v>
      </c>
      <c r="B352" s="14"/>
      <c r="C352" s="16"/>
      <c r="D352" s="22"/>
      <c r="E352" s="22"/>
      <c r="F352" s="22"/>
      <c r="G352" s="22"/>
      <c r="H352" s="22"/>
      <c r="I352" s="22"/>
      <c r="J352" s="22"/>
      <c r="K352" s="22"/>
      <c r="L352" s="22"/>
      <c r="M352" s="22"/>
      <c r="N352" s="22"/>
      <c r="O352" s="22"/>
      <c r="P352" s="22"/>
    </row>
    <row r="353" spans="1:16" ht="14.4" x14ac:dyDescent="0.3">
      <c r="A353" s="18" t="s">
        <v>27</v>
      </c>
      <c r="B353" s="18"/>
      <c r="C353" s="16" t="s">
        <v>19</v>
      </c>
      <c r="D353" s="20">
        <f t="shared" ref="D353:P353" si="26">D311</f>
        <v>5.1299999999999998E-2</v>
      </c>
      <c r="E353" s="20">
        <f t="shared" si="26"/>
        <v>5.1299999999999998E-2</v>
      </c>
      <c r="F353" s="20">
        <f t="shared" si="26"/>
        <v>5.1299999999999998E-2</v>
      </c>
      <c r="G353" s="20">
        <f t="shared" si="26"/>
        <v>5.1299999999999998E-2</v>
      </c>
      <c r="H353" s="20">
        <f t="shared" si="26"/>
        <v>5.1299999999999998E-2</v>
      </c>
      <c r="I353" s="20">
        <f t="shared" si="26"/>
        <v>5.1299999999999998E-2</v>
      </c>
      <c r="J353" s="20">
        <f t="shared" si="26"/>
        <v>5.1299999999999998E-2</v>
      </c>
      <c r="K353" s="20">
        <f t="shared" si="26"/>
        <v>5.1299999999999998E-2</v>
      </c>
      <c r="L353" s="20">
        <f t="shared" si="26"/>
        <v>5.1299999999999998E-2</v>
      </c>
      <c r="M353" s="20">
        <f t="shared" si="26"/>
        <v>5.1299999999999998E-2</v>
      </c>
      <c r="N353" s="20">
        <f t="shared" si="26"/>
        <v>5.1299999999999998E-2</v>
      </c>
      <c r="O353" s="20">
        <f t="shared" si="26"/>
        <v>5.1299999999999998E-2</v>
      </c>
      <c r="P353" s="20">
        <f t="shared" si="26"/>
        <v>5.1299999999999998E-2</v>
      </c>
    </row>
    <row r="354" spans="1:16" ht="14.4" x14ac:dyDescent="0.3">
      <c r="A354" s="18" t="s">
        <v>28</v>
      </c>
      <c r="B354" s="18"/>
      <c r="C354" s="16" t="s">
        <v>23</v>
      </c>
      <c r="D354" s="23">
        <v>143.32</v>
      </c>
      <c r="E354" s="23">
        <v>143.32</v>
      </c>
      <c r="F354" s="23">
        <v>143.32</v>
      </c>
      <c r="G354" s="23">
        <v>143.32</v>
      </c>
      <c r="H354" s="23">
        <v>143.32</v>
      </c>
      <c r="I354" s="23">
        <v>143.32</v>
      </c>
      <c r="J354" s="23">
        <v>143.32</v>
      </c>
      <c r="K354" s="23">
        <v>143.32</v>
      </c>
      <c r="L354" s="23">
        <v>143.32</v>
      </c>
      <c r="M354" s="23">
        <v>143.32</v>
      </c>
      <c r="N354" s="23">
        <v>143.32</v>
      </c>
      <c r="O354" s="23">
        <v>143.32</v>
      </c>
      <c r="P354" s="23">
        <v>143.32</v>
      </c>
    </row>
    <row r="355" spans="1:16" ht="14.4" x14ac:dyDescent="0.3">
      <c r="A355" s="14" t="s">
        <v>29</v>
      </c>
      <c r="B355" s="14"/>
      <c r="C355" s="16"/>
      <c r="D355" s="24"/>
      <c r="E355" s="24"/>
      <c r="F355" s="24"/>
      <c r="G355" s="24"/>
      <c r="H355" s="24"/>
      <c r="I355" s="24"/>
      <c r="J355" s="24"/>
      <c r="K355" s="24"/>
      <c r="L355" s="24"/>
      <c r="M355" s="24"/>
      <c r="N355" s="24"/>
      <c r="O355" s="24"/>
      <c r="P355" s="24"/>
    </row>
    <row r="356" spans="1:16" ht="14.4" x14ac:dyDescent="0.3">
      <c r="A356" s="18" t="s">
        <v>30</v>
      </c>
      <c r="B356" s="18"/>
      <c r="C356" s="16" t="s">
        <v>19</v>
      </c>
      <c r="D356" s="52" t="s">
        <v>61</v>
      </c>
      <c r="E356" s="52" t="s">
        <v>61</v>
      </c>
      <c r="F356" s="52" t="s">
        <v>61</v>
      </c>
      <c r="G356" s="52" t="s">
        <v>61</v>
      </c>
      <c r="H356" s="52" t="s">
        <v>61</v>
      </c>
      <c r="I356" s="52" t="s">
        <v>61</v>
      </c>
      <c r="J356" s="52" t="s">
        <v>61</v>
      </c>
      <c r="K356" s="52" t="s">
        <v>61</v>
      </c>
      <c r="L356" s="52" t="s">
        <v>61</v>
      </c>
      <c r="M356" s="52" t="s">
        <v>61</v>
      </c>
      <c r="N356" s="52" t="s">
        <v>61</v>
      </c>
      <c r="O356" s="52" t="s">
        <v>61</v>
      </c>
      <c r="P356" s="52" t="s">
        <v>61</v>
      </c>
    </row>
    <row r="357" spans="1:16" ht="14.4" x14ac:dyDescent="0.3">
      <c r="A357" s="18" t="s">
        <v>31</v>
      </c>
      <c r="B357" s="18"/>
      <c r="C357" s="16" t="s">
        <v>32</v>
      </c>
      <c r="D357" s="52" t="s">
        <v>62</v>
      </c>
      <c r="E357" s="52" t="s">
        <v>62</v>
      </c>
      <c r="F357" s="52" t="s">
        <v>62</v>
      </c>
      <c r="G357" s="52" t="s">
        <v>62</v>
      </c>
      <c r="H357" s="52" t="s">
        <v>62</v>
      </c>
      <c r="I357" s="52" t="s">
        <v>62</v>
      </c>
      <c r="J357" s="52" t="s">
        <v>62</v>
      </c>
      <c r="K357" s="52" t="s">
        <v>62</v>
      </c>
      <c r="L357" s="52" t="s">
        <v>62</v>
      </c>
      <c r="M357" s="52" t="s">
        <v>62</v>
      </c>
      <c r="N357" s="52" t="s">
        <v>62</v>
      </c>
      <c r="O357" s="52" t="s">
        <v>62</v>
      </c>
      <c r="P357" s="52" t="s">
        <v>62</v>
      </c>
    </row>
    <row r="358" spans="1:16" ht="14.4" x14ac:dyDescent="0.3">
      <c r="A358" s="14" t="s">
        <v>33</v>
      </c>
      <c r="B358" s="14"/>
      <c r="C358" s="16"/>
      <c r="D358" s="24"/>
      <c r="E358" s="24"/>
      <c r="F358" s="24"/>
      <c r="G358" s="24"/>
      <c r="H358" s="24"/>
      <c r="I358" s="24"/>
      <c r="J358" s="24"/>
      <c r="K358" s="24"/>
      <c r="L358" s="24"/>
      <c r="M358" s="24"/>
      <c r="N358" s="24"/>
      <c r="O358" s="24"/>
      <c r="P358" s="24"/>
    </row>
    <row r="359" spans="1:16" ht="14.4" x14ac:dyDescent="0.3">
      <c r="A359" s="18" t="s">
        <v>34</v>
      </c>
      <c r="B359" s="18"/>
      <c r="C359" s="16" t="s">
        <v>19</v>
      </c>
      <c r="D359" s="20">
        <v>0</v>
      </c>
      <c r="E359" s="20">
        <v>0</v>
      </c>
      <c r="F359" s="20">
        <v>0</v>
      </c>
      <c r="G359" s="20">
        <v>0</v>
      </c>
      <c r="H359" s="20">
        <v>0</v>
      </c>
      <c r="I359" s="20">
        <v>0</v>
      </c>
      <c r="J359" s="20">
        <v>0</v>
      </c>
      <c r="K359" s="20">
        <v>0</v>
      </c>
      <c r="L359" s="20">
        <v>0</v>
      </c>
      <c r="M359" s="20">
        <v>0</v>
      </c>
      <c r="N359" s="20">
        <v>0</v>
      </c>
      <c r="O359" s="20">
        <v>0</v>
      </c>
      <c r="P359" s="20">
        <v>0</v>
      </c>
    </row>
    <row r="360" spans="1:16" ht="14.4" x14ac:dyDescent="0.3">
      <c r="A360" s="18" t="s">
        <v>35</v>
      </c>
      <c r="B360" s="18"/>
      <c r="C360" s="16" t="s">
        <v>36</v>
      </c>
      <c r="D360" s="52" t="s">
        <v>63</v>
      </c>
      <c r="E360" s="52" t="s">
        <v>63</v>
      </c>
      <c r="F360" s="52" t="s">
        <v>63</v>
      </c>
      <c r="G360" s="52" t="s">
        <v>63</v>
      </c>
      <c r="H360" s="52" t="s">
        <v>63</v>
      </c>
      <c r="I360" s="52" t="s">
        <v>63</v>
      </c>
      <c r="J360" s="52" t="s">
        <v>63</v>
      </c>
      <c r="K360" s="52" t="s">
        <v>63</v>
      </c>
      <c r="L360" s="52" t="s">
        <v>63</v>
      </c>
      <c r="M360" s="52" t="s">
        <v>63</v>
      </c>
      <c r="N360" s="52" t="s">
        <v>63</v>
      </c>
      <c r="O360" s="52" t="s">
        <v>63</v>
      </c>
      <c r="P360" s="52" t="s">
        <v>63</v>
      </c>
    </row>
    <row r="361" spans="1:16" ht="14.4" x14ac:dyDescent="0.3">
      <c r="A361" s="14" t="s">
        <v>37</v>
      </c>
      <c r="B361" s="14"/>
      <c r="C361" s="16"/>
      <c r="D361" s="24"/>
      <c r="E361" s="24"/>
      <c r="F361" s="24"/>
      <c r="G361" s="24"/>
      <c r="H361" s="24"/>
      <c r="I361" s="24"/>
      <c r="J361" s="24"/>
      <c r="K361" s="24"/>
      <c r="L361" s="24"/>
      <c r="M361" s="24"/>
      <c r="N361" s="24"/>
      <c r="O361" s="24"/>
      <c r="P361" s="24"/>
    </row>
    <row r="362" spans="1:16" ht="14.4" x14ac:dyDescent="0.3">
      <c r="A362" s="25" t="s">
        <v>38</v>
      </c>
      <c r="B362" s="18"/>
      <c r="C362" s="16" t="s">
        <v>19</v>
      </c>
      <c r="D362" s="20">
        <f>[45]LD!E31</f>
        <v>8.8499999999999995E-2</v>
      </c>
      <c r="E362" s="20">
        <f>[45]LD!F31</f>
        <v>8.8999999999999996E-2</v>
      </c>
      <c r="F362" s="20">
        <f>[45]LD!G31</f>
        <v>0.10780000000000001</v>
      </c>
      <c r="G362" s="20">
        <f>[45]LD!H31</f>
        <v>0.1246</v>
      </c>
      <c r="H362" s="20">
        <f>[45]LD!I31</f>
        <v>8.7999999999999995E-2</v>
      </c>
      <c r="I362" s="20">
        <f>[45]LD!J31</f>
        <v>5.9900000000000002E-2</v>
      </c>
      <c r="J362" s="20">
        <f>[45]LD!K31</f>
        <v>4.3099999999999999E-2</v>
      </c>
      <c r="K362" s="20">
        <f>[45]LD!L31</f>
        <v>5.4600000000000003E-2</v>
      </c>
      <c r="L362" s="20">
        <f>[45]LD!M31</f>
        <v>7.3800000000000004E-2</v>
      </c>
      <c r="M362" s="20">
        <f>[45]LD!N31</f>
        <v>7.2999999999999995E-2</v>
      </c>
      <c r="N362" s="20">
        <f>[45]LD!O31</f>
        <v>8.1799999999999998E-2</v>
      </c>
      <c r="O362" s="20">
        <f>[45]LD!P31</f>
        <v>8.5900000000000004E-2</v>
      </c>
      <c r="P362" s="20">
        <f>[45]LD!Q31</f>
        <v>0</v>
      </c>
    </row>
    <row r="363" spans="1:16" ht="14.4" x14ac:dyDescent="0.3">
      <c r="A363" s="25" t="s">
        <v>39</v>
      </c>
      <c r="B363" s="18"/>
      <c r="C363" s="16" t="s">
        <v>19</v>
      </c>
      <c r="D363" s="20">
        <v>0</v>
      </c>
      <c r="E363" s="20">
        <v>0</v>
      </c>
      <c r="F363" s="20">
        <v>0</v>
      </c>
      <c r="G363" s="20">
        <v>0</v>
      </c>
      <c r="H363" s="20">
        <v>0</v>
      </c>
      <c r="I363" s="20">
        <v>0</v>
      </c>
      <c r="J363" s="20">
        <v>0</v>
      </c>
      <c r="K363" s="20">
        <v>0</v>
      </c>
      <c r="L363" s="20">
        <v>0</v>
      </c>
      <c r="M363" s="20">
        <v>0</v>
      </c>
      <c r="N363" s="20">
        <v>0</v>
      </c>
      <c r="O363" s="20">
        <v>0</v>
      </c>
      <c r="P363" s="20">
        <v>0</v>
      </c>
    </row>
    <row r="364" spans="1:16" ht="14.4" x14ac:dyDescent="0.3">
      <c r="A364" s="26" t="s">
        <v>40</v>
      </c>
      <c r="B364" s="18"/>
      <c r="C364" s="16" t="s">
        <v>19</v>
      </c>
      <c r="D364" s="20">
        <f>'[45]SR CIT. SUBSIDY'!E95</f>
        <v>1E-4</v>
      </c>
      <c r="E364" s="20">
        <f>'[45]SR CIT. SUBSIDY'!F95</f>
        <v>1E-4</v>
      </c>
      <c r="F364" s="20">
        <f>'[45]SR CIT. SUBSIDY'!G95</f>
        <v>1E-4</v>
      </c>
      <c r="G364" s="20">
        <f>'[45]SR CIT. SUBSIDY'!H95</f>
        <v>1E-4</v>
      </c>
      <c r="H364" s="20">
        <f>'[45]SR CIT. SUBSIDY'!I95</f>
        <v>1E-4</v>
      </c>
      <c r="I364" s="20">
        <f>'[45]SR CIT. SUBSIDY'!J95</f>
        <v>-2.0000000000000001E-4</v>
      </c>
      <c r="J364" s="20">
        <f>'[45]SR CIT. SUBSIDY'!K95</f>
        <v>-2.0000000000000001E-4</v>
      </c>
      <c r="K364" s="20">
        <f>'[45]SR CIT. SUBSIDY'!L95</f>
        <v>-2.0000000000000001E-4</v>
      </c>
      <c r="L364" s="20">
        <f>'[45]SR CIT. SUBSIDY'!M95</f>
        <v>2.9999999999999997E-4</v>
      </c>
      <c r="M364" s="20">
        <f>'[45]SR CIT. SUBSIDY'!N95</f>
        <v>1E-4</v>
      </c>
      <c r="N364" s="20">
        <f>'[45]SR CIT. SUBSIDY'!O95</f>
        <v>1E-4</v>
      </c>
      <c r="O364" s="20">
        <f>'[45]SR CIT. SUBSIDY'!P95</f>
        <v>1E-4</v>
      </c>
      <c r="P364" s="20">
        <f>'[45]SR CIT. SUBSIDY'!Q95</f>
        <v>0</v>
      </c>
    </row>
    <row r="365" spans="1:16" ht="14.4" x14ac:dyDescent="0.3">
      <c r="A365" s="26" t="s">
        <v>41</v>
      </c>
      <c r="B365" s="18"/>
      <c r="C365" s="16" t="s">
        <v>19</v>
      </c>
      <c r="D365" s="20">
        <v>0</v>
      </c>
      <c r="E365" s="20">
        <v>0</v>
      </c>
      <c r="F365" s="20">
        <v>0</v>
      </c>
      <c r="G365" s="20">
        <v>0</v>
      </c>
      <c r="H365" s="20">
        <v>0</v>
      </c>
      <c r="I365" s="20">
        <v>0</v>
      </c>
      <c r="J365" s="20">
        <v>0</v>
      </c>
      <c r="K365" s="20">
        <v>0</v>
      </c>
      <c r="L365" s="20">
        <v>0</v>
      </c>
      <c r="M365" s="20">
        <v>0</v>
      </c>
      <c r="N365" s="20">
        <v>0</v>
      </c>
      <c r="O365" s="20">
        <v>0</v>
      </c>
      <c r="P365" s="20">
        <v>0</v>
      </c>
    </row>
    <row r="366" spans="1:16" ht="14.4" x14ac:dyDescent="0.3">
      <c r="A366" s="14" t="s">
        <v>42</v>
      </c>
      <c r="B366" s="14"/>
      <c r="C366" s="16"/>
      <c r="D366" s="24"/>
      <c r="E366" s="24"/>
      <c r="F366" s="24"/>
      <c r="G366" s="24"/>
      <c r="H366" s="24"/>
      <c r="I366" s="24"/>
      <c r="J366" s="24"/>
      <c r="K366" s="24"/>
      <c r="L366" s="24"/>
      <c r="M366" s="24"/>
      <c r="N366" s="24"/>
      <c r="O366" s="24"/>
      <c r="P366" s="24"/>
    </row>
    <row r="367" spans="1:16" ht="14.4" x14ac:dyDescent="0.3">
      <c r="A367" s="14" t="s">
        <v>43</v>
      </c>
      <c r="B367" s="14"/>
      <c r="C367" s="16" t="s">
        <v>44</v>
      </c>
      <c r="D367" s="27"/>
      <c r="E367" s="27"/>
      <c r="F367" s="27"/>
      <c r="G367" s="27"/>
      <c r="H367" s="27"/>
      <c r="I367" s="27"/>
      <c r="J367" s="27"/>
      <c r="K367" s="27"/>
      <c r="L367" s="27"/>
      <c r="M367" s="27"/>
      <c r="N367" s="27"/>
      <c r="O367" s="27"/>
      <c r="P367" s="27"/>
    </row>
    <row r="368" spans="1:16" ht="14.4" x14ac:dyDescent="0.3">
      <c r="A368" s="14" t="s">
        <v>45</v>
      </c>
      <c r="B368" s="14"/>
      <c r="C368" s="16"/>
      <c r="D368" s="28"/>
      <c r="E368" s="28"/>
      <c r="F368" s="28"/>
      <c r="G368" s="28"/>
      <c r="H368" s="28"/>
      <c r="I368" s="28"/>
      <c r="J368" s="28"/>
      <c r="K368" s="28"/>
      <c r="L368" s="28"/>
      <c r="M368" s="28"/>
      <c r="N368" s="28"/>
      <c r="O368" s="28"/>
      <c r="P368" s="28"/>
    </row>
    <row r="369" spans="1:16" ht="14.4" x14ac:dyDescent="0.3">
      <c r="A369" s="14" t="s">
        <v>46</v>
      </c>
      <c r="B369" s="14"/>
      <c r="C369" s="16" t="s">
        <v>19</v>
      </c>
      <c r="D369" s="20">
        <v>0</v>
      </c>
      <c r="E369" s="20">
        <v>0</v>
      </c>
      <c r="F369" s="20">
        <v>0</v>
      </c>
      <c r="G369" s="20">
        <v>0</v>
      </c>
      <c r="H369" s="20">
        <v>0</v>
      </c>
      <c r="I369" s="20">
        <v>0</v>
      </c>
      <c r="J369" s="20">
        <v>0</v>
      </c>
      <c r="K369" s="20">
        <v>0</v>
      </c>
      <c r="L369" s="20">
        <v>0</v>
      </c>
      <c r="M369" s="20">
        <v>0</v>
      </c>
      <c r="N369" s="20">
        <v>0</v>
      </c>
      <c r="O369" s="20">
        <v>0</v>
      </c>
      <c r="P369" s="20">
        <v>0</v>
      </c>
    </row>
    <row r="370" spans="1:16" ht="14.4" x14ac:dyDescent="0.3">
      <c r="A370" s="14" t="s">
        <v>47</v>
      </c>
      <c r="B370" s="14"/>
      <c r="C370" s="16"/>
      <c r="D370" s="24"/>
      <c r="E370" s="24"/>
      <c r="F370" s="24"/>
      <c r="G370" s="24"/>
      <c r="H370" s="24"/>
      <c r="I370" s="24"/>
      <c r="J370" s="24"/>
      <c r="K370" s="24"/>
      <c r="L370" s="24"/>
      <c r="M370" s="24"/>
      <c r="N370" s="24"/>
      <c r="O370" s="24"/>
      <c r="P370" s="24"/>
    </row>
    <row r="371" spans="1:16" ht="14.4" x14ac:dyDescent="0.3">
      <c r="A371" s="18" t="s">
        <v>48</v>
      </c>
      <c r="B371" s="18"/>
      <c r="C371" s="16" t="s">
        <v>19</v>
      </c>
      <c r="D371" s="20">
        <f t="shared" ref="D371:P375" si="27">D329</f>
        <v>0.15609999999999999</v>
      </c>
      <c r="E371" s="20">
        <f t="shared" si="27"/>
        <v>0.15609999999999999</v>
      </c>
      <c r="F371" s="20">
        <f t="shared" si="27"/>
        <v>0.15609999999999999</v>
      </c>
      <c r="G371" s="20">
        <f t="shared" si="27"/>
        <v>0.15609999999999999</v>
      </c>
      <c r="H371" s="20">
        <f t="shared" si="27"/>
        <v>0.15609999999999999</v>
      </c>
      <c r="I371" s="20">
        <f t="shared" si="27"/>
        <v>0.15609999999999999</v>
      </c>
      <c r="J371" s="20">
        <f t="shared" si="27"/>
        <v>0.15609999999999999</v>
      </c>
      <c r="K371" s="20">
        <f t="shared" si="27"/>
        <v>0.15609999999999999</v>
      </c>
      <c r="L371" s="20">
        <f t="shared" si="27"/>
        <v>0.15609999999999999</v>
      </c>
      <c r="M371" s="20">
        <f t="shared" si="27"/>
        <v>0.15609999999999999</v>
      </c>
      <c r="N371" s="20">
        <f t="shared" si="27"/>
        <v>0.15609999999999999</v>
      </c>
      <c r="O371" s="20">
        <f t="shared" si="27"/>
        <v>0.15609999999999999</v>
      </c>
      <c r="P371" s="20">
        <f t="shared" si="27"/>
        <v>0.15609999999999999</v>
      </c>
    </row>
    <row r="372" spans="1:16" ht="14.4" x14ac:dyDescent="0.3">
      <c r="A372" s="18" t="s">
        <v>49</v>
      </c>
      <c r="B372" s="18"/>
      <c r="C372" s="16" t="s">
        <v>19</v>
      </c>
      <c r="D372" s="20">
        <f t="shared" si="27"/>
        <v>2.5000000000000001E-3</v>
      </c>
      <c r="E372" s="20">
        <f t="shared" si="27"/>
        <v>2.5000000000000001E-3</v>
      </c>
      <c r="F372" s="20">
        <f t="shared" si="27"/>
        <v>2.5000000000000001E-3</v>
      </c>
      <c r="G372" s="20">
        <f t="shared" si="27"/>
        <v>2.5000000000000001E-3</v>
      </c>
      <c r="H372" s="20">
        <f t="shared" si="27"/>
        <v>2.5000000000000001E-3</v>
      </c>
      <c r="I372" s="20">
        <f t="shared" si="27"/>
        <v>2.5000000000000001E-3</v>
      </c>
      <c r="J372" s="20">
        <f t="shared" si="27"/>
        <v>2.5000000000000001E-3</v>
      </c>
      <c r="K372" s="20">
        <f t="shared" si="27"/>
        <v>2.5000000000000001E-3</v>
      </c>
      <c r="L372" s="20">
        <f t="shared" si="27"/>
        <v>2.5000000000000001E-3</v>
      </c>
      <c r="M372" s="20">
        <f t="shared" si="27"/>
        <v>2.5000000000000001E-3</v>
      </c>
      <c r="N372" s="20">
        <f t="shared" si="27"/>
        <v>2.5000000000000001E-3</v>
      </c>
      <c r="O372" s="20">
        <f t="shared" si="27"/>
        <v>2.5000000000000001E-3</v>
      </c>
      <c r="P372" s="20">
        <f t="shared" si="27"/>
        <v>2.5000000000000001E-3</v>
      </c>
    </row>
    <row r="373" spans="1:16" ht="14.4" x14ac:dyDescent="0.3">
      <c r="A373" s="18" t="s">
        <v>111</v>
      </c>
      <c r="B373" s="18"/>
      <c r="C373" s="16" t="s">
        <v>19</v>
      </c>
      <c r="D373" s="20">
        <f t="shared" si="27"/>
        <v>0.1938</v>
      </c>
      <c r="E373" s="20">
        <f t="shared" si="27"/>
        <v>0.1938</v>
      </c>
      <c r="F373" s="20">
        <f t="shared" si="27"/>
        <v>0.1938</v>
      </c>
      <c r="G373" s="20">
        <f t="shared" si="27"/>
        <v>0.1938</v>
      </c>
      <c r="H373" s="20">
        <f t="shared" si="27"/>
        <v>0.1938</v>
      </c>
      <c r="I373" s="20">
        <f t="shared" si="27"/>
        <v>0.1938</v>
      </c>
      <c r="J373" s="20">
        <f t="shared" si="27"/>
        <v>0.1938</v>
      </c>
      <c r="K373" s="20">
        <f t="shared" si="27"/>
        <v>0.1938</v>
      </c>
      <c r="L373" s="20">
        <f t="shared" si="27"/>
        <v>0.1938</v>
      </c>
      <c r="M373" s="20">
        <f t="shared" si="27"/>
        <v>0.1938</v>
      </c>
      <c r="N373" s="20">
        <f t="shared" si="27"/>
        <v>0.1938</v>
      </c>
      <c r="O373" s="20">
        <f t="shared" si="27"/>
        <v>0.1938</v>
      </c>
      <c r="P373" s="20">
        <f t="shared" si="27"/>
        <v>0.1938</v>
      </c>
    </row>
    <row r="374" spans="1:16" ht="14.4" x14ac:dyDescent="0.3">
      <c r="A374" s="18" t="s">
        <v>112</v>
      </c>
      <c r="B374" s="18"/>
      <c r="C374" s="16" t="s">
        <v>19</v>
      </c>
      <c r="D374" s="20">
        <f t="shared" si="27"/>
        <v>0</v>
      </c>
      <c r="E374" s="20">
        <f t="shared" si="27"/>
        <v>0</v>
      </c>
      <c r="F374" s="20">
        <f t="shared" si="27"/>
        <v>0</v>
      </c>
      <c r="G374" s="20">
        <f t="shared" si="27"/>
        <v>0</v>
      </c>
      <c r="H374" s="20">
        <f t="shared" si="27"/>
        <v>0</v>
      </c>
      <c r="I374" s="20">
        <f t="shared" si="27"/>
        <v>0</v>
      </c>
      <c r="J374" s="20">
        <f t="shared" si="27"/>
        <v>0</v>
      </c>
      <c r="K374" s="20">
        <f t="shared" si="27"/>
        <v>2.6499999999999999E-2</v>
      </c>
      <c r="L374" s="20">
        <f t="shared" si="27"/>
        <v>2.6499999999999999E-2</v>
      </c>
      <c r="M374" s="20">
        <f t="shared" si="27"/>
        <v>2.6499999999999999E-2</v>
      </c>
      <c r="N374" s="20">
        <f t="shared" si="27"/>
        <v>2.6499999999999999E-2</v>
      </c>
      <c r="O374" s="20">
        <f t="shared" si="27"/>
        <v>2.6499999999999999E-2</v>
      </c>
      <c r="P374" s="20">
        <f t="shared" si="27"/>
        <v>2.6499999999999999E-2</v>
      </c>
    </row>
    <row r="375" spans="1:16" ht="14.4" x14ac:dyDescent="0.3">
      <c r="A375" s="14" t="s">
        <v>51</v>
      </c>
      <c r="B375" s="14"/>
      <c r="C375" s="16" t="s">
        <v>19</v>
      </c>
      <c r="D375" s="20">
        <f>D333</f>
        <v>0.124</v>
      </c>
      <c r="E375" s="20">
        <f t="shared" si="27"/>
        <v>0.124</v>
      </c>
      <c r="F375" s="20">
        <f t="shared" si="27"/>
        <v>0.124</v>
      </c>
      <c r="G375" s="20">
        <f t="shared" si="27"/>
        <v>0.124</v>
      </c>
      <c r="H375" s="20">
        <f t="shared" si="27"/>
        <v>0.124</v>
      </c>
      <c r="I375" s="20">
        <f t="shared" si="27"/>
        <v>0.183</v>
      </c>
      <c r="J375" s="20">
        <f t="shared" si="27"/>
        <v>0.183</v>
      </c>
      <c r="K375" s="20">
        <f t="shared" si="27"/>
        <v>0.183</v>
      </c>
      <c r="L375" s="20">
        <f t="shared" si="27"/>
        <v>0.183</v>
      </c>
      <c r="M375" s="20">
        <f t="shared" si="27"/>
        <v>0.183</v>
      </c>
      <c r="N375" s="20">
        <f t="shared" si="27"/>
        <v>0.183</v>
      </c>
      <c r="O375" s="20">
        <f t="shared" si="27"/>
        <v>0.183</v>
      </c>
      <c r="P375" s="20">
        <f t="shared" si="27"/>
        <v>0.183</v>
      </c>
    </row>
    <row r="376" spans="1:16" ht="14.4" x14ac:dyDescent="0.3">
      <c r="A376" s="14" t="s">
        <v>52</v>
      </c>
      <c r="B376" s="14"/>
      <c r="C376" s="29"/>
      <c r="D376" s="22"/>
      <c r="E376" s="22"/>
      <c r="F376" s="22"/>
      <c r="G376" s="22"/>
      <c r="H376" s="22"/>
      <c r="I376" s="22"/>
      <c r="J376" s="22"/>
      <c r="K376" s="22"/>
      <c r="L376" s="22"/>
      <c r="M376" s="22"/>
      <c r="N376" s="22"/>
      <c r="O376" s="22"/>
      <c r="P376" s="22"/>
    </row>
    <row r="377" spans="1:16" ht="14.4" x14ac:dyDescent="0.3">
      <c r="A377" s="18" t="s">
        <v>53</v>
      </c>
      <c r="B377" s="18"/>
      <c r="C377" s="16" t="s">
        <v>44</v>
      </c>
      <c r="D377" s="30">
        <f>'[45]DU VAT'!D18</f>
        <v>0.10979999999999999</v>
      </c>
      <c r="E377" s="30">
        <f>'[45]DU VAT'!E18</f>
        <v>0.1118</v>
      </c>
      <c r="F377" s="30">
        <f>'[45]DU VAT'!F18</f>
        <v>0.10390000000000001</v>
      </c>
      <c r="G377" s="30">
        <f>'[45]DU VAT'!G18</f>
        <v>0.1095</v>
      </c>
      <c r="H377" s="30">
        <f>'[45]DU VAT'!H18</f>
        <v>0.1061</v>
      </c>
      <c r="I377" s="30">
        <f>'[45]DU VAT'!I18</f>
        <v>0.1137</v>
      </c>
      <c r="J377" s="30">
        <f>'[45]DU VAT'!J18</f>
        <v>0.1135</v>
      </c>
      <c r="K377" s="30">
        <f>'[45]DU VAT'!K18</f>
        <v>0.1162</v>
      </c>
      <c r="L377" s="30">
        <f>'[45]DU VAT'!L18</f>
        <v>0.1128</v>
      </c>
      <c r="M377" s="30">
        <f>'[45]DU VAT'!M18</f>
        <v>0.112</v>
      </c>
      <c r="N377" s="30">
        <f>'[45]DU VAT'!N18</f>
        <v>0.11219999999999999</v>
      </c>
      <c r="O377" s="30">
        <f>'[45]DU VAT'!O18</f>
        <v>0.1149</v>
      </c>
      <c r="P377" s="30" t="e">
        <f>'[45]DU VAT'!P18</f>
        <v>#DIV/0!</v>
      </c>
    </row>
    <row r="378" spans="1:16" ht="14.4" x14ac:dyDescent="0.3">
      <c r="A378" s="18" t="s">
        <v>54</v>
      </c>
      <c r="B378" s="18"/>
      <c r="C378" s="16" t="s">
        <v>44</v>
      </c>
      <c r="D378" s="30">
        <f>'[45]DU VAT'!D26</f>
        <v>5.5999999999999999E-3</v>
      </c>
      <c r="E378" s="30">
        <f>'[45]DU VAT'!E26</f>
        <v>6.3E-3</v>
      </c>
      <c r="F378" s="30">
        <f>'[45]DU VAT'!F26</f>
        <v>4.0000000000000001E-3</v>
      </c>
      <c r="G378" s="30">
        <f>'[45]DU VAT'!G26</f>
        <v>6.7999999999999996E-3</v>
      </c>
      <c r="H378" s="30">
        <f>'[45]DU VAT'!H26</f>
        <v>2.2700000000000001E-2</v>
      </c>
      <c r="I378" s="30">
        <f>'[45]DU VAT'!I26</f>
        <v>2.0400000000000001E-2</v>
      </c>
      <c r="J378" s="30">
        <f>'[45]DU VAT'!J26</f>
        <v>1.6799999999999999E-2</v>
      </c>
      <c r="K378" s="30">
        <f>'[45]DU VAT'!K26</f>
        <v>1.8200000000000001E-2</v>
      </c>
      <c r="L378" s="30">
        <f>'[45]DU VAT'!L26</f>
        <v>8.8999999999999999E-3</v>
      </c>
      <c r="M378" s="30">
        <f>'[45]DU VAT'!M26</f>
        <v>3.5999999999999999E-3</v>
      </c>
      <c r="N378" s="30">
        <f>'[45]DU VAT'!N26</f>
        <v>1.5599999999999999E-2</v>
      </c>
      <c r="O378" s="30">
        <f>'[45]DU VAT'!O26</f>
        <v>5.7999999999999996E-3</v>
      </c>
      <c r="P378" s="30" t="e">
        <f>'[45]DU VAT'!P26</f>
        <v>#DIV/0!</v>
      </c>
    </row>
    <row r="379" spans="1:16" ht="14.4" x14ac:dyDescent="0.3">
      <c r="A379" s="18" t="s">
        <v>55</v>
      </c>
      <c r="B379" s="18"/>
      <c r="C379" s="16" t="s">
        <v>44</v>
      </c>
      <c r="D379" s="30">
        <f>'[45]DU VAT'!D34</f>
        <v>9.1899999999999996E-2</v>
      </c>
      <c r="E379" s="30">
        <f>'[45]DU VAT'!E34</f>
        <v>9.3200000000000005E-2</v>
      </c>
      <c r="F379" s="30">
        <f>'[45]DU VAT'!F34</f>
        <v>8.8800000000000004E-2</v>
      </c>
      <c r="G379" s="30">
        <f>'[45]DU VAT'!G34</f>
        <v>9.4799999999999995E-2</v>
      </c>
      <c r="H379" s="30">
        <f>'[45]DU VAT'!H34</f>
        <v>9.3799999999999994E-2</v>
      </c>
      <c r="I379" s="30">
        <f>'[45]DU VAT'!I34</f>
        <v>9.9400000000000002E-2</v>
      </c>
      <c r="J379" s="30">
        <f>'[45]DU VAT'!J34</f>
        <v>9.9199999999999997E-2</v>
      </c>
      <c r="K379" s="30">
        <f>'[45]DU VAT'!K34</f>
        <v>0.1007</v>
      </c>
      <c r="L379" s="30">
        <f>'[45]DU VAT'!L34</f>
        <v>9.9000000000000005E-2</v>
      </c>
      <c r="M379" s="30">
        <f>'[45]DU VAT'!M34</f>
        <v>9.8699999999999996E-2</v>
      </c>
      <c r="N379" s="30">
        <f>'[45]DU VAT'!N34</f>
        <v>9.9299999999999999E-2</v>
      </c>
      <c r="O379" s="30">
        <f>'[45]DU VAT'!O34</f>
        <v>9.9900000000000003E-2</v>
      </c>
      <c r="P379" s="30" t="e">
        <f>'[45]DU VAT'!P34</f>
        <v>#DIV/0!</v>
      </c>
    </row>
    <row r="380" spans="1:16" ht="14.4" x14ac:dyDescent="0.3">
      <c r="A380" s="18" t="s">
        <v>56</v>
      </c>
      <c r="B380" s="18"/>
      <c r="C380" s="16" t="s">
        <v>44</v>
      </c>
      <c r="D380" s="30">
        <f>D338</f>
        <v>0.12</v>
      </c>
      <c r="E380" s="30">
        <f t="shared" ref="E380:P381" si="28">E338</f>
        <v>0.12</v>
      </c>
      <c r="F380" s="30">
        <f t="shared" si="28"/>
        <v>0.12</v>
      </c>
      <c r="G380" s="30">
        <f t="shared" si="28"/>
        <v>0.12</v>
      </c>
      <c r="H380" s="30">
        <f t="shared" si="28"/>
        <v>0.12</v>
      </c>
      <c r="I380" s="30">
        <f t="shared" si="28"/>
        <v>0.12</v>
      </c>
      <c r="J380" s="30">
        <f t="shared" si="28"/>
        <v>0.12</v>
      </c>
      <c r="K380" s="30">
        <f t="shared" si="28"/>
        <v>0.12</v>
      </c>
      <c r="L380" s="30">
        <f t="shared" si="28"/>
        <v>0.12</v>
      </c>
      <c r="M380" s="30">
        <f t="shared" si="28"/>
        <v>0.12</v>
      </c>
      <c r="N380" s="30">
        <f t="shared" si="28"/>
        <v>0.12</v>
      </c>
      <c r="O380" s="30">
        <f t="shared" si="28"/>
        <v>0.12</v>
      </c>
      <c r="P380" s="30">
        <f t="shared" si="28"/>
        <v>0.12</v>
      </c>
    </row>
    <row r="381" spans="1:16" ht="14.4" x14ac:dyDescent="0.3">
      <c r="A381" s="18" t="s">
        <v>57</v>
      </c>
      <c r="B381" s="18"/>
      <c r="C381" s="16" t="s">
        <v>44</v>
      </c>
      <c r="D381" s="30">
        <f>D339</f>
        <v>0.12</v>
      </c>
      <c r="E381" s="30">
        <f t="shared" si="28"/>
        <v>0.12</v>
      </c>
      <c r="F381" s="30">
        <f t="shared" si="28"/>
        <v>0.12</v>
      </c>
      <c r="G381" s="30">
        <f t="shared" si="28"/>
        <v>0.12</v>
      </c>
      <c r="H381" s="30">
        <f t="shared" si="28"/>
        <v>0.12</v>
      </c>
      <c r="I381" s="30">
        <f t="shared" si="28"/>
        <v>0.12</v>
      </c>
      <c r="J381" s="30">
        <f t="shared" si="28"/>
        <v>0.12</v>
      </c>
      <c r="K381" s="30">
        <f t="shared" si="28"/>
        <v>0.12</v>
      </c>
      <c r="L381" s="30">
        <f t="shared" si="28"/>
        <v>0.12</v>
      </c>
      <c r="M381" s="30">
        <f t="shared" si="28"/>
        <v>0.12</v>
      </c>
      <c r="N381" s="30">
        <f t="shared" si="28"/>
        <v>0.12</v>
      </c>
      <c r="O381" s="30">
        <f t="shared" si="28"/>
        <v>0.12</v>
      </c>
      <c r="P381" s="30">
        <f t="shared" si="28"/>
        <v>0.12</v>
      </c>
    </row>
    <row r="383" spans="1:16" hidden="1" x14ac:dyDescent="0.3"/>
    <row r="384" spans="1:16" hidden="1" x14ac:dyDescent="0.3"/>
    <row r="385" spans="1:18" x14ac:dyDescent="0.3">
      <c r="A385" s="3" t="s">
        <v>58</v>
      </c>
    </row>
    <row r="387" spans="1:18" s="13" customFormat="1" ht="14.4" hidden="1" x14ac:dyDescent="0.3">
      <c r="A387" s="11" t="s">
        <v>3</v>
      </c>
      <c r="B387" s="11"/>
      <c r="C387" s="11" t="s">
        <v>4</v>
      </c>
      <c r="D387" s="12" t="str">
        <f t="shared" ref="D387:P387" si="29">D344</f>
        <v>JAN</v>
      </c>
      <c r="E387" s="12" t="str">
        <f t="shared" si="29"/>
        <v>FEB</v>
      </c>
      <c r="F387" s="12" t="str">
        <f t="shared" si="29"/>
        <v>MAR</v>
      </c>
      <c r="G387" s="12" t="str">
        <f t="shared" si="29"/>
        <v>APR</v>
      </c>
      <c r="H387" s="12" t="str">
        <f t="shared" si="29"/>
        <v>MAY</v>
      </c>
      <c r="I387" s="12" t="str">
        <f t="shared" si="29"/>
        <v>JUN</v>
      </c>
      <c r="J387" s="12" t="str">
        <f t="shared" si="29"/>
        <v>JUL</v>
      </c>
      <c r="K387" s="12" t="str">
        <f t="shared" si="29"/>
        <v>AUG</v>
      </c>
      <c r="L387" s="12" t="str">
        <f t="shared" si="29"/>
        <v>SEP</v>
      </c>
      <c r="M387" s="12" t="str">
        <f t="shared" si="29"/>
        <v>OCT</v>
      </c>
      <c r="N387" s="12" t="str">
        <f t="shared" si="29"/>
        <v>NOV</v>
      </c>
      <c r="O387" s="12" t="str">
        <f t="shared" si="29"/>
        <v>DEC</v>
      </c>
      <c r="P387" s="12" t="str">
        <f t="shared" si="29"/>
        <v>JAN</v>
      </c>
    </row>
    <row r="388" spans="1:18" ht="14.4" x14ac:dyDescent="0.3">
      <c r="A388" s="61" t="s">
        <v>67</v>
      </c>
      <c r="B388" s="62"/>
      <c r="C388" s="63"/>
      <c r="D388" s="62"/>
      <c r="E388" s="62"/>
      <c r="F388" s="62"/>
      <c r="G388" s="62"/>
      <c r="H388" s="62"/>
      <c r="I388" s="62"/>
      <c r="J388" s="62"/>
      <c r="K388" s="62"/>
      <c r="L388" s="62"/>
      <c r="M388" s="62"/>
      <c r="N388" s="62"/>
      <c r="O388" s="62"/>
      <c r="P388" s="62"/>
    </row>
    <row r="389" spans="1:18" ht="14.4" x14ac:dyDescent="0.3">
      <c r="A389" s="25" t="s">
        <v>68</v>
      </c>
      <c r="B389" s="25"/>
      <c r="C389" s="16" t="s">
        <v>19</v>
      </c>
      <c r="D389" s="20">
        <f>[45]GR!D25</f>
        <v>3.7</v>
      </c>
      <c r="E389" s="20">
        <f>[45]GR!E25</f>
        <v>4.3212000000000002</v>
      </c>
      <c r="F389" s="20">
        <f>[45]GR!F25</f>
        <v>4.9013999999999998</v>
      </c>
      <c r="G389" s="20">
        <f>[45]GR!G25</f>
        <v>5.0964999999999998</v>
      </c>
      <c r="H389" s="20">
        <f>[45]GR!H25</f>
        <v>4.8838999999999997</v>
      </c>
      <c r="I389" s="20">
        <f>[45]GR!I25</f>
        <v>3.8586</v>
      </c>
      <c r="J389" s="20">
        <f>[45]GR!J25</f>
        <v>3.9384999999999999</v>
      </c>
      <c r="K389" s="20">
        <f>[45]GR!K25</f>
        <v>3.9763000000000002</v>
      </c>
      <c r="L389" s="20">
        <f>[45]GR!L25</f>
        <v>4.5377999999999998</v>
      </c>
      <c r="M389" s="20">
        <f>[45]GR!M25</f>
        <v>4.7154999999999996</v>
      </c>
      <c r="N389" s="20">
        <f>[45]GR!N25</f>
        <v>4.9080000000000004</v>
      </c>
      <c r="O389" s="20">
        <f>[45]GR!O25</f>
        <v>4.6044999999999998</v>
      </c>
      <c r="P389" s="20" t="e">
        <f>[45]GR!P25</f>
        <v>#DIV/0!</v>
      </c>
    </row>
    <row r="390" spans="1:18" ht="14.4" x14ac:dyDescent="0.3">
      <c r="A390" s="25" t="s">
        <v>69</v>
      </c>
      <c r="B390" s="25"/>
      <c r="C390" s="16"/>
      <c r="D390" s="24"/>
      <c r="E390" s="24"/>
      <c r="F390" s="24"/>
      <c r="G390" s="24"/>
      <c r="H390" s="24"/>
      <c r="I390" s="24"/>
      <c r="J390" s="24"/>
      <c r="K390" s="24"/>
      <c r="L390" s="24"/>
      <c r="M390" s="24"/>
      <c r="N390" s="24"/>
      <c r="O390" s="24"/>
      <c r="P390" s="24"/>
    </row>
    <row r="391" spans="1:18" ht="14.4" x14ac:dyDescent="0.3">
      <c r="A391" s="25" t="s">
        <v>70</v>
      </c>
      <c r="B391" s="25"/>
      <c r="C391" s="16" t="s">
        <v>19</v>
      </c>
      <c r="D391" s="20">
        <f>7.4854-2.0102</f>
        <v>5.4752000000000001</v>
      </c>
      <c r="E391" s="20">
        <f>7.4854-1.3833</f>
        <v>6.1021000000000001</v>
      </c>
      <c r="F391" s="20">
        <f>7.4854-0.8044</f>
        <v>6.681</v>
      </c>
      <c r="G391" s="20">
        <f>7.4854-0.6106</f>
        <v>6.8748000000000005</v>
      </c>
      <c r="H391" s="20">
        <f>7.4854-0.8217</f>
        <v>6.6637000000000004</v>
      </c>
      <c r="I391" s="20">
        <f>7.4854-1.8459</f>
        <v>5.6395</v>
      </c>
      <c r="J391" s="20">
        <f>7.2779-1.6377</f>
        <v>5.6402000000000001</v>
      </c>
      <c r="K391" s="20">
        <f>7.2779-1.603</f>
        <v>5.6749000000000001</v>
      </c>
      <c r="L391" s="20">
        <f>7.2779-1.0439</f>
        <v>6.234</v>
      </c>
      <c r="M391" s="20">
        <f>7.2779-0.8675</f>
        <v>6.4104000000000001</v>
      </c>
      <c r="N391" s="20">
        <f>7.2779-0.6742</f>
        <v>6.6036999999999999</v>
      </c>
      <c r="O391" s="20">
        <f>7.2779-0.9779</f>
        <v>6.3</v>
      </c>
      <c r="P391" s="20"/>
    </row>
    <row r="392" spans="1:18" ht="14.4" x14ac:dyDescent="0.3">
      <c r="A392" s="25" t="s">
        <v>71</v>
      </c>
      <c r="B392" s="25"/>
      <c r="C392" s="16" t="s">
        <v>19</v>
      </c>
      <c r="D392" s="20">
        <f>3.5461-2.0102</f>
        <v>1.5358999999999998</v>
      </c>
      <c r="E392" s="20">
        <f>3.5461-1.3833</f>
        <v>2.1627999999999998</v>
      </c>
      <c r="F392" s="20">
        <f>3.5461-0.8044</f>
        <v>2.7416999999999998</v>
      </c>
      <c r="G392" s="20">
        <f>3.5461-0.6106</f>
        <v>2.9355000000000002</v>
      </c>
      <c r="H392" s="20">
        <f>3.5461-0.8217</f>
        <v>2.7244000000000002</v>
      </c>
      <c r="I392" s="20">
        <f>3.5461-1.8459</f>
        <v>1.7001999999999999</v>
      </c>
      <c r="J392" s="20">
        <f>3.5461-1.6377</f>
        <v>1.9084000000000001</v>
      </c>
      <c r="K392" s="20">
        <f>3.5461-1.603</f>
        <v>1.9431</v>
      </c>
      <c r="L392" s="20">
        <f>3.5461-1.0439</f>
        <v>2.5022000000000002</v>
      </c>
      <c r="M392" s="20">
        <f>3.5461-0.8675</f>
        <v>2.6785999999999999</v>
      </c>
      <c r="N392" s="20">
        <f>3.5461-0.6742</f>
        <v>2.8719000000000001</v>
      </c>
      <c r="O392" s="20">
        <f>3.5461-0.9779</f>
        <v>2.5682</v>
      </c>
      <c r="P392" s="20"/>
    </row>
    <row r="393" spans="1:18" x14ac:dyDescent="0.3">
      <c r="A393" s="62"/>
      <c r="B393" s="62"/>
      <c r="C393" s="63"/>
      <c r="D393" s="62"/>
      <c r="E393" s="62"/>
      <c r="F393" s="62"/>
      <c r="G393" s="62"/>
      <c r="H393" s="62"/>
      <c r="I393" s="62"/>
      <c r="J393" s="62"/>
      <c r="K393" s="62"/>
      <c r="L393" s="62"/>
      <c r="M393" s="62"/>
      <c r="N393" s="62"/>
      <c r="O393" s="62"/>
      <c r="P393" s="62"/>
    </row>
    <row r="394" spans="1:18" ht="14.4" x14ac:dyDescent="0.3">
      <c r="A394" s="64" t="s">
        <v>72</v>
      </c>
      <c r="B394" s="64"/>
      <c r="C394" s="65"/>
      <c r="D394" s="66"/>
      <c r="E394" s="66"/>
      <c r="F394" s="66"/>
      <c r="G394" s="66"/>
      <c r="H394" s="66"/>
      <c r="I394" s="66"/>
      <c r="J394" s="66"/>
      <c r="K394" s="66"/>
      <c r="L394" s="66"/>
      <c r="M394" s="66"/>
      <c r="N394" s="66"/>
      <c r="O394" s="66"/>
      <c r="P394" s="66"/>
    </row>
    <row r="395" spans="1:18" ht="14.4" x14ac:dyDescent="0.3">
      <c r="A395" s="64" t="s">
        <v>73</v>
      </c>
      <c r="B395" s="64"/>
      <c r="C395" s="65" t="s">
        <v>19</v>
      </c>
      <c r="D395" s="67">
        <v>3.2618</v>
      </c>
      <c r="E395" s="67">
        <v>3.8363</v>
      </c>
      <c r="F395" s="67">
        <v>4.4194000000000004</v>
      </c>
      <c r="G395" s="67">
        <v>4.6074000000000002</v>
      </c>
      <c r="H395" s="67">
        <v>4.3959999999999999</v>
      </c>
      <c r="I395" s="67">
        <v>3.3567</v>
      </c>
      <c r="J395" s="67">
        <v>3.4904999999999999</v>
      </c>
      <c r="K395" s="67">
        <v>3.5043000000000002</v>
      </c>
      <c r="L395" s="67">
        <v>4.0743999999999998</v>
      </c>
      <c r="M395" s="67">
        <v>4.2591999999999999</v>
      </c>
      <c r="N395" s="67">
        <v>4.4675000000000002</v>
      </c>
      <c r="O395" s="67"/>
      <c r="P395" s="67"/>
      <c r="Q395" s="68"/>
      <c r="R395" s="68"/>
    </row>
    <row r="396" spans="1:18" ht="14.4" x14ac:dyDescent="0.3">
      <c r="A396" s="64" t="s">
        <v>75</v>
      </c>
      <c r="B396" s="64"/>
      <c r="C396" s="65" t="s">
        <v>19</v>
      </c>
      <c r="D396" s="67">
        <v>3.5244</v>
      </c>
      <c r="E396" s="67">
        <v>4.0956999999999999</v>
      </c>
      <c r="F396" s="67">
        <v>4.6978</v>
      </c>
      <c r="G396" s="67">
        <v>4.8879999999999999</v>
      </c>
      <c r="H396" s="67">
        <v>4.6974999999999998</v>
      </c>
      <c r="I396" s="67">
        <v>3.6688000000000001</v>
      </c>
      <c r="J396" s="67">
        <v>3.7614999999999998</v>
      </c>
      <c r="K396" s="67">
        <v>3.7978999999999998</v>
      </c>
      <c r="L396" s="67">
        <v>4.3438999999999997</v>
      </c>
      <c r="M396" s="67">
        <v>4.5416999999999996</v>
      </c>
      <c r="N396" s="67">
        <v>4.7131999999999996</v>
      </c>
      <c r="O396" s="67"/>
      <c r="P396" s="67"/>
      <c r="Q396" s="68"/>
      <c r="R396" s="68"/>
    </row>
    <row r="397" spans="1:18" ht="14.4" x14ac:dyDescent="0.3">
      <c r="A397" s="64" t="s">
        <v>76</v>
      </c>
      <c r="B397" s="64"/>
      <c r="C397" s="65" t="s">
        <v>19</v>
      </c>
      <c r="D397" s="67">
        <v>3.4359999999999999</v>
      </c>
      <c r="E397" s="67">
        <v>4.0426000000000002</v>
      </c>
      <c r="F397" s="67">
        <v>4.6020000000000003</v>
      </c>
      <c r="G397" s="67">
        <v>4.8150000000000004</v>
      </c>
      <c r="H397" s="67">
        <v>4.6325000000000003</v>
      </c>
      <c r="I397" s="67">
        <v>3.5857999999999999</v>
      </c>
      <c r="J397" s="67">
        <v>3.6903999999999999</v>
      </c>
      <c r="K397" s="67">
        <v>3.7275999999999998</v>
      </c>
      <c r="L397" s="67">
        <v>4.2618999999999998</v>
      </c>
      <c r="M397" s="67">
        <v>4.4592000000000001</v>
      </c>
      <c r="N397" s="67">
        <v>4.6322999999999999</v>
      </c>
      <c r="O397" s="67"/>
      <c r="P397" s="67"/>
      <c r="Q397" s="68"/>
      <c r="R397" s="68"/>
    </row>
    <row r="398" spans="1:18" ht="14.4" x14ac:dyDescent="0.3">
      <c r="A398" s="64" t="s">
        <v>77</v>
      </c>
      <c r="B398" s="64"/>
      <c r="C398" s="65" t="s">
        <v>19</v>
      </c>
      <c r="D398" s="67">
        <v>3.3904000000000001</v>
      </c>
      <c r="E398" s="67">
        <v>4.0580999999999996</v>
      </c>
      <c r="F398" s="67">
        <v>4.5602</v>
      </c>
      <c r="G398" s="67">
        <v>4.7370999999999999</v>
      </c>
      <c r="H398" s="67">
        <v>4.6352000000000002</v>
      </c>
      <c r="I398" s="67">
        <v>3.6560999999999999</v>
      </c>
      <c r="J398" s="67">
        <v>3.6745999999999999</v>
      </c>
      <c r="K398" s="67">
        <v>3.7271999999999998</v>
      </c>
      <c r="L398" s="67">
        <v>4.2942999999999998</v>
      </c>
      <c r="M398" s="67">
        <v>4.4067999999999996</v>
      </c>
      <c r="N398" s="67">
        <v>4.5244</v>
      </c>
      <c r="O398" s="67"/>
      <c r="P398" s="67"/>
      <c r="Q398" s="68"/>
      <c r="R398" s="68"/>
    </row>
    <row r="399" spans="1:18" ht="14.4" x14ac:dyDescent="0.3">
      <c r="A399" s="64" t="s">
        <v>78</v>
      </c>
      <c r="B399" s="64"/>
      <c r="C399" s="65" t="s">
        <v>19</v>
      </c>
      <c r="D399" s="67">
        <v>3.4510000000000001</v>
      </c>
      <c r="E399" s="67">
        <v>4.1352000000000002</v>
      </c>
      <c r="F399" s="67">
        <v>4.5978000000000003</v>
      </c>
      <c r="G399" s="67">
        <v>4.8263999999999996</v>
      </c>
      <c r="H399" s="67">
        <v>4.6722000000000001</v>
      </c>
      <c r="I399" s="67">
        <v>3.6036999999999999</v>
      </c>
      <c r="J399" s="67">
        <v>3.7389999999999999</v>
      </c>
      <c r="K399" s="67">
        <v>3.7888000000000002</v>
      </c>
      <c r="L399" s="67">
        <v>4.3021000000000003</v>
      </c>
      <c r="M399" s="67">
        <v>4.5124000000000004</v>
      </c>
      <c r="N399" s="67">
        <v>4.7038000000000002</v>
      </c>
      <c r="O399" s="67"/>
      <c r="P399" s="67"/>
      <c r="Q399" s="68"/>
      <c r="R399" s="68"/>
    </row>
    <row r="400" spans="1:18" ht="14.4" x14ac:dyDescent="0.3">
      <c r="A400" s="64" t="s">
        <v>79</v>
      </c>
      <c r="B400" s="64"/>
      <c r="C400" s="65" t="s">
        <v>19</v>
      </c>
      <c r="D400" s="67">
        <v>4.9774000000000003</v>
      </c>
      <c r="E400" s="67">
        <v>4.3085000000000004</v>
      </c>
      <c r="F400" s="67">
        <v>4.3673999999999999</v>
      </c>
      <c r="G400" s="67"/>
      <c r="H400" s="67"/>
      <c r="I400" s="67"/>
      <c r="J400" s="67"/>
      <c r="K400" s="67"/>
      <c r="L400" s="67"/>
      <c r="M400" s="67"/>
      <c r="N400" s="67"/>
      <c r="O400" s="67"/>
      <c r="P400" s="67"/>
      <c r="Q400" s="68"/>
      <c r="R400" s="68"/>
    </row>
    <row r="401" spans="1:16" x14ac:dyDescent="0.3">
      <c r="A401" s="62"/>
      <c r="B401" s="62"/>
      <c r="C401" s="63"/>
      <c r="D401" s="62"/>
      <c r="E401" s="62"/>
      <c r="F401" s="62"/>
      <c r="G401" s="62"/>
      <c r="H401" s="62"/>
      <c r="I401" s="62"/>
      <c r="J401" s="62"/>
      <c r="K401" s="62"/>
      <c r="L401" s="62"/>
      <c r="M401" s="62"/>
      <c r="N401" s="62"/>
      <c r="O401" s="62"/>
      <c r="P401" s="62"/>
    </row>
    <row r="402" spans="1:16" x14ac:dyDescent="0.3">
      <c r="A402" s="33" t="s">
        <v>117</v>
      </c>
      <c r="B402" s="62"/>
      <c r="C402" s="63"/>
      <c r="D402" s="62"/>
      <c r="E402" s="62"/>
      <c r="F402" s="62"/>
      <c r="G402" s="62"/>
      <c r="H402" s="62"/>
      <c r="I402" s="62"/>
      <c r="J402" s="62"/>
      <c r="K402" s="62"/>
      <c r="L402" s="62"/>
      <c r="M402" s="62"/>
      <c r="N402" s="62"/>
      <c r="O402" s="62"/>
      <c r="P402" s="62"/>
    </row>
    <row r="403" spans="1:16" x14ac:dyDescent="0.3">
      <c r="A403" s="62"/>
      <c r="B403" s="62"/>
      <c r="C403" s="63"/>
      <c r="D403" s="62"/>
      <c r="E403" s="62"/>
      <c r="F403" s="62"/>
      <c r="G403" s="62"/>
      <c r="H403" s="62"/>
      <c r="I403" s="62"/>
      <c r="J403" s="62"/>
      <c r="K403" s="62"/>
      <c r="L403" s="62"/>
      <c r="M403" s="62"/>
      <c r="N403" s="62"/>
      <c r="O403" s="62"/>
      <c r="P403" s="62"/>
    </row>
    <row r="404" spans="1:16" ht="14.4" x14ac:dyDescent="0.3">
      <c r="A404" s="61" t="s">
        <v>82</v>
      </c>
      <c r="B404" s="62"/>
      <c r="C404" s="63"/>
      <c r="D404" s="62"/>
      <c r="E404" s="62"/>
      <c r="F404" s="62"/>
      <c r="G404" s="62"/>
      <c r="H404" s="62"/>
      <c r="I404" s="62"/>
      <c r="J404" s="62"/>
      <c r="K404" s="62"/>
      <c r="L404" s="62"/>
      <c r="M404" s="62"/>
      <c r="N404" s="62"/>
      <c r="O404" s="62"/>
      <c r="P404" s="62"/>
    </row>
    <row r="405" spans="1:16" ht="14.4" x14ac:dyDescent="0.3">
      <c r="A405" s="25" t="s">
        <v>83</v>
      </c>
      <c r="B405" s="25"/>
      <c r="C405" s="16" t="s">
        <v>19</v>
      </c>
      <c r="D405" s="20">
        <v>1.0012000000000001</v>
      </c>
      <c r="E405" s="20">
        <v>1.0012000000000001</v>
      </c>
      <c r="F405" s="20">
        <v>1.0012000000000001</v>
      </c>
      <c r="G405" s="20">
        <v>1.0012000000000001</v>
      </c>
      <c r="H405" s="20">
        <v>1.0012000000000001</v>
      </c>
      <c r="I405" s="20">
        <v>1.0012000000000001</v>
      </c>
      <c r="J405" s="20">
        <v>1.0012000000000001</v>
      </c>
      <c r="K405" s="20">
        <v>1.0012000000000001</v>
      </c>
      <c r="L405" s="20">
        <v>1.0012000000000001</v>
      </c>
      <c r="M405" s="20">
        <v>1.0012000000000001</v>
      </c>
      <c r="N405" s="20">
        <v>1.0012000000000001</v>
      </c>
      <c r="O405" s="20">
        <v>1.0012000000000001</v>
      </c>
      <c r="P405" s="20">
        <v>1.0012000000000001</v>
      </c>
    </row>
    <row r="406" spans="1:16" ht="14.4" x14ac:dyDescent="0.3">
      <c r="A406" s="25" t="s">
        <v>84</v>
      </c>
      <c r="B406" s="25"/>
      <c r="C406" s="16" t="s">
        <v>19</v>
      </c>
      <c r="D406" s="20">
        <v>1.3183</v>
      </c>
      <c r="E406" s="20">
        <v>1.3183</v>
      </c>
      <c r="F406" s="20">
        <v>1.3183</v>
      </c>
      <c r="G406" s="20">
        <v>1.3183</v>
      </c>
      <c r="H406" s="20">
        <v>1.3183</v>
      </c>
      <c r="I406" s="20">
        <v>1.3183</v>
      </c>
      <c r="J406" s="20">
        <v>1.3183</v>
      </c>
      <c r="K406" s="20">
        <v>1.3183</v>
      </c>
      <c r="L406" s="20">
        <v>1.3183</v>
      </c>
      <c r="M406" s="20">
        <v>1.3183</v>
      </c>
      <c r="N406" s="20">
        <v>1.3183</v>
      </c>
      <c r="O406" s="20">
        <v>1.3183</v>
      </c>
      <c r="P406" s="20">
        <v>1.3183</v>
      </c>
    </row>
    <row r="407" spans="1:16" ht="14.4" x14ac:dyDescent="0.3">
      <c r="A407" s="25" t="s">
        <v>85</v>
      </c>
      <c r="B407" s="25"/>
      <c r="C407" s="16" t="s">
        <v>19</v>
      </c>
      <c r="D407" s="20">
        <v>1.6174999999999999</v>
      </c>
      <c r="E407" s="20">
        <v>1.6174999999999999</v>
      </c>
      <c r="F407" s="20">
        <v>1.6174999999999999</v>
      </c>
      <c r="G407" s="20">
        <v>1.6174999999999999</v>
      </c>
      <c r="H407" s="20">
        <v>1.6174999999999999</v>
      </c>
      <c r="I407" s="20">
        <v>1.6174999999999999</v>
      </c>
      <c r="J407" s="20">
        <v>1.6174999999999999</v>
      </c>
      <c r="K407" s="20">
        <v>1.6174999999999999</v>
      </c>
      <c r="L407" s="20">
        <v>1.6174999999999999</v>
      </c>
      <c r="M407" s="20">
        <v>1.6174999999999999</v>
      </c>
      <c r="N407" s="20">
        <v>1.6174999999999999</v>
      </c>
      <c r="O407" s="20">
        <v>1.6174999999999999</v>
      </c>
      <c r="P407" s="20">
        <v>1.6174999999999999</v>
      </c>
    </row>
    <row r="408" spans="1:16" ht="14.4" x14ac:dyDescent="0.3">
      <c r="A408" s="25" t="s">
        <v>86</v>
      </c>
      <c r="B408" s="25"/>
      <c r="C408" s="16" t="s">
        <v>19</v>
      </c>
      <c r="D408" s="20">
        <v>2.1387</v>
      </c>
      <c r="E408" s="20">
        <v>2.1387</v>
      </c>
      <c r="F408" s="20">
        <v>2.1387</v>
      </c>
      <c r="G408" s="20">
        <v>2.1387</v>
      </c>
      <c r="H408" s="20">
        <v>2.1387</v>
      </c>
      <c r="I408" s="20">
        <v>2.1387</v>
      </c>
      <c r="J408" s="20">
        <v>2.1387</v>
      </c>
      <c r="K408" s="20">
        <v>2.1387</v>
      </c>
      <c r="L408" s="20">
        <v>2.1387</v>
      </c>
      <c r="M408" s="20">
        <v>2.1387</v>
      </c>
      <c r="N408" s="20">
        <v>2.1387</v>
      </c>
      <c r="O408" s="20">
        <v>2.1387</v>
      </c>
      <c r="P408" s="20">
        <v>2.1387</v>
      </c>
    </row>
    <row r="409" spans="1:16" x14ac:dyDescent="0.3">
      <c r="A409" s="62"/>
      <c r="B409" s="62"/>
      <c r="C409" s="63"/>
      <c r="D409" s="62"/>
      <c r="E409" s="62"/>
      <c r="F409" s="62"/>
      <c r="G409" s="62"/>
      <c r="H409" s="62"/>
      <c r="I409" s="62"/>
      <c r="J409" s="62"/>
      <c r="K409" s="62"/>
      <c r="L409" s="62"/>
      <c r="M409" s="62"/>
      <c r="N409" s="62"/>
      <c r="O409" s="62"/>
      <c r="P409" s="62"/>
    </row>
    <row r="410" spans="1:16" ht="14.4" x14ac:dyDescent="0.3">
      <c r="A410" s="61" t="s">
        <v>87</v>
      </c>
      <c r="B410" s="62"/>
      <c r="C410" s="63"/>
      <c r="D410" s="62"/>
      <c r="E410" s="62"/>
      <c r="F410" s="62"/>
      <c r="G410" s="62"/>
      <c r="H410" s="62"/>
      <c r="I410" s="62"/>
      <c r="J410" s="62"/>
      <c r="K410" s="62"/>
      <c r="L410" s="62"/>
      <c r="M410" s="62"/>
      <c r="N410" s="62"/>
      <c r="O410" s="62"/>
      <c r="P410" s="62"/>
    </row>
    <row r="411" spans="1:16" ht="14.4" x14ac:dyDescent="0.3">
      <c r="A411" s="25" t="s">
        <v>68</v>
      </c>
      <c r="B411" s="25"/>
      <c r="C411" s="16"/>
      <c r="D411" s="24"/>
      <c r="E411" s="24"/>
      <c r="F411" s="24"/>
      <c r="G411" s="24"/>
      <c r="H411" s="24"/>
      <c r="I411" s="24"/>
      <c r="J411" s="24"/>
      <c r="K411" s="24"/>
      <c r="L411" s="24"/>
      <c r="M411" s="24"/>
      <c r="N411" s="24"/>
      <c r="O411" s="24"/>
      <c r="P411" s="24"/>
    </row>
    <row r="412" spans="1:16" ht="14.4" x14ac:dyDescent="0.3">
      <c r="A412" s="25" t="s">
        <v>88</v>
      </c>
      <c r="B412" s="25"/>
      <c r="C412" s="16" t="s">
        <v>19</v>
      </c>
      <c r="D412" s="20">
        <v>0.50849999999999995</v>
      </c>
      <c r="E412" s="20">
        <v>0.50849999999999995</v>
      </c>
      <c r="F412" s="20">
        <v>0.50849999999999995</v>
      </c>
      <c r="G412" s="20">
        <v>0.50849999999999995</v>
      </c>
      <c r="H412" s="20">
        <v>0.50849999999999995</v>
      </c>
      <c r="I412" s="20">
        <v>0.50849999999999995</v>
      </c>
      <c r="J412" s="20">
        <v>0.50849999999999995</v>
      </c>
      <c r="K412" s="20">
        <v>0.50849999999999995</v>
      </c>
      <c r="L412" s="20">
        <v>0.50849999999999995</v>
      </c>
      <c r="M412" s="20">
        <v>0.50849999999999995</v>
      </c>
      <c r="N412" s="20">
        <v>0.50849999999999995</v>
      </c>
      <c r="O412" s="20">
        <v>0.50849999999999995</v>
      </c>
      <c r="P412" s="20">
        <v>0.50849999999999995</v>
      </c>
    </row>
    <row r="413" spans="1:16" ht="14.4" x14ac:dyDescent="0.3">
      <c r="A413" s="25" t="s">
        <v>89</v>
      </c>
      <c r="B413" s="25"/>
      <c r="C413" s="16" t="s">
        <v>19</v>
      </c>
      <c r="D413" s="20">
        <v>0</v>
      </c>
      <c r="E413" s="20">
        <v>0</v>
      </c>
      <c r="F413" s="20">
        <v>0</v>
      </c>
      <c r="G413" s="20">
        <v>0</v>
      </c>
      <c r="H413" s="20">
        <v>0</v>
      </c>
      <c r="I413" s="20">
        <v>0</v>
      </c>
      <c r="J413" s="20">
        <v>0</v>
      </c>
      <c r="K413" s="20">
        <v>0</v>
      </c>
      <c r="L413" s="20">
        <v>0</v>
      </c>
      <c r="M413" s="20">
        <v>0</v>
      </c>
      <c r="N413" s="20">
        <v>0</v>
      </c>
      <c r="O413" s="20">
        <v>0</v>
      </c>
      <c r="P413" s="20">
        <v>0</v>
      </c>
    </row>
    <row r="414" spans="1:16" ht="14.4" x14ac:dyDescent="0.3">
      <c r="A414" s="25" t="s">
        <v>69</v>
      </c>
      <c r="B414" s="25"/>
      <c r="C414" s="16"/>
      <c r="D414" s="24"/>
      <c r="E414" s="24"/>
      <c r="F414" s="24"/>
      <c r="G414" s="24"/>
      <c r="H414" s="24"/>
      <c r="I414" s="24"/>
      <c r="J414" s="24"/>
      <c r="K414" s="24"/>
      <c r="L414" s="24"/>
      <c r="M414" s="24"/>
      <c r="N414" s="24"/>
      <c r="O414" s="24"/>
      <c r="P414" s="24"/>
    </row>
    <row r="415" spans="1:16" ht="14.4" x14ac:dyDescent="0.3">
      <c r="A415" s="25" t="s">
        <v>88</v>
      </c>
      <c r="B415" s="25"/>
      <c r="C415" s="16" t="s">
        <v>19</v>
      </c>
      <c r="D415" s="20">
        <f t="shared" ref="D415:P415" si="30">D412+0.01</f>
        <v>0.51849999999999996</v>
      </c>
      <c r="E415" s="20">
        <f t="shared" si="30"/>
        <v>0.51849999999999996</v>
      </c>
      <c r="F415" s="20">
        <f t="shared" si="30"/>
        <v>0.51849999999999996</v>
      </c>
      <c r="G415" s="20">
        <f t="shared" si="30"/>
        <v>0.51849999999999996</v>
      </c>
      <c r="H415" s="20">
        <f t="shared" si="30"/>
        <v>0.51849999999999996</v>
      </c>
      <c r="I415" s="20">
        <f t="shared" si="30"/>
        <v>0.51849999999999996</v>
      </c>
      <c r="J415" s="20">
        <f t="shared" si="30"/>
        <v>0.51849999999999996</v>
      </c>
      <c r="K415" s="20">
        <f t="shared" si="30"/>
        <v>0.51849999999999996</v>
      </c>
      <c r="L415" s="20">
        <f t="shared" si="30"/>
        <v>0.51849999999999996</v>
      </c>
      <c r="M415" s="20">
        <f t="shared" si="30"/>
        <v>0.51849999999999996</v>
      </c>
      <c r="N415" s="20">
        <f t="shared" si="30"/>
        <v>0.51849999999999996</v>
      </c>
      <c r="O415" s="20">
        <f t="shared" si="30"/>
        <v>0.51849999999999996</v>
      </c>
      <c r="P415" s="20">
        <f t="shared" si="30"/>
        <v>0.51849999999999996</v>
      </c>
    </row>
    <row r="416" spans="1:16" ht="14.4" x14ac:dyDescent="0.3">
      <c r="A416" s="25" t="s">
        <v>89</v>
      </c>
      <c r="B416" s="25"/>
      <c r="C416" s="16" t="s">
        <v>19</v>
      </c>
      <c r="D416" s="20">
        <f t="shared" ref="D416:P416" si="31">D414+0.01</f>
        <v>0.01</v>
      </c>
      <c r="E416" s="20">
        <f t="shared" si="31"/>
        <v>0.01</v>
      </c>
      <c r="F416" s="20">
        <f t="shared" si="31"/>
        <v>0.01</v>
      </c>
      <c r="G416" s="20">
        <f t="shared" si="31"/>
        <v>0.01</v>
      </c>
      <c r="H416" s="20">
        <f t="shared" si="31"/>
        <v>0.01</v>
      </c>
      <c r="I416" s="20">
        <f t="shared" si="31"/>
        <v>0.01</v>
      </c>
      <c r="J416" s="20">
        <f t="shared" si="31"/>
        <v>0.01</v>
      </c>
      <c r="K416" s="20">
        <f t="shared" si="31"/>
        <v>0.01</v>
      </c>
      <c r="L416" s="20">
        <f t="shared" si="31"/>
        <v>0.01</v>
      </c>
      <c r="M416" s="20">
        <f t="shared" si="31"/>
        <v>0.01</v>
      </c>
      <c r="N416" s="20">
        <f t="shared" si="31"/>
        <v>0.01</v>
      </c>
      <c r="O416" s="20">
        <f t="shared" si="31"/>
        <v>0.01</v>
      </c>
      <c r="P416" s="20">
        <f t="shared" si="31"/>
        <v>0.01</v>
      </c>
    </row>
    <row r="417" spans="1:16" x14ac:dyDescent="0.3">
      <c r="A417" s="62"/>
      <c r="B417" s="62"/>
      <c r="C417" s="63"/>
      <c r="D417" s="62"/>
      <c r="E417" s="62"/>
      <c r="F417" s="62"/>
      <c r="G417" s="62"/>
      <c r="H417" s="62"/>
      <c r="I417" s="62"/>
      <c r="J417" s="62"/>
      <c r="K417" s="62"/>
      <c r="L417" s="62"/>
      <c r="M417" s="62"/>
      <c r="N417" s="62"/>
      <c r="O417" s="62"/>
      <c r="P417" s="62"/>
    </row>
    <row r="418" spans="1:16" ht="14.4" x14ac:dyDescent="0.3">
      <c r="A418" s="61" t="s">
        <v>90</v>
      </c>
      <c r="B418" s="62"/>
      <c r="C418" s="63"/>
      <c r="D418" s="62"/>
      <c r="E418" s="62"/>
      <c r="F418" s="62"/>
      <c r="G418" s="62"/>
      <c r="H418" s="62"/>
      <c r="I418" s="62"/>
      <c r="J418" s="62"/>
      <c r="K418" s="62"/>
      <c r="L418" s="62"/>
      <c r="M418" s="62"/>
      <c r="N418" s="62"/>
      <c r="O418" s="62"/>
      <c r="P418" s="62"/>
    </row>
    <row r="419" spans="1:16" ht="14.4" x14ac:dyDescent="0.3">
      <c r="A419" s="25" t="s">
        <v>68</v>
      </c>
      <c r="B419" s="25"/>
      <c r="C419" s="16"/>
      <c r="D419" s="24"/>
      <c r="E419" s="24"/>
      <c r="F419" s="24"/>
      <c r="G419" s="24"/>
      <c r="H419" s="24"/>
      <c r="I419" s="24"/>
      <c r="J419" s="24"/>
      <c r="K419" s="24"/>
      <c r="L419" s="24"/>
      <c r="M419" s="24"/>
      <c r="N419" s="24"/>
      <c r="O419" s="24"/>
      <c r="P419" s="24"/>
    </row>
    <row r="420" spans="1:16" ht="14.4" x14ac:dyDescent="0.3">
      <c r="A420" s="25" t="s">
        <v>88</v>
      </c>
      <c r="B420" s="25"/>
      <c r="C420" s="16" t="s">
        <v>32</v>
      </c>
      <c r="D420" s="69">
        <v>16.73</v>
      </c>
      <c r="E420" s="69">
        <v>16.73</v>
      </c>
      <c r="F420" s="69">
        <v>16.73</v>
      </c>
      <c r="G420" s="69">
        <v>16.73</v>
      </c>
      <c r="H420" s="69">
        <v>16.73</v>
      </c>
      <c r="I420" s="69">
        <v>16.73</v>
      </c>
      <c r="J420" s="69">
        <v>16.73</v>
      </c>
      <c r="K420" s="69">
        <v>16.73</v>
      </c>
      <c r="L420" s="69">
        <v>16.73</v>
      </c>
      <c r="M420" s="69">
        <v>16.73</v>
      </c>
      <c r="N420" s="69">
        <v>16.73</v>
      </c>
      <c r="O420" s="69">
        <v>16.73</v>
      </c>
      <c r="P420" s="69">
        <v>16.73</v>
      </c>
    </row>
    <row r="421" spans="1:16" ht="14.4" x14ac:dyDescent="0.3">
      <c r="A421" s="25" t="s">
        <v>92</v>
      </c>
      <c r="B421" s="25"/>
      <c r="C421" s="16" t="s">
        <v>32</v>
      </c>
      <c r="D421" s="69">
        <v>371.48</v>
      </c>
      <c r="E421" s="69">
        <v>371.48</v>
      </c>
      <c r="F421" s="69">
        <v>371.48</v>
      </c>
      <c r="G421" s="69">
        <v>371.48</v>
      </c>
      <c r="H421" s="69">
        <v>371.48</v>
      </c>
      <c r="I421" s="69">
        <v>371.48</v>
      </c>
      <c r="J421" s="69">
        <v>371.48</v>
      </c>
      <c r="K421" s="69">
        <v>371.48</v>
      </c>
      <c r="L421" s="69">
        <v>371.48</v>
      </c>
      <c r="M421" s="69">
        <v>371.48</v>
      </c>
      <c r="N421" s="69">
        <v>371.48</v>
      </c>
      <c r="O421" s="69">
        <v>371.48</v>
      </c>
      <c r="P421" s="69">
        <v>371.48</v>
      </c>
    </row>
    <row r="422" spans="1:16" ht="14.4" x14ac:dyDescent="0.3">
      <c r="A422" s="25" t="s">
        <v>93</v>
      </c>
      <c r="B422" s="25"/>
      <c r="C422" s="16" t="s">
        <v>32</v>
      </c>
      <c r="D422" s="69">
        <v>845.17</v>
      </c>
      <c r="E422" s="69">
        <v>845.17</v>
      </c>
      <c r="F422" s="69">
        <v>845.17</v>
      </c>
      <c r="G422" s="69">
        <v>845.17</v>
      </c>
      <c r="H422" s="69">
        <v>845.17</v>
      </c>
      <c r="I422" s="69">
        <v>845.17</v>
      </c>
      <c r="J422" s="69">
        <v>845.17</v>
      </c>
      <c r="K422" s="69">
        <v>845.17</v>
      </c>
      <c r="L422" s="69">
        <v>845.17</v>
      </c>
      <c r="M422" s="69">
        <v>845.17</v>
      </c>
      <c r="N422" s="69">
        <v>845.17</v>
      </c>
      <c r="O422" s="69">
        <v>845.17</v>
      </c>
      <c r="P422" s="69">
        <v>845.17</v>
      </c>
    </row>
    <row r="423" spans="1:16" ht="14.4" x14ac:dyDescent="0.3">
      <c r="A423" s="25" t="s">
        <v>94</v>
      </c>
      <c r="B423" s="25"/>
      <c r="C423" s="16" t="s">
        <v>32</v>
      </c>
      <c r="D423" s="69">
        <v>3505.46</v>
      </c>
      <c r="E423" s="69">
        <v>3505.46</v>
      </c>
      <c r="F423" s="69">
        <v>3505.46</v>
      </c>
      <c r="G423" s="69">
        <v>3505.46</v>
      </c>
      <c r="H423" s="69">
        <v>3505.46</v>
      </c>
      <c r="I423" s="69">
        <v>3505.46</v>
      </c>
      <c r="J423" s="69">
        <v>3505.46</v>
      </c>
      <c r="K423" s="69">
        <v>3505.46</v>
      </c>
      <c r="L423" s="69">
        <v>3505.46</v>
      </c>
      <c r="M423" s="69">
        <v>3505.46</v>
      </c>
      <c r="N423" s="69">
        <v>3505.46</v>
      </c>
      <c r="O423" s="69">
        <v>3505.46</v>
      </c>
      <c r="P423" s="69">
        <v>3505.46</v>
      </c>
    </row>
    <row r="424" spans="1:16" ht="14.4" x14ac:dyDescent="0.3">
      <c r="A424" s="25" t="s">
        <v>95</v>
      </c>
      <c r="B424" s="25"/>
      <c r="C424" s="16" t="s">
        <v>32</v>
      </c>
      <c r="D424" s="69">
        <v>12726.3</v>
      </c>
      <c r="E424" s="69">
        <v>12726.3</v>
      </c>
      <c r="F424" s="69">
        <v>12726.3</v>
      </c>
      <c r="G424" s="69">
        <v>12726.3</v>
      </c>
      <c r="H424" s="69">
        <v>12726.3</v>
      </c>
      <c r="I424" s="69">
        <v>12726.3</v>
      </c>
      <c r="J424" s="69">
        <v>12726.3</v>
      </c>
      <c r="K424" s="69">
        <v>12726.3</v>
      </c>
      <c r="L424" s="69">
        <v>12726.3</v>
      </c>
      <c r="M424" s="69">
        <v>12726.3</v>
      </c>
      <c r="N424" s="69">
        <v>12726.3</v>
      </c>
      <c r="O424" s="69">
        <v>12726.3</v>
      </c>
      <c r="P424" s="69">
        <v>12726.3</v>
      </c>
    </row>
    <row r="425" spans="1:16" ht="14.4" x14ac:dyDescent="0.3">
      <c r="A425" s="25" t="s">
        <v>69</v>
      </c>
      <c r="B425" s="25"/>
      <c r="C425" s="16"/>
      <c r="D425" s="24"/>
      <c r="E425" s="24"/>
      <c r="F425" s="24"/>
      <c r="G425" s="24"/>
      <c r="H425" s="24"/>
      <c r="I425" s="24"/>
      <c r="J425" s="24"/>
      <c r="K425" s="24"/>
      <c r="L425" s="24"/>
      <c r="M425" s="24"/>
      <c r="N425" s="24"/>
      <c r="O425" s="24"/>
      <c r="P425" s="24"/>
    </row>
    <row r="426" spans="1:16" ht="14.4" x14ac:dyDescent="0.3">
      <c r="A426" s="25" t="s">
        <v>88</v>
      </c>
      <c r="B426" s="25"/>
      <c r="C426" s="16" t="s">
        <v>32</v>
      </c>
      <c r="D426" s="69">
        <f t="shared" ref="D426:P430" si="32">D420*110%</f>
        <v>18.403000000000002</v>
      </c>
      <c r="E426" s="69">
        <f t="shared" si="32"/>
        <v>18.403000000000002</v>
      </c>
      <c r="F426" s="69">
        <f t="shared" si="32"/>
        <v>18.403000000000002</v>
      </c>
      <c r="G426" s="69">
        <f t="shared" si="32"/>
        <v>18.403000000000002</v>
      </c>
      <c r="H426" s="69">
        <f t="shared" si="32"/>
        <v>18.403000000000002</v>
      </c>
      <c r="I426" s="69">
        <f t="shared" si="32"/>
        <v>18.403000000000002</v>
      </c>
      <c r="J426" s="69">
        <f t="shared" si="32"/>
        <v>18.403000000000002</v>
      </c>
      <c r="K426" s="69">
        <f t="shared" si="32"/>
        <v>18.403000000000002</v>
      </c>
      <c r="L426" s="69">
        <f t="shared" si="32"/>
        <v>18.403000000000002</v>
      </c>
      <c r="M426" s="69">
        <f t="shared" si="32"/>
        <v>18.403000000000002</v>
      </c>
      <c r="N426" s="69">
        <f t="shared" si="32"/>
        <v>18.403000000000002</v>
      </c>
      <c r="O426" s="69">
        <f t="shared" si="32"/>
        <v>18.403000000000002</v>
      </c>
      <c r="P426" s="69">
        <f t="shared" si="32"/>
        <v>18.403000000000002</v>
      </c>
    </row>
    <row r="427" spans="1:16" ht="14.4" x14ac:dyDescent="0.3">
      <c r="A427" s="25" t="s">
        <v>92</v>
      </c>
      <c r="B427" s="25"/>
      <c r="C427" s="16" t="s">
        <v>32</v>
      </c>
      <c r="D427" s="69">
        <f t="shared" si="32"/>
        <v>408.62800000000004</v>
      </c>
      <c r="E427" s="69">
        <f t="shared" si="32"/>
        <v>408.62800000000004</v>
      </c>
      <c r="F427" s="69">
        <f t="shared" si="32"/>
        <v>408.62800000000004</v>
      </c>
      <c r="G427" s="69">
        <f t="shared" si="32"/>
        <v>408.62800000000004</v>
      </c>
      <c r="H427" s="69">
        <f t="shared" si="32"/>
        <v>408.62800000000004</v>
      </c>
      <c r="I427" s="69">
        <f t="shared" si="32"/>
        <v>408.62800000000004</v>
      </c>
      <c r="J427" s="69">
        <f t="shared" si="32"/>
        <v>408.62800000000004</v>
      </c>
      <c r="K427" s="69">
        <f t="shared" si="32"/>
        <v>408.62800000000004</v>
      </c>
      <c r="L427" s="69">
        <f t="shared" si="32"/>
        <v>408.62800000000004</v>
      </c>
      <c r="M427" s="69">
        <f t="shared" si="32"/>
        <v>408.62800000000004</v>
      </c>
      <c r="N427" s="69">
        <f t="shared" si="32"/>
        <v>408.62800000000004</v>
      </c>
      <c r="O427" s="69">
        <f t="shared" si="32"/>
        <v>408.62800000000004</v>
      </c>
      <c r="P427" s="69">
        <f t="shared" si="32"/>
        <v>408.62800000000004</v>
      </c>
    </row>
    <row r="428" spans="1:16" ht="14.4" x14ac:dyDescent="0.3">
      <c r="A428" s="25" t="s">
        <v>93</v>
      </c>
      <c r="B428" s="25"/>
      <c r="C428" s="16" t="s">
        <v>32</v>
      </c>
      <c r="D428" s="69">
        <f t="shared" si="32"/>
        <v>929.68700000000001</v>
      </c>
      <c r="E428" s="69">
        <f t="shared" si="32"/>
        <v>929.68700000000001</v>
      </c>
      <c r="F428" s="69">
        <f t="shared" si="32"/>
        <v>929.68700000000001</v>
      </c>
      <c r="G428" s="69">
        <f t="shared" si="32"/>
        <v>929.68700000000001</v>
      </c>
      <c r="H428" s="69">
        <f t="shared" si="32"/>
        <v>929.68700000000001</v>
      </c>
      <c r="I428" s="69">
        <f t="shared" si="32"/>
        <v>929.68700000000001</v>
      </c>
      <c r="J428" s="69">
        <f t="shared" si="32"/>
        <v>929.68700000000001</v>
      </c>
      <c r="K428" s="69">
        <f t="shared" si="32"/>
        <v>929.68700000000001</v>
      </c>
      <c r="L428" s="69">
        <f t="shared" si="32"/>
        <v>929.68700000000001</v>
      </c>
      <c r="M428" s="69">
        <f t="shared" si="32"/>
        <v>929.68700000000001</v>
      </c>
      <c r="N428" s="69">
        <f t="shared" si="32"/>
        <v>929.68700000000001</v>
      </c>
      <c r="O428" s="69">
        <f t="shared" si="32"/>
        <v>929.68700000000001</v>
      </c>
      <c r="P428" s="69">
        <f t="shared" si="32"/>
        <v>929.68700000000001</v>
      </c>
    </row>
    <row r="429" spans="1:16" ht="14.4" x14ac:dyDescent="0.3">
      <c r="A429" s="25" t="s">
        <v>94</v>
      </c>
      <c r="B429" s="25"/>
      <c r="C429" s="16" t="s">
        <v>32</v>
      </c>
      <c r="D429" s="69">
        <f t="shared" si="32"/>
        <v>3856.0060000000003</v>
      </c>
      <c r="E429" s="69">
        <f t="shared" si="32"/>
        <v>3856.0060000000003</v>
      </c>
      <c r="F429" s="69">
        <f t="shared" si="32"/>
        <v>3856.0060000000003</v>
      </c>
      <c r="G429" s="69">
        <f t="shared" si="32"/>
        <v>3856.0060000000003</v>
      </c>
      <c r="H429" s="69">
        <f t="shared" si="32"/>
        <v>3856.0060000000003</v>
      </c>
      <c r="I429" s="69">
        <f t="shared" si="32"/>
        <v>3856.0060000000003</v>
      </c>
      <c r="J429" s="69">
        <f t="shared" si="32"/>
        <v>3856.0060000000003</v>
      </c>
      <c r="K429" s="69">
        <f t="shared" si="32"/>
        <v>3856.0060000000003</v>
      </c>
      <c r="L429" s="69">
        <f t="shared" si="32"/>
        <v>3856.0060000000003</v>
      </c>
      <c r="M429" s="69">
        <f t="shared" si="32"/>
        <v>3856.0060000000003</v>
      </c>
      <c r="N429" s="69">
        <f t="shared" si="32"/>
        <v>3856.0060000000003</v>
      </c>
      <c r="O429" s="69">
        <f t="shared" si="32"/>
        <v>3856.0060000000003</v>
      </c>
      <c r="P429" s="69">
        <f t="shared" si="32"/>
        <v>3856.0060000000003</v>
      </c>
    </row>
    <row r="430" spans="1:16" ht="14.4" x14ac:dyDescent="0.3">
      <c r="A430" s="25" t="s">
        <v>95</v>
      </c>
      <c r="B430" s="25"/>
      <c r="C430" s="16" t="s">
        <v>32</v>
      </c>
      <c r="D430" s="69">
        <f t="shared" si="32"/>
        <v>13998.93</v>
      </c>
      <c r="E430" s="69">
        <f t="shared" si="32"/>
        <v>13998.93</v>
      </c>
      <c r="F430" s="69">
        <f t="shared" si="32"/>
        <v>13998.93</v>
      </c>
      <c r="G430" s="69">
        <f t="shared" si="32"/>
        <v>13998.93</v>
      </c>
      <c r="H430" s="69">
        <f t="shared" si="32"/>
        <v>13998.93</v>
      </c>
      <c r="I430" s="69">
        <f t="shared" si="32"/>
        <v>13998.93</v>
      </c>
      <c r="J430" s="69">
        <f t="shared" si="32"/>
        <v>13998.93</v>
      </c>
      <c r="K430" s="69">
        <f t="shared" si="32"/>
        <v>13998.93</v>
      </c>
      <c r="L430" s="69">
        <f t="shared" si="32"/>
        <v>13998.93</v>
      </c>
      <c r="M430" s="69">
        <f t="shared" si="32"/>
        <v>13998.93</v>
      </c>
      <c r="N430" s="69">
        <f t="shared" si="32"/>
        <v>13998.93</v>
      </c>
      <c r="O430" s="69">
        <f t="shared" si="32"/>
        <v>13998.93</v>
      </c>
      <c r="P430" s="69">
        <f t="shared" si="32"/>
        <v>13998.93</v>
      </c>
    </row>
    <row r="432" spans="1:16" ht="14.4" x14ac:dyDescent="0.3">
      <c r="A432" s="61" t="s">
        <v>96</v>
      </c>
      <c r="B432" s="62"/>
      <c r="C432" s="63"/>
      <c r="D432" s="12" t="s">
        <v>5</v>
      </c>
      <c r="E432" s="12" t="s">
        <v>6</v>
      </c>
      <c r="F432" s="12" t="s">
        <v>7</v>
      </c>
      <c r="G432" s="12" t="s">
        <v>8</v>
      </c>
      <c r="H432" s="12" t="s">
        <v>9</v>
      </c>
      <c r="I432" s="12" t="s">
        <v>10</v>
      </c>
      <c r="J432" s="12" t="s">
        <v>11</v>
      </c>
      <c r="K432" s="12" t="s">
        <v>12</v>
      </c>
      <c r="L432" s="12" t="s">
        <v>13</v>
      </c>
      <c r="M432" s="12" t="s">
        <v>14</v>
      </c>
      <c r="N432" s="12" t="s">
        <v>15</v>
      </c>
      <c r="O432" s="12" t="s">
        <v>16</v>
      </c>
      <c r="P432" s="12" t="s">
        <v>5</v>
      </c>
    </row>
    <row r="433" spans="1:16" ht="14.4" x14ac:dyDescent="0.3">
      <c r="A433" s="25" t="s">
        <v>68</v>
      </c>
      <c r="B433" s="25"/>
      <c r="C433" s="16"/>
      <c r="D433" s="24"/>
      <c r="E433" s="24"/>
      <c r="F433" s="24"/>
      <c r="G433" s="24"/>
      <c r="H433" s="24"/>
      <c r="I433" s="24"/>
      <c r="J433" s="24"/>
      <c r="K433" s="24"/>
      <c r="L433" s="24"/>
      <c r="M433" s="24"/>
      <c r="N433" s="24"/>
      <c r="O433" s="24"/>
      <c r="P433" s="24"/>
    </row>
    <row r="434" spans="1:16" ht="14.4" x14ac:dyDescent="0.3">
      <c r="A434" s="25" t="s">
        <v>88</v>
      </c>
      <c r="B434" s="25"/>
      <c r="C434" s="16" t="s">
        <v>32</v>
      </c>
      <c r="D434" s="69">
        <v>5</v>
      </c>
      <c r="E434" s="69">
        <v>5</v>
      </c>
      <c r="F434" s="69">
        <v>5</v>
      </c>
      <c r="G434" s="69">
        <v>5</v>
      </c>
      <c r="H434" s="69">
        <v>5</v>
      </c>
      <c r="I434" s="69">
        <v>5</v>
      </c>
      <c r="J434" s="69">
        <v>5</v>
      </c>
      <c r="K434" s="69">
        <v>5</v>
      </c>
      <c r="L434" s="69">
        <v>5</v>
      </c>
      <c r="M434" s="69">
        <v>5</v>
      </c>
      <c r="N434" s="69">
        <v>5</v>
      </c>
      <c r="O434" s="69">
        <v>5</v>
      </c>
      <c r="P434" s="69">
        <v>5</v>
      </c>
    </row>
    <row r="435" spans="1:16" ht="14.4" x14ac:dyDescent="0.3">
      <c r="A435" s="25" t="s">
        <v>92</v>
      </c>
      <c r="B435" s="25"/>
      <c r="C435" s="16" t="s">
        <v>32</v>
      </c>
      <c r="D435" s="69">
        <v>362.34</v>
      </c>
      <c r="E435" s="69">
        <v>362.34</v>
      </c>
      <c r="F435" s="69">
        <v>362.34</v>
      </c>
      <c r="G435" s="69">
        <v>362.34</v>
      </c>
      <c r="H435" s="69">
        <v>362.34</v>
      </c>
      <c r="I435" s="69">
        <v>362.34</v>
      </c>
      <c r="J435" s="69">
        <v>362.34</v>
      </c>
      <c r="K435" s="69">
        <v>362.34</v>
      </c>
      <c r="L435" s="69">
        <v>362.34</v>
      </c>
      <c r="M435" s="69">
        <v>362.34</v>
      </c>
      <c r="N435" s="69">
        <v>362.34</v>
      </c>
      <c r="O435" s="69">
        <v>362.34</v>
      </c>
      <c r="P435" s="69">
        <v>362.34</v>
      </c>
    </row>
    <row r="436" spans="1:16" ht="14.4" x14ac:dyDescent="0.3">
      <c r="A436" s="25" t="s">
        <v>93</v>
      </c>
      <c r="B436" s="25"/>
      <c r="C436" s="16" t="s">
        <v>32</v>
      </c>
      <c r="D436" s="69">
        <v>849.44</v>
      </c>
      <c r="E436" s="69">
        <v>849.44</v>
      </c>
      <c r="F436" s="69">
        <v>849.44</v>
      </c>
      <c r="G436" s="69">
        <v>849.44</v>
      </c>
      <c r="H436" s="69">
        <v>849.44</v>
      </c>
      <c r="I436" s="69">
        <v>849.44</v>
      </c>
      <c r="J436" s="69">
        <v>849.44</v>
      </c>
      <c r="K436" s="69">
        <v>849.44</v>
      </c>
      <c r="L436" s="69">
        <v>849.44</v>
      </c>
      <c r="M436" s="69">
        <v>849.44</v>
      </c>
      <c r="N436" s="69">
        <v>849.44</v>
      </c>
      <c r="O436" s="69">
        <v>849.44</v>
      </c>
      <c r="P436" s="69">
        <v>849.44</v>
      </c>
    </row>
    <row r="437" spans="1:16" ht="14.4" x14ac:dyDescent="0.3">
      <c r="A437" s="25" t="s">
        <v>94</v>
      </c>
      <c r="B437" s="25"/>
      <c r="C437" s="16" t="s">
        <v>32</v>
      </c>
      <c r="D437" s="69">
        <v>3525.12</v>
      </c>
      <c r="E437" s="69">
        <v>3525.12</v>
      </c>
      <c r="F437" s="69">
        <v>3525.12</v>
      </c>
      <c r="G437" s="69">
        <v>3525.12</v>
      </c>
      <c r="H437" s="69">
        <v>3525.12</v>
      </c>
      <c r="I437" s="69">
        <v>3525.12</v>
      </c>
      <c r="J437" s="69">
        <v>3525.12</v>
      </c>
      <c r="K437" s="69">
        <v>3525.12</v>
      </c>
      <c r="L437" s="69">
        <v>3525.12</v>
      </c>
      <c r="M437" s="69">
        <v>3525.12</v>
      </c>
      <c r="N437" s="69">
        <v>3525.12</v>
      </c>
      <c r="O437" s="69">
        <v>3525.12</v>
      </c>
      <c r="P437" s="69">
        <v>3525.12</v>
      </c>
    </row>
    <row r="438" spans="1:16" ht="14.4" x14ac:dyDescent="0.3">
      <c r="A438" s="25" t="s">
        <v>95</v>
      </c>
      <c r="B438" s="25"/>
      <c r="C438" s="16" t="s">
        <v>32</v>
      </c>
      <c r="D438" s="69">
        <v>12075.11</v>
      </c>
      <c r="E438" s="69">
        <v>12075.11</v>
      </c>
      <c r="F438" s="69">
        <v>12075.11</v>
      </c>
      <c r="G438" s="69">
        <v>12075.11</v>
      </c>
      <c r="H438" s="69">
        <v>12075.11</v>
      </c>
      <c r="I438" s="69">
        <v>12075.11</v>
      </c>
      <c r="J438" s="69">
        <v>12075.11</v>
      </c>
      <c r="K438" s="69">
        <v>12075.11</v>
      </c>
      <c r="L438" s="69">
        <v>12075.11</v>
      </c>
      <c r="M438" s="69">
        <v>12075.11</v>
      </c>
      <c r="N438" s="69">
        <v>12075.11</v>
      </c>
      <c r="O438" s="69">
        <v>12075.11</v>
      </c>
      <c r="P438" s="69">
        <v>12075.11</v>
      </c>
    </row>
    <row r="439" spans="1:16" ht="14.4" x14ac:dyDescent="0.3">
      <c r="A439" s="25" t="s">
        <v>69</v>
      </c>
      <c r="B439" s="25"/>
      <c r="C439" s="16"/>
      <c r="D439" s="24"/>
      <c r="E439" s="24"/>
      <c r="F439" s="24"/>
      <c r="G439" s="24"/>
      <c r="H439" s="24"/>
      <c r="I439" s="24"/>
      <c r="J439" s="24"/>
      <c r="K439" s="24"/>
      <c r="L439" s="24"/>
      <c r="M439" s="24"/>
      <c r="N439" s="24"/>
      <c r="O439" s="24"/>
      <c r="P439" s="24"/>
    </row>
    <row r="440" spans="1:16" ht="14.4" x14ac:dyDescent="0.3">
      <c r="A440" s="25" t="s">
        <v>88</v>
      </c>
      <c r="B440" s="25"/>
      <c r="C440" s="16" t="s">
        <v>32</v>
      </c>
      <c r="D440" s="69">
        <f t="shared" ref="D440:P444" si="33">D434*110%</f>
        <v>5.5</v>
      </c>
      <c r="E440" s="69">
        <f t="shared" si="33"/>
        <v>5.5</v>
      </c>
      <c r="F440" s="69">
        <f t="shared" si="33"/>
        <v>5.5</v>
      </c>
      <c r="G440" s="69">
        <f t="shared" si="33"/>
        <v>5.5</v>
      </c>
      <c r="H440" s="69">
        <f t="shared" si="33"/>
        <v>5.5</v>
      </c>
      <c r="I440" s="69">
        <f t="shared" si="33"/>
        <v>5.5</v>
      </c>
      <c r="J440" s="69">
        <f t="shared" si="33"/>
        <v>5.5</v>
      </c>
      <c r="K440" s="69">
        <f t="shared" si="33"/>
        <v>5.5</v>
      </c>
      <c r="L440" s="69">
        <f t="shared" si="33"/>
        <v>5.5</v>
      </c>
      <c r="M440" s="69">
        <f t="shared" si="33"/>
        <v>5.5</v>
      </c>
      <c r="N440" s="69">
        <f t="shared" si="33"/>
        <v>5.5</v>
      </c>
      <c r="O440" s="69">
        <f t="shared" si="33"/>
        <v>5.5</v>
      </c>
      <c r="P440" s="69">
        <f t="shared" si="33"/>
        <v>5.5</v>
      </c>
    </row>
    <row r="441" spans="1:16" ht="14.4" x14ac:dyDescent="0.3">
      <c r="A441" s="25" t="s">
        <v>92</v>
      </c>
      <c r="B441" s="25"/>
      <c r="C441" s="16" t="s">
        <v>32</v>
      </c>
      <c r="D441" s="69">
        <f t="shared" si="33"/>
        <v>398.57400000000001</v>
      </c>
      <c r="E441" s="69">
        <f t="shared" si="33"/>
        <v>398.57400000000001</v>
      </c>
      <c r="F441" s="69">
        <f t="shared" si="33"/>
        <v>398.57400000000001</v>
      </c>
      <c r="G441" s="69">
        <f t="shared" si="33"/>
        <v>398.57400000000001</v>
      </c>
      <c r="H441" s="69">
        <f t="shared" si="33"/>
        <v>398.57400000000001</v>
      </c>
      <c r="I441" s="69">
        <f t="shared" si="33"/>
        <v>398.57400000000001</v>
      </c>
      <c r="J441" s="69">
        <f t="shared" si="33"/>
        <v>398.57400000000001</v>
      </c>
      <c r="K441" s="69">
        <f t="shared" si="33"/>
        <v>398.57400000000001</v>
      </c>
      <c r="L441" s="69">
        <f t="shared" si="33"/>
        <v>398.57400000000001</v>
      </c>
      <c r="M441" s="69">
        <f t="shared" si="33"/>
        <v>398.57400000000001</v>
      </c>
      <c r="N441" s="69">
        <f t="shared" si="33"/>
        <v>398.57400000000001</v>
      </c>
      <c r="O441" s="69">
        <f t="shared" si="33"/>
        <v>398.57400000000001</v>
      </c>
      <c r="P441" s="69">
        <f t="shared" si="33"/>
        <v>398.57400000000001</v>
      </c>
    </row>
    <row r="442" spans="1:16" ht="14.4" x14ac:dyDescent="0.3">
      <c r="A442" s="25" t="s">
        <v>93</v>
      </c>
      <c r="B442" s="25"/>
      <c r="C442" s="16" t="s">
        <v>32</v>
      </c>
      <c r="D442" s="69">
        <f t="shared" si="33"/>
        <v>934.38400000000013</v>
      </c>
      <c r="E442" s="69">
        <f t="shared" si="33"/>
        <v>934.38400000000013</v>
      </c>
      <c r="F442" s="69">
        <f t="shared" si="33"/>
        <v>934.38400000000013</v>
      </c>
      <c r="G442" s="69">
        <f t="shared" si="33"/>
        <v>934.38400000000013</v>
      </c>
      <c r="H442" s="69">
        <f t="shared" si="33"/>
        <v>934.38400000000013</v>
      </c>
      <c r="I442" s="69">
        <f t="shared" si="33"/>
        <v>934.38400000000013</v>
      </c>
      <c r="J442" s="69">
        <f t="shared" si="33"/>
        <v>934.38400000000013</v>
      </c>
      <c r="K442" s="69">
        <f t="shared" si="33"/>
        <v>934.38400000000013</v>
      </c>
      <c r="L442" s="69">
        <f t="shared" si="33"/>
        <v>934.38400000000013</v>
      </c>
      <c r="M442" s="69">
        <f t="shared" si="33"/>
        <v>934.38400000000013</v>
      </c>
      <c r="N442" s="69">
        <f t="shared" si="33"/>
        <v>934.38400000000013</v>
      </c>
      <c r="O442" s="69">
        <f t="shared" si="33"/>
        <v>934.38400000000013</v>
      </c>
      <c r="P442" s="69">
        <f t="shared" si="33"/>
        <v>934.38400000000013</v>
      </c>
    </row>
    <row r="443" spans="1:16" ht="14.4" x14ac:dyDescent="0.3">
      <c r="A443" s="25" t="s">
        <v>94</v>
      </c>
      <c r="B443" s="25"/>
      <c r="C443" s="16" t="s">
        <v>32</v>
      </c>
      <c r="D443" s="69">
        <f t="shared" si="33"/>
        <v>3877.6320000000001</v>
      </c>
      <c r="E443" s="69">
        <f t="shared" si="33"/>
        <v>3877.6320000000001</v>
      </c>
      <c r="F443" s="69">
        <f t="shared" si="33"/>
        <v>3877.6320000000001</v>
      </c>
      <c r="G443" s="69">
        <f t="shared" si="33"/>
        <v>3877.6320000000001</v>
      </c>
      <c r="H443" s="69">
        <f t="shared" si="33"/>
        <v>3877.6320000000001</v>
      </c>
      <c r="I443" s="69">
        <f t="shared" si="33"/>
        <v>3877.6320000000001</v>
      </c>
      <c r="J443" s="69">
        <f t="shared" si="33"/>
        <v>3877.6320000000001</v>
      </c>
      <c r="K443" s="69">
        <f t="shared" si="33"/>
        <v>3877.6320000000001</v>
      </c>
      <c r="L443" s="69">
        <f t="shared" si="33"/>
        <v>3877.6320000000001</v>
      </c>
      <c r="M443" s="69">
        <f t="shared" si="33"/>
        <v>3877.6320000000001</v>
      </c>
      <c r="N443" s="69">
        <f t="shared" si="33"/>
        <v>3877.6320000000001</v>
      </c>
      <c r="O443" s="69">
        <f t="shared" si="33"/>
        <v>3877.6320000000001</v>
      </c>
      <c r="P443" s="69">
        <f t="shared" si="33"/>
        <v>3877.6320000000001</v>
      </c>
    </row>
    <row r="444" spans="1:16" ht="14.4" x14ac:dyDescent="0.3">
      <c r="A444" s="25" t="s">
        <v>95</v>
      </c>
      <c r="B444" s="25"/>
      <c r="C444" s="16" t="s">
        <v>32</v>
      </c>
      <c r="D444" s="69">
        <f t="shared" si="33"/>
        <v>13282.621000000001</v>
      </c>
      <c r="E444" s="69">
        <f t="shared" si="33"/>
        <v>13282.621000000001</v>
      </c>
      <c r="F444" s="69">
        <f t="shared" si="33"/>
        <v>13282.621000000001</v>
      </c>
      <c r="G444" s="69">
        <f t="shared" si="33"/>
        <v>13282.621000000001</v>
      </c>
      <c r="H444" s="69">
        <f t="shared" si="33"/>
        <v>13282.621000000001</v>
      </c>
      <c r="I444" s="69">
        <f t="shared" si="33"/>
        <v>13282.621000000001</v>
      </c>
      <c r="J444" s="69">
        <f t="shared" si="33"/>
        <v>13282.621000000001</v>
      </c>
      <c r="K444" s="69">
        <f t="shared" si="33"/>
        <v>13282.621000000001</v>
      </c>
      <c r="L444" s="69">
        <f t="shared" si="33"/>
        <v>13282.621000000001</v>
      </c>
      <c r="M444" s="69">
        <f t="shared" si="33"/>
        <v>13282.621000000001</v>
      </c>
      <c r="N444" s="69">
        <f t="shared" si="33"/>
        <v>13282.621000000001</v>
      </c>
      <c r="O444" s="69">
        <f t="shared" si="33"/>
        <v>13282.621000000001</v>
      </c>
      <c r="P444" s="69">
        <f t="shared" si="33"/>
        <v>13282.621000000001</v>
      </c>
    </row>
    <row r="445" spans="1:16" ht="14.4" x14ac:dyDescent="0.3">
      <c r="A445" s="25"/>
      <c r="B445" s="25"/>
      <c r="C445" s="16"/>
      <c r="D445" s="24"/>
      <c r="E445" s="24"/>
      <c r="F445" s="24"/>
      <c r="G445" s="24"/>
      <c r="H445" s="24"/>
      <c r="I445" s="24"/>
      <c r="J445" s="24"/>
      <c r="K445" s="24"/>
      <c r="L445" s="24"/>
      <c r="M445" s="24"/>
      <c r="N445" s="24"/>
      <c r="O445" s="24"/>
      <c r="P445" s="24"/>
    </row>
    <row r="446" spans="1:16" ht="14.4" x14ac:dyDescent="0.3">
      <c r="A446" s="61" t="s">
        <v>97</v>
      </c>
      <c r="B446" s="62"/>
      <c r="C446" s="63"/>
      <c r="D446" s="62"/>
      <c r="E446" s="62"/>
      <c r="F446" s="62"/>
      <c r="G446" s="62"/>
      <c r="H446" s="62"/>
      <c r="I446" s="62"/>
      <c r="J446" s="62"/>
      <c r="K446" s="62"/>
      <c r="L446" s="62"/>
      <c r="M446" s="62"/>
      <c r="N446" s="62"/>
      <c r="O446" s="62"/>
      <c r="P446" s="62"/>
    </row>
    <row r="447" spans="1:16" ht="14.4" x14ac:dyDescent="0.3">
      <c r="A447" s="25" t="s">
        <v>98</v>
      </c>
      <c r="B447" s="25"/>
      <c r="C447" s="16" t="s">
        <v>44</v>
      </c>
      <c r="D447" s="70">
        <v>1</v>
      </c>
      <c r="E447" s="70">
        <v>1</v>
      </c>
      <c r="F447" s="70">
        <v>1</v>
      </c>
      <c r="G447" s="70">
        <v>1</v>
      </c>
      <c r="H447" s="70">
        <v>1</v>
      </c>
      <c r="I447" s="70">
        <v>1</v>
      </c>
      <c r="J447" s="70">
        <v>1</v>
      </c>
      <c r="K447" s="70">
        <v>1</v>
      </c>
      <c r="L447" s="70">
        <v>1</v>
      </c>
      <c r="M447" s="70">
        <v>1</v>
      </c>
      <c r="N447" s="70">
        <v>1</v>
      </c>
      <c r="O447" s="70">
        <v>1</v>
      </c>
      <c r="P447" s="70">
        <v>1</v>
      </c>
    </row>
    <row r="448" spans="1:16" ht="14.4" x14ac:dyDescent="0.3">
      <c r="A448" s="25" t="s">
        <v>99</v>
      </c>
      <c r="B448" s="25"/>
      <c r="C448" s="16" t="s">
        <v>44</v>
      </c>
      <c r="D448" s="70">
        <v>0.5</v>
      </c>
      <c r="E448" s="70">
        <v>0.5</v>
      </c>
      <c r="F448" s="70">
        <v>0.5</v>
      </c>
      <c r="G448" s="70">
        <v>0.5</v>
      </c>
      <c r="H448" s="70">
        <v>0.5</v>
      </c>
      <c r="I448" s="70">
        <v>0.5</v>
      </c>
      <c r="J448" s="70">
        <v>0.5</v>
      </c>
      <c r="K448" s="70">
        <v>0.5</v>
      </c>
      <c r="L448" s="70">
        <v>0.5</v>
      </c>
      <c r="M448" s="70">
        <v>0.5</v>
      </c>
      <c r="N448" s="70">
        <v>0.5</v>
      </c>
      <c r="O448" s="70">
        <v>0.5</v>
      </c>
      <c r="P448" s="70">
        <v>0.5</v>
      </c>
    </row>
    <row r="449" spans="1:16" ht="14.4" x14ac:dyDescent="0.3">
      <c r="A449" s="25" t="s">
        <v>100</v>
      </c>
      <c r="B449" s="25"/>
      <c r="C449" s="16" t="s">
        <v>44</v>
      </c>
      <c r="D449" s="70">
        <v>0.35</v>
      </c>
      <c r="E449" s="70">
        <v>0.35</v>
      </c>
      <c r="F449" s="70">
        <v>0.35</v>
      </c>
      <c r="G449" s="70">
        <v>0.35</v>
      </c>
      <c r="H449" s="70">
        <v>0.35</v>
      </c>
      <c r="I449" s="70">
        <v>0.35</v>
      </c>
      <c r="J449" s="70">
        <v>0.35</v>
      </c>
      <c r="K449" s="70">
        <v>0.35</v>
      </c>
      <c r="L449" s="70">
        <v>0.35</v>
      </c>
      <c r="M449" s="70">
        <v>0.35</v>
      </c>
      <c r="N449" s="70">
        <v>0.35</v>
      </c>
      <c r="O449" s="70">
        <v>0.35</v>
      </c>
      <c r="P449" s="70">
        <v>0.35</v>
      </c>
    </row>
    <row r="450" spans="1:16" ht="14.4" x14ac:dyDescent="0.3">
      <c r="A450" s="25" t="s">
        <v>101</v>
      </c>
      <c r="B450" s="25"/>
      <c r="C450" s="16" t="s">
        <v>44</v>
      </c>
      <c r="D450" s="70">
        <v>0.2</v>
      </c>
      <c r="E450" s="70">
        <v>0.2</v>
      </c>
      <c r="F450" s="70">
        <v>0.2</v>
      </c>
      <c r="G450" s="70">
        <v>0.2</v>
      </c>
      <c r="H450" s="70">
        <v>0.2</v>
      </c>
      <c r="I450" s="70">
        <v>0.2</v>
      </c>
      <c r="J450" s="70">
        <v>0.2</v>
      </c>
      <c r="K450" s="70">
        <v>0.2</v>
      </c>
      <c r="L450" s="70">
        <v>0.2</v>
      </c>
      <c r="M450" s="70">
        <v>0.2</v>
      </c>
      <c r="N450" s="70">
        <v>0.2</v>
      </c>
      <c r="O450" s="70">
        <v>0.2</v>
      </c>
      <c r="P450" s="70">
        <v>0.2</v>
      </c>
    </row>
    <row r="451" spans="1:16" x14ac:dyDescent="0.3">
      <c r="A451" s="62"/>
      <c r="B451" s="62"/>
      <c r="C451" s="63"/>
      <c r="D451" s="62"/>
      <c r="E451" s="62"/>
      <c r="F451" s="62"/>
      <c r="G451" s="62"/>
      <c r="H451" s="62"/>
      <c r="I451" s="62"/>
      <c r="J451" s="62"/>
      <c r="K451" s="62"/>
      <c r="L451" s="62"/>
      <c r="M451" s="62"/>
      <c r="N451" s="62"/>
      <c r="O451" s="62"/>
      <c r="P451" s="62"/>
    </row>
    <row r="452" spans="1:16" ht="14.4" x14ac:dyDescent="0.3">
      <c r="A452" s="61" t="s">
        <v>102</v>
      </c>
      <c r="B452" s="62"/>
      <c r="C452" s="63"/>
      <c r="D452" s="62"/>
      <c r="E452" s="62"/>
      <c r="F452" s="62"/>
      <c r="G452" s="62"/>
      <c r="H452" s="62"/>
      <c r="I452" s="62"/>
      <c r="J452" s="62"/>
      <c r="K452" s="62"/>
      <c r="L452" s="62"/>
      <c r="M452" s="62"/>
      <c r="N452" s="62"/>
      <c r="O452" s="62"/>
      <c r="P452" s="62"/>
    </row>
    <row r="453" spans="1:16" ht="14.4" x14ac:dyDescent="0.3">
      <c r="A453" s="25" t="s">
        <v>103</v>
      </c>
      <c r="B453" s="25" t="s">
        <v>104</v>
      </c>
      <c r="C453" s="16" t="s">
        <v>19</v>
      </c>
      <c r="D453" s="20" t="s">
        <v>104</v>
      </c>
      <c r="E453" s="20" t="s">
        <v>104</v>
      </c>
      <c r="F453" s="20" t="s">
        <v>104</v>
      </c>
      <c r="G453" s="20" t="s">
        <v>104</v>
      </c>
      <c r="H453" s="20" t="s">
        <v>104</v>
      </c>
      <c r="I453" s="20" t="s">
        <v>104</v>
      </c>
      <c r="J453" s="20" t="s">
        <v>104</v>
      </c>
      <c r="K453" s="20" t="s">
        <v>104</v>
      </c>
      <c r="L453" s="20" t="s">
        <v>104</v>
      </c>
      <c r="M453" s="20" t="s">
        <v>104</v>
      </c>
      <c r="N453" s="20" t="s">
        <v>104</v>
      </c>
      <c r="O453" s="20" t="s">
        <v>104</v>
      </c>
      <c r="P453" s="20" t="s">
        <v>104</v>
      </c>
    </row>
    <row r="454" spans="1:16" ht="14.4" x14ac:dyDescent="0.3">
      <c r="A454" s="25" t="s">
        <v>105</v>
      </c>
      <c r="B454" s="25" t="s">
        <v>106</v>
      </c>
      <c r="C454" s="16" t="s">
        <v>19</v>
      </c>
      <c r="D454" s="20">
        <v>0.1</v>
      </c>
      <c r="E454" s="20">
        <v>0.1</v>
      </c>
      <c r="F454" s="20">
        <v>0.1</v>
      </c>
      <c r="G454" s="20">
        <v>0.1</v>
      </c>
      <c r="H454" s="20">
        <v>0.1</v>
      </c>
      <c r="I454" s="20">
        <v>0.1</v>
      </c>
      <c r="J454" s="20">
        <v>0.1</v>
      </c>
      <c r="K454" s="20">
        <v>0.1</v>
      </c>
      <c r="L454" s="20">
        <v>0.1</v>
      </c>
      <c r="M454" s="20">
        <v>0.1</v>
      </c>
      <c r="N454" s="20">
        <v>0.1</v>
      </c>
      <c r="O454" s="20">
        <v>0.1</v>
      </c>
      <c r="P454" s="20">
        <v>0.1</v>
      </c>
    </row>
    <row r="455" spans="1:16" ht="14.4" x14ac:dyDescent="0.3">
      <c r="A455" s="25" t="s">
        <v>107</v>
      </c>
      <c r="B455" s="25" t="s">
        <v>108</v>
      </c>
      <c r="C455" s="16" t="s">
        <v>19</v>
      </c>
      <c r="D455" s="20">
        <v>0.2</v>
      </c>
      <c r="E455" s="20">
        <v>0.2</v>
      </c>
      <c r="F455" s="20">
        <v>0.2</v>
      </c>
      <c r="G455" s="20">
        <v>0.2</v>
      </c>
      <c r="H455" s="20">
        <v>0.2</v>
      </c>
      <c r="I455" s="20">
        <v>0.2</v>
      </c>
      <c r="J455" s="20">
        <v>0.2</v>
      </c>
      <c r="K455" s="20">
        <v>0.2</v>
      </c>
      <c r="L455" s="20">
        <v>0.2</v>
      </c>
      <c r="M455" s="20">
        <v>0.2</v>
      </c>
      <c r="N455" s="20">
        <v>0.2</v>
      </c>
      <c r="O455" s="20">
        <v>0.2</v>
      </c>
      <c r="P455" s="20">
        <v>0.2</v>
      </c>
    </row>
    <row r="456" spans="1:16" ht="14.4" x14ac:dyDescent="0.3">
      <c r="A456" s="25" t="s">
        <v>109</v>
      </c>
      <c r="B456" s="25" t="s">
        <v>110</v>
      </c>
      <c r="C456" s="16" t="s">
        <v>19</v>
      </c>
      <c r="D456" s="20">
        <v>0.35</v>
      </c>
      <c r="E456" s="20">
        <v>0.35</v>
      </c>
      <c r="F456" s="20">
        <v>0.35</v>
      </c>
      <c r="G456" s="20">
        <v>0.35</v>
      </c>
      <c r="H456" s="20">
        <v>0.35</v>
      </c>
      <c r="I456" s="20">
        <v>0.35</v>
      </c>
      <c r="J456" s="20">
        <v>0.35</v>
      </c>
      <c r="K456" s="20">
        <v>0.35</v>
      </c>
      <c r="L456" s="20">
        <v>0.35</v>
      </c>
      <c r="M456" s="20">
        <v>0.35</v>
      </c>
      <c r="N456" s="20">
        <v>0.35</v>
      </c>
      <c r="O456" s="20">
        <v>0.35</v>
      </c>
      <c r="P456" s="20">
        <v>0.35</v>
      </c>
    </row>
    <row r="457" spans="1:16" x14ac:dyDescent="0.3">
      <c r="A457" s="71"/>
      <c r="B457" s="71"/>
      <c r="C457" s="72"/>
      <c r="D457" s="71"/>
      <c r="E457" s="71"/>
      <c r="F457" s="71"/>
      <c r="G457" s="71"/>
      <c r="H457" s="71"/>
      <c r="I457" s="71"/>
      <c r="J457" s="71"/>
      <c r="K457" s="71"/>
      <c r="L457" s="71"/>
      <c r="M457" s="71"/>
      <c r="N457" s="71"/>
      <c r="O457" s="71"/>
      <c r="P457" s="71"/>
    </row>
    <row r="458" spans="1:16" x14ac:dyDescent="0.3">
      <c r="A458" s="33"/>
      <c r="B458" s="71"/>
      <c r="C458" s="72"/>
      <c r="D458" s="71"/>
      <c r="E458" s="71"/>
      <c r="F458" s="71"/>
      <c r="G458" s="71"/>
      <c r="H458" s="71"/>
      <c r="I458" s="71"/>
      <c r="J458" s="71"/>
      <c r="K458" s="71"/>
      <c r="L458" s="71"/>
      <c r="M458" s="71"/>
      <c r="N458" s="71"/>
      <c r="O458" s="71"/>
      <c r="P458" s="71"/>
    </row>
    <row r="460" spans="1:16" x14ac:dyDescent="0.3">
      <c r="A460" s="33"/>
    </row>
  </sheetData>
  <sheetProtection algorithmName="SHA-512" hashValue="G89PqRdfv68akEDz/00RAVAsVDpcOeoT9y90EenTEFlI7UtLLCYjG3nxKUNHkFoPMjH3keyHwOGs+rOmrc3e/Q==" saltValue="j23AgR9eoSH4VZ2JVrILXw==" spinCount="100000" sheet="1" objects="1" scenarios="1" selectLockedCells="1" selectUnlockedCells="1"/>
  <printOptions horizontalCentered="1"/>
  <pageMargins left="0.2" right="0.2" top="0.2" bottom="0.4" header="0.5" footer="0.1"/>
  <pageSetup paperSize="14" scale="67" orientation="landscape" r:id="rId1"/>
  <headerFooter scaleWithDoc="0" alignWithMargins="0">
    <oddFooter>&amp;L&amp;"Calibri,Regular"GENERAL NOTE: All data used in the actual implemented rates were based on available information as of the time rates were computed.&amp;R&amp;"Calibri,Italic"&amp;8
Actual Implemented Rates Page &amp;P of &amp;N</oddFooter>
  </headerFooter>
  <rowBreaks count="10" manualBreakCount="10">
    <brk id="46" max="14" man="1"/>
    <brk id="89" max="14" man="1"/>
    <brk id="131" max="14" man="1"/>
    <brk id="173" max="14" man="1"/>
    <brk id="215" max="14" man="1"/>
    <brk id="257" max="14" man="1"/>
    <brk id="299" max="14" man="1"/>
    <brk id="342" max="14" man="1"/>
    <brk id="386" max="14" man="1"/>
    <brk id="431" max="14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R460"/>
  <sheetViews>
    <sheetView view="pageBreakPreview" zoomScale="85" zoomScaleNormal="85" zoomScaleSheetLayoutView="85" workbookViewId="0">
      <pane xSplit="1" topLeftCell="E1" activePane="topRight" state="frozen"/>
      <selection activeCell="A106" sqref="A106"/>
      <selection pane="topRight" activeCell="N432" sqref="N432:O432"/>
    </sheetView>
  </sheetViews>
  <sheetFormatPr defaultColWidth="9.109375" defaultRowHeight="13.8" x14ac:dyDescent="0.3"/>
  <cols>
    <col min="1" max="1" width="39.109375" style="3" customWidth="1"/>
    <col min="2" max="2" width="1.109375" style="3" customWidth="1"/>
    <col min="3" max="3" width="14.5546875" style="32" customWidth="1"/>
    <col min="4" max="15" width="14.33203125" style="3" bestFit="1" customWidth="1"/>
    <col min="16" max="16" width="15.88671875" style="3" hidden="1" customWidth="1"/>
    <col min="17" max="16384" width="9.109375" style="3"/>
  </cols>
  <sheetData>
    <row r="1" spans="1:16" ht="21" x14ac:dyDescent="0.4">
      <c r="A1" s="1" t="s">
        <v>0</v>
      </c>
      <c r="B1" s="1"/>
      <c r="C1" s="2"/>
    </row>
    <row r="2" spans="1:16" ht="21" x14ac:dyDescent="0.4">
      <c r="A2" s="4" t="s">
        <v>1</v>
      </c>
      <c r="B2" s="4"/>
      <c r="C2" s="5"/>
    </row>
    <row r="3" spans="1:16" ht="21" x14ac:dyDescent="0.4">
      <c r="A3" s="6" t="str">
        <f>'[46]Supplier &amp; Trans Data'!A3</f>
        <v>For January  - December 2018 Billing</v>
      </c>
      <c r="B3" s="6"/>
      <c r="C3" s="7"/>
    </row>
    <row r="4" spans="1:16" ht="21" x14ac:dyDescent="0.4">
      <c r="A4" s="4"/>
      <c r="B4" s="4"/>
      <c r="C4" s="5"/>
    </row>
    <row r="5" spans="1:16" ht="21" x14ac:dyDescent="0.4">
      <c r="A5" s="8"/>
      <c r="B5" s="4"/>
      <c r="C5" s="5"/>
    </row>
    <row r="6" spans="1:16" ht="18" x14ac:dyDescent="0.35">
      <c r="A6" s="9" t="s">
        <v>2</v>
      </c>
      <c r="B6" s="9"/>
      <c r="C6" s="5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</row>
    <row r="7" spans="1:16" s="13" customFormat="1" ht="14.4" x14ac:dyDescent="0.3">
      <c r="A7" s="11" t="s">
        <v>3</v>
      </c>
      <c r="B7" s="11"/>
      <c r="C7" s="11" t="s">
        <v>4</v>
      </c>
      <c r="D7" s="73">
        <v>43101</v>
      </c>
      <c r="E7" s="73">
        <v>43132</v>
      </c>
      <c r="F7" s="73">
        <v>43160</v>
      </c>
      <c r="G7" s="73">
        <v>43191</v>
      </c>
      <c r="H7" s="73">
        <v>43221</v>
      </c>
      <c r="I7" s="73">
        <v>43252</v>
      </c>
      <c r="J7" s="73">
        <v>43282</v>
      </c>
      <c r="K7" s="73">
        <v>43313</v>
      </c>
      <c r="L7" s="73">
        <v>43344</v>
      </c>
      <c r="M7" s="73">
        <v>43374</v>
      </c>
      <c r="N7" s="73">
        <v>43405</v>
      </c>
      <c r="O7" s="73">
        <v>43435</v>
      </c>
      <c r="P7" s="73">
        <v>43466</v>
      </c>
    </row>
    <row r="8" spans="1:16" ht="14.4" x14ac:dyDescent="0.3">
      <c r="A8" s="14" t="s">
        <v>17</v>
      </c>
      <c r="B8" s="15"/>
      <c r="C8" s="16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</row>
    <row r="9" spans="1:16" ht="14.4" x14ac:dyDescent="0.3">
      <c r="A9" s="18" t="s">
        <v>18</v>
      </c>
      <c r="B9" s="19"/>
      <c r="C9" s="16" t="s">
        <v>19</v>
      </c>
      <c r="D9" s="20">
        <f>D389</f>
        <v>4.0768000000000004</v>
      </c>
      <c r="E9" s="20">
        <f>E389</f>
        <v>4.6547999999999998</v>
      </c>
      <c r="F9" s="20">
        <f t="shared" ref="F9:P9" si="0">F389</f>
        <v>5.2961999999999998</v>
      </c>
      <c r="G9" s="20">
        <f t="shared" si="0"/>
        <v>5.4734999999999996</v>
      </c>
      <c r="H9" s="20">
        <f t="shared" si="0"/>
        <v>5.0522999999999998</v>
      </c>
      <c r="I9" s="20">
        <f t="shared" si="0"/>
        <v>4.9828000000000001</v>
      </c>
      <c r="J9" s="20">
        <f t="shared" si="0"/>
        <v>5.2651000000000003</v>
      </c>
      <c r="K9" s="20">
        <f t="shared" si="0"/>
        <v>5.3491</v>
      </c>
      <c r="L9" s="20">
        <f t="shared" si="0"/>
        <v>5.2718999999999996</v>
      </c>
      <c r="M9" s="20">
        <f t="shared" si="0"/>
        <v>5.1908000000000003</v>
      </c>
      <c r="N9" s="20">
        <f t="shared" si="0"/>
        <v>5.2725</v>
      </c>
      <c r="O9" s="20">
        <f t="shared" si="0"/>
        <v>5.3303000000000003</v>
      </c>
      <c r="P9" s="20" t="e">
        <f t="shared" si="0"/>
        <v>#DIV/0!</v>
      </c>
    </row>
    <row r="10" spans="1:16" ht="14.4" x14ac:dyDescent="0.3">
      <c r="A10" s="14" t="s">
        <v>20</v>
      </c>
      <c r="B10" s="15"/>
      <c r="C10" s="16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</row>
    <row r="11" spans="1:16" ht="14.4" x14ac:dyDescent="0.3">
      <c r="A11" s="18" t="s">
        <v>21</v>
      </c>
      <c r="B11" s="19"/>
      <c r="C11" s="16" t="s">
        <v>19</v>
      </c>
      <c r="D11" s="20">
        <f>[46]TR!D30</f>
        <v>0.86529999999999996</v>
      </c>
      <c r="E11" s="20">
        <f>[46]TR!E30</f>
        <v>0.82609999999999995</v>
      </c>
      <c r="F11" s="20">
        <f>[46]TR!F30</f>
        <v>0.8821</v>
      </c>
      <c r="G11" s="20">
        <f>[46]TR!G30</f>
        <v>0.88290000000000002</v>
      </c>
      <c r="H11" s="20">
        <f>[46]TR!H30</f>
        <v>0.87939999999999996</v>
      </c>
      <c r="I11" s="20">
        <f>[46]TR!I30</f>
        <v>0.79749999999999999</v>
      </c>
      <c r="J11" s="20">
        <f>[46]TR!J30</f>
        <v>0.79010000000000002</v>
      </c>
      <c r="K11" s="20">
        <f>[46]TR!K30</f>
        <v>0.70840000000000003</v>
      </c>
      <c r="L11" s="20">
        <f>[46]TR!L30</f>
        <v>0.67859999999999998</v>
      </c>
      <c r="M11" s="20">
        <f>[46]TR!M30</f>
        <v>0.69140000000000001</v>
      </c>
      <c r="N11" s="20">
        <f>[46]TR!N30</f>
        <v>0.69199999999999995</v>
      </c>
      <c r="O11" s="20">
        <f>[46]TR!O30</f>
        <v>0.7097</v>
      </c>
      <c r="P11" s="20">
        <f>[46]TR!P30</f>
        <v>0</v>
      </c>
    </row>
    <row r="12" spans="1:16" ht="14.4" x14ac:dyDescent="0.3">
      <c r="A12" s="18" t="s">
        <v>22</v>
      </c>
      <c r="B12" s="19"/>
      <c r="C12" s="16" t="s">
        <v>23</v>
      </c>
      <c r="D12" s="20">
        <v>0</v>
      </c>
      <c r="E12" s="20">
        <v>0</v>
      </c>
      <c r="F12" s="20">
        <v>0</v>
      </c>
      <c r="G12" s="20">
        <v>0</v>
      </c>
      <c r="H12" s="20">
        <v>0</v>
      </c>
      <c r="I12" s="20">
        <v>0</v>
      </c>
      <c r="J12" s="20">
        <v>0</v>
      </c>
      <c r="K12" s="20">
        <v>0</v>
      </c>
      <c r="L12" s="20">
        <v>0</v>
      </c>
      <c r="M12" s="20">
        <v>0</v>
      </c>
      <c r="N12" s="20">
        <v>0</v>
      </c>
      <c r="O12" s="20">
        <v>0</v>
      </c>
      <c r="P12" s="20">
        <v>0</v>
      </c>
    </row>
    <row r="13" spans="1:16" ht="14.4" x14ac:dyDescent="0.3">
      <c r="A13" s="14" t="s">
        <v>24</v>
      </c>
      <c r="B13" s="15"/>
      <c r="C13" s="16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</row>
    <row r="14" spans="1:16" ht="14.4" x14ac:dyDescent="0.3">
      <c r="A14" s="18" t="s">
        <v>25</v>
      </c>
      <c r="B14" s="19"/>
      <c r="C14" s="16" t="s">
        <v>19</v>
      </c>
      <c r="D14" s="20">
        <f>[46]SLR!D63</f>
        <v>0.39779999999999999</v>
      </c>
      <c r="E14" s="20">
        <f>[46]SLR!E63</f>
        <v>0.44869999999999999</v>
      </c>
      <c r="F14" s="20">
        <f>[46]SLR!F63</f>
        <v>0.51160000000000005</v>
      </c>
      <c r="G14" s="20">
        <f>[46]SLR!G63</f>
        <v>0.51719999999999999</v>
      </c>
      <c r="H14" s="20">
        <f>[46]SLR!H63</f>
        <v>0.4844</v>
      </c>
      <c r="I14" s="20">
        <f>[46]SLR!I63</f>
        <v>0.46600000000000003</v>
      </c>
      <c r="J14" s="20">
        <f>[46]SLR!J63</f>
        <v>0.46960000000000002</v>
      </c>
      <c r="K14" s="20">
        <f>[46]SLR!K63</f>
        <v>0.46300000000000002</v>
      </c>
      <c r="L14" s="20">
        <f>[46]SLR!L63</f>
        <v>0.45179999999999998</v>
      </c>
      <c r="M14" s="20">
        <f>[46]SLR!M63</f>
        <v>0.44700000000000001</v>
      </c>
      <c r="N14" s="20">
        <f>[46]SLR!N63</f>
        <v>0.46250000000000002</v>
      </c>
      <c r="O14" s="20">
        <f>[46]SLR!O63</f>
        <v>0.4647</v>
      </c>
      <c r="P14" s="20">
        <f>[46]SLR!P63</f>
        <v>0</v>
      </c>
    </row>
    <row r="15" spans="1:16" ht="14.4" x14ac:dyDescent="0.3">
      <c r="A15" s="14" t="s">
        <v>26</v>
      </c>
      <c r="B15" s="14"/>
      <c r="C15" s="16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</row>
    <row r="16" spans="1:16" ht="14.4" x14ac:dyDescent="0.3">
      <c r="A16" s="18" t="s">
        <v>27</v>
      </c>
      <c r="B16" s="18"/>
      <c r="C16" s="16" t="s">
        <v>19</v>
      </c>
      <c r="D16" s="20">
        <v>2.0082</v>
      </c>
      <c r="E16" s="20">
        <v>2.0082</v>
      </c>
      <c r="F16" s="20">
        <v>2.0082</v>
      </c>
      <c r="G16" s="20">
        <v>2.0082</v>
      </c>
      <c r="H16" s="20">
        <v>2.0082</v>
      </c>
      <c r="I16" s="20">
        <v>2.0082</v>
      </c>
      <c r="J16" s="20">
        <v>2.0082</v>
      </c>
      <c r="K16" s="20">
        <v>2.0082</v>
      </c>
      <c r="L16" s="20">
        <v>2.0082</v>
      </c>
      <c r="M16" s="20">
        <v>2.0082</v>
      </c>
      <c r="N16" s="20">
        <v>2.0082</v>
      </c>
      <c r="O16" s="20">
        <v>2.0082</v>
      </c>
      <c r="P16" s="20">
        <v>2.0082</v>
      </c>
    </row>
    <row r="17" spans="1:16" ht="14.4" x14ac:dyDescent="0.3">
      <c r="A17" s="18" t="s">
        <v>28</v>
      </c>
      <c r="B17" s="18"/>
      <c r="C17" s="16" t="s">
        <v>23</v>
      </c>
      <c r="D17" s="23">
        <v>0</v>
      </c>
      <c r="E17" s="23">
        <v>0</v>
      </c>
      <c r="F17" s="23">
        <v>0</v>
      </c>
      <c r="G17" s="23">
        <v>0</v>
      </c>
      <c r="H17" s="23">
        <v>0</v>
      </c>
      <c r="I17" s="23">
        <v>0</v>
      </c>
      <c r="J17" s="23">
        <v>0</v>
      </c>
      <c r="K17" s="23">
        <v>0</v>
      </c>
      <c r="L17" s="23">
        <v>0</v>
      </c>
      <c r="M17" s="23">
        <v>0</v>
      </c>
      <c r="N17" s="23">
        <v>0</v>
      </c>
      <c r="O17" s="23">
        <v>0</v>
      </c>
      <c r="P17" s="23">
        <v>0</v>
      </c>
    </row>
    <row r="18" spans="1:16" s="5" customFormat="1" ht="14.4" x14ac:dyDescent="0.3">
      <c r="A18" s="14" t="s">
        <v>29</v>
      </c>
      <c r="B18" s="14"/>
      <c r="C18" s="16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</row>
    <row r="19" spans="1:16" ht="14.4" x14ac:dyDescent="0.3">
      <c r="A19" s="18" t="s">
        <v>30</v>
      </c>
      <c r="B19" s="18"/>
      <c r="C19" s="16" t="s">
        <v>19</v>
      </c>
      <c r="D19" s="20">
        <v>0.64949999999999997</v>
      </c>
      <c r="E19" s="20">
        <v>0.64949999999999997</v>
      </c>
      <c r="F19" s="20">
        <v>0.64949999999999997</v>
      </c>
      <c r="G19" s="20">
        <v>0.64949999999999997</v>
      </c>
      <c r="H19" s="20">
        <v>0.64949999999999997</v>
      </c>
      <c r="I19" s="20">
        <v>0.64949999999999997</v>
      </c>
      <c r="J19" s="20">
        <v>0.64949999999999997</v>
      </c>
      <c r="K19" s="20">
        <v>0.64949999999999997</v>
      </c>
      <c r="L19" s="20">
        <v>0.64949999999999997</v>
      </c>
      <c r="M19" s="20">
        <v>0.64949999999999997</v>
      </c>
      <c r="N19" s="20">
        <v>0.64949999999999997</v>
      </c>
      <c r="O19" s="20">
        <v>0.64949999999999997</v>
      </c>
      <c r="P19" s="20">
        <v>0.64949999999999997</v>
      </c>
    </row>
    <row r="20" spans="1:16" ht="14.4" x14ac:dyDescent="0.3">
      <c r="A20" s="18" t="s">
        <v>31</v>
      </c>
      <c r="B20" s="18"/>
      <c r="C20" s="16" t="s">
        <v>32</v>
      </c>
      <c r="D20" s="23">
        <v>0</v>
      </c>
      <c r="E20" s="23">
        <v>0</v>
      </c>
      <c r="F20" s="23">
        <v>0</v>
      </c>
      <c r="G20" s="23">
        <v>0</v>
      </c>
      <c r="H20" s="23">
        <v>0</v>
      </c>
      <c r="I20" s="23">
        <v>0</v>
      </c>
      <c r="J20" s="23">
        <v>0</v>
      </c>
      <c r="K20" s="23">
        <v>0</v>
      </c>
      <c r="L20" s="23">
        <v>0</v>
      </c>
      <c r="M20" s="23">
        <v>0</v>
      </c>
      <c r="N20" s="23">
        <v>0</v>
      </c>
      <c r="O20" s="23">
        <v>0</v>
      </c>
      <c r="P20" s="23">
        <v>0</v>
      </c>
    </row>
    <row r="21" spans="1:16" ht="14.4" x14ac:dyDescent="0.3">
      <c r="A21" s="14" t="s">
        <v>33</v>
      </c>
      <c r="B21" s="14"/>
      <c r="C21" s="16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</row>
    <row r="22" spans="1:16" ht="14.4" x14ac:dyDescent="0.3">
      <c r="A22" s="18" t="s">
        <v>34</v>
      </c>
      <c r="B22" s="18"/>
      <c r="C22" s="16" t="s">
        <v>19</v>
      </c>
      <c r="D22" s="20">
        <v>0</v>
      </c>
      <c r="E22" s="20">
        <v>0</v>
      </c>
      <c r="F22" s="20">
        <v>0</v>
      </c>
      <c r="G22" s="20">
        <v>0</v>
      </c>
      <c r="H22" s="20">
        <v>0</v>
      </c>
      <c r="I22" s="20">
        <v>0</v>
      </c>
      <c r="J22" s="20">
        <v>0</v>
      </c>
      <c r="K22" s="20">
        <v>0</v>
      </c>
      <c r="L22" s="20">
        <v>0</v>
      </c>
      <c r="M22" s="20">
        <v>0</v>
      </c>
      <c r="N22" s="20">
        <v>0</v>
      </c>
      <c r="O22" s="20">
        <v>0</v>
      </c>
      <c r="P22" s="20">
        <v>0</v>
      </c>
    </row>
    <row r="23" spans="1:16" ht="14.4" x14ac:dyDescent="0.3">
      <c r="A23" s="18" t="s">
        <v>35</v>
      </c>
      <c r="B23" s="18"/>
      <c r="C23" s="16" t="s">
        <v>36</v>
      </c>
      <c r="D23" s="23">
        <v>0</v>
      </c>
      <c r="E23" s="23">
        <v>0</v>
      </c>
      <c r="F23" s="23">
        <v>0</v>
      </c>
      <c r="G23" s="23">
        <v>0</v>
      </c>
      <c r="H23" s="23">
        <v>0</v>
      </c>
      <c r="I23" s="23">
        <v>0</v>
      </c>
      <c r="J23" s="23">
        <v>0</v>
      </c>
      <c r="K23" s="23">
        <v>0</v>
      </c>
      <c r="L23" s="23">
        <v>0</v>
      </c>
      <c r="M23" s="23">
        <v>0</v>
      </c>
      <c r="N23" s="23">
        <v>0</v>
      </c>
      <c r="O23" s="23">
        <v>0</v>
      </c>
      <c r="P23" s="23">
        <v>0</v>
      </c>
    </row>
    <row r="24" spans="1:16" ht="14.4" x14ac:dyDescent="0.3">
      <c r="A24" s="14" t="s">
        <v>37</v>
      </c>
      <c r="B24" s="14"/>
      <c r="C24" s="16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</row>
    <row r="25" spans="1:16" ht="14.4" x14ac:dyDescent="0.3">
      <c r="A25" s="25" t="s">
        <v>38</v>
      </c>
      <c r="B25" s="18"/>
      <c r="C25" s="16" t="s">
        <v>19</v>
      </c>
      <c r="D25" s="20">
        <f>[46]LD!D28</f>
        <v>9.1399999999999995E-2</v>
      </c>
      <c r="E25" s="20">
        <f>[46]LD!E28</f>
        <v>9.5899999999999999E-2</v>
      </c>
      <c r="F25" s="20">
        <f>[46]LD!F28</f>
        <v>9.98E-2</v>
      </c>
      <c r="G25" s="20">
        <f>[46]LD!G28</f>
        <v>0.1115</v>
      </c>
      <c r="H25" s="20">
        <f>[46]LD!H28</f>
        <v>9.4399999999999998E-2</v>
      </c>
      <c r="I25" s="20">
        <f>[46]LD!I28</f>
        <v>7.4099999999999999E-2</v>
      </c>
      <c r="J25" s="20">
        <f>[46]LD!J28</f>
        <v>7.0900000000000005E-2</v>
      </c>
      <c r="K25" s="20">
        <f>[46]LD!K28</f>
        <v>8.9300000000000004E-2</v>
      </c>
      <c r="L25" s="20">
        <f>[46]LD!L28</f>
        <v>8.8800000000000004E-2</v>
      </c>
      <c r="M25" s="20">
        <f>[46]LD!M28</f>
        <v>8.5500000000000007E-2</v>
      </c>
      <c r="N25" s="20">
        <f>[46]LD!N28</f>
        <v>8.4099999999999994E-2</v>
      </c>
      <c r="O25" s="20">
        <f>[46]LD!O28</f>
        <v>8.5300000000000001E-2</v>
      </c>
      <c r="P25" s="20">
        <f>[46]LD!P28</f>
        <v>0</v>
      </c>
    </row>
    <row r="26" spans="1:16" ht="14.4" x14ac:dyDescent="0.3">
      <c r="A26" s="25" t="s">
        <v>39</v>
      </c>
      <c r="B26" s="18"/>
      <c r="C26" s="16" t="s">
        <v>19</v>
      </c>
      <c r="D26" s="20">
        <v>0</v>
      </c>
      <c r="E26" s="20">
        <v>0</v>
      </c>
      <c r="F26" s="20">
        <v>0</v>
      </c>
      <c r="G26" s="20">
        <v>0</v>
      </c>
      <c r="H26" s="20">
        <v>0</v>
      </c>
      <c r="I26" s="20">
        <v>0</v>
      </c>
      <c r="J26" s="20">
        <v>0</v>
      </c>
      <c r="K26" s="20">
        <v>0</v>
      </c>
      <c r="L26" s="20">
        <v>0</v>
      </c>
      <c r="M26" s="20">
        <v>0</v>
      </c>
      <c r="N26" s="20">
        <v>0</v>
      </c>
      <c r="O26" s="20">
        <v>0</v>
      </c>
      <c r="P26" s="20">
        <v>0</v>
      </c>
    </row>
    <row r="27" spans="1:16" ht="14.4" x14ac:dyDescent="0.3">
      <c r="A27" s="26" t="s">
        <v>40</v>
      </c>
      <c r="B27" s="18"/>
      <c r="C27" s="16" t="s">
        <v>19</v>
      </c>
      <c r="D27" s="20">
        <f>'[46]SR CIT. SUBSIDY'!D107</f>
        <v>7.2836751367259784E-5</v>
      </c>
      <c r="E27" s="20">
        <f>'[46]SR CIT. SUBSIDY'!E107</f>
        <v>6.8004836608513296E-5</v>
      </c>
      <c r="F27" s="20">
        <f>'[46]SR CIT. SUBSIDY'!F107</f>
        <v>7.2021362364614477E-5</v>
      </c>
      <c r="G27" s="20">
        <f>'[46]SR CIT. SUBSIDY'!G107</f>
        <v>8.1837879774750537E-5</v>
      </c>
      <c r="H27" s="20">
        <f>'[46]SR CIT. SUBSIDY'!H107</f>
        <v>7.798204750191218E-5</v>
      </c>
      <c r="I27" s="20">
        <f>'[46]SR CIT. SUBSIDY'!I107</f>
        <v>7.6128332588525541E-5</v>
      </c>
      <c r="J27" s="20">
        <f>'[46]SR CIT. SUBSIDY'!J107</f>
        <v>6.9450356116585135E-5</v>
      </c>
      <c r="K27" s="20">
        <f>'[46]SR CIT. SUBSIDY'!K107</f>
        <v>7.4662532963556342E-5</v>
      </c>
      <c r="L27" s="20">
        <f>'[46]SR CIT. SUBSIDY'!L107</f>
        <v>7.2670454347697154E-5</v>
      </c>
      <c r="M27" s="20">
        <f>'[46]SR CIT. SUBSIDY'!M107</f>
        <v>7.4480298623008149E-5</v>
      </c>
      <c r="N27" s="20">
        <f>'[46]SR CIT. SUBSIDY'!N107</f>
        <v>7.360094464671045E-5</v>
      </c>
      <c r="O27" s="20">
        <f>'[46]SR CIT. SUBSIDY'!O107</f>
        <v>7.9518678198181161E-5</v>
      </c>
      <c r="P27" s="20">
        <f>'[46]SR CIT. SUBSIDY'!P107</f>
        <v>0</v>
      </c>
    </row>
    <row r="28" spans="1:16" ht="14.4" x14ac:dyDescent="0.3">
      <c r="A28" s="26" t="s">
        <v>41</v>
      </c>
      <c r="B28" s="18"/>
      <c r="C28" s="16" t="s">
        <v>19</v>
      </c>
      <c r="D28" s="20">
        <v>0</v>
      </c>
      <c r="E28" s="20">
        <v>0</v>
      </c>
      <c r="F28" s="20">
        <v>0</v>
      </c>
      <c r="G28" s="20">
        <v>0</v>
      </c>
      <c r="H28" s="20">
        <v>0</v>
      </c>
      <c r="I28" s="20">
        <v>0</v>
      </c>
      <c r="J28" s="20">
        <v>0</v>
      </c>
      <c r="K28" s="20">
        <v>0</v>
      </c>
      <c r="L28" s="20">
        <v>0</v>
      </c>
      <c r="M28" s="20">
        <v>0</v>
      </c>
      <c r="N28" s="20">
        <v>0</v>
      </c>
      <c r="O28" s="20">
        <v>0</v>
      </c>
      <c r="P28" s="20">
        <v>0</v>
      </c>
    </row>
    <row r="29" spans="1:16" ht="14.4" x14ac:dyDescent="0.3">
      <c r="A29" s="14" t="s">
        <v>42</v>
      </c>
      <c r="B29" s="14"/>
      <c r="C29" s="16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</row>
    <row r="30" spans="1:16" ht="14.4" x14ac:dyDescent="0.3">
      <c r="A30" s="14" t="s">
        <v>43</v>
      </c>
      <c r="B30" s="14"/>
      <c r="C30" s="16" t="s">
        <v>44</v>
      </c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</row>
    <row r="31" spans="1:16" ht="14.4" x14ac:dyDescent="0.3">
      <c r="A31" s="14" t="s">
        <v>45</v>
      </c>
      <c r="B31" s="14"/>
      <c r="C31" s="16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</row>
    <row r="32" spans="1:16" ht="14.4" x14ac:dyDescent="0.3">
      <c r="A32" s="14" t="s">
        <v>46</v>
      </c>
      <c r="B32" s="14"/>
      <c r="C32" s="16" t="s">
        <v>19</v>
      </c>
      <c r="D32" s="20">
        <v>0</v>
      </c>
      <c r="E32" s="20">
        <v>0</v>
      </c>
      <c r="F32" s="20">
        <v>0</v>
      </c>
      <c r="G32" s="20">
        <v>0</v>
      </c>
      <c r="H32" s="20">
        <v>0</v>
      </c>
      <c r="I32" s="20">
        <v>0</v>
      </c>
      <c r="J32" s="20">
        <v>0</v>
      </c>
      <c r="K32" s="20">
        <v>0</v>
      </c>
      <c r="L32" s="20">
        <v>0</v>
      </c>
      <c r="M32" s="20">
        <v>0</v>
      </c>
      <c r="N32" s="20">
        <v>0</v>
      </c>
      <c r="O32" s="20">
        <v>0</v>
      </c>
      <c r="P32" s="20">
        <v>0</v>
      </c>
    </row>
    <row r="33" spans="1:16" ht="14.4" x14ac:dyDescent="0.3">
      <c r="A33" s="14" t="s">
        <v>47</v>
      </c>
      <c r="B33" s="14"/>
      <c r="C33" s="16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</row>
    <row r="34" spans="1:16" ht="14.4" x14ac:dyDescent="0.3">
      <c r="A34" s="18" t="s">
        <v>48</v>
      </c>
      <c r="B34" s="18"/>
      <c r="C34" s="16" t="s">
        <v>19</v>
      </c>
      <c r="D34" s="20">
        <v>0.15609999999999999</v>
      </c>
      <c r="E34" s="20">
        <v>0.15609999999999999</v>
      </c>
      <c r="F34" s="20">
        <v>0.15609999999999999</v>
      </c>
      <c r="G34" s="20">
        <v>0.15609999999999999</v>
      </c>
      <c r="H34" s="20">
        <v>0.15609999999999999</v>
      </c>
      <c r="I34" s="20">
        <v>0.15609999999999999</v>
      </c>
      <c r="J34" s="20">
        <v>0.15609999999999999</v>
      </c>
      <c r="K34" s="20">
        <v>0.15609999999999999</v>
      </c>
      <c r="L34" s="20">
        <v>0.15609999999999999</v>
      </c>
      <c r="M34" s="20">
        <v>0.15609999999999999</v>
      </c>
      <c r="N34" s="20">
        <v>0.15609999999999999</v>
      </c>
      <c r="O34" s="20">
        <v>0.15609999999999999</v>
      </c>
      <c r="P34" s="20">
        <v>0.15609999999999999</v>
      </c>
    </row>
    <row r="35" spans="1:16" ht="14.4" x14ac:dyDescent="0.3">
      <c r="A35" s="18" t="s">
        <v>49</v>
      </c>
      <c r="B35" s="18"/>
      <c r="C35" s="16" t="s">
        <v>19</v>
      </c>
      <c r="D35" s="20">
        <v>2.5000000000000001E-3</v>
      </c>
      <c r="E35" s="20">
        <v>2.5000000000000001E-3</v>
      </c>
      <c r="F35" s="20">
        <v>2.5000000000000001E-3</v>
      </c>
      <c r="G35" s="20">
        <v>2.5000000000000001E-3</v>
      </c>
      <c r="H35" s="20">
        <v>2.5000000000000001E-3</v>
      </c>
      <c r="I35" s="20">
        <v>2.5000000000000001E-3</v>
      </c>
      <c r="J35" s="20">
        <v>2.5000000000000001E-3</v>
      </c>
      <c r="K35" s="20">
        <v>2.5000000000000001E-3</v>
      </c>
      <c r="L35" s="20">
        <v>2.5000000000000001E-3</v>
      </c>
      <c r="M35" s="20">
        <v>2.5000000000000001E-3</v>
      </c>
      <c r="N35" s="20">
        <v>2.5000000000000001E-3</v>
      </c>
      <c r="O35" s="20">
        <v>2.5000000000000001E-3</v>
      </c>
      <c r="P35" s="20">
        <v>2.5000000000000001E-3</v>
      </c>
    </row>
    <row r="36" spans="1:16" ht="14.4" x14ac:dyDescent="0.3">
      <c r="A36" s="18" t="s">
        <v>111</v>
      </c>
      <c r="B36" s="18"/>
      <c r="C36" s="16" t="s">
        <v>19</v>
      </c>
      <c r="D36" s="20">
        <v>0.1938</v>
      </c>
      <c r="E36" s="20">
        <v>0.1938</v>
      </c>
      <c r="F36" s="20">
        <v>0.1938</v>
      </c>
      <c r="G36" s="20">
        <v>0.1938</v>
      </c>
      <c r="H36" s="20">
        <v>0.1938</v>
      </c>
      <c r="I36" s="20">
        <v>0.1938</v>
      </c>
      <c r="J36" s="20">
        <v>0.1938</v>
      </c>
      <c r="K36" s="20">
        <v>0.1938</v>
      </c>
      <c r="L36" s="20">
        <v>0.1938</v>
      </c>
      <c r="M36" s="20">
        <v>0.1938</v>
      </c>
      <c r="N36" s="20">
        <v>0.1938</v>
      </c>
      <c r="O36" s="20">
        <v>0.1938</v>
      </c>
      <c r="P36" s="20">
        <v>0.1938</v>
      </c>
    </row>
    <row r="37" spans="1:16" ht="14.4" x14ac:dyDescent="0.3">
      <c r="A37" s="18" t="s">
        <v>112</v>
      </c>
      <c r="B37" s="18"/>
      <c r="C37" s="16" t="s">
        <v>19</v>
      </c>
      <c r="D37" s="20">
        <v>2.6499999999999999E-2</v>
      </c>
      <c r="E37" s="20">
        <v>2.6499999999999999E-2</v>
      </c>
      <c r="F37" s="20">
        <v>2.6499999999999999E-2</v>
      </c>
      <c r="G37" s="20">
        <v>2.6499999999999999E-2</v>
      </c>
      <c r="H37" s="20">
        <v>2.6499999999999999E-2</v>
      </c>
      <c r="I37" s="20">
        <v>2.6499999999999999E-2</v>
      </c>
      <c r="J37" s="20">
        <v>2.6499999999999999E-2</v>
      </c>
      <c r="K37" s="20">
        <v>2.6499999999999999E-2</v>
      </c>
      <c r="L37" s="20">
        <v>2.6499999999999999E-2</v>
      </c>
      <c r="M37" s="20">
        <v>2.6499999999999999E-2</v>
      </c>
      <c r="N37" s="20">
        <v>2.6499999999999999E-2</v>
      </c>
      <c r="O37" s="20">
        <v>2.6499999999999999E-2</v>
      </c>
      <c r="P37" s="20">
        <v>2.6499999999999999E-2</v>
      </c>
    </row>
    <row r="38" spans="1:16" ht="14.4" x14ac:dyDescent="0.3">
      <c r="A38" s="14" t="s">
        <v>51</v>
      </c>
      <c r="B38" s="14"/>
      <c r="C38" s="16" t="s">
        <v>19</v>
      </c>
      <c r="D38" s="20">
        <v>0.183</v>
      </c>
      <c r="E38" s="20">
        <v>0.183</v>
      </c>
      <c r="F38" s="20">
        <v>0.183</v>
      </c>
      <c r="G38" s="20">
        <v>0.183</v>
      </c>
      <c r="H38" s="20">
        <v>0.183</v>
      </c>
      <c r="I38" s="20">
        <v>0.25629999999999997</v>
      </c>
      <c r="J38" s="20">
        <v>0.25629999999999997</v>
      </c>
      <c r="K38" s="20">
        <v>0.25629999999999997</v>
      </c>
      <c r="L38" s="20">
        <v>0.25629999999999997</v>
      </c>
      <c r="M38" s="20">
        <v>0.25629999999999997</v>
      </c>
      <c r="N38" s="20">
        <v>0.25629999999999997</v>
      </c>
      <c r="O38" s="20">
        <v>0.25629999999999997</v>
      </c>
      <c r="P38" s="20">
        <v>0.25629999999999997</v>
      </c>
    </row>
    <row r="39" spans="1:16" ht="14.4" x14ac:dyDescent="0.3">
      <c r="A39" s="14" t="s">
        <v>52</v>
      </c>
      <c r="B39" s="14"/>
      <c r="C39" s="29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</row>
    <row r="40" spans="1:16" ht="14.4" x14ac:dyDescent="0.3">
      <c r="A40" s="18" t="s">
        <v>53</v>
      </c>
      <c r="B40" s="18"/>
      <c r="C40" s="16" t="s">
        <v>44</v>
      </c>
      <c r="D40" s="30">
        <f>'[46]DU VAT'!D16</f>
        <v>0.1082</v>
      </c>
      <c r="E40" s="30">
        <f>'[46]DU VAT'!E16</f>
        <v>0.1134</v>
      </c>
      <c r="F40" s="30">
        <f>'[46]DU VAT'!F16</f>
        <v>0.111</v>
      </c>
      <c r="G40" s="30">
        <f>'[46]DU VAT'!G16</f>
        <v>0.11070000000000001</v>
      </c>
      <c r="H40" s="30">
        <f>'[46]DU VAT'!H16</f>
        <v>0.10920000000000001</v>
      </c>
      <c r="I40" s="30">
        <f>'[46]DU VAT'!I16</f>
        <v>0.1129</v>
      </c>
      <c r="J40" s="30">
        <f>'[46]DU VAT'!J16</f>
        <v>0.1123</v>
      </c>
      <c r="K40" s="30">
        <f>'[46]DU VAT'!K16</f>
        <v>0.1137</v>
      </c>
      <c r="L40" s="30">
        <f>'[46]DU VAT'!L16</f>
        <v>0.1116</v>
      </c>
      <c r="M40" s="30">
        <f>'[46]DU VAT'!M16</f>
        <v>0.10979999999999999</v>
      </c>
      <c r="N40" s="30">
        <f>'[46]DU VAT'!N16</f>
        <v>0.1111</v>
      </c>
      <c r="O40" s="30">
        <f>'[46]DU VAT'!O16</f>
        <v>0.1119</v>
      </c>
      <c r="P40" s="30" t="e">
        <f>'[46]DU VAT'!P16</f>
        <v>#DIV/0!</v>
      </c>
    </row>
    <row r="41" spans="1:16" ht="14.4" x14ac:dyDescent="0.3">
      <c r="A41" s="18" t="s">
        <v>54</v>
      </c>
      <c r="B41" s="18"/>
      <c r="C41" s="16" t="s">
        <v>44</v>
      </c>
      <c r="D41" s="30">
        <f>'[46]DU VAT'!D20</f>
        <v>2.24E-2</v>
      </c>
      <c r="E41" s="30">
        <f>'[46]DU VAT'!E20</f>
        <v>8.6099999999999996E-2</v>
      </c>
      <c r="F41" s="30">
        <f>'[46]DU VAT'!F20</f>
        <v>0.1036</v>
      </c>
      <c r="G41" s="30">
        <f>'[46]DU VAT'!G20</f>
        <v>0.10589999999999999</v>
      </c>
      <c r="H41" s="30">
        <f>'[46]DU VAT'!H20</f>
        <v>0.10730000000000001</v>
      </c>
      <c r="I41" s="30">
        <f>'[46]DU VAT'!I20</f>
        <v>0.1052</v>
      </c>
      <c r="J41" s="30">
        <f>'[46]DU VAT'!J20</f>
        <v>0.1056</v>
      </c>
      <c r="K41" s="30">
        <f>'[46]DU VAT'!K20</f>
        <v>0.106</v>
      </c>
      <c r="L41" s="30">
        <f>'[46]DU VAT'!L20</f>
        <v>0.10340000000000001</v>
      </c>
      <c r="M41" s="30">
        <f>'[46]DU VAT'!M20</f>
        <v>0.1046</v>
      </c>
      <c r="N41" s="30">
        <f>'[46]DU VAT'!N20</f>
        <v>0.1004</v>
      </c>
      <c r="O41" s="30">
        <f>'[46]DU VAT'!O20</f>
        <v>9.8500000000000004E-2</v>
      </c>
      <c r="P41" s="30" t="e">
        <f>'[46]DU VAT'!P20</f>
        <v>#DIV/0!</v>
      </c>
    </row>
    <row r="42" spans="1:16" ht="14.4" x14ac:dyDescent="0.3">
      <c r="A42" s="18" t="s">
        <v>55</v>
      </c>
      <c r="B42" s="18"/>
      <c r="C42" s="16" t="s">
        <v>44</v>
      </c>
      <c r="D42" s="30">
        <f>'[46]DU VAT'!D26</f>
        <v>9.3100000000000002E-2</v>
      </c>
      <c r="E42" s="30">
        <f>'[46]DU VAT'!E26</f>
        <v>0.10929999999999999</v>
      </c>
      <c r="F42" s="30">
        <f>'[46]DU VAT'!F26</f>
        <v>0.11</v>
      </c>
      <c r="G42" s="30">
        <f>'[46]DU VAT'!G26</f>
        <v>0.11</v>
      </c>
      <c r="H42" s="30">
        <f>'[46]DU VAT'!H26</f>
        <v>0.1089</v>
      </c>
      <c r="I42" s="30">
        <f>'[46]DU VAT'!I26</f>
        <v>0.1119</v>
      </c>
      <c r="J42" s="30">
        <f>'[46]DU VAT'!J26</f>
        <v>0.1115</v>
      </c>
      <c r="K42" s="30">
        <f>'[46]DU VAT'!K26</f>
        <v>0.1129</v>
      </c>
      <c r="L42" s="30">
        <f>'[46]DU VAT'!L26</f>
        <v>0.11070000000000001</v>
      </c>
      <c r="M42" s="30">
        <f>'[46]DU VAT'!M26</f>
        <v>0.10920000000000001</v>
      </c>
      <c r="N42" s="30">
        <f>'[46]DU VAT'!N26</f>
        <v>0.1099</v>
      </c>
      <c r="O42" s="30">
        <f>'[46]DU VAT'!O26</f>
        <v>0.1103</v>
      </c>
      <c r="P42" s="30" t="e">
        <f>'[46]DU VAT'!P26</f>
        <v>#DIV/0!</v>
      </c>
    </row>
    <row r="43" spans="1:16" ht="14.4" x14ac:dyDescent="0.3">
      <c r="A43" s="18" t="s">
        <v>56</v>
      </c>
      <c r="B43" s="18"/>
      <c r="C43" s="16" t="s">
        <v>44</v>
      </c>
      <c r="D43" s="30">
        <v>0.12</v>
      </c>
      <c r="E43" s="30">
        <v>0.12</v>
      </c>
      <c r="F43" s="30">
        <v>0.12</v>
      </c>
      <c r="G43" s="30">
        <v>0.12</v>
      </c>
      <c r="H43" s="30">
        <v>0.12</v>
      </c>
      <c r="I43" s="30">
        <v>0.12</v>
      </c>
      <c r="J43" s="30">
        <v>0.12</v>
      </c>
      <c r="K43" s="30">
        <v>0.12</v>
      </c>
      <c r="L43" s="30">
        <v>0.12</v>
      </c>
      <c r="M43" s="30">
        <v>0.12</v>
      </c>
      <c r="N43" s="30">
        <v>0.12</v>
      </c>
      <c r="O43" s="30">
        <v>0.12</v>
      </c>
      <c r="P43" s="30">
        <v>0.12</v>
      </c>
    </row>
    <row r="44" spans="1:16" ht="14.4" x14ac:dyDescent="0.3">
      <c r="A44" s="18" t="s">
        <v>57</v>
      </c>
      <c r="B44" s="18"/>
      <c r="C44" s="16" t="s">
        <v>44</v>
      </c>
      <c r="D44" s="30">
        <v>0.12</v>
      </c>
      <c r="E44" s="30">
        <v>0.12</v>
      </c>
      <c r="F44" s="30">
        <v>0.12</v>
      </c>
      <c r="G44" s="30">
        <v>0.12</v>
      </c>
      <c r="H44" s="30">
        <v>0.12</v>
      </c>
      <c r="I44" s="30">
        <v>0.12</v>
      </c>
      <c r="J44" s="30">
        <v>0.12</v>
      </c>
      <c r="K44" s="30">
        <v>0.12</v>
      </c>
      <c r="L44" s="30">
        <v>0.12</v>
      </c>
      <c r="M44" s="30">
        <v>0.12</v>
      </c>
      <c r="N44" s="30">
        <v>0.12</v>
      </c>
      <c r="O44" s="30">
        <v>0.12</v>
      </c>
      <c r="P44" s="30">
        <v>0.12</v>
      </c>
    </row>
    <row r="45" spans="1:16" s="5" customFormat="1" x14ac:dyDescent="0.3">
      <c r="A45" s="31"/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</row>
    <row r="46" spans="1:16" x14ac:dyDescent="0.3">
      <c r="A46" s="3" t="s">
        <v>58</v>
      </c>
    </row>
    <row r="47" spans="1:16" x14ac:dyDescent="0.3">
      <c r="A47" s="33"/>
    </row>
    <row r="48" spans="1:16" ht="18" x14ac:dyDescent="0.35">
      <c r="A48" s="9" t="str">
        <f>'[46]Statistical data'!A148</f>
        <v xml:space="preserve">   Residential </v>
      </c>
      <c r="B48" s="9"/>
      <c r="C48" s="5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</row>
    <row r="49" spans="1:16" s="13" customFormat="1" ht="14.4" x14ac:dyDescent="0.3">
      <c r="A49" s="11" t="s">
        <v>3</v>
      </c>
      <c r="B49" s="11"/>
      <c r="C49" s="11" t="s">
        <v>4</v>
      </c>
      <c r="D49" s="73">
        <f>D7</f>
        <v>43101</v>
      </c>
      <c r="E49" s="73">
        <f t="shared" ref="E49:P49" si="1">E7</f>
        <v>43132</v>
      </c>
      <c r="F49" s="73">
        <f t="shared" si="1"/>
        <v>43160</v>
      </c>
      <c r="G49" s="73">
        <f t="shared" si="1"/>
        <v>43191</v>
      </c>
      <c r="H49" s="73">
        <f t="shared" si="1"/>
        <v>43221</v>
      </c>
      <c r="I49" s="73">
        <f t="shared" si="1"/>
        <v>43252</v>
      </c>
      <c r="J49" s="73">
        <f t="shared" si="1"/>
        <v>43282</v>
      </c>
      <c r="K49" s="73">
        <f t="shared" si="1"/>
        <v>43313</v>
      </c>
      <c r="L49" s="73">
        <f t="shared" si="1"/>
        <v>43344</v>
      </c>
      <c r="M49" s="73">
        <f t="shared" si="1"/>
        <v>43374</v>
      </c>
      <c r="N49" s="73">
        <f t="shared" si="1"/>
        <v>43405</v>
      </c>
      <c r="O49" s="73">
        <f t="shared" si="1"/>
        <v>43435</v>
      </c>
      <c r="P49" s="73">
        <f t="shared" si="1"/>
        <v>43466</v>
      </c>
    </row>
    <row r="50" spans="1:16" ht="14.4" x14ac:dyDescent="0.3">
      <c r="A50" s="34" t="s">
        <v>17</v>
      </c>
      <c r="B50" s="35"/>
      <c r="C50" s="36"/>
      <c r="D50" s="37"/>
      <c r="E50" s="37"/>
      <c r="F50" s="37"/>
      <c r="G50" s="37"/>
      <c r="H50" s="37"/>
      <c r="I50" s="37"/>
      <c r="J50" s="37"/>
      <c r="K50" s="37"/>
      <c r="L50" s="37"/>
      <c r="M50" s="37"/>
      <c r="N50" s="37"/>
      <c r="O50" s="37"/>
      <c r="P50" s="37"/>
    </row>
    <row r="51" spans="1:16" ht="14.4" x14ac:dyDescent="0.3">
      <c r="A51" s="38" t="s">
        <v>18</v>
      </c>
      <c r="B51" s="39"/>
      <c r="C51" s="36" t="s">
        <v>19</v>
      </c>
      <c r="D51" s="40" t="s">
        <v>59</v>
      </c>
      <c r="E51" s="40" t="s">
        <v>59</v>
      </c>
      <c r="F51" s="40" t="s">
        <v>59</v>
      </c>
      <c r="G51" s="40" t="s">
        <v>59</v>
      </c>
      <c r="H51" s="40" t="s">
        <v>59</v>
      </c>
      <c r="I51" s="40" t="s">
        <v>59</v>
      </c>
      <c r="J51" s="40" t="s">
        <v>59</v>
      </c>
      <c r="K51" s="40" t="s">
        <v>59</v>
      </c>
      <c r="L51" s="40" t="s">
        <v>59</v>
      </c>
      <c r="M51" s="40" t="s">
        <v>59</v>
      </c>
      <c r="N51" s="40" t="s">
        <v>59</v>
      </c>
      <c r="O51" s="40" t="s">
        <v>59</v>
      </c>
      <c r="P51" s="40" t="s">
        <v>59</v>
      </c>
    </row>
    <row r="52" spans="1:16" ht="14.4" x14ac:dyDescent="0.3">
      <c r="A52" s="34" t="s">
        <v>20</v>
      </c>
      <c r="B52" s="35"/>
      <c r="C52" s="36"/>
      <c r="D52" s="41"/>
      <c r="E52" s="41"/>
      <c r="F52" s="41"/>
      <c r="G52" s="41"/>
      <c r="H52" s="41"/>
      <c r="I52" s="41"/>
      <c r="J52" s="41"/>
      <c r="K52" s="41"/>
      <c r="L52" s="41"/>
      <c r="M52" s="41"/>
      <c r="N52" s="41"/>
      <c r="O52" s="41"/>
      <c r="P52" s="41"/>
    </row>
    <row r="53" spans="1:16" ht="14.4" x14ac:dyDescent="0.3">
      <c r="A53" s="38" t="s">
        <v>21</v>
      </c>
      <c r="B53" s="39"/>
      <c r="C53" s="36" t="s">
        <v>19</v>
      </c>
      <c r="D53" s="42">
        <f>[46]TR!D31</f>
        <v>0.85429999999999995</v>
      </c>
      <c r="E53" s="42">
        <f>[46]TR!E31</f>
        <v>0.81710000000000005</v>
      </c>
      <c r="F53" s="42">
        <f>[46]TR!F31</f>
        <v>0.86739999999999995</v>
      </c>
      <c r="G53" s="42">
        <f>[46]TR!G31</f>
        <v>0.87390000000000001</v>
      </c>
      <c r="H53" s="42">
        <f>[46]TR!H31</f>
        <v>0.86429999999999996</v>
      </c>
      <c r="I53" s="42">
        <f>[46]TR!I31</f>
        <v>0.7782</v>
      </c>
      <c r="J53" s="42">
        <f>[46]TR!J31</f>
        <v>0.77859999999999996</v>
      </c>
      <c r="K53" s="42">
        <f>[46]TR!K31</f>
        <v>0.69830000000000003</v>
      </c>
      <c r="L53" s="42">
        <f>[46]TR!L31</f>
        <v>0.66910000000000003</v>
      </c>
      <c r="M53" s="42">
        <f>[46]TR!M31</f>
        <v>0.68020000000000003</v>
      </c>
      <c r="N53" s="42">
        <f>[46]TR!N31</f>
        <v>0.68230000000000002</v>
      </c>
      <c r="O53" s="42">
        <f>[46]TR!O31</f>
        <v>0.69920000000000004</v>
      </c>
      <c r="P53" s="42">
        <f>[46]TR!P31</f>
        <v>0</v>
      </c>
    </row>
    <row r="54" spans="1:16" ht="14.4" x14ac:dyDescent="0.3">
      <c r="A54" s="38" t="s">
        <v>22</v>
      </c>
      <c r="B54" s="39"/>
      <c r="C54" s="36" t="s">
        <v>23</v>
      </c>
      <c r="D54" s="43">
        <v>0</v>
      </c>
      <c r="E54" s="43">
        <v>0</v>
      </c>
      <c r="F54" s="43">
        <v>0</v>
      </c>
      <c r="G54" s="43">
        <v>0</v>
      </c>
      <c r="H54" s="43">
        <v>0</v>
      </c>
      <c r="I54" s="43">
        <v>0</v>
      </c>
      <c r="J54" s="43">
        <v>0</v>
      </c>
      <c r="K54" s="43">
        <v>0</v>
      </c>
      <c r="L54" s="43">
        <v>0</v>
      </c>
      <c r="M54" s="43">
        <v>0</v>
      </c>
      <c r="N54" s="43">
        <v>0</v>
      </c>
      <c r="O54" s="43">
        <v>0</v>
      </c>
      <c r="P54" s="43">
        <v>0</v>
      </c>
    </row>
    <row r="55" spans="1:16" ht="14.4" x14ac:dyDescent="0.3">
      <c r="A55" s="34" t="s">
        <v>24</v>
      </c>
      <c r="B55" s="35"/>
      <c r="C55" s="36"/>
      <c r="D55" s="41"/>
      <c r="E55" s="41"/>
      <c r="F55" s="41"/>
      <c r="G55" s="41"/>
      <c r="H55" s="41"/>
      <c r="I55" s="41"/>
      <c r="J55" s="41"/>
      <c r="K55" s="41"/>
      <c r="L55" s="41"/>
      <c r="M55" s="41"/>
      <c r="N55" s="41"/>
      <c r="O55" s="41"/>
      <c r="P55" s="41"/>
    </row>
    <row r="56" spans="1:16" ht="14.4" x14ac:dyDescent="0.3">
      <c r="A56" s="38" t="s">
        <v>25</v>
      </c>
      <c r="B56" s="39"/>
      <c r="C56" s="36" t="s">
        <v>19</v>
      </c>
      <c r="D56" s="42">
        <f>[46]SLR!D64</f>
        <v>0.39779999999999999</v>
      </c>
      <c r="E56" s="42">
        <f>[46]SLR!E64</f>
        <v>0.44869999999999999</v>
      </c>
      <c r="F56" s="42">
        <f>[46]SLR!F64</f>
        <v>0.51160000000000005</v>
      </c>
      <c r="G56" s="42">
        <f>[46]SLR!G64</f>
        <v>0.51719999999999999</v>
      </c>
      <c r="H56" s="42">
        <f>[46]SLR!H64</f>
        <v>0.4844</v>
      </c>
      <c r="I56" s="42">
        <f>[46]SLR!I64</f>
        <v>0.46600000000000003</v>
      </c>
      <c r="J56" s="42">
        <f>[46]SLR!J64</f>
        <v>0.46960000000000002</v>
      </c>
      <c r="K56" s="42">
        <f>[46]SLR!K64</f>
        <v>0.46300000000000002</v>
      </c>
      <c r="L56" s="42">
        <f>[46]SLR!L64</f>
        <v>0.45179999999999998</v>
      </c>
      <c r="M56" s="42">
        <f>[46]SLR!M64</f>
        <v>0.44700000000000001</v>
      </c>
      <c r="N56" s="42">
        <f>[46]SLR!N64</f>
        <v>0.46250000000000002</v>
      </c>
      <c r="O56" s="42">
        <f>[46]SLR!O64</f>
        <v>0.4647</v>
      </c>
      <c r="P56" s="42">
        <f>[46]SLR!P64</f>
        <v>0</v>
      </c>
    </row>
    <row r="57" spans="1:16" ht="14.4" x14ac:dyDescent="0.3">
      <c r="A57" s="34" t="s">
        <v>26</v>
      </c>
      <c r="B57" s="34"/>
      <c r="C57" s="36"/>
      <c r="D57" s="44"/>
      <c r="E57" s="44"/>
      <c r="F57" s="44"/>
      <c r="G57" s="44"/>
      <c r="H57" s="44"/>
      <c r="I57" s="44"/>
      <c r="J57" s="44"/>
      <c r="K57" s="44"/>
      <c r="L57" s="44"/>
      <c r="M57" s="44"/>
      <c r="N57" s="44"/>
      <c r="O57" s="44"/>
      <c r="P57" s="44"/>
    </row>
    <row r="58" spans="1:16" ht="14.4" x14ac:dyDescent="0.3">
      <c r="A58" s="38" t="s">
        <v>27</v>
      </c>
      <c r="B58" s="38"/>
      <c r="C58" s="36" t="s">
        <v>19</v>
      </c>
      <c r="D58" s="40" t="s">
        <v>60</v>
      </c>
      <c r="E58" s="40" t="s">
        <v>60</v>
      </c>
      <c r="F58" s="40" t="s">
        <v>60</v>
      </c>
      <c r="G58" s="40" t="s">
        <v>60</v>
      </c>
      <c r="H58" s="40" t="s">
        <v>60</v>
      </c>
      <c r="I58" s="40" t="s">
        <v>60</v>
      </c>
      <c r="J58" s="40" t="s">
        <v>60</v>
      </c>
      <c r="K58" s="40" t="s">
        <v>60</v>
      </c>
      <c r="L58" s="40" t="s">
        <v>60</v>
      </c>
      <c r="M58" s="40" t="s">
        <v>60</v>
      </c>
      <c r="N58" s="40" t="s">
        <v>60</v>
      </c>
      <c r="O58" s="40" t="s">
        <v>60</v>
      </c>
      <c r="P58" s="40" t="s">
        <v>60</v>
      </c>
    </row>
    <row r="59" spans="1:16" ht="14.4" x14ac:dyDescent="0.3">
      <c r="A59" s="38" t="s">
        <v>28</v>
      </c>
      <c r="B59" s="38"/>
      <c r="C59" s="36" t="s">
        <v>23</v>
      </c>
      <c r="D59" s="43">
        <v>0</v>
      </c>
      <c r="E59" s="43">
        <v>0</v>
      </c>
      <c r="F59" s="43">
        <v>0</v>
      </c>
      <c r="G59" s="43">
        <v>0</v>
      </c>
      <c r="H59" s="43">
        <v>0</v>
      </c>
      <c r="I59" s="43">
        <v>0</v>
      </c>
      <c r="J59" s="43">
        <v>0</v>
      </c>
      <c r="K59" s="43">
        <v>0</v>
      </c>
      <c r="L59" s="43">
        <v>0</v>
      </c>
      <c r="M59" s="43">
        <v>0</v>
      </c>
      <c r="N59" s="43">
        <v>0</v>
      </c>
      <c r="O59" s="43">
        <v>0</v>
      </c>
      <c r="P59" s="43">
        <v>0</v>
      </c>
    </row>
    <row r="60" spans="1:16" ht="14.4" x14ac:dyDescent="0.3">
      <c r="A60" s="34" t="s">
        <v>29</v>
      </c>
      <c r="B60" s="34"/>
      <c r="C60" s="36"/>
      <c r="D60" s="45"/>
      <c r="E60" s="45"/>
      <c r="F60" s="45"/>
      <c r="G60" s="45"/>
      <c r="H60" s="45"/>
      <c r="I60" s="45"/>
      <c r="J60" s="45"/>
      <c r="K60" s="45"/>
      <c r="L60" s="45"/>
      <c r="M60" s="45"/>
      <c r="N60" s="45"/>
      <c r="O60" s="45"/>
      <c r="P60" s="45"/>
    </row>
    <row r="61" spans="1:16" ht="14.4" x14ac:dyDescent="0.3">
      <c r="A61" s="38" t="s">
        <v>30</v>
      </c>
      <c r="B61" s="38"/>
      <c r="C61" s="36" t="s">
        <v>19</v>
      </c>
      <c r="D61" s="40" t="s">
        <v>61</v>
      </c>
      <c r="E61" s="40" t="s">
        <v>61</v>
      </c>
      <c r="F61" s="40" t="s">
        <v>61</v>
      </c>
      <c r="G61" s="40" t="s">
        <v>61</v>
      </c>
      <c r="H61" s="40" t="s">
        <v>61</v>
      </c>
      <c r="I61" s="40" t="s">
        <v>61</v>
      </c>
      <c r="J61" s="40" t="s">
        <v>61</v>
      </c>
      <c r="K61" s="40" t="s">
        <v>61</v>
      </c>
      <c r="L61" s="40" t="s">
        <v>61</v>
      </c>
      <c r="M61" s="40" t="s">
        <v>61</v>
      </c>
      <c r="N61" s="40" t="s">
        <v>61</v>
      </c>
      <c r="O61" s="40" t="s">
        <v>61</v>
      </c>
      <c r="P61" s="40" t="s">
        <v>61</v>
      </c>
    </row>
    <row r="62" spans="1:16" ht="14.4" x14ac:dyDescent="0.3">
      <c r="A62" s="38" t="s">
        <v>31</v>
      </c>
      <c r="B62" s="38"/>
      <c r="C62" s="36" t="s">
        <v>32</v>
      </c>
      <c r="D62" s="40" t="s">
        <v>62</v>
      </c>
      <c r="E62" s="40" t="s">
        <v>62</v>
      </c>
      <c r="F62" s="40" t="s">
        <v>62</v>
      </c>
      <c r="G62" s="40" t="s">
        <v>62</v>
      </c>
      <c r="H62" s="40" t="s">
        <v>62</v>
      </c>
      <c r="I62" s="40" t="s">
        <v>62</v>
      </c>
      <c r="J62" s="40" t="s">
        <v>62</v>
      </c>
      <c r="K62" s="40" t="s">
        <v>62</v>
      </c>
      <c r="L62" s="40" t="s">
        <v>62</v>
      </c>
      <c r="M62" s="40" t="s">
        <v>62</v>
      </c>
      <c r="N62" s="40" t="s">
        <v>62</v>
      </c>
      <c r="O62" s="40" t="s">
        <v>62</v>
      </c>
      <c r="P62" s="40" t="s">
        <v>62</v>
      </c>
    </row>
    <row r="63" spans="1:16" ht="14.4" x14ac:dyDescent="0.3">
      <c r="A63" s="34" t="s">
        <v>33</v>
      </c>
      <c r="B63" s="34"/>
      <c r="C63" s="36"/>
      <c r="D63" s="45"/>
      <c r="E63" s="45"/>
      <c r="F63" s="45"/>
      <c r="G63" s="45"/>
      <c r="H63" s="45"/>
      <c r="I63" s="45"/>
      <c r="J63" s="45"/>
      <c r="K63" s="45"/>
      <c r="L63" s="45"/>
      <c r="M63" s="45"/>
      <c r="N63" s="45"/>
      <c r="O63" s="45"/>
      <c r="P63" s="45"/>
    </row>
    <row r="64" spans="1:16" ht="14.4" x14ac:dyDescent="0.3">
      <c r="A64" s="38" t="s">
        <v>34</v>
      </c>
      <c r="B64" s="38"/>
      <c r="C64" s="36" t="s">
        <v>19</v>
      </c>
      <c r="D64" s="42">
        <v>0.3377</v>
      </c>
      <c r="E64" s="42">
        <v>0.3377</v>
      </c>
      <c r="F64" s="42">
        <v>0.3377</v>
      </c>
      <c r="G64" s="42">
        <v>0.3377</v>
      </c>
      <c r="H64" s="42">
        <v>0.3377</v>
      </c>
      <c r="I64" s="42">
        <v>0.3377</v>
      </c>
      <c r="J64" s="42">
        <v>0.3377</v>
      </c>
      <c r="K64" s="42">
        <v>0.3377</v>
      </c>
      <c r="L64" s="42">
        <v>0.3377</v>
      </c>
      <c r="M64" s="42">
        <v>0.3377</v>
      </c>
      <c r="N64" s="42">
        <v>0.3377</v>
      </c>
      <c r="O64" s="42">
        <v>0.3377</v>
      </c>
      <c r="P64" s="42">
        <v>0.3377</v>
      </c>
    </row>
    <row r="65" spans="1:16" ht="14.4" x14ac:dyDescent="0.3">
      <c r="A65" s="38" t="s">
        <v>35</v>
      </c>
      <c r="B65" s="38"/>
      <c r="C65" s="36" t="s">
        <v>36</v>
      </c>
      <c r="D65" s="40" t="s">
        <v>63</v>
      </c>
      <c r="E65" s="40" t="s">
        <v>63</v>
      </c>
      <c r="F65" s="40" t="s">
        <v>63</v>
      </c>
      <c r="G65" s="40" t="s">
        <v>63</v>
      </c>
      <c r="H65" s="40" t="s">
        <v>63</v>
      </c>
      <c r="I65" s="40" t="s">
        <v>63</v>
      </c>
      <c r="J65" s="40" t="s">
        <v>63</v>
      </c>
      <c r="K65" s="40" t="s">
        <v>63</v>
      </c>
      <c r="L65" s="40" t="s">
        <v>63</v>
      </c>
      <c r="M65" s="40" t="s">
        <v>63</v>
      </c>
      <c r="N65" s="40" t="s">
        <v>63</v>
      </c>
      <c r="O65" s="40" t="s">
        <v>63</v>
      </c>
      <c r="P65" s="40" t="s">
        <v>63</v>
      </c>
    </row>
    <row r="66" spans="1:16" ht="14.4" x14ac:dyDescent="0.3">
      <c r="A66" s="34" t="s">
        <v>37</v>
      </c>
      <c r="B66" s="34"/>
      <c r="C66" s="36"/>
      <c r="D66" s="45"/>
      <c r="E66" s="45"/>
      <c r="F66" s="45"/>
      <c r="G66" s="45"/>
      <c r="H66" s="45"/>
      <c r="I66" s="45"/>
      <c r="J66" s="45"/>
      <c r="K66" s="45"/>
      <c r="L66" s="45"/>
      <c r="M66" s="45"/>
      <c r="N66" s="45"/>
      <c r="O66" s="45"/>
      <c r="P66" s="45"/>
    </row>
    <row r="67" spans="1:16" ht="14.4" x14ac:dyDescent="0.3">
      <c r="A67" s="46" t="s">
        <v>38</v>
      </c>
      <c r="B67" s="38"/>
      <c r="C67" s="36" t="s">
        <v>19</v>
      </c>
      <c r="D67" s="42">
        <f>[46]LD!D28</f>
        <v>9.1399999999999995E-2</v>
      </c>
      <c r="E67" s="42">
        <f>[46]LD!E28</f>
        <v>9.5899999999999999E-2</v>
      </c>
      <c r="F67" s="42">
        <f>[46]LD!F28</f>
        <v>9.98E-2</v>
      </c>
      <c r="G67" s="42">
        <f>[46]LD!G28</f>
        <v>0.1115</v>
      </c>
      <c r="H67" s="42">
        <f>[46]LD!H28</f>
        <v>9.4399999999999998E-2</v>
      </c>
      <c r="I67" s="42">
        <f>[46]LD!I28</f>
        <v>7.4099999999999999E-2</v>
      </c>
      <c r="J67" s="42">
        <f>[46]LD!J28</f>
        <v>7.0900000000000005E-2</v>
      </c>
      <c r="K67" s="42">
        <f>[46]LD!K28</f>
        <v>8.9300000000000004E-2</v>
      </c>
      <c r="L67" s="42">
        <f>[46]LD!L28</f>
        <v>8.8800000000000004E-2</v>
      </c>
      <c r="M67" s="42">
        <f>[46]LD!M28</f>
        <v>8.5500000000000007E-2</v>
      </c>
      <c r="N67" s="42">
        <f>[46]LD!N28</f>
        <v>8.4099999999999994E-2</v>
      </c>
      <c r="O67" s="42">
        <f>[46]LD!O28</f>
        <v>8.5300000000000001E-2</v>
      </c>
      <c r="P67" s="42">
        <f>[46]LD!P28</f>
        <v>0</v>
      </c>
    </row>
    <row r="68" spans="1:16" ht="14.4" x14ac:dyDescent="0.3">
      <c r="A68" s="46" t="s">
        <v>39</v>
      </c>
      <c r="B68" s="38"/>
      <c r="C68" s="36" t="s">
        <v>19</v>
      </c>
      <c r="D68" s="40" t="s">
        <v>64</v>
      </c>
      <c r="E68" s="40" t="s">
        <v>64</v>
      </c>
      <c r="F68" s="40" t="s">
        <v>64</v>
      </c>
      <c r="G68" s="40" t="s">
        <v>64</v>
      </c>
      <c r="H68" s="40" t="s">
        <v>64</v>
      </c>
      <c r="I68" s="40" t="s">
        <v>64</v>
      </c>
      <c r="J68" s="40" t="s">
        <v>64</v>
      </c>
      <c r="K68" s="40" t="s">
        <v>64</v>
      </c>
      <c r="L68" s="40" t="s">
        <v>64</v>
      </c>
      <c r="M68" s="40" t="s">
        <v>64</v>
      </c>
      <c r="N68" s="40" t="s">
        <v>64</v>
      </c>
      <c r="O68" s="40" t="s">
        <v>64</v>
      </c>
      <c r="P68" s="40" t="s">
        <v>64</v>
      </c>
    </row>
    <row r="69" spans="1:16" ht="14.4" x14ac:dyDescent="0.3">
      <c r="A69" s="47" t="s">
        <v>40</v>
      </c>
      <c r="B69" s="38"/>
      <c r="C69" s="36" t="s">
        <v>19</v>
      </c>
      <c r="D69" s="42">
        <f>'[46]SR CIT. SUBSIDY'!D107</f>
        <v>7.2836751367259784E-5</v>
      </c>
      <c r="E69" s="42">
        <f>'[46]SR CIT. SUBSIDY'!E107</f>
        <v>6.8004836608513296E-5</v>
      </c>
      <c r="F69" s="42">
        <f>'[46]SR CIT. SUBSIDY'!F107</f>
        <v>7.2021362364614477E-5</v>
      </c>
      <c r="G69" s="42">
        <f>'[46]SR CIT. SUBSIDY'!G107</f>
        <v>8.1837879774750537E-5</v>
      </c>
      <c r="H69" s="42">
        <f>'[46]SR CIT. SUBSIDY'!H107</f>
        <v>7.798204750191218E-5</v>
      </c>
      <c r="I69" s="42">
        <f>'[46]SR CIT. SUBSIDY'!I107</f>
        <v>7.6128332588525541E-5</v>
      </c>
      <c r="J69" s="42">
        <f>'[46]SR CIT. SUBSIDY'!J107</f>
        <v>6.9450356116585135E-5</v>
      </c>
      <c r="K69" s="42">
        <f>'[46]SR CIT. SUBSIDY'!K107</f>
        <v>7.4662532963556342E-5</v>
      </c>
      <c r="L69" s="42">
        <f>'[46]SR CIT. SUBSIDY'!L107</f>
        <v>7.2670454347697154E-5</v>
      </c>
      <c r="M69" s="42">
        <f>'[46]SR CIT. SUBSIDY'!M107</f>
        <v>7.4480298623008149E-5</v>
      </c>
      <c r="N69" s="42">
        <f>'[46]SR CIT. SUBSIDY'!N107</f>
        <v>7.360094464671045E-5</v>
      </c>
      <c r="O69" s="42">
        <f>'[46]SR CIT. SUBSIDY'!O107</f>
        <v>7.9518678198181161E-5</v>
      </c>
      <c r="P69" s="42">
        <f>'[46]SR CIT. SUBSIDY'!P107</f>
        <v>0</v>
      </c>
    </row>
    <row r="70" spans="1:16" ht="14.4" x14ac:dyDescent="0.3">
      <c r="A70" s="47" t="s">
        <v>41</v>
      </c>
      <c r="B70" s="38"/>
      <c r="C70" s="36" t="s">
        <v>19</v>
      </c>
      <c r="D70" s="42">
        <f>D28</f>
        <v>0</v>
      </c>
      <c r="E70" s="42">
        <f t="shared" ref="E70:P70" si="2">E28</f>
        <v>0</v>
      </c>
      <c r="F70" s="42">
        <f t="shared" si="2"/>
        <v>0</v>
      </c>
      <c r="G70" s="42">
        <f t="shared" si="2"/>
        <v>0</v>
      </c>
      <c r="H70" s="42">
        <f t="shared" si="2"/>
        <v>0</v>
      </c>
      <c r="I70" s="42">
        <f t="shared" si="2"/>
        <v>0</v>
      </c>
      <c r="J70" s="42">
        <f t="shared" si="2"/>
        <v>0</v>
      </c>
      <c r="K70" s="42">
        <f t="shared" si="2"/>
        <v>0</v>
      </c>
      <c r="L70" s="42">
        <f t="shared" si="2"/>
        <v>0</v>
      </c>
      <c r="M70" s="42">
        <f t="shared" si="2"/>
        <v>0</v>
      </c>
      <c r="N70" s="42">
        <f t="shared" si="2"/>
        <v>0</v>
      </c>
      <c r="O70" s="42">
        <f t="shared" si="2"/>
        <v>0</v>
      </c>
      <c r="P70" s="42">
        <f t="shared" si="2"/>
        <v>0</v>
      </c>
    </row>
    <row r="71" spans="1:16" ht="14.4" x14ac:dyDescent="0.3">
      <c r="A71" s="34" t="s">
        <v>42</v>
      </c>
      <c r="B71" s="34"/>
      <c r="C71" s="36"/>
      <c r="D71" s="45"/>
      <c r="E71" s="45"/>
      <c r="F71" s="45"/>
      <c r="G71" s="45"/>
      <c r="H71" s="45"/>
      <c r="I71" s="45"/>
      <c r="J71" s="45"/>
      <c r="K71" s="45"/>
      <c r="L71" s="45"/>
      <c r="M71" s="45"/>
      <c r="N71" s="45"/>
      <c r="O71" s="45"/>
      <c r="P71" s="45"/>
    </row>
    <row r="72" spans="1:16" ht="14.4" x14ac:dyDescent="0.3">
      <c r="A72" s="34" t="s">
        <v>43</v>
      </c>
      <c r="B72" s="34"/>
      <c r="C72" s="36" t="s">
        <v>44</v>
      </c>
      <c r="D72" s="48"/>
      <c r="E72" s="48"/>
      <c r="F72" s="48"/>
      <c r="G72" s="48"/>
      <c r="H72" s="48"/>
      <c r="I72" s="48"/>
      <c r="J72" s="48"/>
      <c r="K72" s="48"/>
      <c r="L72" s="48"/>
      <c r="M72" s="48"/>
      <c r="N72" s="48"/>
      <c r="O72" s="48"/>
      <c r="P72" s="48"/>
    </row>
    <row r="73" spans="1:16" ht="14.4" x14ac:dyDescent="0.3">
      <c r="A73" s="34" t="s">
        <v>45</v>
      </c>
      <c r="B73" s="34"/>
      <c r="C73" s="36"/>
      <c r="D73" s="49"/>
      <c r="E73" s="49"/>
      <c r="F73" s="49"/>
      <c r="G73" s="49"/>
      <c r="H73" s="49"/>
      <c r="I73" s="49"/>
      <c r="J73" s="49"/>
      <c r="K73" s="49"/>
      <c r="L73" s="49"/>
      <c r="M73" s="49"/>
      <c r="N73" s="49"/>
      <c r="O73" s="49"/>
      <c r="P73" s="49"/>
    </row>
    <row r="74" spans="1:16" ht="14.4" x14ac:dyDescent="0.3">
      <c r="A74" s="34" t="s">
        <v>46</v>
      </c>
      <c r="B74" s="34"/>
      <c r="C74" s="36" t="s">
        <v>19</v>
      </c>
      <c r="D74" s="40" t="s">
        <v>65</v>
      </c>
      <c r="E74" s="40" t="s">
        <v>65</v>
      </c>
      <c r="F74" s="40" t="s">
        <v>65</v>
      </c>
      <c r="G74" s="40" t="s">
        <v>65</v>
      </c>
      <c r="H74" s="40" t="s">
        <v>65</v>
      </c>
      <c r="I74" s="40" t="s">
        <v>65</v>
      </c>
      <c r="J74" s="40" t="s">
        <v>65</v>
      </c>
      <c r="K74" s="40" t="s">
        <v>65</v>
      </c>
      <c r="L74" s="40" t="s">
        <v>65</v>
      </c>
      <c r="M74" s="40" t="s">
        <v>65</v>
      </c>
      <c r="N74" s="40" t="s">
        <v>65</v>
      </c>
      <c r="O74" s="40" t="s">
        <v>65</v>
      </c>
      <c r="P74" s="40" t="s">
        <v>65</v>
      </c>
    </row>
    <row r="75" spans="1:16" ht="14.4" x14ac:dyDescent="0.3">
      <c r="A75" s="34" t="s">
        <v>47</v>
      </c>
      <c r="B75" s="34"/>
      <c r="C75" s="36"/>
      <c r="D75" s="45"/>
      <c r="E75" s="45"/>
      <c r="F75" s="45"/>
      <c r="G75" s="45"/>
      <c r="H75" s="45"/>
      <c r="I75" s="45"/>
      <c r="J75" s="45"/>
      <c r="K75" s="45"/>
      <c r="L75" s="45"/>
      <c r="M75" s="45"/>
      <c r="N75" s="45"/>
      <c r="O75" s="45"/>
      <c r="P75" s="45"/>
    </row>
    <row r="76" spans="1:16" ht="14.4" x14ac:dyDescent="0.3">
      <c r="A76" s="38" t="s">
        <v>48</v>
      </c>
      <c r="B76" s="38"/>
      <c r="C76" s="36" t="s">
        <v>19</v>
      </c>
      <c r="D76" s="42">
        <f>D34</f>
        <v>0.15609999999999999</v>
      </c>
      <c r="E76" s="42">
        <f t="shared" ref="E76:P80" si="3">E34</f>
        <v>0.15609999999999999</v>
      </c>
      <c r="F76" s="42">
        <f t="shared" si="3"/>
        <v>0.15609999999999999</v>
      </c>
      <c r="G76" s="42">
        <f t="shared" si="3"/>
        <v>0.15609999999999999</v>
      </c>
      <c r="H76" s="42">
        <f t="shared" si="3"/>
        <v>0.15609999999999999</v>
      </c>
      <c r="I76" s="42">
        <f t="shared" si="3"/>
        <v>0.15609999999999999</v>
      </c>
      <c r="J76" s="42">
        <f t="shared" si="3"/>
        <v>0.15609999999999999</v>
      </c>
      <c r="K76" s="42">
        <f t="shared" si="3"/>
        <v>0.15609999999999999</v>
      </c>
      <c r="L76" s="42">
        <f t="shared" si="3"/>
        <v>0.15609999999999999</v>
      </c>
      <c r="M76" s="42">
        <f t="shared" si="3"/>
        <v>0.15609999999999999</v>
      </c>
      <c r="N76" s="42">
        <f t="shared" si="3"/>
        <v>0.15609999999999999</v>
      </c>
      <c r="O76" s="42">
        <f t="shared" si="3"/>
        <v>0.15609999999999999</v>
      </c>
      <c r="P76" s="42">
        <f t="shared" si="3"/>
        <v>0.15609999999999999</v>
      </c>
    </row>
    <row r="77" spans="1:16" ht="14.4" x14ac:dyDescent="0.3">
      <c r="A77" s="38" t="s">
        <v>49</v>
      </c>
      <c r="B77" s="38"/>
      <c r="C77" s="36" t="s">
        <v>19</v>
      </c>
      <c r="D77" s="42">
        <f>D35</f>
        <v>2.5000000000000001E-3</v>
      </c>
      <c r="E77" s="42">
        <f t="shared" si="3"/>
        <v>2.5000000000000001E-3</v>
      </c>
      <c r="F77" s="42">
        <f t="shared" si="3"/>
        <v>2.5000000000000001E-3</v>
      </c>
      <c r="G77" s="42">
        <f t="shared" si="3"/>
        <v>2.5000000000000001E-3</v>
      </c>
      <c r="H77" s="42">
        <f t="shared" si="3"/>
        <v>2.5000000000000001E-3</v>
      </c>
      <c r="I77" s="42">
        <f t="shared" si="3"/>
        <v>2.5000000000000001E-3</v>
      </c>
      <c r="J77" s="42">
        <f t="shared" si="3"/>
        <v>2.5000000000000001E-3</v>
      </c>
      <c r="K77" s="42">
        <f t="shared" si="3"/>
        <v>2.5000000000000001E-3</v>
      </c>
      <c r="L77" s="42">
        <f t="shared" si="3"/>
        <v>2.5000000000000001E-3</v>
      </c>
      <c r="M77" s="42">
        <f t="shared" si="3"/>
        <v>2.5000000000000001E-3</v>
      </c>
      <c r="N77" s="42">
        <f t="shared" si="3"/>
        <v>2.5000000000000001E-3</v>
      </c>
      <c r="O77" s="42">
        <f t="shared" si="3"/>
        <v>2.5000000000000001E-3</v>
      </c>
      <c r="P77" s="42">
        <f t="shared" si="3"/>
        <v>2.5000000000000001E-3</v>
      </c>
    </row>
    <row r="78" spans="1:16" ht="14.4" x14ac:dyDescent="0.3">
      <c r="A78" s="18" t="s">
        <v>111</v>
      </c>
      <c r="B78" s="18"/>
      <c r="C78" s="36" t="s">
        <v>19</v>
      </c>
      <c r="D78" s="42">
        <f>D36</f>
        <v>0.1938</v>
      </c>
      <c r="E78" s="42">
        <f t="shared" si="3"/>
        <v>0.1938</v>
      </c>
      <c r="F78" s="42">
        <f t="shared" si="3"/>
        <v>0.1938</v>
      </c>
      <c r="G78" s="42">
        <f t="shared" si="3"/>
        <v>0.1938</v>
      </c>
      <c r="H78" s="42">
        <f t="shared" si="3"/>
        <v>0.1938</v>
      </c>
      <c r="I78" s="42">
        <f t="shared" si="3"/>
        <v>0.1938</v>
      </c>
      <c r="J78" s="42">
        <f t="shared" si="3"/>
        <v>0.1938</v>
      </c>
      <c r="K78" s="42">
        <f t="shared" si="3"/>
        <v>0.1938</v>
      </c>
      <c r="L78" s="42">
        <f t="shared" si="3"/>
        <v>0.1938</v>
      </c>
      <c r="M78" s="42">
        <f t="shared" si="3"/>
        <v>0.1938</v>
      </c>
      <c r="N78" s="42">
        <f t="shared" si="3"/>
        <v>0.1938</v>
      </c>
      <c r="O78" s="42">
        <f t="shared" si="3"/>
        <v>0.1938</v>
      </c>
      <c r="P78" s="42">
        <f t="shared" si="3"/>
        <v>0.1938</v>
      </c>
    </row>
    <row r="79" spans="1:16" ht="14.4" x14ac:dyDescent="0.3">
      <c r="A79" s="18" t="s">
        <v>112</v>
      </c>
      <c r="B79" s="18"/>
      <c r="C79" s="16" t="s">
        <v>19</v>
      </c>
      <c r="D79" s="42">
        <f>D37</f>
        <v>2.6499999999999999E-2</v>
      </c>
      <c r="E79" s="42">
        <f t="shared" si="3"/>
        <v>2.6499999999999999E-2</v>
      </c>
      <c r="F79" s="42">
        <f t="shared" si="3"/>
        <v>2.6499999999999999E-2</v>
      </c>
      <c r="G79" s="42">
        <f t="shared" si="3"/>
        <v>2.6499999999999999E-2</v>
      </c>
      <c r="H79" s="42">
        <f t="shared" si="3"/>
        <v>2.6499999999999999E-2</v>
      </c>
      <c r="I79" s="42">
        <f t="shared" si="3"/>
        <v>2.6499999999999999E-2</v>
      </c>
      <c r="J79" s="42">
        <f t="shared" si="3"/>
        <v>2.6499999999999999E-2</v>
      </c>
      <c r="K79" s="42">
        <f t="shared" si="3"/>
        <v>2.6499999999999999E-2</v>
      </c>
      <c r="L79" s="42">
        <f t="shared" si="3"/>
        <v>2.6499999999999999E-2</v>
      </c>
      <c r="M79" s="42">
        <f t="shared" si="3"/>
        <v>2.6499999999999999E-2</v>
      </c>
      <c r="N79" s="42">
        <f t="shared" si="3"/>
        <v>2.6499999999999999E-2</v>
      </c>
      <c r="O79" s="42">
        <f t="shared" si="3"/>
        <v>2.6499999999999999E-2</v>
      </c>
      <c r="P79" s="42">
        <f t="shared" si="3"/>
        <v>2.6499999999999999E-2</v>
      </c>
    </row>
    <row r="80" spans="1:16" ht="14.4" x14ac:dyDescent="0.3">
      <c r="A80" s="14" t="s">
        <v>51</v>
      </c>
      <c r="B80" s="14"/>
      <c r="C80" s="16" t="s">
        <v>19</v>
      </c>
      <c r="D80" s="20">
        <f>D38</f>
        <v>0.183</v>
      </c>
      <c r="E80" s="20">
        <f t="shared" si="3"/>
        <v>0.183</v>
      </c>
      <c r="F80" s="20">
        <f t="shared" si="3"/>
        <v>0.183</v>
      </c>
      <c r="G80" s="20">
        <f t="shared" si="3"/>
        <v>0.183</v>
      </c>
      <c r="H80" s="20">
        <f t="shared" si="3"/>
        <v>0.183</v>
      </c>
      <c r="I80" s="20">
        <f t="shared" si="3"/>
        <v>0.25629999999999997</v>
      </c>
      <c r="J80" s="20">
        <f t="shared" si="3"/>
        <v>0.25629999999999997</v>
      </c>
      <c r="K80" s="20">
        <f t="shared" si="3"/>
        <v>0.25629999999999997</v>
      </c>
      <c r="L80" s="20">
        <f t="shared" si="3"/>
        <v>0.25629999999999997</v>
      </c>
      <c r="M80" s="20">
        <f t="shared" si="3"/>
        <v>0.25629999999999997</v>
      </c>
      <c r="N80" s="20">
        <f t="shared" si="3"/>
        <v>0.25629999999999997</v>
      </c>
      <c r="O80" s="20">
        <f t="shared" si="3"/>
        <v>0.25629999999999997</v>
      </c>
      <c r="P80" s="20">
        <f t="shared" si="3"/>
        <v>0.25629999999999997</v>
      </c>
    </row>
    <row r="81" spans="1:16" ht="14.4" x14ac:dyDescent="0.3">
      <c r="A81" s="34" t="s">
        <v>52</v>
      </c>
      <c r="B81" s="34"/>
      <c r="C81" s="50"/>
      <c r="D81" s="44"/>
      <c r="E81" s="44"/>
      <c r="F81" s="44"/>
      <c r="G81" s="44"/>
      <c r="H81" s="44"/>
      <c r="I81" s="44"/>
      <c r="J81" s="44"/>
      <c r="K81" s="44"/>
      <c r="L81" s="44"/>
      <c r="M81" s="44"/>
      <c r="N81" s="44"/>
      <c r="O81" s="44"/>
      <c r="P81" s="44"/>
    </row>
    <row r="82" spans="1:16" ht="14.4" x14ac:dyDescent="0.3">
      <c r="A82" s="38" t="s">
        <v>53</v>
      </c>
      <c r="B82" s="38"/>
      <c r="C82" s="36" t="s">
        <v>44</v>
      </c>
      <c r="D82" s="51">
        <f>'[46]DU VAT'!D16</f>
        <v>0.1082</v>
      </c>
      <c r="E82" s="51">
        <f>'[46]DU VAT'!E16</f>
        <v>0.1134</v>
      </c>
      <c r="F82" s="51">
        <f>'[46]DU VAT'!F16</f>
        <v>0.111</v>
      </c>
      <c r="G82" s="51">
        <f>'[46]DU VAT'!G16</f>
        <v>0.11070000000000001</v>
      </c>
      <c r="H82" s="51">
        <f>'[46]DU VAT'!H16</f>
        <v>0.10920000000000001</v>
      </c>
      <c r="I82" s="51">
        <f>'[46]DU VAT'!I16</f>
        <v>0.1129</v>
      </c>
      <c r="J82" s="51">
        <f>'[46]DU VAT'!J16</f>
        <v>0.1123</v>
      </c>
      <c r="K82" s="51">
        <f>'[46]DU VAT'!K16</f>
        <v>0.1137</v>
      </c>
      <c r="L82" s="51">
        <f>'[46]DU VAT'!L16</f>
        <v>0.1116</v>
      </c>
      <c r="M82" s="51">
        <f>'[46]DU VAT'!M16</f>
        <v>0.10979999999999999</v>
      </c>
      <c r="N82" s="51">
        <f>'[46]DU VAT'!N16</f>
        <v>0.1111</v>
      </c>
      <c r="O82" s="51">
        <f>'[46]DU VAT'!O16</f>
        <v>0.1119</v>
      </c>
      <c r="P82" s="51" t="e">
        <f>'[46]DU VAT'!P16</f>
        <v>#DIV/0!</v>
      </c>
    </row>
    <row r="83" spans="1:16" ht="14.4" x14ac:dyDescent="0.3">
      <c r="A83" s="38" t="s">
        <v>54</v>
      </c>
      <c r="B83" s="38"/>
      <c r="C83" s="36" t="s">
        <v>44</v>
      </c>
      <c r="D83" s="51">
        <f>'[46]DU VAT'!D20</f>
        <v>2.24E-2</v>
      </c>
      <c r="E83" s="51">
        <f>'[46]DU VAT'!E20</f>
        <v>8.6099999999999996E-2</v>
      </c>
      <c r="F83" s="51">
        <f>'[46]DU VAT'!F20</f>
        <v>0.1036</v>
      </c>
      <c r="G83" s="51">
        <f>'[46]DU VAT'!G20</f>
        <v>0.10589999999999999</v>
      </c>
      <c r="H83" s="51">
        <f>'[46]DU VAT'!H20</f>
        <v>0.10730000000000001</v>
      </c>
      <c r="I83" s="51">
        <f>'[46]DU VAT'!I20</f>
        <v>0.1052</v>
      </c>
      <c r="J83" s="51">
        <f>'[46]DU VAT'!J20</f>
        <v>0.1056</v>
      </c>
      <c r="K83" s="51">
        <f>'[46]DU VAT'!K20</f>
        <v>0.106</v>
      </c>
      <c r="L83" s="51">
        <f>'[46]DU VAT'!L20</f>
        <v>0.10340000000000001</v>
      </c>
      <c r="M83" s="51">
        <f>'[46]DU VAT'!M20</f>
        <v>0.1046</v>
      </c>
      <c r="N83" s="51">
        <f>'[46]DU VAT'!N20</f>
        <v>0.1004</v>
      </c>
      <c r="O83" s="51">
        <f>'[46]DU VAT'!O20</f>
        <v>9.8500000000000004E-2</v>
      </c>
      <c r="P83" s="51" t="e">
        <f>'[46]DU VAT'!P20</f>
        <v>#DIV/0!</v>
      </c>
    </row>
    <row r="84" spans="1:16" ht="14.4" x14ac:dyDescent="0.3">
      <c r="A84" s="38" t="s">
        <v>55</v>
      </c>
      <c r="B84" s="38"/>
      <c r="C84" s="36" t="s">
        <v>44</v>
      </c>
      <c r="D84" s="51">
        <f>'[46]DU VAT'!D26</f>
        <v>9.3100000000000002E-2</v>
      </c>
      <c r="E84" s="51">
        <f>'[46]DU VAT'!E26</f>
        <v>0.10929999999999999</v>
      </c>
      <c r="F84" s="51">
        <f>'[46]DU VAT'!F26</f>
        <v>0.11</v>
      </c>
      <c r="G84" s="51">
        <f>'[46]DU VAT'!G26</f>
        <v>0.11</v>
      </c>
      <c r="H84" s="51">
        <f>'[46]DU VAT'!H26</f>
        <v>0.1089</v>
      </c>
      <c r="I84" s="51">
        <f>'[46]DU VAT'!I26</f>
        <v>0.1119</v>
      </c>
      <c r="J84" s="51">
        <f>'[46]DU VAT'!J26</f>
        <v>0.1115</v>
      </c>
      <c r="K84" s="51">
        <f>'[46]DU VAT'!K26</f>
        <v>0.1129</v>
      </c>
      <c r="L84" s="51">
        <f>'[46]DU VAT'!L26</f>
        <v>0.11070000000000001</v>
      </c>
      <c r="M84" s="51">
        <f>'[46]DU VAT'!M26</f>
        <v>0.10920000000000001</v>
      </c>
      <c r="N84" s="51">
        <f>'[46]DU VAT'!N26</f>
        <v>0.1099</v>
      </c>
      <c r="O84" s="51">
        <f>'[46]DU VAT'!O26</f>
        <v>0.1103</v>
      </c>
      <c r="P84" s="51" t="e">
        <f>'[46]DU VAT'!P26</f>
        <v>#DIV/0!</v>
      </c>
    </row>
    <row r="85" spans="1:16" ht="14.4" x14ac:dyDescent="0.3">
      <c r="A85" s="38" t="s">
        <v>56</v>
      </c>
      <c r="B85" s="38"/>
      <c r="C85" s="36" t="s">
        <v>44</v>
      </c>
      <c r="D85" s="51">
        <f>D43</f>
        <v>0.12</v>
      </c>
      <c r="E85" s="51">
        <f t="shared" ref="E85:P86" si="4">E43</f>
        <v>0.12</v>
      </c>
      <c r="F85" s="51">
        <f t="shared" si="4"/>
        <v>0.12</v>
      </c>
      <c r="G85" s="51">
        <f t="shared" si="4"/>
        <v>0.12</v>
      </c>
      <c r="H85" s="51">
        <f t="shared" si="4"/>
        <v>0.12</v>
      </c>
      <c r="I85" s="51">
        <f t="shared" si="4"/>
        <v>0.12</v>
      </c>
      <c r="J85" s="51">
        <f t="shared" si="4"/>
        <v>0.12</v>
      </c>
      <c r="K85" s="51">
        <f t="shared" si="4"/>
        <v>0.12</v>
      </c>
      <c r="L85" s="51">
        <f t="shared" si="4"/>
        <v>0.12</v>
      </c>
      <c r="M85" s="51">
        <f t="shared" si="4"/>
        <v>0.12</v>
      </c>
      <c r="N85" s="51">
        <f t="shared" si="4"/>
        <v>0.12</v>
      </c>
      <c r="O85" s="51">
        <f t="shared" si="4"/>
        <v>0.12</v>
      </c>
      <c r="P85" s="51">
        <f t="shared" si="4"/>
        <v>0.12</v>
      </c>
    </row>
    <row r="86" spans="1:16" ht="14.4" x14ac:dyDescent="0.3">
      <c r="A86" s="38" t="s">
        <v>57</v>
      </c>
      <c r="B86" s="38"/>
      <c r="C86" s="36" t="s">
        <v>44</v>
      </c>
      <c r="D86" s="51">
        <f>D44</f>
        <v>0.12</v>
      </c>
      <c r="E86" s="51">
        <f t="shared" si="4"/>
        <v>0.12</v>
      </c>
      <c r="F86" s="51">
        <f t="shared" si="4"/>
        <v>0.12</v>
      </c>
      <c r="G86" s="51">
        <f t="shared" si="4"/>
        <v>0.12</v>
      </c>
      <c r="H86" s="51">
        <f t="shared" si="4"/>
        <v>0.12</v>
      </c>
      <c r="I86" s="51">
        <f t="shared" si="4"/>
        <v>0.12</v>
      </c>
      <c r="J86" s="51">
        <f t="shared" si="4"/>
        <v>0.12</v>
      </c>
      <c r="K86" s="51">
        <f t="shared" si="4"/>
        <v>0.12</v>
      </c>
      <c r="L86" s="51">
        <f t="shared" si="4"/>
        <v>0.12</v>
      </c>
      <c r="M86" s="51">
        <f t="shared" si="4"/>
        <v>0.12</v>
      </c>
      <c r="N86" s="51">
        <f t="shared" si="4"/>
        <v>0.12</v>
      </c>
      <c r="O86" s="51">
        <f t="shared" si="4"/>
        <v>0.12</v>
      </c>
      <c r="P86" s="51">
        <f t="shared" si="4"/>
        <v>0.12</v>
      </c>
    </row>
    <row r="88" spans="1:16" x14ac:dyDescent="0.3">
      <c r="A88" s="3" t="s">
        <v>58</v>
      </c>
    </row>
    <row r="89" spans="1:16" x14ac:dyDescent="0.3">
      <c r="A89" s="33"/>
    </row>
    <row r="90" spans="1:16" ht="18" x14ac:dyDescent="0.35">
      <c r="A90" s="9" t="str">
        <f>'[46]Statistical data'!A151</f>
        <v xml:space="preserve">  General Service A</v>
      </c>
      <c r="B90" s="9"/>
      <c r="C90" s="5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</row>
    <row r="91" spans="1:16" s="13" customFormat="1" ht="14.4" x14ac:dyDescent="0.3">
      <c r="A91" s="11" t="s">
        <v>3</v>
      </c>
      <c r="B91" s="11"/>
      <c r="C91" s="11" t="s">
        <v>4</v>
      </c>
      <c r="D91" s="73">
        <f>D49</f>
        <v>43101</v>
      </c>
      <c r="E91" s="73">
        <f t="shared" ref="E91:P91" si="5">E49</f>
        <v>43132</v>
      </c>
      <c r="F91" s="73">
        <f t="shared" si="5"/>
        <v>43160</v>
      </c>
      <c r="G91" s="73">
        <f t="shared" si="5"/>
        <v>43191</v>
      </c>
      <c r="H91" s="73">
        <f t="shared" si="5"/>
        <v>43221</v>
      </c>
      <c r="I91" s="73">
        <f t="shared" si="5"/>
        <v>43252</v>
      </c>
      <c r="J91" s="73">
        <f t="shared" si="5"/>
        <v>43282</v>
      </c>
      <c r="K91" s="73">
        <f t="shared" si="5"/>
        <v>43313</v>
      </c>
      <c r="L91" s="73">
        <f t="shared" si="5"/>
        <v>43344</v>
      </c>
      <c r="M91" s="73">
        <f t="shared" si="5"/>
        <v>43374</v>
      </c>
      <c r="N91" s="73">
        <f t="shared" si="5"/>
        <v>43405</v>
      </c>
      <c r="O91" s="73">
        <f t="shared" si="5"/>
        <v>43435</v>
      </c>
      <c r="P91" s="73">
        <f t="shared" si="5"/>
        <v>43466</v>
      </c>
    </row>
    <row r="92" spans="1:16" ht="14.4" x14ac:dyDescent="0.3">
      <c r="A92" s="14" t="s">
        <v>17</v>
      </c>
      <c r="B92" s="15"/>
      <c r="C92" s="16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</row>
    <row r="93" spans="1:16" ht="14.4" x14ac:dyDescent="0.3">
      <c r="A93" s="18" t="s">
        <v>18</v>
      </c>
      <c r="B93" s="19"/>
      <c r="C93" s="16" t="s">
        <v>19</v>
      </c>
      <c r="D93" s="42">
        <f>[46]GR!D23</f>
        <v>4.0768000000000004</v>
      </c>
      <c r="E93" s="42">
        <f>[46]GR!E23</f>
        <v>4.6547999999999998</v>
      </c>
      <c r="F93" s="42">
        <f>[46]GR!F23</f>
        <v>5.2961999999999998</v>
      </c>
      <c r="G93" s="42">
        <f>[46]GR!G23</f>
        <v>5.4734999999999996</v>
      </c>
      <c r="H93" s="42">
        <f>[46]GR!H23</f>
        <v>5.0522999999999998</v>
      </c>
      <c r="I93" s="42">
        <f>[46]GR!I23</f>
        <v>4.9828000000000001</v>
      </c>
      <c r="J93" s="42">
        <f>[46]GR!J23</f>
        <v>5.2651000000000003</v>
      </c>
      <c r="K93" s="42">
        <f>[46]GR!K23</f>
        <v>5.3491</v>
      </c>
      <c r="L93" s="42">
        <f>[46]GR!L23</f>
        <v>5.2718999999999996</v>
      </c>
      <c r="M93" s="42">
        <f>[46]GR!M23</f>
        <v>5.1908000000000003</v>
      </c>
      <c r="N93" s="42">
        <f>[46]GR!N23</f>
        <v>5.2725</v>
      </c>
      <c r="O93" s="42">
        <f>[46]GR!O23</f>
        <v>5.3303000000000003</v>
      </c>
      <c r="P93" s="42" t="e">
        <f>[46]GR!P23</f>
        <v>#DIV/0!</v>
      </c>
    </row>
    <row r="94" spans="1:16" ht="14.4" x14ac:dyDescent="0.3">
      <c r="A94" s="14" t="s">
        <v>20</v>
      </c>
      <c r="B94" s="15"/>
      <c r="C94" s="16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</row>
    <row r="95" spans="1:16" ht="14.4" x14ac:dyDescent="0.3">
      <c r="A95" s="18" t="s">
        <v>21</v>
      </c>
      <c r="B95" s="19"/>
      <c r="C95" s="16" t="s">
        <v>19</v>
      </c>
      <c r="D95" s="20">
        <f>[46]TR!D32</f>
        <v>0.85429999999999995</v>
      </c>
      <c r="E95" s="20">
        <f>[46]TR!E32</f>
        <v>0.81710000000000005</v>
      </c>
      <c r="F95" s="20">
        <f>[46]TR!F32</f>
        <v>0.86739999999999995</v>
      </c>
      <c r="G95" s="20">
        <f>[46]TR!G32</f>
        <v>0.87390000000000001</v>
      </c>
      <c r="H95" s="20">
        <f>[46]TR!H32</f>
        <v>0.86429999999999996</v>
      </c>
      <c r="I95" s="20">
        <f>[46]TR!I32</f>
        <v>0.7782</v>
      </c>
      <c r="J95" s="20">
        <f>[46]TR!J32</f>
        <v>0.77859999999999996</v>
      </c>
      <c r="K95" s="20">
        <f>[46]TR!K32</f>
        <v>0.69830000000000003</v>
      </c>
      <c r="L95" s="20">
        <f>[46]TR!L32</f>
        <v>0.66910000000000003</v>
      </c>
      <c r="M95" s="20">
        <f>[46]TR!M32</f>
        <v>0.68020000000000003</v>
      </c>
      <c r="N95" s="20">
        <f>[46]TR!N32</f>
        <v>0.68230000000000002</v>
      </c>
      <c r="O95" s="20">
        <f>[46]TR!O32</f>
        <v>0.69920000000000004</v>
      </c>
      <c r="P95" s="20">
        <f>[46]TR!P32</f>
        <v>0</v>
      </c>
    </row>
    <row r="96" spans="1:16" ht="14.4" x14ac:dyDescent="0.3">
      <c r="A96" s="18" t="s">
        <v>22</v>
      </c>
      <c r="B96" s="19"/>
      <c r="C96" s="16" t="s">
        <v>23</v>
      </c>
      <c r="D96" s="23">
        <f>D54</f>
        <v>0</v>
      </c>
      <c r="E96" s="23">
        <f t="shared" ref="E96:P96" si="6">E54</f>
        <v>0</v>
      </c>
      <c r="F96" s="23">
        <f t="shared" si="6"/>
        <v>0</v>
      </c>
      <c r="G96" s="23">
        <f t="shared" si="6"/>
        <v>0</v>
      </c>
      <c r="H96" s="23">
        <f t="shared" si="6"/>
        <v>0</v>
      </c>
      <c r="I96" s="23">
        <f t="shared" si="6"/>
        <v>0</v>
      </c>
      <c r="J96" s="23">
        <f t="shared" si="6"/>
        <v>0</v>
      </c>
      <c r="K96" s="23">
        <f t="shared" si="6"/>
        <v>0</v>
      </c>
      <c r="L96" s="23">
        <f t="shared" si="6"/>
        <v>0</v>
      </c>
      <c r="M96" s="23">
        <f t="shared" si="6"/>
        <v>0</v>
      </c>
      <c r="N96" s="23">
        <f t="shared" si="6"/>
        <v>0</v>
      </c>
      <c r="O96" s="23">
        <f t="shared" si="6"/>
        <v>0</v>
      </c>
      <c r="P96" s="23">
        <f t="shared" si="6"/>
        <v>0</v>
      </c>
    </row>
    <row r="97" spans="1:16" ht="14.4" x14ac:dyDescent="0.3">
      <c r="A97" s="14" t="s">
        <v>24</v>
      </c>
      <c r="B97" s="15"/>
      <c r="C97" s="16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</row>
    <row r="98" spans="1:16" ht="14.4" x14ac:dyDescent="0.3">
      <c r="A98" s="18" t="s">
        <v>25</v>
      </c>
      <c r="B98" s="19"/>
      <c r="C98" s="16" t="s">
        <v>19</v>
      </c>
      <c r="D98" s="20">
        <f>[46]SLR!D65</f>
        <v>0.39779999999999999</v>
      </c>
      <c r="E98" s="20">
        <f>[46]SLR!E65</f>
        <v>0.44869999999999999</v>
      </c>
      <c r="F98" s="20">
        <f>[46]SLR!F65</f>
        <v>0.51160000000000005</v>
      </c>
      <c r="G98" s="20">
        <f>[46]SLR!G65</f>
        <v>0.51719999999999999</v>
      </c>
      <c r="H98" s="20">
        <f>[46]SLR!H65</f>
        <v>0.4844</v>
      </c>
      <c r="I98" s="20">
        <f>[46]SLR!I65</f>
        <v>0.46600000000000003</v>
      </c>
      <c r="J98" s="20">
        <f>[46]SLR!J65</f>
        <v>0.46960000000000002</v>
      </c>
      <c r="K98" s="20">
        <f>[46]SLR!K65</f>
        <v>0.46300000000000002</v>
      </c>
      <c r="L98" s="20">
        <f>[46]SLR!L65</f>
        <v>0.45179999999999998</v>
      </c>
      <c r="M98" s="20">
        <f>[46]SLR!M65</f>
        <v>0.44700000000000001</v>
      </c>
      <c r="N98" s="20">
        <f>[46]SLR!N65</f>
        <v>0.46250000000000002</v>
      </c>
      <c r="O98" s="20">
        <f>[46]SLR!O65</f>
        <v>0.4647</v>
      </c>
      <c r="P98" s="20">
        <f>[46]SLR!P65</f>
        <v>0</v>
      </c>
    </row>
    <row r="99" spans="1:16" ht="14.4" x14ac:dyDescent="0.3">
      <c r="A99" s="14" t="s">
        <v>26</v>
      </c>
      <c r="B99" s="14"/>
      <c r="C99" s="16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</row>
    <row r="100" spans="1:16" ht="14.4" x14ac:dyDescent="0.3">
      <c r="A100" s="18" t="s">
        <v>27</v>
      </c>
      <c r="B100" s="18"/>
      <c r="C100" s="16" t="s">
        <v>19</v>
      </c>
      <c r="D100" s="52" t="str">
        <f>D58</f>
        <v>See Schedule 2</v>
      </c>
      <c r="E100" s="52" t="str">
        <f t="shared" ref="E100:P100" si="7">E58</f>
        <v>See Schedule 2</v>
      </c>
      <c r="F100" s="52" t="str">
        <f t="shared" si="7"/>
        <v>See Schedule 2</v>
      </c>
      <c r="G100" s="52" t="str">
        <f t="shared" si="7"/>
        <v>See Schedule 2</v>
      </c>
      <c r="H100" s="52" t="str">
        <f t="shared" si="7"/>
        <v>See Schedule 2</v>
      </c>
      <c r="I100" s="52" t="str">
        <f t="shared" si="7"/>
        <v>See Schedule 2</v>
      </c>
      <c r="J100" s="52" t="str">
        <f t="shared" si="7"/>
        <v>See Schedule 2</v>
      </c>
      <c r="K100" s="52" t="str">
        <f t="shared" si="7"/>
        <v>See Schedule 2</v>
      </c>
      <c r="L100" s="52" t="str">
        <f t="shared" si="7"/>
        <v>See Schedule 2</v>
      </c>
      <c r="M100" s="52" t="str">
        <f t="shared" si="7"/>
        <v>See Schedule 2</v>
      </c>
      <c r="N100" s="52" t="str">
        <f t="shared" si="7"/>
        <v>See Schedule 2</v>
      </c>
      <c r="O100" s="52" t="str">
        <f t="shared" si="7"/>
        <v>See Schedule 2</v>
      </c>
      <c r="P100" s="52" t="str">
        <f t="shared" si="7"/>
        <v>See Schedule 2</v>
      </c>
    </row>
    <row r="101" spans="1:16" ht="14.4" x14ac:dyDescent="0.3">
      <c r="A101" s="18" t="s">
        <v>28</v>
      </c>
      <c r="B101" s="18"/>
      <c r="C101" s="16" t="s">
        <v>23</v>
      </c>
      <c r="D101" s="23">
        <v>0</v>
      </c>
      <c r="E101" s="23">
        <v>0</v>
      </c>
      <c r="F101" s="23">
        <v>0</v>
      </c>
      <c r="G101" s="23">
        <v>0</v>
      </c>
      <c r="H101" s="23">
        <v>0</v>
      </c>
      <c r="I101" s="23">
        <v>0</v>
      </c>
      <c r="J101" s="23">
        <v>0</v>
      </c>
      <c r="K101" s="23">
        <v>0</v>
      </c>
      <c r="L101" s="23">
        <v>0</v>
      </c>
      <c r="M101" s="23">
        <v>0</v>
      </c>
      <c r="N101" s="23">
        <v>0</v>
      </c>
      <c r="O101" s="23">
        <v>0</v>
      </c>
      <c r="P101" s="23">
        <v>0</v>
      </c>
    </row>
    <row r="102" spans="1:16" ht="14.4" x14ac:dyDescent="0.3">
      <c r="A102" s="14" t="s">
        <v>29</v>
      </c>
      <c r="B102" s="14"/>
      <c r="C102" s="16"/>
      <c r="D102" s="24"/>
      <c r="E102" s="24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</row>
    <row r="103" spans="1:16" ht="14.4" x14ac:dyDescent="0.3">
      <c r="A103" s="18" t="s">
        <v>30</v>
      </c>
      <c r="B103" s="18"/>
      <c r="C103" s="16" t="s">
        <v>19</v>
      </c>
      <c r="D103" s="20">
        <v>0.50849999999999995</v>
      </c>
      <c r="E103" s="20">
        <v>0.50849999999999995</v>
      </c>
      <c r="F103" s="20">
        <v>0.50849999999999995</v>
      </c>
      <c r="G103" s="20">
        <v>0.50849999999999995</v>
      </c>
      <c r="H103" s="20">
        <v>0.50849999999999995</v>
      </c>
      <c r="I103" s="20">
        <v>0.50849999999999995</v>
      </c>
      <c r="J103" s="20">
        <v>0.50849999999999995</v>
      </c>
      <c r="K103" s="20">
        <v>0.50849999999999995</v>
      </c>
      <c r="L103" s="20">
        <v>0.50849999999999995</v>
      </c>
      <c r="M103" s="20">
        <v>0.50849999999999995</v>
      </c>
      <c r="N103" s="20">
        <v>0.50849999999999995</v>
      </c>
      <c r="O103" s="20">
        <v>0.50849999999999995</v>
      </c>
      <c r="P103" s="20">
        <v>0.50849999999999995</v>
      </c>
    </row>
    <row r="104" spans="1:16" ht="14.4" x14ac:dyDescent="0.3">
      <c r="A104" s="18" t="s">
        <v>31</v>
      </c>
      <c r="B104" s="18"/>
      <c r="C104" s="16" t="s">
        <v>32</v>
      </c>
      <c r="D104" s="23">
        <v>16.73</v>
      </c>
      <c r="E104" s="23">
        <v>16.73</v>
      </c>
      <c r="F104" s="23">
        <v>16.73</v>
      </c>
      <c r="G104" s="23">
        <v>16.73</v>
      </c>
      <c r="H104" s="23">
        <v>16.73</v>
      </c>
      <c r="I104" s="23">
        <v>16.73</v>
      </c>
      <c r="J104" s="23">
        <v>16.73</v>
      </c>
      <c r="K104" s="23">
        <v>16.73</v>
      </c>
      <c r="L104" s="23">
        <v>16.73</v>
      </c>
      <c r="M104" s="23">
        <v>16.73</v>
      </c>
      <c r="N104" s="23">
        <v>16.73</v>
      </c>
      <c r="O104" s="23">
        <v>16.73</v>
      </c>
      <c r="P104" s="23">
        <v>16.73</v>
      </c>
    </row>
    <row r="105" spans="1:16" ht="14.4" x14ac:dyDescent="0.3">
      <c r="A105" s="14" t="s">
        <v>33</v>
      </c>
      <c r="B105" s="14"/>
      <c r="C105" s="16"/>
      <c r="D105" s="24"/>
      <c r="E105" s="24"/>
      <c r="F105" s="24"/>
      <c r="G105" s="24"/>
      <c r="H105" s="24"/>
      <c r="I105" s="24"/>
      <c r="J105" s="24"/>
      <c r="K105" s="24"/>
      <c r="L105" s="24"/>
      <c r="M105" s="24"/>
      <c r="N105" s="24"/>
      <c r="O105" s="24"/>
      <c r="P105" s="24"/>
    </row>
    <row r="106" spans="1:16" ht="14.4" x14ac:dyDescent="0.3">
      <c r="A106" s="18" t="s">
        <v>34</v>
      </c>
      <c r="B106" s="18"/>
      <c r="C106" s="16" t="s">
        <v>19</v>
      </c>
      <c r="D106" s="20">
        <v>0.3377</v>
      </c>
      <c r="E106" s="20">
        <v>0.3377</v>
      </c>
      <c r="F106" s="20">
        <v>0.3377</v>
      </c>
      <c r="G106" s="20">
        <v>0.3377</v>
      </c>
      <c r="H106" s="20">
        <v>0.3377</v>
      </c>
      <c r="I106" s="20">
        <v>0.3377</v>
      </c>
      <c r="J106" s="20">
        <v>0.3377</v>
      </c>
      <c r="K106" s="20">
        <v>0.3377</v>
      </c>
      <c r="L106" s="20">
        <v>0.3377</v>
      </c>
      <c r="M106" s="20">
        <v>0.3377</v>
      </c>
      <c r="N106" s="20">
        <v>0.3377</v>
      </c>
      <c r="O106" s="20">
        <v>0.3377</v>
      </c>
      <c r="P106" s="20">
        <v>0.3377</v>
      </c>
    </row>
    <row r="107" spans="1:16" ht="14.4" x14ac:dyDescent="0.3">
      <c r="A107" s="18" t="s">
        <v>35</v>
      </c>
      <c r="B107" s="18"/>
      <c r="C107" s="16" t="s">
        <v>36</v>
      </c>
      <c r="D107" s="23">
        <v>5</v>
      </c>
      <c r="E107" s="23">
        <v>5</v>
      </c>
      <c r="F107" s="23">
        <v>5</v>
      </c>
      <c r="G107" s="23">
        <v>5</v>
      </c>
      <c r="H107" s="23">
        <v>5</v>
      </c>
      <c r="I107" s="23">
        <v>5</v>
      </c>
      <c r="J107" s="23">
        <v>5</v>
      </c>
      <c r="K107" s="23">
        <v>5</v>
      </c>
      <c r="L107" s="23">
        <v>5</v>
      </c>
      <c r="M107" s="23">
        <v>5</v>
      </c>
      <c r="N107" s="23">
        <v>5</v>
      </c>
      <c r="O107" s="23">
        <v>5</v>
      </c>
      <c r="P107" s="23">
        <v>5</v>
      </c>
    </row>
    <row r="108" spans="1:16" ht="14.4" x14ac:dyDescent="0.3">
      <c r="A108" s="14" t="s">
        <v>37</v>
      </c>
      <c r="B108" s="14"/>
      <c r="C108" s="16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</row>
    <row r="109" spans="1:16" ht="14.4" x14ac:dyDescent="0.3">
      <c r="A109" s="25" t="s">
        <v>38</v>
      </c>
      <c r="B109" s="18"/>
      <c r="C109" s="16" t="s">
        <v>19</v>
      </c>
      <c r="D109" s="20">
        <f>[46]LD!D28</f>
        <v>9.1399999999999995E-2</v>
      </c>
      <c r="E109" s="20">
        <f>[46]LD!E28</f>
        <v>9.5899999999999999E-2</v>
      </c>
      <c r="F109" s="20">
        <f>[46]LD!F28</f>
        <v>9.98E-2</v>
      </c>
      <c r="G109" s="20">
        <f>[46]LD!G28</f>
        <v>0.1115</v>
      </c>
      <c r="H109" s="20">
        <f>[46]LD!H28</f>
        <v>9.4399999999999998E-2</v>
      </c>
      <c r="I109" s="20">
        <f>[46]LD!I28</f>
        <v>7.4099999999999999E-2</v>
      </c>
      <c r="J109" s="20">
        <f>[46]LD!J28</f>
        <v>7.0900000000000005E-2</v>
      </c>
      <c r="K109" s="20">
        <f>[46]LD!K28</f>
        <v>8.9300000000000004E-2</v>
      </c>
      <c r="L109" s="20">
        <f>[46]LD!L28</f>
        <v>8.8800000000000004E-2</v>
      </c>
      <c r="M109" s="20">
        <f>[46]LD!M28</f>
        <v>8.5500000000000007E-2</v>
      </c>
      <c r="N109" s="20">
        <f>[46]LD!N28</f>
        <v>8.4099999999999994E-2</v>
      </c>
      <c r="O109" s="20">
        <f>[46]LD!O28</f>
        <v>8.5300000000000001E-2</v>
      </c>
      <c r="P109" s="20">
        <f>[46]LD!P28</f>
        <v>0</v>
      </c>
    </row>
    <row r="110" spans="1:16" ht="14.4" x14ac:dyDescent="0.3">
      <c r="A110" s="25" t="s">
        <v>39</v>
      </c>
      <c r="B110" s="18"/>
      <c r="C110" s="16" t="s">
        <v>19</v>
      </c>
      <c r="D110" s="20">
        <v>0</v>
      </c>
      <c r="E110" s="20">
        <v>0</v>
      </c>
      <c r="F110" s="20">
        <v>0</v>
      </c>
      <c r="G110" s="20">
        <v>0</v>
      </c>
      <c r="H110" s="20">
        <v>0</v>
      </c>
      <c r="I110" s="20">
        <v>0</v>
      </c>
      <c r="J110" s="20">
        <v>0</v>
      </c>
      <c r="K110" s="20">
        <v>0</v>
      </c>
      <c r="L110" s="20">
        <v>0</v>
      </c>
      <c r="M110" s="20">
        <v>0</v>
      </c>
      <c r="N110" s="20">
        <v>0</v>
      </c>
      <c r="O110" s="20">
        <v>0</v>
      </c>
      <c r="P110" s="20">
        <v>0</v>
      </c>
    </row>
    <row r="111" spans="1:16" ht="14.4" x14ac:dyDescent="0.3">
      <c r="A111" s="26" t="s">
        <v>40</v>
      </c>
      <c r="B111" s="18"/>
      <c r="C111" s="16" t="s">
        <v>19</v>
      </c>
      <c r="D111" s="20">
        <f>'[46]SR CIT. SUBSIDY'!D107</f>
        <v>7.2836751367259784E-5</v>
      </c>
      <c r="E111" s="20">
        <f>'[46]SR CIT. SUBSIDY'!E107</f>
        <v>6.8004836608513296E-5</v>
      </c>
      <c r="F111" s="20">
        <f>'[46]SR CIT. SUBSIDY'!F107</f>
        <v>7.2021362364614477E-5</v>
      </c>
      <c r="G111" s="20">
        <f>'[46]SR CIT. SUBSIDY'!G107</f>
        <v>8.1837879774750537E-5</v>
      </c>
      <c r="H111" s="20">
        <f>'[46]SR CIT. SUBSIDY'!H107</f>
        <v>7.798204750191218E-5</v>
      </c>
      <c r="I111" s="20">
        <f>'[46]SR CIT. SUBSIDY'!I107</f>
        <v>7.6128332588525541E-5</v>
      </c>
      <c r="J111" s="20">
        <f>'[46]SR CIT. SUBSIDY'!J107</f>
        <v>6.9450356116585135E-5</v>
      </c>
      <c r="K111" s="20">
        <f>'[46]SR CIT. SUBSIDY'!K107</f>
        <v>7.4662532963556342E-5</v>
      </c>
      <c r="L111" s="20">
        <f>'[46]SR CIT. SUBSIDY'!L107</f>
        <v>7.2670454347697154E-5</v>
      </c>
      <c r="M111" s="20">
        <f>'[46]SR CIT. SUBSIDY'!M107</f>
        <v>7.4480298623008149E-5</v>
      </c>
      <c r="N111" s="20">
        <f>'[46]SR CIT. SUBSIDY'!N107</f>
        <v>7.360094464671045E-5</v>
      </c>
      <c r="O111" s="20">
        <f>'[46]SR CIT. SUBSIDY'!O107</f>
        <v>7.9518678198181161E-5</v>
      </c>
      <c r="P111" s="20">
        <f>'[46]SR CIT. SUBSIDY'!P107</f>
        <v>0</v>
      </c>
    </row>
    <row r="112" spans="1:16" ht="14.4" x14ac:dyDescent="0.3">
      <c r="A112" s="26" t="s">
        <v>41</v>
      </c>
      <c r="B112" s="18"/>
      <c r="C112" s="16" t="s">
        <v>19</v>
      </c>
      <c r="D112" s="20">
        <v>0</v>
      </c>
      <c r="E112" s="20">
        <v>0</v>
      </c>
      <c r="F112" s="20">
        <v>0</v>
      </c>
      <c r="G112" s="20">
        <v>0</v>
      </c>
      <c r="H112" s="20">
        <v>0</v>
      </c>
      <c r="I112" s="20">
        <v>0</v>
      </c>
      <c r="J112" s="20">
        <v>0</v>
      </c>
      <c r="K112" s="20">
        <v>0</v>
      </c>
      <c r="L112" s="20">
        <v>0</v>
      </c>
      <c r="M112" s="20">
        <v>0</v>
      </c>
      <c r="N112" s="20">
        <v>0</v>
      </c>
      <c r="O112" s="20">
        <v>0</v>
      </c>
      <c r="P112" s="20">
        <v>0</v>
      </c>
    </row>
    <row r="113" spans="1:16" ht="14.4" x14ac:dyDescent="0.3">
      <c r="A113" s="14" t="s">
        <v>42</v>
      </c>
      <c r="B113" s="14"/>
      <c r="C113" s="16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</row>
    <row r="114" spans="1:16" ht="14.4" x14ac:dyDescent="0.3">
      <c r="A114" s="14" t="s">
        <v>43</v>
      </c>
      <c r="B114" s="14"/>
      <c r="C114" s="16" t="s">
        <v>44</v>
      </c>
      <c r="D114" s="27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</row>
    <row r="115" spans="1:16" ht="14.4" x14ac:dyDescent="0.3">
      <c r="A115" s="14" t="s">
        <v>45</v>
      </c>
      <c r="B115" s="14"/>
      <c r="C115" s="16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</row>
    <row r="116" spans="1:16" ht="14.4" x14ac:dyDescent="0.3">
      <c r="A116" s="14" t="s">
        <v>46</v>
      </c>
      <c r="B116" s="14"/>
      <c r="C116" s="16" t="s">
        <v>19</v>
      </c>
      <c r="D116" s="20">
        <v>0</v>
      </c>
      <c r="E116" s="20">
        <v>0</v>
      </c>
      <c r="F116" s="20">
        <v>0</v>
      </c>
      <c r="G116" s="20">
        <v>0</v>
      </c>
      <c r="H116" s="20">
        <v>0</v>
      </c>
      <c r="I116" s="20">
        <v>0</v>
      </c>
      <c r="J116" s="20">
        <v>0</v>
      </c>
      <c r="K116" s="20">
        <v>0</v>
      </c>
      <c r="L116" s="20">
        <v>0</v>
      </c>
      <c r="M116" s="20">
        <v>0</v>
      </c>
      <c r="N116" s="20">
        <v>0</v>
      </c>
      <c r="O116" s="20">
        <v>0</v>
      </c>
      <c r="P116" s="20">
        <v>0</v>
      </c>
    </row>
    <row r="117" spans="1:16" ht="14.4" x14ac:dyDescent="0.3">
      <c r="A117" s="14" t="s">
        <v>47</v>
      </c>
      <c r="B117" s="14"/>
      <c r="C117" s="16"/>
      <c r="D117" s="24"/>
      <c r="E117" s="24"/>
      <c r="F117" s="24"/>
      <c r="G117" s="24"/>
      <c r="H117" s="24"/>
      <c r="I117" s="24"/>
      <c r="J117" s="24"/>
      <c r="K117" s="24"/>
      <c r="L117" s="24"/>
      <c r="M117" s="24"/>
      <c r="N117" s="24"/>
      <c r="O117" s="24"/>
      <c r="P117" s="24"/>
    </row>
    <row r="118" spans="1:16" ht="14.4" x14ac:dyDescent="0.3">
      <c r="A118" s="18" t="s">
        <v>48</v>
      </c>
      <c r="B118" s="18"/>
      <c r="C118" s="16" t="s">
        <v>19</v>
      </c>
      <c r="D118" s="20">
        <f>D76</f>
        <v>0.15609999999999999</v>
      </c>
      <c r="E118" s="20">
        <f t="shared" ref="E118:P122" si="8">E76</f>
        <v>0.15609999999999999</v>
      </c>
      <c r="F118" s="20">
        <f t="shared" si="8"/>
        <v>0.15609999999999999</v>
      </c>
      <c r="G118" s="20">
        <f t="shared" si="8"/>
        <v>0.15609999999999999</v>
      </c>
      <c r="H118" s="20">
        <f t="shared" si="8"/>
        <v>0.15609999999999999</v>
      </c>
      <c r="I118" s="20">
        <f t="shared" si="8"/>
        <v>0.15609999999999999</v>
      </c>
      <c r="J118" s="20">
        <f t="shared" si="8"/>
        <v>0.15609999999999999</v>
      </c>
      <c r="K118" s="20">
        <f t="shared" si="8"/>
        <v>0.15609999999999999</v>
      </c>
      <c r="L118" s="20">
        <f t="shared" si="8"/>
        <v>0.15609999999999999</v>
      </c>
      <c r="M118" s="20">
        <f t="shared" si="8"/>
        <v>0.15609999999999999</v>
      </c>
      <c r="N118" s="20">
        <f t="shared" si="8"/>
        <v>0.15609999999999999</v>
      </c>
      <c r="O118" s="20">
        <f t="shared" si="8"/>
        <v>0.15609999999999999</v>
      </c>
      <c r="P118" s="20">
        <f t="shared" si="8"/>
        <v>0.15609999999999999</v>
      </c>
    </row>
    <row r="119" spans="1:16" ht="14.4" x14ac:dyDescent="0.3">
      <c r="A119" s="18" t="s">
        <v>49</v>
      </c>
      <c r="B119" s="18"/>
      <c r="C119" s="16" t="s">
        <v>19</v>
      </c>
      <c r="D119" s="20">
        <f>D77</f>
        <v>2.5000000000000001E-3</v>
      </c>
      <c r="E119" s="20">
        <f t="shared" si="8"/>
        <v>2.5000000000000001E-3</v>
      </c>
      <c r="F119" s="20">
        <f t="shared" si="8"/>
        <v>2.5000000000000001E-3</v>
      </c>
      <c r="G119" s="20">
        <f t="shared" si="8"/>
        <v>2.5000000000000001E-3</v>
      </c>
      <c r="H119" s="20">
        <f t="shared" si="8"/>
        <v>2.5000000000000001E-3</v>
      </c>
      <c r="I119" s="20">
        <f t="shared" si="8"/>
        <v>2.5000000000000001E-3</v>
      </c>
      <c r="J119" s="20">
        <f t="shared" si="8"/>
        <v>2.5000000000000001E-3</v>
      </c>
      <c r="K119" s="20">
        <f t="shared" si="8"/>
        <v>2.5000000000000001E-3</v>
      </c>
      <c r="L119" s="20">
        <f t="shared" si="8"/>
        <v>2.5000000000000001E-3</v>
      </c>
      <c r="M119" s="20">
        <f t="shared" si="8"/>
        <v>2.5000000000000001E-3</v>
      </c>
      <c r="N119" s="20">
        <f t="shared" si="8"/>
        <v>2.5000000000000001E-3</v>
      </c>
      <c r="O119" s="20">
        <f t="shared" si="8"/>
        <v>2.5000000000000001E-3</v>
      </c>
      <c r="P119" s="20">
        <f t="shared" si="8"/>
        <v>2.5000000000000001E-3</v>
      </c>
    </row>
    <row r="120" spans="1:16" ht="14.4" x14ac:dyDescent="0.3">
      <c r="A120" s="18" t="s">
        <v>111</v>
      </c>
      <c r="B120" s="18"/>
      <c r="C120" s="16" t="s">
        <v>19</v>
      </c>
      <c r="D120" s="20">
        <f>D78</f>
        <v>0.1938</v>
      </c>
      <c r="E120" s="20">
        <f t="shared" si="8"/>
        <v>0.1938</v>
      </c>
      <c r="F120" s="20">
        <f t="shared" si="8"/>
        <v>0.1938</v>
      </c>
      <c r="G120" s="20">
        <f t="shared" si="8"/>
        <v>0.1938</v>
      </c>
      <c r="H120" s="20">
        <f t="shared" si="8"/>
        <v>0.1938</v>
      </c>
      <c r="I120" s="20">
        <f t="shared" si="8"/>
        <v>0.1938</v>
      </c>
      <c r="J120" s="20">
        <f t="shared" si="8"/>
        <v>0.1938</v>
      </c>
      <c r="K120" s="20">
        <f t="shared" si="8"/>
        <v>0.1938</v>
      </c>
      <c r="L120" s="20">
        <f t="shared" si="8"/>
        <v>0.1938</v>
      </c>
      <c r="M120" s="20">
        <f t="shared" si="8"/>
        <v>0.1938</v>
      </c>
      <c r="N120" s="20">
        <f t="shared" si="8"/>
        <v>0.1938</v>
      </c>
      <c r="O120" s="20">
        <f t="shared" si="8"/>
        <v>0.1938</v>
      </c>
      <c r="P120" s="20">
        <f t="shared" si="8"/>
        <v>0.1938</v>
      </c>
    </row>
    <row r="121" spans="1:16" ht="14.4" x14ac:dyDescent="0.3">
      <c r="A121" s="18" t="s">
        <v>112</v>
      </c>
      <c r="B121" s="18"/>
      <c r="C121" s="16" t="s">
        <v>19</v>
      </c>
      <c r="D121" s="42">
        <f>D79</f>
        <v>2.6499999999999999E-2</v>
      </c>
      <c r="E121" s="42">
        <f t="shared" si="8"/>
        <v>2.6499999999999999E-2</v>
      </c>
      <c r="F121" s="42">
        <f t="shared" si="8"/>
        <v>2.6499999999999999E-2</v>
      </c>
      <c r="G121" s="42">
        <f t="shared" si="8"/>
        <v>2.6499999999999999E-2</v>
      </c>
      <c r="H121" s="42">
        <f t="shared" si="8"/>
        <v>2.6499999999999999E-2</v>
      </c>
      <c r="I121" s="42">
        <f t="shared" si="8"/>
        <v>2.6499999999999999E-2</v>
      </c>
      <c r="J121" s="42">
        <f t="shared" si="8"/>
        <v>2.6499999999999999E-2</v>
      </c>
      <c r="K121" s="42">
        <f t="shared" si="8"/>
        <v>2.6499999999999999E-2</v>
      </c>
      <c r="L121" s="42">
        <f t="shared" si="8"/>
        <v>2.6499999999999999E-2</v>
      </c>
      <c r="M121" s="42">
        <f t="shared" si="8"/>
        <v>2.6499999999999999E-2</v>
      </c>
      <c r="N121" s="42">
        <f t="shared" si="8"/>
        <v>2.6499999999999999E-2</v>
      </c>
      <c r="O121" s="42">
        <f t="shared" si="8"/>
        <v>2.6499999999999999E-2</v>
      </c>
      <c r="P121" s="42">
        <f t="shared" si="8"/>
        <v>2.6499999999999999E-2</v>
      </c>
    </row>
    <row r="122" spans="1:16" ht="14.4" x14ac:dyDescent="0.3">
      <c r="A122" s="14" t="s">
        <v>51</v>
      </c>
      <c r="B122" s="14"/>
      <c r="C122" s="16" t="s">
        <v>19</v>
      </c>
      <c r="D122" s="20">
        <f>D80</f>
        <v>0.183</v>
      </c>
      <c r="E122" s="20">
        <f t="shared" si="8"/>
        <v>0.183</v>
      </c>
      <c r="F122" s="20">
        <f t="shared" si="8"/>
        <v>0.183</v>
      </c>
      <c r="G122" s="20">
        <f t="shared" si="8"/>
        <v>0.183</v>
      </c>
      <c r="H122" s="20">
        <f t="shared" si="8"/>
        <v>0.183</v>
      </c>
      <c r="I122" s="20">
        <f t="shared" si="8"/>
        <v>0.25629999999999997</v>
      </c>
      <c r="J122" s="20">
        <f t="shared" si="8"/>
        <v>0.25629999999999997</v>
      </c>
      <c r="K122" s="20">
        <f t="shared" si="8"/>
        <v>0.25629999999999997</v>
      </c>
      <c r="L122" s="20">
        <f t="shared" si="8"/>
        <v>0.25629999999999997</v>
      </c>
      <c r="M122" s="20">
        <f t="shared" si="8"/>
        <v>0.25629999999999997</v>
      </c>
      <c r="N122" s="20">
        <f t="shared" si="8"/>
        <v>0.25629999999999997</v>
      </c>
      <c r="O122" s="20">
        <f t="shared" si="8"/>
        <v>0.25629999999999997</v>
      </c>
      <c r="P122" s="20">
        <f t="shared" si="8"/>
        <v>0.25629999999999997</v>
      </c>
    </row>
    <row r="123" spans="1:16" ht="14.4" x14ac:dyDescent="0.3">
      <c r="A123" s="14" t="s">
        <v>52</v>
      </c>
      <c r="B123" s="14"/>
      <c r="C123" s="29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</row>
    <row r="124" spans="1:16" ht="14.4" x14ac:dyDescent="0.3">
      <c r="A124" s="18" t="s">
        <v>53</v>
      </c>
      <c r="B124" s="18"/>
      <c r="C124" s="16" t="s">
        <v>44</v>
      </c>
      <c r="D124" s="27">
        <f>'[46]DU VAT'!D16</f>
        <v>0.1082</v>
      </c>
      <c r="E124" s="27">
        <f>'[46]DU VAT'!E16</f>
        <v>0.1134</v>
      </c>
      <c r="F124" s="27">
        <f>'[46]DU VAT'!F16</f>
        <v>0.111</v>
      </c>
      <c r="G124" s="27">
        <f>'[46]DU VAT'!G16</f>
        <v>0.11070000000000001</v>
      </c>
      <c r="H124" s="27">
        <f>'[46]DU VAT'!H16</f>
        <v>0.10920000000000001</v>
      </c>
      <c r="I124" s="27">
        <f>'[46]DU VAT'!I16</f>
        <v>0.1129</v>
      </c>
      <c r="J124" s="27">
        <f>'[46]DU VAT'!J16</f>
        <v>0.1123</v>
      </c>
      <c r="K124" s="27">
        <f>'[46]DU VAT'!K16</f>
        <v>0.1137</v>
      </c>
      <c r="L124" s="27">
        <f>'[46]DU VAT'!L16</f>
        <v>0.1116</v>
      </c>
      <c r="M124" s="27">
        <f>'[46]DU VAT'!M16</f>
        <v>0.10979999999999999</v>
      </c>
      <c r="N124" s="27">
        <f>'[46]DU VAT'!N16</f>
        <v>0.1111</v>
      </c>
      <c r="O124" s="27">
        <f>'[46]DU VAT'!O16</f>
        <v>0.1119</v>
      </c>
      <c r="P124" s="27" t="e">
        <f>'[46]DU VAT'!P16</f>
        <v>#DIV/0!</v>
      </c>
    </row>
    <row r="125" spans="1:16" ht="14.4" x14ac:dyDescent="0.3">
      <c r="A125" s="18" t="s">
        <v>54</v>
      </c>
      <c r="B125" s="18"/>
      <c r="C125" s="16" t="s">
        <v>44</v>
      </c>
      <c r="D125" s="27">
        <f>'[46]DU VAT'!D20</f>
        <v>2.24E-2</v>
      </c>
      <c r="E125" s="27">
        <f>'[46]DU VAT'!E20</f>
        <v>8.6099999999999996E-2</v>
      </c>
      <c r="F125" s="27">
        <f>'[46]DU VAT'!F20</f>
        <v>0.1036</v>
      </c>
      <c r="G125" s="27">
        <f>'[46]DU VAT'!G20</f>
        <v>0.10589999999999999</v>
      </c>
      <c r="H125" s="27">
        <f>'[46]DU VAT'!H20</f>
        <v>0.10730000000000001</v>
      </c>
      <c r="I125" s="27">
        <f>'[46]DU VAT'!I20</f>
        <v>0.1052</v>
      </c>
      <c r="J125" s="27">
        <f>'[46]DU VAT'!J20</f>
        <v>0.1056</v>
      </c>
      <c r="K125" s="27">
        <f>'[46]DU VAT'!K20</f>
        <v>0.106</v>
      </c>
      <c r="L125" s="27">
        <f>'[46]DU VAT'!L20</f>
        <v>0.10340000000000001</v>
      </c>
      <c r="M125" s="27">
        <f>'[46]DU VAT'!M20</f>
        <v>0.1046</v>
      </c>
      <c r="N125" s="27">
        <f>'[46]DU VAT'!N20</f>
        <v>0.1004</v>
      </c>
      <c r="O125" s="27">
        <f>'[46]DU VAT'!O20</f>
        <v>9.8500000000000004E-2</v>
      </c>
      <c r="P125" s="27" t="e">
        <f>'[46]DU VAT'!P20</f>
        <v>#DIV/0!</v>
      </c>
    </row>
    <row r="126" spans="1:16" ht="14.4" x14ac:dyDescent="0.3">
      <c r="A126" s="18" t="s">
        <v>55</v>
      </c>
      <c r="B126" s="18"/>
      <c r="C126" s="16" t="s">
        <v>44</v>
      </c>
      <c r="D126" s="27">
        <f>'[46]DU VAT'!D26</f>
        <v>9.3100000000000002E-2</v>
      </c>
      <c r="E126" s="27">
        <f>'[46]DU VAT'!E26</f>
        <v>0.10929999999999999</v>
      </c>
      <c r="F126" s="27">
        <f>'[46]DU VAT'!F26</f>
        <v>0.11</v>
      </c>
      <c r="G126" s="27">
        <f>'[46]DU VAT'!G26</f>
        <v>0.11</v>
      </c>
      <c r="H126" s="27">
        <f>'[46]DU VAT'!H26</f>
        <v>0.1089</v>
      </c>
      <c r="I126" s="27">
        <f>'[46]DU VAT'!I26</f>
        <v>0.1119</v>
      </c>
      <c r="J126" s="27">
        <f>'[46]DU VAT'!J26</f>
        <v>0.1115</v>
      </c>
      <c r="K126" s="27">
        <f>'[46]DU VAT'!K26</f>
        <v>0.1129</v>
      </c>
      <c r="L126" s="27">
        <f>'[46]DU VAT'!L26</f>
        <v>0.11070000000000001</v>
      </c>
      <c r="M126" s="27">
        <f>'[46]DU VAT'!M26</f>
        <v>0.10920000000000001</v>
      </c>
      <c r="N126" s="27">
        <f>'[46]DU VAT'!N26</f>
        <v>0.1099</v>
      </c>
      <c r="O126" s="27">
        <f>'[46]DU VAT'!O26</f>
        <v>0.1103</v>
      </c>
      <c r="P126" s="27" t="e">
        <f>'[46]DU VAT'!P26</f>
        <v>#DIV/0!</v>
      </c>
    </row>
    <row r="127" spans="1:16" ht="14.4" x14ac:dyDescent="0.3">
      <c r="A127" s="18" t="s">
        <v>56</v>
      </c>
      <c r="B127" s="18"/>
      <c r="C127" s="16" t="s">
        <v>44</v>
      </c>
      <c r="D127" s="27">
        <f>D85</f>
        <v>0.12</v>
      </c>
      <c r="E127" s="27">
        <f t="shared" ref="E127:P128" si="9">E85</f>
        <v>0.12</v>
      </c>
      <c r="F127" s="27">
        <f t="shared" si="9"/>
        <v>0.12</v>
      </c>
      <c r="G127" s="27">
        <f t="shared" si="9"/>
        <v>0.12</v>
      </c>
      <c r="H127" s="27">
        <f t="shared" si="9"/>
        <v>0.12</v>
      </c>
      <c r="I127" s="27">
        <f t="shared" si="9"/>
        <v>0.12</v>
      </c>
      <c r="J127" s="27">
        <f t="shared" si="9"/>
        <v>0.12</v>
      </c>
      <c r="K127" s="27">
        <f t="shared" si="9"/>
        <v>0.12</v>
      </c>
      <c r="L127" s="27">
        <f t="shared" si="9"/>
        <v>0.12</v>
      </c>
      <c r="M127" s="27">
        <f t="shared" si="9"/>
        <v>0.12</v>
      </c>
      <c r="N127" s="27">
        <f t="shared" si="9"/>
        <v>0.12</v>
      </c>
      <c r="O127" s="27">
        <f t="shared" si="9"/>
        <v>0.12</v>
      </c>
      <c r="P127" s="27">
        <f t="shared" si="9"/>
        <v>0.12</v>
      </c>
    </row>
    <row r="128" spans="1:16" ht="14.4" x14ac:dyDescent="0.3">
      <c r="A128" s="18" t="s">
        <v>57</v>
      </c>
      <c r="B128" s="18"/>
      <c r="C128" s="16" t="s">
        <v>44</v>
      </c>
      <c r="D128" s="27">
        <f>D86</f>
        <v>0.12</v>
      </c>
      <c r="E128" s="27">
        <f t="shared" si="9"/>
        <v>0.12</v>
      </c>
      <c r="F128" s="27">
        <f t="shared" si="9"/>
        <v>0.12</v>
      </c>
      <c r="G128" s="27">
        <f t="shared" si="9"/>
        <v>0.12</v>
      </c>
      <c r="H128" s="27">
        <f t="shared" si="9"/>
        <v>0.12</v>
      </c>
      <c r="I128" s="27">
        <f t="shared" si="9"/>
        <v>0.12</v>
      </c>
      <c r="J128" s="27">
        <f t="shared" si="9"/>
        <v>0.12</v>
      </c>
      <c r="K128" s="27">
        <f t="shared" si="9"/>
        <v>0.12</v>
      </c>
      <c r="L128" s="27">
        <f t="shared" si="9"/>
        <v>0.12</v>
      </c>
      <c r="M128" s="27">
        <f t="shared" si="9"/>
        <v>0.12</v>
      </c>
      <c r="N128" s="27">
        <f t="shared" si="9"/>
        <v>0.12</v>
      </c>
      <c r="O128" s="27">
        <f t="shared" si="9"/>
        <v>0.12</v>
      </c>
      <c r="P128" s="27">
        <f t="shared" si="9"/>
        <v>0.12</v>
      </c>
    </row>
    <row r="130" spans="1:16" x14ac:dyDescent="0.3">
      <c r="A130" s="3" t="s">
        <v>58</v>
      </c>
    </row>
    <row r="131" spans="1:16" x14ac:dyDescent="0.3">
      <c r="A131" s="33"/>
    </row>
    <row r="132" spans="1:16" ht="18" x14ac:dyDescent="0.35">
      <c r="A132" s="9" t="str">
        <f>'[46]Statistical data'!A152</f>
        <v xml:space="preserve">  GHMSCI</v>
      </c>
      <c r="B132" s="9"/>
      <c r="C132" s="5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</row>
    <row r="133" spans="1:16" s="13" customFormat="1" ht="14.4" x14ac:dyDescent="0.3">
      <c r="A133" s="11" t="s">
        <v>3</v>
      </c>
      <c r="B133" s="11"/>
      <c r="C133" s="11" t="s">
        <v>4</v>
      </c>
      <c r="D133" s="73">
        <f>D91</f>
        <v>43101</v>
      </c>
      <c r="E133" s="73">
        <f t="shared" ref="E133:P133" si="10">E91</f>
        <v>43132</v>
      </c>
      <c r="F133" s="73">
        <f t="shared" si="10"/>
        <v>43160</v>
      </c>
      <c r="G133" s="73">
        <f t="shared" si="10"/>
        <v>43191</v>
      </c>
      <c r="H133" s="73">
        <f t="shared" si="10"/>
        <v>43221</v>
      </c>
      <c r="I133" s="73">
        <f t="shared" si="10"/>
        <v>43252</v>
      </c>
      <c r="J133" s="73">
        <f t="shared" si="10"/>
        <v>43282</v>
      </c>
      <c r="K133" s="73">
        <f t="shared" si="10"/>
        <v>43313</v>
      </c>
      <c r="L133" s="73">
        <f t="shared" si="10"/>
        <v>43344</v>
      </c>
      <c r="M133" s="73">
        <f t="shared" si="10"/>
        <v>43374</v>
      </c>
      <c r="N133" s="73">
        <f t="shared" si="10"/>
        <v>43405</v>
      </c>
      <c r="O133" s="73">
        <f t="shared" si="10"/>
        <v>43435</v>
      </c>
      <c r="P133" s="73">
        <f t="shared" si="10"/>
        <v>43466</v>
      </c>
    </row>
    <row r="134" spans="1:16" ht="14.4" x14ac:dyDescent="0.3">
      <c r="A134" s="14" t="s">
        <v>17</v>
      </c>
      <c r="B134" s="15"/>
      <c r="C134" s="16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</row>
    <row r="135" spans="1:16" ht="14.4" x14ac:dyDescent="0.3">
      <c r="A135" s="18" t="s">
        <v>18</v>
      </c>
      <c r="B135" s="19"/>
      <c r="C135" s="16" t="s">
        <v>19</v>
      </c>
      <c r="D135" s="20">
        <f>[46]GR!D23</f>
        <v>4.0768000000000004</v>
      </c>
      <c r="E135" s="20">
        <f>[46]GR!E23</f>
        <v>4.6547999999999998</v>
      </c>
      <c r="F135" s="20">
        <f>[46]GR!F23</f>
        <v>5.2961999999999998</v>
      </c>
      <c r="G135" s="20">
        <f>[46]GR!G23</f>
        <v>5.4734999999999996</v>
      </c>
      <c r="H135" s="20">
        <f>[46]GR!H23</f>
        <v>5.0522999999999998</v>
      </c>
      <c r="I135" s="20">
        <f>[46]GR!I23</f>
        <v>4.9828000000000001</v>
      </c>
      <c r="J135" s="20">
        <f>[46]GR!J23</f>
        <v>5.2651000000000003</v>
      </c>
      <c r="K135" s="20">
        <f>[46]GR!K23</f>
        <v>5.3491</v>
      </c>
      <c r="L135" s="20">
        <f>[46]GR!L23</f>
        <v>5.2718999999999996</v>
      </c>
      <c r="M135" s="20">
        <f>[46]GR!M23</f>
        <v>5.1908000000000003</v>
      </c>
      <c r="N135" s="20">
        <f>[46]GR!N23</f>
        <v>5.2725</v>
      </c>
      <c r="O135" s="20">
        <f>[46]GR!O23</f>
        <v>5.3303000000000003</v>
      </c>
      <c r="P135" s="20" t="e">
        <f>[46]GR!P23</f>
        <v>#DIV/0!</v>
      </c>
    </row>
    <row r="136" spans="1:16" ht="14.4" x14ac:dyDescent="0.3">
      <c r="A136" s="14" t="s">
        <v>20</v>
      </c>
      <c r="B136" s="15"/>
      <c r="C136" s="16"/>
      <c r="D136" s="53"/>
      <c r="E136" s="53"/>
      <c r="F136" s="53"/>
      <c r="G136" s="53"/>
      <c r="H136" s="53"/>
      <c r="I136" s="53"/>
      <c r="J136" s="53"/>
      <c r="K136" s="53"/>
      <c r="L136" s="53"/>
      <c r="M136" s="53"/>
      <c r="N136" s="53"/>
      <c r="O136" s="53"/>
      <c r="P136" s="53"/>
    </row>
    <row r="137" spans="1:16" ht="14.4" x14ac:dyDescent="0.3">
      <c r="A137" s="18" t="s">
        <v>21</v>
      </c>
      <c r="B137" s="19"/>
      <c r="C137" s="16" t="s">
        <v>19</v>
      </c>
      <c r="D137" s="20">
        <f>[46]TR!D33</f>
        <v>0.98880000000000001</v>
      </c>
      <c r="E137" s="20">
        <f>[46]TR!E33</f>
        <v>0.9587</v>
      </c>
      <c r="F137" s="20">
        <f>[46]TR!F33</f>
        <v>0.91879999999999995</v>
      </c>
      <c r="G137" s="20">
        <f>[46]TR!G33</f>
        <v>1.0462</v>
      </c>
      <c r="H137" s="20">
        <f>[46]TR!H33</f>
        <v>0.98980000000000001</v>
      </c>
      <c r="I137" s="20">
        <f>[46]TR!I33</f>
        <v>0.87909999999999999</v>
      </c>
      <c r="J137" s="20">
        <f>[46]TR!J33</f>
        <v>0.86380000000000001</v>
      </c>
      <c r="K137" s="20">
        <f>[46]TR!K33</f>
        <v>0.79469999999999996</v>
      </c>
      <c r="L137" s="20">
        <f>[46]TR!L33</f>
        <v>0.74719999999999998</v>
      </c>
      <c r="M137" s="20">
        <f>[46]TR!M33</f>
        <v>0.74739999999999995</v>
      </c>
      <c r="N137" s="20">
        <f>[46]TR!N33</f>
        <v>0.7681</v>
      </c>
      <c r="O137" s="20">
        <f>[46]TR!O33</f>
        <v>0.7681</v>
      </c>
      <c r="P137" s="20">
        <f>[46]TR!P33</f>
        <v>0</v>
      </c>
    </row>
    <row r="138" spans="1:16" ht="14.4" x14ac:dyDescent="0.3">
      <c r="A138" s="18" t="s">
        <v>22</v>
      </c>
      <c r="B138" s="19"/>
      <c r="C138" s="16" t="s">
        <v>23</v>
      </c>
      <c r="D138" s="23">
        <v>0</v>
      </c>
      <c r="E138" s="23">
        <v>0</v>
      </c>
      <c r="F138" s="23">
        <v>0</v>
      </c>
      <c r="G138" s="23">
        <v>0</v>
      </c>
      <c r="H138" s="23">
        <v>0</v>
      </c>
      <c r="I138" s="23">
        <v>0</v>
      </c>
      <c r="J138" s="23">
        <v>0</v>
      </c>
      <c r="K138" s="23">
        <v>0</v>
      </c>
      <c r="L138" s="23">
        <v>0</v>
      </c>
      <c r="M138" s="23">
        <v>0</v>
      </c>
      <c r="N138" s="23">
        <v>0</v>
      </c>
      <c r="O138" s="23">
        <v>0</v>
      </c>
      <c r="P138" s="23">
        <v>0</v>
      </c>
    </row>
    <row r="139" spans="1:16" ht="14.4" x14ac:dyDescent="0.3">
      <c r="A139" s="14" t="s">
        <v>24</v>
      </c>
      <c r="B139" s="15"/>
      <c r="C139" s="16"/>
      <c r="D139" s="53"/>
      <c r="E139" s="53"/>
      <c r="F139" s="53"/>
      <c r="G139" s="53"/>
      <c r="H139" s="53"/>
      <c r="I139" s="53"/>
      <c r="J139" s="53"/>
      <c r="K139" s="53"/>
      <c r="L139" s="53"/>
      <c r="M139" s="53"/>
      <c r="N139" s="53"/>
      <c r="O139" s="53"/>
      <c r="P139" s="53"/>
    </row>
    <row r="140" spans="1:16" ht="14.4" x14ac:dyDescent="0.3">
      <c r="A140" s="18" t="s">
        <v>25</v>
      </c>
      <c r="B140" s="19"/>
      <c r="C140" s="16" t="s">
        <v>19</v>
      </c>
      <c r="D140" s="20">
        <f>[46]SLR!D66</f>
        <v>0.39779999999999999</v>
      </c>
      <c r="E140" s="20">
        <f>[46]SLR!E66</f>
        <v>0.44869999999999999</v>
      </c>
      <c r="F140" s="20">
        <f>[46]SLR!F66</f>
        <v>0.51160000000000005</v>
      </c>
      <c r="G140" s="20">
        <f>[46]SLR!G66</f>
        <v>0.51719999999999999</v>
      </c>
      <c r="H140" s="20">
        <f>[46]SLR!H66</f>
        <v>0.4844</v>
      </c>
      <c r="I140" s="20">
        <f>[46]SLR!I66</f>
        <v>0.46600000000000003</v>
      </c>
      <c r="J140" s="20">
        <f>[46]SLR!J66</f>
        <v>0.46960000000000002</v>
      </c>
      <c r="K140" s="20">
        <f>[46]SLR!K66</f>
        <v>0.46300000000000002</v>
      </c>
      <c r="L140" s="20">
        <f>[46]SLR!L66</f>
        <v>0.45179999999999998</v>
      </c>
      <c r="M140" s="20">
        <f>[46]SLR!M66</f>
        <v>0.44700000000000001</v>
      </c>
      <c r="N140" s="20">
        <f>[46]SLR!N66</f>
        <v>0.46250000000000002</v>
      </c>
      <c r="O140" s="20">
        <f>[46]SLR!O66</f>
        <v>0.4647</v>
      </c>
      <c r="P140" s="20">
        <f>[46]SLR!P66</f>
        <v>0</v>
      </c>
    </row>
    <row r="141" spans="1:16" ht="14.4" x14ac:dyDescent="0.3">
      <c r="A141" s="14" t="s">
        <v>26</v>
      </c>
      <c r="B141" s="14"/>
      <c r="C141" s="16"/>
      <c r="D141" s="54"/>
      <c r="E141" s="54"/>
      <c r="F141" s="54"/>
      <c r="G141" s="54"/>
      <c r="H141" s="54"/>
      <c r="I141" s="54"/>
      <c r="J141" s="54"/>
      <c r="K141" s="54"/>
      <c r="L141" s="54"/>
      <c r="M141" s="54"/>
      <c r="N141" s="54"/>
      <c r="O141" s="54"/>
      <c r="P141" s="54"/>
    </row>
    <row r="142" spans="1:16" ht="14.4" x14ac:dyDescent="0.3">
      <c r="A142" s="18" t="s">
        <v>27</v>
      </c>
      <c r="B142" s="18"/>
      <c r="C142" s="16" t="s">
        <v>19</v>
      </c>
      <c r="D142" s="20">
        <v>0.86670000000000003</v>
      </c>
      <c r="E142" s="20">
        <v>0.86670000000000003</v>
      </c>
      <c r="F142" s="20">
        <v>0.86670000000000003</v>
      </c>
      <c r="G142" s="20">
        <v>0.86670000000000003</v>
      </c>
      <c r="H142" s="20">
        <v>0.86670000000000003</v>
      </c>
      <c r="I142" s="20">
        <v>0.86670000000000003</v>
      </c>
      <c r="J142" s="20">
        <v>0.86670000000000003</v>
      </c>
      <c r="K142" s="20">
        <v>0.86670000000000003</v>
      </c>
      <c r="L142" s="20">
        <v>0.86670000000000003</v>
      </c>
      <c r="M142" s="20">
        <v>0.86670000000000003</v>
      </c>
      <c r="N142" s="20">
        <v>0.86670000000000003</v>
      </c>
      <c r="O142" s="20">
        <v>0.86670000000000003</v>
      </c>
      <c r="P142" s="20">
        <v>0.86670000000000003</v>
      </c>
    </row>
    <row r="143" spans="1:16" ht="14.4" x14ac:dyDescent="0.3">
      <c r="A143" s="18" t="s">
        <v>28</v>
      </c>
      <c r="B143" s="18"/>
      <c r="C143" s="16" t="s">
        <v>23</v>
      </c>
      <c r="D143" s="23">
        <v>0</v>
      </c>
      <c r="E143" s="23">
        <v>0</v>
      </c>
      <c r="F143" s="23">
        <v>0</v>
      </c>
      <c r="G143" s="23">
        <v>0</v>
      </c>
      <c r="H143" s="23">
        <v>0</v>
      </c>
      <c r="I143" s="23">
        <v>0</v>
      </c>
      <c r="J143" s="23">
        <v>0</v>
      </c>
      <c r="K143" s="23">
        <v>0</v>
      </c>
      <c r="L143" s="23">
        <v>0</v>
      </c>
      <c r="M143" s="23">
        <v>0</v>
      </c>
      <c r="N143" s="23">
        <v>0</v>
      </c>
      <c r="O143" s="23">
        <v>0</v>
      </c>
      <c r="P143" s="23">
        <v>0</v>
      </c>
    </row>
    <row r="144" spans="1:16" ht="14.4" x14ac:dyDescent="0.3">
      <c r="A144" s="14" t="s">
        <v>29</v>
      </c>
      <c r="B144" s="14"/>
      <c r="C144" s="16"/>
      <c r="D144" s="24"/>
      <c r="E144" s="24"/>
      <c r="F144" s="24"/>
      <c r="G144" s="24"/>
      <c r="H144" s="24"/>
      <c r="I144" s="24"/>
      <c r="J144" s="24"/>
      <c r="K144" s="24"/>
      <c r="L144" s="24"/>
      <c r="M144" s="24"/>
      <c r="N144" s="24"/>
      <c r="O144" s="24"/>
      <c r="P144" s="24"/>
    </row>
    <row r="145" spans="1:16" ht="14.4" x14ac:dyDescent="0.3">
      <c r="A145" s="18" t="s">
        <v>30</v>
      </c>
      <c r="B145" s="18"/>
      <c r="C145" s="16" t="s">
        <v>19</v>
      </c>
      <c r="D145" s="20">
        <v>0</v>
      </c>
      <c r="E145" s="20">
        <v>0</v>
      </c>
      <c r="F145" s="20">
        <v>0</v>
      </c>
      <c r="G145" s="20">
        <v>0</v>
      </c>
      <c r="H145" s="20">
        <v>0</v>
      </c>
      <c r="I145" s="20">
        <v>0</v>
      </c>
      <c r="J145" s="20">
        <v>0</v>
      </c>
      <c r="K145" s="20">
        <v>0</v>
      </c>
      <c r="L145" s="20">
        <v>0</v>
      </c>
      <c r="M145" s="20">
        <v>0</v>
      </c>
      <c r="N145" s="20">
        <v>0</v>
      </c>
      <c r="O145" s="20">
        <v>0</v>
      </c>
      <c r="P145" s="20">
        <v>0</v>
      </c>
    </row>
    <row r="146" spans="1:16" ht="14.4" x14ac:dyDescent="0.3">
      <c r="A146" s="18" t="s">
        <v>31</v>
      </c>
      <c r="B146" s="18"/>
      <c r="C146" s="16" t="s">
        <v>32</v>
      </c>
      <c r="D146" s="23">
        <v>278.58999999999997</v>
      </c>
      <c r="E146" s="23">
        <v>278.58999999999997</v>
      </c>
      <c r="F146" s="23">
        <v>278.58999999999997</v>
      </c>
      <c r="G146" s="23">
        <v>278.58999999999997</v>
      </c>
      <c r="H146" s="23">
        <v>278.58999999999997</v>
      </c>
      <c r="I146" s="23">
        <v>278.58999999999997</v>
      </c>
      <c r="J146" s="23">
        <v>278.58999999999997</v>
      </c>
      <c r="K146" s="23">
        <v>278.58999999999997</v>
      </c>
      <c r="L146" s="23">
        <v>278.58999999999997</v>
      </c>
      <c r="M146" s="23">
        <v>278.58999999999997</v>
      </c>
      <c r="N146" s="23">
        <v>278.58999999999997</v>
      </c>
      <c r="O146" s="23">
        <v>278.58999999999997</v>
      </c>
      <c r="P146" s="23">
        <v>278.58999999999997</v>
      </c>
    </row>
    <row r="147" spans="1:16" ht="14.4" x14ac:dyDescent="0.3">
      <c r="A147" s="14" t="s">
        <v>33</v>
      </c>
      <c r="B147" s="14"/>
      <c r="C147" s="16"/>
      <c r="D147" s="24"/>
      <c r="E147" s="24"/>
      <c r="F147" s="24"/>
      <c r="G147" s="24"/>
      <c r="H147" s="24"/>
      <c r="I147" s="24"/>
      <c r="J147" s="24"/>
      <c r="K147" s="24"/>
      <c r="L147" s="24"/>
      <c r="M147" s="24"/>
      <c r="N147" s="24"/>
      <c r="O147" s="24"/>
      <c r="P147" s="24"/>
    </row>
    <row r="148" spans="1:16" ht="14.4" x14ac:dyDescent="0.3">
      <c r="A148" s="18" t="s">
        <v>34</v>
      </c>
      <c r="B148" s="18"/>
      <c r="C148" s="16" t="s">
        <v>19</v>
      </c>
      <c r="D148" s="20">
        <v>0</v>
      </c>
      <c r="E148" s="20">
        <v>0</v>
      </c>
      <c r="F148" s="20">
        <v>0</v>
      </c>
      <c r="G148" s="20">
        <v>0</v>
      </c>
      <c r="H148" s="20">
        <v>0</v>
      </c>
      <c r="I148" s="20">
        <v>0</v>
      </c>
      <c r="J148" s="20">
        <v>0</v>
      </c>
      <c r="K148" s="20">
        <v>0</v>
      </c>
      <c r="L148" s="20">
        <v>0</v>
      </c>
      <c r="M148" s="20">
        <v>0</v>
      </c>
      <c r="N148" s="20">
        <v>0</v>
      </c>
      <c r="O148" s="20">
        <v>0</v>
      </c>
      <c r="P148" s="20">
        <v>0</v>
      </c>
    </row>
    <row r="149" spans="1:16" ht="14.4" x14ac:dyDescent="0.3">
      <c r="A149" s="18" t="s">
        <v>35</v>
      </c>
      <c r="B149" s="18"/>
      <c r="C149" s="16" t="s">
        <v>36</v>
      </c>
      <c r="D149" s="23">
        <v>278.45999999999998</v>
      </c>
      <c r="E149" s="23">
        <v>278.45999999999998</v>
      </c>
      <c r="F149" s="23">
        <v>278.45999999999998</v>
      </c>
      <c r="G149" s="23">
        <v>278.45999999999998</v>
      </c>
      <c r="H149" s="23">
        <v>278.45999999999998</v>
      </c>
      <c r="I149" s="23">
        <v>278.45999999999998</v>
      </c>
      <c r="J149" s="23">
        <v>278.45999999999998</v>
      </c>
      <c r="K149" s="23">
        <v>278.45999999999998</v>
      </c>
      <c r="L149" s="23">
        <v>278.45999999999998</v>
      </c>
      <c r="M149" s="23">
        <v>278.45999999999998</v>
      </c>
      <c r="N149" s="23">
        <v>278.45999999999998</v>
      </c>
      <c r="O149" s="23">
        <v>278.45999999999998</v>
      </c>
      <c r="P149" s="23">
        <v>278.45999999999998</v>
      </c>
    </row>
    <row r="150" spans="1:16" ht="14.4" x14ac:dyDescent="0.3">
      <c r="A150" s="14" t="s">
        <v>37</v>
      </c>
      <c r="B150" s="14"/>
      <c r="C150" s="16"/>
      <c r="D150" s="24"/>
      <c r="E150" s="24"/>
      <c r="F150" s="24"/>
      <c r="G150" s="24"/>
      <c r="H150" s="24"/>
      <c r="I150" s="24"/>
      <c r="J150" s="24"/>
      <c r="K150" s="24"/>
      <c r="L150" s="24"/>
      <c r="M150" s="24"/>
      <c r="N150" s="24"/>
      <c r="O150" s="24"/>
      <c r="P150" s="24"/>
    </row>
    <row r="151" spans="1:16" ht="14.4" x14ac:dyDescent="0.3">
      <c r="A151" s="25" t="s">
        <v>38</v>
      </c>
      <c r="B151" s="18"/>
      <c r="C151" s="16" t="s">
        <v>19</v>
      </c>
      <c r="D151" s="20">
        <f>[46]LD!D28</f>
        <v>9.1399999999999995E-2</v>
      </c>
      <c r="E151" s="20">
        <f>[46]LD!E28</f>
        <v>9.5899999999999999E-2</v>
      </c>
      <c r="F151" s="20">
        <f>[46]LD!F28</f>
        <v>9.98E-2</v>
      </c>
      <c r="G151" s="20">
        <f>[46]LD!G28</f>
        <v>0.1115</v>
      </c>
      <c r="H151" s="20">
        <f>[46]LD!H28</f>
        <v>9.4399999999999998E-2</v>
      </c>
      <c r="I151" s="20">
        <f>[46]LD!I28</f>
        <v>7.4099999999999999E-2</v>
      </c>
      <c r="J151" s="20">
        <f>[46]LD!J28</f>
        <v>7.0900000000000005E-2</v>
      </c>
      <c r="K151" s="20">
        <f>[46]LD!K28</f>
        <v>8.9300000000000004E-2</v>
      </c>
      <c r="L151" s="20">
        <f>[46]LD!L28</f>
        <v>8.8800000000000004E-2</v>
      </c>
      <c r="M151" s="20">
        <f>[46]LD!M28</f>
        <v>8.5500000000000007E-2</v>
      </c>
      <c r="N151" s="20">
        <f>[46]LD!N28</f>
        <v>8.4099999999999994E-2</v>
      </c>
      <c r="O151" s="20">
        <f>[46]LD!O28</f>
        <v>8.5300000000000001E-2</v>
      </c>
      <c r="P151" s="20">
        <f>[46]LD!P28</f>
        <v>0</v>
      </c>
    </row>
    <row r="152" spans="1:16" ht="14.4" x14ac:dyDescent="0.3">
      <c r="A152" s="25" t="s">
        <v>39</v>
      </c>
      <c r="B152" s="18"/>
      <c r="C152" s="16" t="s">
        <v>19</v>
      </c>
      <c r="D152" s="20">
        <v>0</v>
      </c>
      <c r="E152" s="20">
        <v>0</v>
      </c>
      <c r="F152" s="20">
        <v>0</v>
      </c>
      <c r="G152" s="20">
        <v>0</v>
      </c>
      <c r="H152" s="20">
        <v>0</v>
      </c>
      <c r="I152" s="20">
        <v>0</v>
      </c>
      <c r="J152" s="20">
        <v>0</v>
      </c>
      <c r="K152" s="20">
        <v>0</v>
      </c>
      <c r="L152" s="20">
        <v>0</v>
      </c>
      <c r="M152" s="20">
        <v>0</v>
      </c>
      <c r="N152" s="20">
        <v>0</v>
      </c>
      <c r="O152" s="20">
        <v>0</v>
      </c>
      <c r="P152" s="20">
        <v>0</v>
      </c>
    </row>
    <row r="153" spans="1:16" ht="14.4" x14ac:dyDescent="0.3">
      <c r="A153" s="26" t="s">
        <v>40</v>
      </c>
      <c r="B153" s="18"/>
      <c r="C153" s="16" t="s">
        <v>19</v>
      </c>
      <c r="D153" s="20">
        <f>'[46]SR CIT. SUBSIDY'!D107</f>
        <v>7.2836751367259784E-5</v>
      </c>
      <c r="E153" s="20">
        <f>'[46]SR CIT. SUBSIDY'!E107</f>
        <v>6.8004836608513296E-5</v>
      </c>
      <c r="F153" s="20">
        <f>'[46]SR CIT. SUBSIDY'!F107</f>
        <v>7.2021362364614477E-5</v>
      </c>
      <c r="G153" s="20">
        <f>'[46]SR CIT. SUBSIDY'!G107</f>
        <v>8.1837879774750537E-5</v>
      </c>
      <c r="H153" s="20">
        <f>'[46]SR CIT. SUBSIDY'!H107</f>
        <v>7.798204750191218E-5</v>
      </c>
      <c r="I153" s="20">
        <f>'[46]SR CIT. SUBSIDY'!I107</f>
        <v>7.6128332588525541E-5</v>
      </c>
      <c r="J153" s="20">
        <f>'[46]SR CIT. SUBSIDY'!J107</f>
        <v>6.9450356116585135E-5</v>
      </c>
      <c r="K153" s="20">
        <f>'[46]SR CIT. SUBSIDY'!K107</f>
        <v>7.4662532963556342E-5</v>
      </c>
      <c r="L153" s="20">
        <f>'[46]SR CIT. SUBSIDY'!L107</f>
        <v>7.2670454347697154E-5</v>
      </c>
      <c r="M153" s="20">
        <f>'[46]SR CIT. SUBSIDY'!M107</f>
        <v>7.4480298623008149E-5</v>
      </c>
      <c r="N153" s="20">
        <f>'[46]SR CIT. SUBSIDY'!N107</f>
        <v>7.360094464671045E-5</v>
      </c>
      <c r="O153" s="20">
        <f>'[46]SR CIT. SUBSIDY'!O107</f>
        <v>7.9518678198181161E-5</v>
      </c>
      <c r="P153" s="20">
        <f>'[46]SR CIT. SUBSIDY'!P107</f>
        <v>0</v>
      </c>
    </row>
    <row r="154" spans="1:16" ht="14.4" x14ac:dyDescent="0.3">
      <c r="A154" s="26" t="s">
        <v>41</v>
      </c>
      <c r="B154" s="18"/>
      <c r="C154" s="16" t="s">
        <v>19</v>
      </c>
      <c r="D154" s="20">
        <v>0</v>
      </c>
      <c r="E154" s="20">
        <v>0</v>
      </c>
      <c r="F154" s="20">
        <v>0</v>
      </c>
      <c r="G154" s="20">
        <v>0</v>
      </c>
      <c r="H154" s="20">
        <v>0</v>
      </c>
      <c r="I154" s="20">
        <v>0</v>
      </c>
      <c r="J154" s="20">
        <v>0</v>
      </c>
      <c r="K154" s="20">
        <v>0</v>
      </c>
      <c r="L154" s="20">
        <v>0</v>
      </c>
      <c r="M154" s="20">
        <v>0</v>
      </c>
      <c r="N154" s="20">
        <v>0</v>
      </c>
      <c r="O154" s="20">
        <v>0</v>
      </c>
      <c r="P154" s="20">
        <v>0</v>
      </c>
    </row>
    <row r="155" spans="1:16" ht="14.4" x14ac:dyDescent="0.3">
      <c r="A155" s="14" t="s">
        <v>42</v>
      </c>
      <c r="B155" s="14"/>
      <c r="C155" s="16"/>
      <c r="D155" s="24"/>
      <c r="E155" s="24"/>
      <c r="F155" s="24"/>
      <c r="G155" s="24"/>
      <c r="H155" s="24"/>
      <c r="I155" s="24"/>
      <c r="J155" s="24"/>
      <c r="K155" s="24"/>
      <c r="L155" s="24"/>
      <c r="M155" s="24"/>
      <c r="N155" s="24"/>
      <c r="O155" s="24"/>
      <c r="P155" s="24"/>
    </row>
    <row r="156" spans="1:16" ht="14.4" x14ac:dyDescent="0.3">
      <c r="A156" s="14" t="s">
        <v>43</v>
      </c>
      <c r="B156" s="14"/>
      <c r="C156" s="16" t="s">
        <v>44</v>
      </c>
      <c r="D156" s="27"/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</row>
    <row r="157" spans="1:16" ht="14.4" x14ac:dyDescent="0.3">
      <c r="A157" s="14" t="s">
        <v>45</v>
      </c>
      <c r="B157" s="14"/>
      <c r="C157" s="16"/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</row>
    <row r="158" spans="1:16" ht="14.4" x14ac:dyDescent="0.3">
      <c r="A158" s="14" t="s">
        <v>46</v>
      </c>
      <c r="B158" s="14"/>
      <c r="C158" s="16" t="s">
        <v>19</v>
      </c>
      <c r="D158" s="20">
        <v>0</v>
      </c>
      <c r="E158" s="20">
        <v>0</v>
      </c>
      <c r="F158" s="20">
        <v>0</v>
      </c>
      <c r="G158" s="20">
        <v>0</v>
      </c>
      <c r="H158" s="20">
        <v>0</v>
      </c>
      <c r="I158" s="20">
        <v>0</v>
      </c>
      <c r="J158" s="20">
        <v>0</v>
      </c>
      <c r="K158" s="20">
        <v>0</v>
      </c>
      <c r="L158" s="20">
        <v>0</v>
      </c>
      <c r="M158" s="20">
        <v>0</v>
      </c>
      <c r="N158" s="20">
        <v>0</v>
      </c>
      <c r="O158" s="20">
        <v>0</v>
      </c>
      <c r="P158" s="20">
        <v>0</v>
      </c>
    </row>
    <row r="159" spans="1:16" ht="14.4" x14ac:dyDescent="0.3">
      <c r="A159" s="14" t="s">
        <v>47</v>
      </c>
      <c r="B159" s="14"/>
      <c r="C159" s="16"/>
      <c r="D159" s="24"/>
      <c r="E159" s="24"/>
      <c r="F159" s="24"/>
      <c r="G159" s="24"/>
      <c r="H159" s="24"/>
      <c r="I159" s="24"/>
      <c r="J159" s="24"/>
      <c r="K159" s="24"/>
      <c r="L159" s="24"/>
      <c r="M159" s="24"/>
      <c r="N159" s="24"/>
      <c r="O159" s="24"/>
      <c r="P159" s="24"/>
    </row>
    <row r="160" spans="1:16" ht="14.4" x14ac:dyDescent="0.3">
      <c r="A160" s="18" t="s">
        <v>48</v>
      </c>
      <c r="B160" s="18"/>
      <c r="C160" s="16" t="s">
        <v>19</v>
      </c>
      <c r="D160" s="20">
        <f t="shared" ref="D160:P164" si="11">D118</f>
        <v>0.15609999999999999</v>
      </c>
      <c r="E160" s="20">
        <f t="shared" si="11"/>
        <v>0.15609999999999999</v>
      </c>
      <c r="F160" s="20">
        <f t="shared" si="11"/>
        <v>0.15609999999999999</v>
      </c>
      <c r="G160" s="20">
        <f t="shared" si="11"/>
        <v>0.15609999999999999</v>
      </c>
      <c r="H160" s="20">
        <f t="shared" si="11"/>
        <v>0.15609999999999999</v>
      </c>
      <c r="I160" s="20">
        <f t="shared" si="11"/>
        <v>0.15609999999999999</v>
      </c>
      <c r="J160" s="20">
        <f t="shared" si="11"/>
        <v>0.15609999999999999</v>
      </c>
      <c r="K160" s="20">
        <f t="shared" si="11"/>
        <v>0.15609999999999999</v>
      </c>
      <c r="L160" s="20">
        <f t="shared" si="11"/>
        <v>0.15609999999999999</v>
      </c>
      <c r="M160" s="20">
        <f t="shared" si="11"/>
        <v>0.15609999999999999</v>
      </c>
      <c r="N160" s="20">
        <f t="shared" si="11"/>
        <v>0.15609999999999999</v>
      </c>
      <c r="O160" s="20">
        <f t="shared" si="11"/>
        <v>0.15609999999999999</v>
      </c>
      <c r="P160" s="20">
        <f t="shared" si="11"/>
        <v>0.15609999999999999</v>
      </c>
    </row>
    <row r="161" spans="1:16" ht="14.4" x14ac:dyDescent="0.3">
      <c r="A161" s="18" t="s">
        <v>49</v>
      </c>
      <c r="B161" s="18"/>
      <c r="C161" s="16" t="s">
        <v>19</v>
      </c>
      <c r="D161" s="20">
        <f t="shared" si="11"/>
        <v>2.5000000000000001E-3</v>
      </c>
      <c r="E161" s="20">
        <f t="shared" si="11"/>
        <v>2.5000000000000001E-3</v>
      </c>
      <c r="F161" s="20">
        <f t="shared" si="11"/>
        <v>2.5000000000000001E-3</v>
      </c>
      <c r="G161" s="20">
        <f t="shared" si="11"/>
        <v>2.5000000000000001E-3</v>
      </c>
      <c r="H161" s="20">
        <f t="shared" si="11"/>
        <v>2.5000000000000001E-3</v>
      </c>
      <c r="I161" s="20">
        <f t="shared" si="11"/>
        <v>2.5000000000000001E-3</v>
      </c>
      <c r="J161" s="20">
        <f t="shared" si="11"/>
        <v>2.5000000000000001E-3</v>
      </c>
      <c r="K161" s="20">
        <f t="shared" si="11"/>
        <v>2.5000000000000001E-3</v>
      </c>
      <c r="L161" s="20">
        <f t="shared" si="11"/>
        <v>2.5000000000000001E-3</v>
      </c>
      <c r="M161" s="20">
        <f t="shared" si="11"/>
        <v>2.5000000000000001E-3</v>
      </c>
      <c r="N161" s="20">
        <f t="shared" si="11"/>
        <v>2.5000000000000001E-3</v>
      </c>
      <c r="O161" s="20">
        <f t="shared" si="11"/>
        <v>2.5000000000000001E-3</v>
      </c>
      <c r="P161" s="20">
        <f t="shared" si="11"/>
        <v>2.5000000000000001E-3</v>
      </c>
    </row>
    <row r="162" spans="1:16" ht="14.4" x14ac:dyDescent="0.3">
      <c r="A162" s="18" t="s">
        <v>111</v>
      </c>
      <c r="B162" s="18"/>
      <c r="C162" s="16" t="s">
        <v>19</v>
      </c>
      <c r="D162" s="20">
        <f t="shared" si="11"/>
        <v>0.1938</v>
      </c>
      <c r="E162" s="20">
        <f t="shared" si="11"/>
        <v>0.1938</v>
      </c>
      <c r="F162" s="20">
        <f t="shared" si="11"/>
        <v>0.1938</v>
      </c>
      <c r="G162" s="20">
        <f t="shared" si="11"/>
        <v>0.1938</v>
      </c>
      <c r="H162" s="20">
        <f t="shared" si="11"/>
        <v>0.1938</v>
      </c>
      <c r="I162" s="20">
        <f t="shared" si="11"/>
        <v>0.1938</v>
      </c>
      <c r="J162" s="20">
        <f t="shared" si="11"/>
        <v>0.1938</v>
      </c>
      <c r="K162" s="20">
        <f t="shared" si="11"/>
        <v>0.1938</v>
      </c>
      <c r="L162" s="20">
        <f t="shared" si="11"/>
        <v>0.1938</v>
      </c>
      <c r="M162" s="20">
        <f t="shared" si="11"/>
        <v>0.1938</v>
      </c>
      <c r="N162" s="20">
        <f t="shared" si="11"/>
        <v>0.1938</v>
      </c>
      <c r="O162" s="20">
        <f t="shared" si="11"/>
        <v>0.1938</v>
      </c>
      <c r="P162" s="20">
        <f t="shared" si="11"/>
        <v>0.1938</v>
      </c>
    </row>
    <row r="163" spans="1:16" ht="14.4" x14ac:dyDescent="0.3">
      <c r="A163" s="18" t="s">
        <v>112</v>
      </c>
      <c r="B163" s="18"/>
      <c r="C163" s="16" t="s">
        <v>19</v>
      </c>
      <c r="D163" s="42">
        <f>D121</f>
        <v>2.6499999999999999E-2</v>
      </c>
      <c r="E163" s="42">
        <f t="shared" si="11"/>
        <v>2.6499999999999999E-2</v>
      </c>
      <c r="F163" s="42">
        <f t="shared" si="11"/>
        <v>2.6499999999999999E-2</v>
      </c>
      <c r="G163" s="42">
        <f t="shared" si="11"/>
        <v>2.6499999999999999E-2</v>
      </c>
      <c r="H163" s="42">
        <f t="shared" si="11"/>
        <v>2.6499999999999999E-2</v>
      </c>
      <c r="I163" s="42">
        <f t="shared" si="11"/>
        <v>2.6499999999999999E-2</v>
      </c>
      <c r="J163" s="42">
        <f t="shared" si="11"/>
        <v>2.6499999999999999E-2</v>
      </c>
      <c r="K163" s="42">
        <f t="shared" si="11"/>
        <v>2.6499999999999999E-2</v>
      </c>
      <c r="L163" s="42">
        <f t="shared" si="11"/>
        <v>2.6499999999999999E-2</v>
      </c>
      <c r="M163" s="42">
        <f t="shared" si="11"/>
        <v>2.6499999999999999E-2</v>
      </c>
      <c r="N163" s="42">
        <f t="shared" si="11"/>
        <v>2.6499999999999999E-2</v>
      </c>
      <c r="O163" s="42">
        <f t="shared" si="11"/>
        <v>2.6499999999999999E-2</v>
      </c>
      <c r="P163" s="42">
        <f t="shared" si="11"/>
        <v>2.6499999999999999E-2</v>
      </c>
    </row>
    <row r="164" spans="1:16" ht="14.4" x14ac:dyDescent="0.3">
      <c r="A164" s="14" t="s">
        <v>51</v>
      </c>
      <c r="B164" s="14"/>
      <c r="C164" s="16" t="s">
        <v>19</v>
      </c>
      <c r="D164" s="20">
        <f>D122</f>
        <v>0.183</v>
      </c>
      <c r="E164" s="20">
        <f t="shared" si="11"/>
        <v>0.183</v>
      </c>
      <c r="F164" s="20">
        <f t="shared" si="11"/>
        <v>0.183</v>
      </c>
      <c r="G164" s="20">
        <f t="shared" si="11"/>
        <v>0.183</v>
      </c>
      <c r="H164" s="20">
        <f t="shared" si="11"/>
        <v>0.183</v>
      </c>
      <c r="I164" s="20">
        <f t="shared" si="11"/>
        <v>0.25629999999999997</v>
      </c>
      <c r="J164" s="20">
        <f t="shared" si="11"/>
        <v>0.25629999999999997</v>
      </c>
      <c r="K164" s="20">
        <f t="shared" si="11"/>
        <v>0.25629999999999997</v>
      </c>
      <c r="L164" s="20">
        <f t="shared" si="11"/>
        <v>0.25629999999999997</v>
      </c>
      <c r="M164" s="20">
        <f t="shared" si="11"/>
        <v>0.25629999999999997</v>
      </c>
      <c r="N164" s="20">
        <f t="shared" si="11"/>
        <v>0.25629999999999997</v>
      </c>
      <c r="O164" s="20">
        <f t="shared" si="11"/>
        <v>0.25629999999999997</v>
      </c>
      <c r="P164" s="20">
        <f t="shared" si="11"/>
        <v>0.25629999999999997</v>
      </c>
    </row>
    <row r="165" spans="1:16" ht="14.4" x14ac:dyDescent="0.3">
      <c r="A165" s="14" t="s">
        <v>52</v>
      </c>
      <c r="B165" s="14"/>
      <c r="C165" s="29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</row>
    <row r="166" spans="1:16" ht="14.4" x14ac:dyDescent="0.3">
      <c r="A166" s="18" t="s">
        <v>53</v>
      </c>
      <c r="B166" s="18"/>
      <c r="C166" s="16" t="s">
        <v>44</v>
      </c>
      <c r="D166" s="30">
        <f t="shared" ref="D166:P170" si="12">D124</f>
        <v>0.1082</v>
      </c>
      <c r="E166" s="30">
        <f t="shared" si="12"/>
        <v>0.1134</v>
      </c>
      <c r="F166" s="30">
        <f t="shared" si="12"/>
        <v>0.111</v>
      </c>
      <c r="G166" s="30">
        <f t="shared" si="12"/>
        <v>0.11070000000000001</v>
      </c>
      <c r="H166" s="30">
        <f t="shared" si="12"/>
        <v>0.10920000000000001</v>
      </c>
      <c r="I166" s="30">
        <f t="shared" si="12"/>
        <v>0.1129</v>
      </c>
      <c r="J166" s="30">
        <f t="shared" si="12"/>
        <v>0.1123</v>
      </c>
      <c r="K166" s="30">
        <f t="shared" si="12"/>
        <v>0.1137</v>
      </c>
      <c r="L166" s="30">
        <f t="shared" si="12"/>
        <v>0.1116</v>
      </c>
      <c r="M166" s="30">
        <f t="shared" si="12"/>
        <v>0.10979999999999999</v>
      </c>
      <c r="N166" s="30">
        <f t="shared" si="12"/>
        <v>0.1111</v>
      </c>
      <c r="O166" s="30">
        <f t="shared" si="12"/>
        <v>0.1119</v>
      </c>
      <c r="P166" s="30" t="e">
        <f t="shared" si="12"/>
        <v>#DIV/0!</v>
      </c>
    </row>
    <row r="167" spans="1:16" ht="14.4" x14ac:dyDescent="0.3">
      <c r="A167" s="18" t="s">
        <v>54</v>
      </c>
      <c r="B167" s="18"/>
      <c r="C167" s="16" t="s">
        <v>44</v>
      </c>
      <c r="D167" s="30">
        <f t="shared" si="12"/>
        <v>2.24E-2</v>
      </c>
      <c r="E167" s="30">
        <f t="shared" si="12"/>
        <v>8.6099999999999996E-2</v>
      </c>
      <c r="F167" s="30">
        <f t="shared" si="12"/>
        <v>0.1036</v>
      </c>
      <c r="G167" s="30">
        <f t="shared" si="12"/>
        <v>0.10589999999999999</v>
      </c>
      <c r="H167" s="30">
        <f t="shared" si="12"/>
        <v>0.10730000000000001</v>
      </c>
      <c r="I167" s="30">
        <f t="shared" si="12"/>
        <v>0.1052</v>
      </c>
      <c r="J167" s="30">
        <f t="shared" si="12"/>
        <v>0.1056</v>
      </c>
      <c r="K167" s="30">
        <f t="shared" si="12"/>
        <v>0.106</v>
      </c>
      <c r="L167" s="30">
        <f t="shared" si="12"/>
        <v>0.10340000000000001</v>
      </c>
      <c r="M167" s="30">
        <f t="shared" si="12"/>
        <v>0.1046</v>
      </c>
      <c r="N167" s="30">
        <f t="shared" si="12"/>
        <v>0.1004</v>
      </c>
      <c r="O167" s="30">
        <f t="shared" si="12"/>
        <v>9.8500000000000004E-2</v>
      </c>
      <c r="P167" s="30" t="e">
        <f t="shared" si="12"/>
        <v>#DIV/0!</v>
      </c>
    </row>
    <row r="168" spans="1:16" ht="14.4" x14ac:dyDescent="0.3">
      <c r="A168" s="18" t="s">
        <v>55</v>
      </c>
      <c r="B168" s="18"/>
      <c r="C168" s="16" t="s">
        <v>44</v>
      </c>
      <c r="D168" s="30">
        <f t="shared" si="12"/>
        <v>9.3100000000000002E-2</v>
      </c>
      <c r="E168" s="30">
        <f t="shared" si="12"/>
        <v>0.10929999999999999</v>
      </c>
      <c r="F168" s="30">
        <f t="shared" si="12"/>
        <v>0.11</v>
      </c>
      <c r="G168" s="30">
        <f t="shared" si="12"/>
        <v>0.11</v>
      </c>
      <c r="H168" s="30">
        <f t="shared" si="12"/>
        <v>0.1089</v>
      </c>
      <c r="I168" s="30">
        <f t="shared" si="12"/>
        <v>0.1119</v>
      </c>
      <c r="J168" s="30">
        <f t="shared" si="12"/>
        <v>0.1115</v>
      </c>
      <c r="K168" s="30">
        <f t="shared" si="12"/>
        <v>0.1129</v>
      </c>
      <c r="L168" s="30">
        <f t="shared" si="12"/>
        <v>0.11070000000000001</v>
      </c>
      <c r="M168" s="30">
        <f t="shared" si="12"/>
        <v>0.10920000000000001</v>
      </c>
      <c r="N168" s="30">
        <f t="shared" si="12"/>
        <v>0.1099</v>
      </c>
      <c r="O168" s="30">
        <f t="shared" si="12"/>
        <v>0.1103</v>
      </c>
      <c r="P168" s="30" t="e">
        <f t="shared" si="12"/>
        <v>#DIV/0!</v>
      </c>
    </row>
    <row r="169" spans="1:16" ht="14.4" x14ac:dyDescent="0.3">
      <c r="A169" s="18" t="s">
        <v>56</v>
      </c>
      <c r="B169" s="18"/>
      <c r="C169" s="16" t="s">
        <v>44</v>
      </c>
      <c r="D169" s="30">
        <f t="shared" si="12"/>
        <v>0.12</v>
      </c>
      <c r="E169" s="30">
        <f t="shared" si="12"/>
        <v>0.12</v>
      </c>
      <c r="F169" s="30">
        <f t="shared" si="12"/>
        <v>0.12</v>
      </c>
      <c r="G169" s="30">
        <f t="shared" si="12"/>
        <v>0.12</v>
      </c>
      <c r="H169" s="30">
        <f t="shared" si="12"/>
        <v>0.12</v>
      </c>
      <c r="I169" s="30">
        <f t="shared" si="12"/>
        <v>0.12</v>
      </c>
      <c r="J169" s="30">
        <f t="shared" si="12"/>
        <v>0.12</v>
      </c>
      <c r="K169" s="30">
        <f t="shared" si="12"/>
        <v>0.12</v>
      </c>
      <c r="L169" s="30">
        <f t="shared" si="12"/>
        <v>0.12</v>
      </c>
      <c r="M169" s="30">
        <f t="shared" si="12"/>
        <v>0.12</v>
      </c>
      <c r="N169" s="30">
        <f t="shared" si="12"/>
        <v>0.12</v>
      </c>
      <c r="O169" s="30">
        <f t="shared" si="12"/>
        <v>0.12</v>
      </c>
      <c r="P169" s="30">
        <f t="shared" si="12"/>
        <v>0.12</v>
      </c>
    </row>
    <row r="170" spans="1:16" ht="14.4" x14ac:dyDescent="0.3">
      <c r="A170" s="18" t="s">
        <v>57</v>
      </c>
      <c r="B170" s="18"/>
      <c r="C170" s="16" t="s">
        <v>44</v>
      </c>
      <c r="D170" s="30">
        <f t="shared" si="12"/>
        <v>0.12</v>
      </c>
      <c r="E170" s="30">
        <f t="shared" si="12"/>
        <v>0.12</v>
      </c>
      <c r="F170" s="30">
        <f t="shared" si="12"/>
        <v>0.12</v>
      </c>
      <c r="G170" s="30">
        <f t="shared" si="12"/>
        <v>0.12</v>
      </c>
      <c r="H170" s="30">
        <f t="shared" si="12"/>
        <v>0.12</v>
      </c>
      <c r="I170" s="30">
        <f t="shared" si="12"/>
        <v>0.12</v>
      </c>
      <c r="J170" s="30">
        <f t="shared" si="12"/>
        <v>0.12</v>
      </c>
      <c r="K170" s="30">
        <f t="shared" si="12"/>
        <v>0.12</v>
      </c>
      <c r="L170" s="30">
        <f t="shared" si="12"/>
        <v>0.12</v>
      </c>
      <c r="M170" s="30">
        <f t="shared" si="12"/>
        <v>0.12</v>
      </c>
      <c r="N170" s="30">
        <f t="shared" si="12"/>
        <v>0.12</v>
      </c>
      <c r="O170" s="30">
        <f t="shared" si="12"/>
        <v>0.12</v>
      </c>
      <c r="P170" s="30">
        <f t="shared" si="12"/>
        <v>0.12</v>
      </c>
    </row>
    <row r="171" spans="1:16" s="5" customFormat="1" ht="14.4" x14ac:dyDescent="0.3">
      <c r="A171" s="55"/>
      <c r="B171" s="55"/>
      <c r="C171" s="56"/>
      <c r="D171" s="57"/>
      <c r="E171" s="57"/>
      <c r="F171" s="57"/>
      <c r="G171" s="57"/>
      <c r="H171" s="57"/>
      <c r="I171" s="57"/>
      <c r="J171" s="57"/>
      <c r="K171" s="57"/>
      <c r="L171" s="57"/>
      <c r="M171" s="57"/>
      <c r="N171" s="57"/>
      <c r="O171" s="57"/>
      <c r="P171" s="57"/>
    </row>
    <row r="172" spans="1:16" x14ac:dyDescent="0.3">
      <c r="A172" s="3" t="s">
        <v>58</v>
      </c>
    </row>
    <row r="173" spans="1:16" ht="14.4" x14ac:dyDescent="0.3">
      <c r="D173" s="58"/>
      <c r="E173" s="58"/>
      <c r="F173" s="58"/>
      <c r="G173" s="58"/>
      <c r="H173" s="58"/>
      <c r="I173" s="58"/>
      <c r="J173" s="58"/>
      <c r="K173" s="58"/>
      <c r="L173" s="58"/>
      <c r="M173" s="58"/>
      <c r="N173" s="58"/>
      <c r="O173" s="58"/>
      <c r="P173" s="58"/>
    </row>
    <row r="174" spans="1:16" ht="18" x14ac:dyDescent="0.35">
      <c r="A174" s="59" t="str">
        <f>'[46]Statistical data'!A153</f>
        <v xml:space="preserve">  General Service B</v>
      </c>
      <c r="B174" s="59"/>
      <c r="C174" s="5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</row>
    <row r="175" spans="1:16" s="13" customFormat="1" ht="14.4" x14ac:dyDescent="0.3">
      <c r="A175" s="11" t="s">
        <v>3</v>
      </c>
      <c r="B175" s="11"/>
      <c r="C175" s="11" t="s">
        <v>4</v>
      </c>
      <c r="D175" s="73">
        <f t="shared" ref="D175:P175" si="13">D133</f>
        <v>43101</v>
      </c>
      <c r="E175" s="73">
        <f t="shared" si="13"/>
        <v>43132</v>
      </c>
      <c r="F175" s="73">
        <f t="shared" si="13"/>
        <v>43160</v>
      </c>
      <c r="G175" s="73">
        <f t="shared" si="13"/>
        <v>43191</v>
      </c>
      <c r="H175" s="73">
        <f t="shared" si="13"/>
        <v>43221</v>
      </c>
      <c r="I175" s="73">
        <f t="shared" si="13"/>
        <v>43252</v>
      </c>
      <c r="J175" s="73">
        <f t="shared" si="13"/>
        <v>43282</v>
      </c>
      <c r="K175" s="73">
        <f t="shared" si="13"/>
        <v>43313</v>
      </c>
      <c r="L175" s="73">
        <f t="shared" si="13"/>
        <v>43344</v>
      </c>
      <c r="M175" s="73">
        <f t="shared" si="13"/>
        <v>43374</v>
      </c>
      <c r="N175" s="73">
        <f t="shared" si="13"/>
        <v>43405</v>
      </c>
      <c r="O175" s="73">
        <f t="shared" si="13"/>
        <v>43435</v>
      </c>
      <c r="P175" s="73">
        <f t="shared" si="13"/>
        <v>43466</v>
      </c>
    </row>
    <row r="176" spans="1:16" ht="14.4" x14ac:dyDescent="0.3">
      <c r="A176" s="14" t="s">
        <v>17</v>
      </c>
      <c r="B176" s="15"/>
      <c r="C176" s="16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</row>
    <row r="177" spans="1:16" ht="14.4" x14ac:dyDescent="0.3">
      <c r="A177" s="18" t="s">
        <v>18</v>
      </c>
      <c r="B177" s="19"/>
      <c r="C177" s="16" t="s">
        <v>19</v>
      </c>
      <c r="D177" s="52" t="s">
        <v>59</v>
      </c>
      <c r="E177" s="52" t="s">
        <v>59</v>
      </c>
      <c r="F177" s="52" t="s">
        <v>59</v>
      </c>
      <c r="G177" s="52" t="s">
        <v>59</v>
      </c>
      <c r="H177" s="52" t="s">
        <v>59</v>
      </c>
      <c r="I177" s="52" t="s">
        <v>59</v>
      </c>
      <c r="J177" s="52" t="s">
        <v>59</v>
      </c>
      <c r="K177" s="52" t="s">
        <v>59</v>
      </c>
      <c r="L177" s="52" t="s">
        <v>59</v>
      </c>
      <c r="M177" s="52" t="s">
        <v>59</v>
      </c>
      <c r="N177" s="52" t="s">
        <v>59</v>
      </c>
      <c r="O177" s="52" t="s">
        <v>59</v>
      </c>
      <c r="P177" s="52" t="s">
        <v>59</v>
      </c>
    </row>
    <row r="178" spans="1:16" ht="14.4" x14ac:dyDescent="0.3">
      <c r="A178" s="14" t="s">
        <v>20</v>
      </c>
      <c r="B178" s="15"/>
      <c r="C178" s="16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</row>
    <row r="179" spans="1:16" ht="14.4" x14ac:dyDescent="0.3">
      <c r="A179" s="18" t="s">
        <v>21</v>
      </c>
      <c r="B179" s="19"/>
      <c r="C179" s="16" t="s">
        <v>19</v>
      </c>
      <c r="D179" s="20">
        <v>0</v>
      </c>
      <c r="E179" s="20">
        <v>0</v>
      </c>
      <c r="F179" s="20">
        <v>0</v>
      </c>
      <c r="G179" s="20">
        <v>0</v>
      </c>
      <c r="H179" s="20">
        <v>0</v>
      </c>
      <c r="I179" s="20">
        <v>0</v>
      </c>
      <c r="J179" s="20">
        <v>0</v>
      </c>
      <c r="K179" s="20">
        <v>0</v>
      </c>
      <c r="L179" s="20">
        <v>0</v>
      </c>
      <c r="M179" s="20">
        <v>0</v>
      </c>
      <c r="N179" s="20">
        <v>0</v>
      </c>
      <c r="O179" s="20">
        <v>0</v>
      </c>
      <c r="P179" s="20">
        <v>0</v>
      </c>
    </row>
    <row r="180" spans="1:16" ht="14.4" x14ac:dyDescent="0.3">
      <c r="A180" s="18" t="s">
        <v>22</v>
      </c>
      <c r="B180" s="19"/>
      <c r="C180" s="16" t="s">
        <v>23</v>
      </c>
      <c r="D180" s="20">
        <f>[46]TR!D34</f>
        <v>266.25</v>
      </c>
      <c r="E180" s="20">
        <f>[46]TR!E34</f>
        <v>247.8</v>
      </c>
      <c r="F180" s="20">
        <f>[46]TR!F34</f>
        <v>244.18</v>
      </c>
      <c r="G180" s="20">
        <f>[46]TR!G34</f>
        <v>273.66000000000003</v>
      </c>
      <c r="H180" s="20">
        <f>[46]TR!H34</f>
        <v>263.04000000000002</v>
      </c>
      <c r="I180" s="20">
        <f>[46]TR!I34</f>
        <v>254.26</v>
      </c>
      <c r="J180" s="20">
        <f>[46]TR!J34</f>
        <v>231.59</v>
      </c>
      <c r="K180" s="20">
        <f>[46]TR!K34</f>
        <v>215.68</v>
      </c>
      <c r="L180" s="20">
        <f>[46]TR!L34</f>
        <v>204.02</v>
      </c>
      <c r="M180" s="20">
        <f>[46]TR!M34</f>
        <v>203.58</v>
      </c>
      <c r="N180" s="20">
        <f>[46]TR!N34</f>
        <v>208.62</v>
      </c>
      <c r="O180" s="20">
        <f>[46]TR!O34</f>
        <v>205.62</v>
      </c>
      <c r="P180" s="20">
        <f>[46]TR!P34</f>
        <v>0</v>
      </c>
    </row>
    <row r="181" spans="1:16" ht="14.4" x14ac:dyDescent="0.3">
      <c r="A181" s="14" t="s">
        <v>24</v>
      </c>
      <c r="B181" s="15"/>
      <c r="C181" s="16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</row>
    <row r="182" spans="1:16" ht="14.4" x14ac:dyDescent="0.3">
      <c r="A182" s="18" t="s">
        <v>25</v>
      </c>
      <c r="B182" s="19"/>
      <c r="C182" s="16" t="s">
        <v>19</v>
      </c>
      <c r="D182" s="20">
        <f>[46]SLR!D67</f>
        <v>0.39779999999999999</v>
      </c>
      <c r="E182" s="20">
        <f>[46]SLR!E67</f>
        <v>0.44869999999999999</v>
      </c>
      <c r="F182" s="20">
        <f>[46]SLR!F67</f>
        <v>0.51160000000000005</v>
      </c>
      <c r="G182" s="20">
        <f>[46]SLR!G67</f>
        <v>0.51719999999999999</v>
      </c>
      <c r="H182" s="20">
        <f>[46]SLR!H67</f>
        <v>0.4844</v>
      </c>
      <c r="I182" s="20">
        <f>[46]SLR!I67</f>
        <v>0.46600000000000003</v>
      </c>
      <c r="J182" s="20">
        <f>[46]SLR!J67</f>
        <v>0.46960000000000002</v>
      </c>
      <c r="K182" s="20">
        <f>[46]SLR!K67</f>
        <v>0.46300000000000002</v>
      </c>
      <c r="L182" s="20">
        <f>[46]SLR!L67</f>
        <v>0.45179999999999998</v>
      </c>
      <c r="M182" s="20">
        <f>[46]SLR!M67</f>
        <v>0.44700000000000001</v>
      </c>
      <c r="N182" s="20">
        <f>[46]SLR!N67</f>
        <v>0.46250000000000002</v>
      </c>
      <c r="O182" s="20">
        <f>[46]SLR!O67</f>
        <v>0.4647</v>
      </c>
      <c r="P182" s="20">
        <f>[46]SLR!P67</f>
        <v>0</v>
      </c>
    </row>
    <row r="183" spans="1:16" ht="14.4" x14ac:dyDescent="0.3">
      <c r="A183" s="14" t="s">
        <v>26</v>
      </c>
      <c r="B183" s="14"/>
      <c r="C183" s="16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</row>
    <row r="184" spans="1:16" ht="14.4" x14ac:dyDescent="0.3">
      <c r="A184" s="18" t="s">
        <v>27</v>
      </c>
      <c r="B184" s="18"/>
      <c r="C184" s="16" t="s">
        <v>19</v>
      </c>
      <c r="D184" s="20">
        <v>0.1368</v>
      </c>
      <c r="E184" s="20">
        <v>0.1368</v>
      </c>
      <c r="F184" s="20">
        <v>0.1368</v>
      </c>
      <c r="G184" s="20">
        <v>0.1368</v>
      </c>
      <c r="H184" s="20">
        <v>0.1368</v>
      </c>
      <c r="I184" s="20">
        <v>0.1368</v>
      </c>
      <c r="J184" s="20">
        <v>0.1368</v>
      </c>
      <c r="K184" s="20">
        <v>0.1368</v>
      </c>
      <c r="L184" s="20">
        <v>0.1368</v>
      </c>
      <c r="M184" s="20">
        <v>0.1368</v>
      </c>
      <c r="N184" s="20">
        <v>0.1368</v>
      </c>
      <c r="O184" s="20">
        <v>0.1368</v>
      </c>
      <c r="P184" s="20">
        <v>0.1368</v>
      </c>
    </row>
    <row r="185" spans="1:16" ht="14.4" x14ac:dyDescent="0.3">
      <c r="A185" s="18" t="s">
        <v>28</v>
      </c>
      <c r="B185" s="18"/>
      <c r="C185" s="16" t="s">
        <v>23</v>
      </c>
      <c r="D185" s="23">
        <v>237.15</v>
      </c>
      <c r="E185" s="23">
        <v>237.15</v>
      </c>
      <c r="F185" s="23">
        <v>237.15</v>
      </c>
      <c r="G185" s="23">
        <v>237.15</v>
      </c>
      <c r="H185" s="23">
        <v>237.15</v>
      </c>
      <c r="I185" s="23">
        <v>237.15</v>
      </c>
      <c r="J185" s="23">
        <v>237.15</v>
      </c>
      <c r="K185" s="23">
        <v>237.15</v>
      </c>
      <c r="L185" s="23">
        <v>237.15</v>
      </c>
      <c r="M185" s="23">
        <v>237.15</v>
      </c>
      <c r="N185" s="23">
        <v>237.15</v>
      </c>
      <c r="O185" s="23">
        <v>237.15</v>
      </c>
      <c r="P185" s="23">
        <v>237.15</v>
      </c>
    </row>
    <row r="186" spans="1:16" ht="14.4" x14ac:dyDescent="0.3">
      <c r="A186" s="14" t="s">
        <v>29</v>
      </c>
      <c r="B186" s="14"/>
      <c r="C186" s="16"/>
      <c r="D186" s="24"/>
      <c r="E186" s="24"/>
      <c r="F186" s="24"/>
      <c r="G186" s="24"/>
      <c r="H186" s="24"/>
      <c r="I186" s="24"/>
      <c r="J186" s="24"/>
      <c r="K186" s="24"/>
      <c r="L186" s="24"/>
      <c r="M186" s="24"/>
      <c r="N186" s="24"/>
      <c r="O186" s="24"/>
      <c r="P186" s="24"/>
    </row>
    <row r="187" spans="1:16" ht="14.4" x14ac:dyDescent="0.3">
      <c r="A187" s="18" t="s">
        <v>30</v>
      </c>
      <c r="B187" s="18"/>
      <c r="C187" s="16" t="s">
        <v>19</v>
      </c>
      <c r="D187" s="52" t="s">
        <v>61</v>
      </c>
      <c r="E187" s="52" t="s">
        <v>61</v>
      </c>
      <c r="F187" s="52" t="s">
        <v>61</v>
      </c>
      <c r="G187" s="52" t="s">
        <v>61</v>
      </c>
      <c r="H187" s="52" t="s">
        <v>61</v>
      </c>
      <c r="I187" s="52" t="s">
        <v>61</v>
      </c>
      <c r="J187" s="52" t="s">
        <v>61</v>
      </c>
      <c r="K187" s="52" t="s">
        <v>61</v>
      </c>
      <c r="L187" s="52" t="s">
        <v>61</v>
      </c>
      <c r="M187" s="52" t="s">
        <v>61</v>
      </c>
      <c r="N187" s="52" t="s">
        <v>61</v>
      </c>
      <c r="O187" s="52" t="s">
        <v>61</v>
      </c>
      <c r="P187" s="52" t="s">
        <v>61</v>
      </c>
    </row>
    <row r="188" spans="1:16" ht="14.4" x14ac:dyDescent="0.3">
      <c r="A188" s="18" t="s">
        <v>31</v>
      </c>
      <c r="B188" s="18"/>
      <c r="C188" s="16" t="s">
        <v>32</v>
      </c>
      <c r="D188" s="52" t="s">
        <v>62</v>
      </c>
      <c r="E188" s="52" t="s">
        <v>62</v>
      </c>
      <c r="F188" s="52" t="s">
        <v>62</v>
      </c>
      <c r="G188" s="52" t="s">
        <v>62</v>
      </c>
      <c r="H188" s="52" t="s">
        <v>62</v>
      </c>
      <c r="I188" s="52" t="s">
        <v>62</v>
      </c>
      <c r="J188" s="52" t="s">
        <v>62</v>
      </c>
      <c r="K188" s="52" t="s">
        <v>62</v>
      </c>
      <c r="L188" s="52" t="s">
        <v>62</v>
      </c>
      <c r="M188" s="52" t="s">
        <v>62</v>
      </c>
      <c r="N188" s="52" t="s">
        <v>62</v>
      </c>
      <c r="O188" s="52" t="s">
        <v>62</v>
      </c>
      <c r="P188" s="52" t="s">
        <v>62</v>
      </c>
    </row>
    <row r="189" spans="1:16" ht="14.4" x14ac:dyDescent="0.3">
      <c r="A189" s="14" t="s">
        <v>33</v>
      </c>
      <c r="B189" s="14"/>
      <c r="C189" s="16"/>
      <c r="D189" s="24"/>
      <c r="E189" s="24"/>
      <c r="F189" s="24"/>
      <c r="G189" s="24"/>
      <c r="H189" s="24"/>
      <c r="I189" s="24"/>
      <c r="J189" s="24"/>
      <c r="K189" s="24"/>
      <c r="L189" s="24"/>
      <c r="M189" s="24"/>
      <c r="N189" s="24"/>
      <c r="O189" s="24"/>
      <c r="P189" s="24"/>
    </row>
    <row r="190" spans="1:16" ht="14.4" x14ac:dyDescent="0.3">
      <c r="A190" s="18" t="s">
        <v>34</v>
      </c>
      <c r="B190" s="18"/>
      <c r="C190" s="16" t="s">
        <v>19</v>
      </c>
      <c r="D190" s="20">
        <v>0</v>
      </c>
      <c r="E190" s="20">
        <v>0</v>
      </c>
      <c r="F190" s="20">
        <v>0</v>
      </c>
      <c r="G190" s="20">
        <v>0</v>
      </c>
      <c r="H190" s="20">
        <v>0</v>
      </c>
      <c r="I190" s="20">
        <v>0</v>
      </c>
      <c r="J190" s="20">
        <v>0</v>
      </c>
      <c r="K190" s="20">
        <v>0</v>
      </c>
      <c r="L190" s="20">
        <v>0</v>
      </c>
      <c r="M190" s="20">
        <v>0</v>
      </c>
      <c r="N190" s="20">
        <v>0</v>
      </c>
      <c r="O190" s="20">
        <v>0</v>
      </c>
      <c r="P190" s="20">
        <v>0</v>
      </c>
    </row>
    <row r="191" spans="1:16" ht="14.4" x14ac:dyDescent="0.3">
      <c r="A191" s="18" t="s">
        <v>35</v>
      </c>
      <c r="B191" s="18"/>
      <c r="C191" s="16" t="s">
        <v>36</v>
      </c>
      <c r="D191" s="52" t="s">
        <v>63</v>
      </c>
      <c r="E191" s="52" t="s">
        <v>63</v>
      </c>
      <c r="F191" s="52" t="s">
        <v>63</v>
      </c>
      <c r="G191" s="52" t="s">
        <v>63</v>
      </c>
      <c r="H191" s="52" t="s">
        <v>63</v>
      </c>
      <c r="I191" s="52" t="s">
        <v>63</v>
      </c>
      <c r="J191" s="52" t="s">
        <v>63</v>
      </c>
      <c r="K191" s="52" t="s">
        <v>63</v>
      </c>
      <c r="L191" s="52" t="s">
        <v>63</v>
      </c>
      <c r="M191" s="52" t="s">
        <v>63</v>
      </c>
      <c r="N191" s="52" t="s">
        <v>63</v>
      </c>
      <c r="O191" s="52" t="s">
        <v>63</v>
      </c>
      <c r="P191" s="52" t="s">
        <v>63</v>
      </c>
    </row>
    <row r="192" spans="1:16" ht="14.4" x14ac:dyDescent="0.3">
      <c r="A192" s="14" t="s">
        <v>37</v>
      </c>
      <c r="B192" s="14"/>
      <c r="C192" s="16"/>
      <c r="D192" s="24"/>
      <c r="E192" s="24"/>
      <c r="F192" s="24"/>
      <c r="G192" s="24"/>
      <c r="H192" s="24"/>
      <c r="I192" s="24"/>
      <c r="J192" s="24"/>
      <c r="K192" s="24"/>
      <c r="L192" s="24"/>
      <c r="M192" s="24"/>
      <c r="N192" s="24"/>
      <c r="O192" s="24"/>
      <c r="P192" s="24"/>
    </row>
    <row r="193" spans="1:16" ht="14.4" x14ac:dyDescent="0.3">
      <c r="A193" s="25" t="s">
        <v>38</v>
      </c>
      <c r="B193" s="18"/>
      <c r="C193" s="16" t="s">
        <v>19</v>
      </c>
      <c r="D193" s="20">
        <f>[46]LD!D28</f>
        <v>9.1399999999999995E-2</v>
      </c>
      <c r="E193" s="20">
        <f>[46]LD!E28</f>
        <v>9.5899999999999999E-2</v>
      </c>
      <c r="F193" s="20">
        <f>[46]LD!F28</f>
        <v>9.98E-2</v>
      </c>
      <c r="G193" s="20">
        <f>[46]LD!G28</f>
        <v>0.1115</v>
      </c>
      <c r="H193" s="20">
        <f>[46]LD!H28</f>
        <v>9.4399999999999998E-2</v>
      </c>
      <c r="I193" s="20">
        <f>[46]LD!I28</f>
        <v>7.4099999999999999E-2</v>
      </c>
      <c r="J193" s="20">
        <f>[46]LD!J28</f>
        <v>7.0900000000000005E-2</v>
      </c>
      <c r="K193" s="20">
        <f>[46]LD!K28</f>
        <v>8.9300000000000004E-2</v>
      </c>
      <c r="L193" s="20">
        <f>[46]LD!L28</f>
        <v>8.8800000000000004E-2</v>
      </c>
      <c r="M193" s="20">
        <f>[46]LD!M28</f>
        <v>8.5500000000000007E-2</v>
      </c>
      <c r="N193" s="20">
        <f>[46]LD!N28</f>
        <v>8.4099999999999994E-2</v>
      </c>
      <c r="O193" s="20">
        <f>[46]LD!O28</f>
        <v>8.5300000000000001E-2</v>
      </c>
      <c r="P193" s="20">
        <f>[46]LD!P28</f>
        <v>0</v>
      </c>
    </row>
    <row r="194" spans="1:16" ht="14.4" x14ac:dyDescent="0.3">
      <c r="A194" s="25" t="s">
        <v>39</v>
      </c>
      <c r="B194" s="18"/>
      <c r="C194" s="16" t="s">
        <v>19</v>
      </c>
      <c r="D194" s="20">
        <v>0</v>
      </c>
      <c r="E194" s="20">
        <v>0</v>
      </c>
      <c r="F194" s="20">
        <v>0</v>
      </c>
      <c r="G194" s="20">
        <v>0</v>
      </c>
      <c r="H194" s="20">
        <v>0</v>
      </c>
      <c r="I194" s="20">
        <v>0</v>
      </c>
      <c r="J194" s="20">
        <v>0</v>
      </c>
      <c r="K194" s="20">
        <v>0</v>
      </c>
      <c r="L194" s="20">
        <v>0</v>
      </c>
      <c r="M194" s="20">
        <v>0</v>
      </c>
      <c r="N194" s="20">
        <v>0</v>
      </c>
      <c r="O194" s="20">
        <v>0</v>
      </c>
      <c r="P194" s="20">
        <v>0</v>
      </c>
    </row>
    <row r="195" spans="1:16" ht="14.4" x14ac:dyDescent="0.3">
      <c r="A195" s="26" t="s">
        <v>40</v>
      </c>
      <c r="B195" s="18"/>
      <c r="C195" s="16" t="s">
        <v>19</v>
      </c>
      <c r="D195" s="20">
        <f>'[46]SR CIT. SUBSIDY'!D107</f>
        <v>7.2836751367259784E-5</v>
      </c>
      <c r="E195" s="20">
        <f>'[46]SR CIT. SUBSIDY'!E107</f>
        <v>6.8004836608513296E-5</v>
      </c>
      <c r="F195" s="20">
        <f>'[46]SR CIT. SUBSIDY'!F107</f>
        <v>7.2021362364614477E-5</v>
      </c>
      <c r="G195" s="20">
        <f>'[46]SR CIT. SUBSIDY'!G107</f>
        <v>8.1837879774750537E-5</v>
      </c>
      <c r="H195" s="20">
        <f>'[46]SR CIT. SUBSIDY'!H107</f>
        <v>7.798204750191218E-5</v>
      </c>
      <c r="I195" s="20">
        <f>'[46]SR CIT. SUBSIDY'!I107</f>
        <v>7.6128332588525541E-5</v>
      </c>
      <c r="J195" s="20">
        <f>'[46]SR CIT. SUBSIDY'!J107</f>
        <v>6.9450356116585135E-5</v>
      </c>
      <c r="K195" s="20">
        <f>'[46]SR CIT. SUBSIDY'!K107</f>
        <v>7.4662532963556342E-5</v>
      </c>
      <c r="L195" s="20">
        <f>'[46]SR CIT. SUBSIDY'!L107</f>
        <v>7.2670454347697154E-5</v>
      </c>
      <c r="M195" s="20">
        <f>'[46]SR CIT. SUBSIDY'!M107</f>
        <v>7.4480298623008149E-5</v>
      </c>
      <c r="N195" s="20">
        <f>'[46]SR CIT. SUBSIDY'!N107</f>
        <v>7.360094464671045E-5</v>
      </c>
      <c r="O195" s="20">
        <f>'[46]SR CIT. SUBSIDY'!O107</f>
        <v>7.9518678198181161E-5</v>
      </c>
      <c r="P195" s="20">
        <f>'[46]SR CIT. SUBSIDY'!P107</f>
        <v>0</v>
      </c>
    </row>
    <row r="196" spans="1:16" ht="14.4" x14ac:dyDescent="0.3">
      <c r="A196" s="26" t="s">
        <v>41</v>
      </c>
      <c r="B196" s="18"/>
      <c r="C196" s="16" t="s">
        <v>19</v>
      </c>
      <c r="D196" s="20">
        <v>0</v>
      </c>
      <c r="E196" s="20">
        <v>0</v>
      </c>
      <c r="F196" s="20">
        <v>0</v>
      </c>
      <c r="G196" s="20">
        <v>0</v>
      </c>
      <c r="H196" s="20">
        <v>0</v>
      </c>
      <c r="I196" s="20">
        <v>0</v>
      </c>
      <c r="J196" s="20">
        <v>0</v>
      </c>
      <c r="K196" s="20">
        <v>0</v>
      </c>
      <c r="L196" s="20">
        <v>0</v>
      </c>
      <c r="M196" s="20">
        <v>0</v>
      </c>
      <c r="N196" s="20">
        <v>0</v>
      </c>
      <c r="O196" s="20">
        <v>0</v>
      </c>
      <c r="P196" s="20">
        <v>0</v>
      </c>
    </row>
    <row r="197" spans="1:16" ht="14.4" x14ac:dyDescent="0.3">
      <c r="A197" s="14" t="s">
        <v>42</v>
      </c>
      <c r="B197" s="14"/>
      <c r="C197" s="16"/>
      <c r="D197" s="24"/>
      <c r="E197" s="24"/>
      <c r="F197" s="24"/>
      <c r="G197" s="24"/>
      <c r="H197" s="24"/>
      <c r="I197" s="24"/>
      <c r="J197" s="24"/>
      <c r="K197" s="24"/>
      <c r="L197" s="24"/>
      <c r="M197" s="24"/>
      <c r="N197" s="24"/>
      <c r="O197" s="24"/>
      <c r="P197" s="24"/>
    </row>
    <row r="198" spans="1:16" ht="14.4" x14ac:dyDescent="0.3">
      <c r="A198" s="14" t="s">
        <v>43</v>
      </c>
      <c r="B198" s="14"/>
      <c r="C198" s="16" t="s">
        <v>44</v>
      </c>
      <c r="D198" s="27"/>
      <c r="E198" s="27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</row>
    <row r="199" spans="1:16" ht="14.4" x14ac:dyDescent="0.3">
      <c r="A199" s="14" t="s">
        <v>45</v>
      </c>
      <c r="B199" s="14"/>
      <c r="C199" s="16"/>
      <c r="D199" s="28"/>
      <c r="E199" s="28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28"/>
    </row>
    <row r="200" spans="1:16" ht="14.4" x14ac:dyDescent="0.3">
      <c r="A200" s="14" t="s">
        <v>46</v>
      </c>
      <c r="B200" s="14"/>
      <c r="C200" s="16" t="s">
        <v>19</v>
      </c>
      <c r="D200" s="20">
        <v>0</v>
      </c>
      <c r="E200" s="20">
        <v>0</v>
      </c>
      <c r="F200" s="20">
        <v>0</v>
      </c>
      <c r="G200" s="20">
        <v>0</v>
      </c>
      <c r="H200" s="20">
        <v>0</v>
      </c>
      <c r="I200" s="20">
        <v>0</v>
      </c>
      <c r="J200" s="20">
        <v>0</v>
      </c>
      <c r="K200" s="20">
        <v>0</v>
      </c>
      <c r="L200" s="20">
        <v>0</v>
      </c>
      <c r="M200" s="20">
        <v>0</v>
      </c>
      <c r="N200" s="20">
        <v>0</v>
      </c>
      <c r="O200" s="20">
        <v>0</v>
      </c>
      <c r="P200" s="20">
        <v>0</v>
      </c>
    </row>
    <row r="201" spans="1:16" ht="14.4" x14ac:dyDescent="0.3">
      <c r="A201" s="14" t="s">
        <v>47</v>
      </c>
      <c r="B201" s="14"/>
      <c r="C201" s="16"/>
      <c r="D201" s="24"/>
      <c r="E201" s="24"/>
      <c r="F201" s="24"/>
      <c r="G201" s="24"/>
      <c r="H201" s="24"/>
      <c r="I201" s="24"/>
      <c r="J201" s="24"/>
      <c r="K201" s="24"/>
      <c r="L201" s="24"/>
      <c r="M201" s="24"/>
      <c r="N201" s="24"/>
      <c r="O201" s="24"/>
      <c r="P201" s="24"/>
    </row>
    <row r="202" spans="1:16" ht="14.4" x14ac:dyDescent="0.3">
      <c r="A202" s="18" t="s">
        <v>48</v>
      </c>
      <c r="B202" s="18"/>
      <c r="C202" s="16" t="s">
        <v>19</v>
      </c>
      <c r="D202" s="20">
        <f t="shared" ref="D202:P206" si="14">D160</f>
        <v>0.15609999999999999</v>
      </c>
      <c r="E202" s="20">
        <f t="shared" si="14"/>
        <v>0.15609999999999999</v>
      </c>
      <c r="F202" s="20">
        <f t="shared" si="14"/>
        <v>0.15609999999999999</v>
      </c>
      <c r="G202" s="20">
        <f t="shared" si="14"/>
        <v>0.15609999999999999</v>
      </c>
      <c r="H202" s="20">
        <f t="shared" si="14"/>
        <v>0.15609999999999999</v>
      </c>
      <c r="I202" s="20">
        <f t="shared" si="14"/>
        <v>0.15609999999999999</v>
      </c>
      <c r="J202" s="20">
        <f t="shared" si="14"/>
        <v>0.15609999999999999</v>
      </c>
      <c r="K202" s="20">
        <f t="shared" si="14"/>
        <v>0.15609999999999999</v>
      </c>
      <c r="L202" s="20">
        <f t="shared" si="14"/>
        <v>0.15609999999999999</v>
      </c>
      <c r="M202" s="20">
        <f t="shared" si="14"/>
        <v>0.15609999999999999</v>
      </c>
      <c r="N202" s="20">
        <f t="shared" si="14"/>
        <v>0.15609999999999999</v>
      </c>
      <c r="O202" s="20">
        <f t="shared" si="14"/>
        <v>0.15609999999999999</v>
      </c>
      <c r="P202" s="20">
        <f t="shared" si="14"/>
        <v>0.15609999999999999</v>
      </c>
    </row>
    <row r="203" spans="1:16" ht="14.4" x14ac:dyDescent="0.3">
      <c r="A203" s="18" t="s">
        <v>49</v>
      </c>
      <c r="B203" s="18"/>
      <c r="C203" s="16" t="s">
        <v>19</v>
      </c>
      <c r="D203" s="20">
        <f t="shared" si="14"/>
        <v>2.5000000000000001E-3</v>
      </c>
      <c r="E203" s="20">
        <f t="shared" si="14"/>
        <v>2.5000000000000001E-3</v>
      </c>
      <c r="F203" s="20">
        <f t="shared" si="14"/>
        <v>2.5000000000000001E-3</v>
      </c>
      <c r="G203" s="20">
        <f t="shared" si="14"/>
        <v>2.5000000000000001E-3</v>
      </c>
      <c r="H203" s="20">
        <f t="shared" si="14"/>
        <v>2.5000000000000001E-3</v>
      </c>
      <c r="I203" s="20">
        <f t="shared" si="14"/>
        <v>2.5000000000000001E-3</v>
      </c>
      <c r="J203" s="20">
        <f t="shared" si="14"/>
        <v>2.5000000000000001E-3</v>
      </c>
      <c r="K203" s="20">
        <f t="shared" si="14"/>
        <v>2.5000000000000001E-3</v>
      </c>
      <c r="L203" s="20">
        <f t="shared" si="14"/>
        <v>2.5000000000000001E-3</v>
      </c>
      <c r="M203" s="20">
        <f t="shared" si="14"/>
        <v>2.5000000000000001E-3</v>
      </c>
      <c r="N203" s="20">
        <f t="shared" si="14"/>
        <v>2.5000000000000001E-3</v>
      </c>
      <c r="O203" s="20">
        <f t="shared" si="14"/>
        <v>2.5000000000000001E-3</v>
      </c>
      <c r="P203" s="20">
        <f t="shared" si="14"/>
        <v>2.5000000000000001E-3</v>
      </c>
    </row>
    <row r="204" spans="1:16" ht="14.4" x14ac:dyDescent="0.3">
      <c r="A204" s="18" t="s">
        <v>111</v>
      </c>
      <c r="B204" s="18"/>
      <c r="C204" s="16" t="s">
        <v>19</v>
      </c>
      <c r="D204" s="20">
        <f t="shared" si="14"/>
        <v>0.1938</v>
      </c>
      <c r="E204" s="20">
        <f t="shared" si="14"/>
        <v>0.1938</v>
      </c>
      <c r="F204" s="20">
        <f t="shared" si="14"/>
        <v>0.1938</v>
      </c>
      <c r="G204" s="20">
        <f t="shared" si="14"/>
        <v>0.1938</v>
      </c>
      <c r="H204" s="20">
        <f t="shared" si="14"/>
        <v>0.1938</v>
      </c>
      <c r="I204" s="20">
        <f t="shared" si="14"/>
        <v>0.1938</v>
      </c>
      <c r="J204" s="20">
        <f t="shared" si="14"/>
        <v>0.1938</v>
      </c>
      <c r="K204" s="20">
        <f t="shared" si="14"/>
        <v>0.1938</v>
      </c>
      <c r="L204" s="20">
        <f t="shared" si="14"/>
        <v>0.1938</v>
      </c>
      <c r="M204" s="20">
        <f t="shared" si="14"/>
        <v>0.1938</v>
      </c>
      <c r="N204" s="20">
        <f t="shared" si="14"/>
        <v>0.1938</v>
      </c>
      <c r="O204" s="20">
        <f t="shared" si="14"/>
        <v>0.1938</v>
      </c>
      <c r="P204" s="20">
        <f t="shared" si="14"/>
        <v>0.1938</v>
      </c>
    </row>
    <row r="205" spans="1:16" ht="14.4" x14ac:dyDescent="0.3">
      <c r="A205" s="18" t="s">
        <v>112</v>
      </c>
      <c r="B205" s="18"/>
      <c r="C205" s="16" t="s">
        <v>19</v>
      </c>
      <c r="D205" s="42">
        <f>D163</f>
        <v>2.6499999999999999E-2</v>
      </c>
      <c r="E205" s="42">
        <f t="shared" si="14"/>
        <v>2.6499999999999999E-2</v>
      </c>
      <c r="F205" s="42">
        <f t="shared" si="14"/>
        <v>2.6499999999999999E-2</v>
      </c>
      <c r="G205" s="42">
        <f t="shared" si="14"/>
        <v>2.6499999999999999E-2</v>
      </c>
      <c r="H205" s="42">
        <f t="shared" si="14"/>
        <v>2.6499999999999999E-2</v>
      </c>
      <c r="I205" s="42">
        <f t="shared" si="14"/>
        <v>2.6499999999999999E-2</v>
      </c>
      <c r="J205" s="42">
        <f t="shared" si="14"/>
        <v>2.6499999999999999E-2</v>
      </c>
      <c r="K205" s="42">
        <f t="shared" si="14"/>
        <v>2.6499999999999999E-2</v>
      </c>
      <c r="L205" s="42">
        <f t="shared" si="14"/>
        <v>2.6499999999999999E-2</v>
      </c>
      <c r="M205" s="42">
        <f t="shared" si="14"/>
        <v>2.6499999999999999E-2</v>
      </c>
      <c r="N205" s="42">
        <f t="shared" si="14"/>
        <v>2.6499999999999999E-2</v>
      </c>
      <c r="O205" s="42">
        <f t="shared" si="14"/>
        <v>2.6499999999999999E-2</v>
      </c>
      <c r="P205" s="42">
        <f t="shared" si="14"/>
        <v>2.6499999999999999E-2</v>
      </c>
    </row>
    <row r="206" spans="1:16" ht="14.4" x14ac:dyDescent="0.3">
      <c r="A206" s="14" t="s">
        <v>51</v>
      </c>
      <c r="B206" s="14"/>
      <c r="C206" s="16" t="s">
        <v>19</v>
      </c>
      <c r="D206" s="20">
        <f>D164</f>
        <v>0.183</v>
      </c>
      <c r="E206" s="20">
        <f t="shared" si="14"/>
        <v>0.183</v>
      </c>
      <c r="F206" s="20">
        <f t="shared" si="14"/>
        <v>0.183</v>
      </c>
      <c r="G206" s="20">
        <f t="shared" si="14"/>
        <v>0.183</v>
      </c>
      <c r="H206" s="20">
        <f t="shared" si="14"/>
        <v>0.183</v>
      </c>
      <c r="I206" s="20">
        <f>I164</f>
        <v>0.25629999999999997</v>
      </c>
      <c r="J206" s="20">
        <f t="shared" si="14"/>
        <v>0.25629999999999997</v>
      </c>
      <c r="K206" s="20">
        <f t="shared" si="14"/>
        <v>0.25629999999999997</v>
      </c>
      <c r="L206" s="20">
        <f t="shared" si="14"/>
        <v>0.25629999999999997</v>
      </c>
      <c r="M206" s="20">
        <f t="shared" si="14"/>
        <v>0.25629999999999997</v>
      </c>
      <c r="N206" s="20">
        <f t="shared" si="14"/>
        <v>0.25629999999999997</v>
      </c>
      <c r="O206" s="20">
        <f t="shared" si="14"/>
        <v>0.25629999999999997</v>
      </c>
      <c r="P206" s="20">
        <f t="shared" si="14"/>
        <v>0.25629999999999997</v>
      </c>
    </row>
    <row r="207" spans="1:16" ht="14.4" x14ac:dyDescent="0.3">
      <c r="A207" s="14" t="s">
        <v>52</v>
      </c>
      <c r="B207" s="14"/>
      <c r="C207" s="29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</row>
    <row r="208" spans="1:16" ht="14.4" x14ac:dyDescent="0.3">
      <c r="A208" s="18" t="s">
        <v>53</v>
      </c>
      <c r="B208" s="18"/>
      <c r="C208" s="16" t="s">
        <v>44</v>
      </c>
      <c r="D208" s="30">
        <f>'[46]DU VAT'!D16</f>
        <v>0.1082</v>
      </c>
      <c r="E208" s="30">
        <f>'[46]DU VAT'!E16</f>
        <v>0.1134</v>
      </c>
      <c r="F208" s="30">
        <f>'[46]DU VAT'!F16</f>
        <v>0.111</v>
      </c>
      <c r="G208" s="30">
        <f>'[46]DU VAT'!G16</f>
        <v>0.11070000000000001</v>
      </c>
      <c r="H208" s="30">
        <f>'[46]DU VAT'!H16</f>
        <v>0.10920000000000001</v>
      </c>
      <c r="I208" s="30">
        <f>'[46]DU VAT'!I16</f>
        <v>0.1129</v>
      </c>
      <c r="J208" s="30">
        <f>'[46]DU VAT'!J16</f>
        <v>0.1123</v>
      </c>
      <c r="K208" s="30">
        <f>'[46]DU VAT'!K16</f>
        <v>0.1137</v>
      </c>
      <c r="L208" s="30">
        <f>'[46]DU VAT'!L16</f>
        <v>0.1116</v>
      </c>
      <c r="M208" s="30">
        <f>'[46]DU VAT'!M16</f>
        <v>0.10979999999999999</v>
      </c>
      <c r="N208" s="30">
        <f>'[46]DU VAT'!N16</f>
        <v>0.1111</v>
      </c>
      <c r="O208" s="30">
        <f>'[46]DU VAT'!O16</f>
        <v>0.1119</v>
      </c>
      <c r="P208" s="30" t="e">
        <f>'[46]DU VAT'!P16</f>
        <v>#DIV/0!</v>
      </c>
    </row>
    <row r="209" spans="1:16" ht="14.4" x14ac:dyDescent="0.3">
      <c r="A209" s="18" t="s">
        <v>54</v>
      </c>
      <c r="B209" s="18"/>
      <c r="C209" s="16" t="s">
        <v>44</v>
      </c>
      <c r="D209" s="30">
        <f>'[46]DU VAT'!D20</f>
        <v>2.24E-2</v>
      </c>
      <c r="E209" s="30">
        <f>'[46]DU VAT'!E20</f>
        <v>8.6099999999999996E-2</v>
      </c>
      <c r="F209" s="30">
        <f>'[46]DU VAT'!F20</f>
        <v>0.1036</v>
      </c>
      <c r="G209" s="30">
        <f>'[46]DU VAT'!G20</f>
        <v>0.10589999999999999</v>
      </c>
      <c r="H209" s="30">
        <f>'[46]DU VAT'!H20</f>
        <v>0.10730000000000001</v>
      </c>
      <c r="I209" s="30">
        <f>'[46]DU VAT'!I20</f>
        <v>0.1052</v>
      </c>
      <c r="J209" s="30">
        <f>'[46]DU VAT'!J20</f>
        <v>0.1056</v>
      </c>
      <c r="K209" s="30">
        <f>'[46]DU VAT'!K20</f>
        <v>0.106</v>
      </c>
      <c r="L209" s="30">
        <f>'[46]DU VAT'!L20</f>
        <v>0.10340000000000001</v>
      </c>
      <c r="M209" s="30">
        <f>'[46]DU VAT'!M20</f>
        <v>0.1046</v>
      </c>
      <c r="N209" s="30">
        <f>'[46]DU VAT'!N20</f>
        <v>0.1004</v>
      </c>
      <c r="O209" s="30">
        <f>'[46]DU VAT'!O20</f>
        <v>9.8500000000000004E-2</v>
      </c>
      <c r="P209" s="30" t="e">
        <f>'[46]DU VAT'!P20</f>
        <v>#DIV/0!</v>
      </c>
    </row>
    <row r="210" spans="1:16" ht="14.4" x14ac:dyDescent="0.3">
      <c r="A210" s="18" t="s">
        <v>55</v>
      </c>
      <c r="B210" s="18"/>
      <c r="C210" s="16" t="s">
        <v>44</v>
      </c>
      <c r="D210" s="30">
        <f>'[46]DU VAT'!D26</f>
        <v>9.3100000000000002E-2</v>
      </c>
      <c r="E210" s="30">
        <f>'[46]DU VAT'!E26</f>
        <v>0.10929999999999999</v>
      </c>
      <c r="F210" s="30">
        <f>'[46]DU VAT'!F26</f>
        <v>0.11</v>
      </c>
      <c r="G210" s="30">
        <f>'[46]DU VAT'!G26</f>
        <v>0.11</v>
      </c>
      <c r="H210" s="30">
        <f>'[46]DU VAT'!H26</f>
        <v>0.1089</v>
      </c>
      <c r="I210" s="30">
        <f>'[46]DU VAT'!I26</f>
        <v>0.1119</v>
      </c>
      <c r="J210" s="30">
        <f>'[46]DU VAT'!J26</f>
        <v>0.1115</v>
      </c>
      <c r="K210" s="30">
        <f>'[46]DU VAT'!K26</f>
        <v>0.1129</v>
      </c>
      <c r="L210" s="30">
        <f>'[46]DU VAT'!L26</f>
        <v>0.11070000000000001</v>
      </c>
      <c r="M210" s="30">
        <f>'[46]DU VAT'!M26</f>
        <v>0.10920000000000001</v>
      </c>
      <c r="N210" s="30">
        <f>'[46]DU VAT'!N26</f>
        <v>0.1099</v>
      </c>
      <c r="O210" s="30">
        <f>'[46]DU VAT'!O26</f>
        <v>0.1103</v>
      </c>
      <c r="P210" s="30" t="e">
        <f>'[46]DU VAT'!P26</f>
        <v>#DIV/0!</v>
      </c>
    </row>
    <row r="211" spans="1:16" ht="14.4" x14ac:dyDescent="0.3">
      <c r="A211" s="18" t="s">
        <v>56</v>
      </c>
      <c r="B211" s="18"/>
      <c r="C211" s="16" t="s">
        <v>44</v>
      </c>
      <c r="D211" s="30">
        <f t="shared" ref="D211:P212" si="15">D169</f>
        <v>0.12</v>
      </c>
      <c r="E211" s="30">
        <f t="shared" si="15"/>
        <v>0.12</v>
      </c>
      <c r="F211" s="30">
        <f t="shared" si="15"/>
        <v>0.12</v>
      </c>
      <c r="G211" s="30">
        <f t="shared" si="15"/>
        <v>0.12</v>
      </c>
      <c r="H211" s="30">
        <f t="shared" si="15"/>
        <v>0.12</v>
      </c>
      <c r="I211" s="30">
        <f t="shared" si="15"/>
        <v>0.12</v>
      </c>
      <c r="J211" s="30">
        <f t="shared" si="15"/>
        <v>0.12</v>
      </c>
      <c r="K211" s="30">
        <f t="shared" si="15"/>
        <v>0.12</v>
      </c>
      <c r="L211" s="30">
        <f t="shared" si="15"/>
        <v>0.12</v>
      </c>
      <c r="M211" s="30">
        <f t="shared" si="15"/>
        <v>0.12</v>
      </c>
      <c r="N211" s="30">
        <f t="shared" si="15"/>
        <v>0.12</v>
      </c>
      <c r="O211" s="30">
        <f t="shared" si="15"/>
        <v>0.12</v>
      </c>
      <c r="P211" s="30">
        <f t="shared" si="15"/>
        <v>0.12</v>
      </c>
    </row>
    <row r="212" spans="1:16" ht="14.4" x14ac:dyDescent="0.3">
      <c r="A212" s="18" t="s">
        <v>57</v>
      </c>
      <c r="B212" s="18"/>
      <c r="C212" s="16" t="s">
        <v>44</v>
      </c>
      <c r="D212" s="30">
        <f t="shared" si="15"/>
        <v>0.12</v>
      </c>
      <c r="E212" s="30">
        <f t="shared" si="15"/>
        <v>0.12</v>
      </c>
      <c r="F212" s="30">
        <f t="shared" si="15"/>
        <v>0.12</v>
      </c>
      <c r="G212" s="30">
        <f t="shared" si="15"/>
        <v>0.12</v>
      </c>
      <c r="H212" s="30">
        <f t="shared" si="15"/>
        <v>0.12</v>
      </c>
      <c r="I212" s="30">
        <f t="shared" si="15"/>
        <v>0.12</v>
      </c>
      <c r="J212" s="30">
        <f t="shared" si="15"/>
        <v>0.12</v>
      </c>
      <c r="K212" s="30">
        <f t="shared" si="15"/>
        <v>0.12</v>
      </c>
      <c r="L212" s="30">
        <f t="shared" si="15"/>
        <v>0.12</v>
      </c>
      <c r="M212" s="30">
        <f t="shared" si="15"/>
        <v>0.12</v>
      </c>
      <c r="N212" s="30">
        <f t="shared" si="15"/>
        <v>0.12</v>
      </c>
      <c r="O212" s="30">
        <f t="shared" si="15"/>
        <v>0.12</v>
      </c>
      <c r="P212" s="30">
        <f t="shared" si="15"/>
        <v>0.12</v>
      </c>
    </row>
    <row r="213" spans="1:16" s="5" customFormat="1" ht="14.4" x14ac:dyDescent="0.3">
      <c r="A213" s="55"/>
      <c r="B213" s="55"/>
      <c r="C213" s="56"/>
      <c r="D213" s="57"/>
      <c r="E213" s="57"/>
      <c r="F213" s="57"/>
      <c r="G213" s="57"/>
      <c r="H213" s="57"/>
      <c r="I213" s="57"/>
      <c r="J213" s="57"/>
      <c r="K213" s="57"/>
      <c r="L213" s="57"/>
      <c r="M213" s="57"/>
      <c r="N213" s="57"/>
      <c r="O213" s="57"/>
      <c r="P213" s="57"/>
    </row>
    <row r="214" spans="1:16" x14ac:dyDescent="0.3">
      <c r="A214" s="3" t="s">
        <v>58</v>
      </c>
    </row>
    <row r="216" spans="1:16" ht="18" x14ac:dyDescent="0.35">
      <c r="A216" s="59" t="str">
        <f>'[46]Statistical data'!A154</f>
        <v xml:space="preserve">  General Power- Secondary</v>
      </c>
      <c r="B216" s="59"/>
      <c r="C216" s="5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</row>
    <row r="217" spans="1:16" s="13" customFormat="1" ht="14.4" x14ac:dyDescent="0.3">
      <c r="A217" s="11" t="s">
        <v>3</v>
      </c>
      <c r="B217" s="11"/>
      <c r="C217" s="11" t="s">
        <v>4</v>
      </c>
      <c r="D217" s="73">
        <f t="shared" ref="D217:P217" si="16">D175</f>
        <v>43101</v>
      </c>
      <c r="E217" s="73">
        <f t="shared" si="16"/>
        <v>43132</v>
      </c>
      <c r="F217" s="73">
        <f t="shared" si="16"/>
        <v>43160</v>
      </c>
      <c r="G217" s="73">
        <f t="shared" si="16"/>
        <v>43191</v>
      </c>
      <c r="H217" s="73">
        <f t="shared" si="16"/>
        <v>43221</v>
      </c>
      <c r="I217" s="73">
        <f t="shared" si="16"/>
        <v>43252</v>
      </c>
      <c r="J217" s="73">
        <f t="shared" si="16"/>
        <v>43282</v>
      </c>
      <c r="K217" s="73">
        <f t="shared" si="16"/>
        <v>43313</v>
      </c>
      <c r="L217" s="73">
        <f t="shared" si="16"/>
        <v>43344</v>
      </c>
      <c r="M217" s="73">
        <f t="shared" si="16"/>
        <v>43374</v>
      </c>
      <c r="N217" s="73">
        <f t="shared" si="16"/>
        <v>43405</v>
      </c>
      <c r="O217" s="73">
        <f t="shared" si="16"/>
        <v>43435</v>
      </c>
      <c r="P217" s="73">
        <f t="shared" si="16"/>
        <v>43466</v>
      </c>
    </row>
    <row r="218" spans="1:16" ht="14.4" x14ac:dyDescent="0.3">
      <c r="A218" s="14" t="s">
        <v>17</v>
      </c>
      <c r="B218" s="15"/>
      <c r="C218" s="16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</row>
    <row r="219" spans="1:16" ht="14.4" x14ac:dyDescent="0.3">
      <c r="A219" s="18" t="s">
        <v>18</v>
      </c>
      <c r="B219" s="19"/>
      <c r="C219" s="16" t="s">
        <v>19</v>
      </c>
      <c r="D219" s="52" t="s">
        <v>59</v>
      </c>
      <c r="E219" s="52" t="s">
        <v>59</v>
      </c>
      <c r="F219" s="52" t="s">
        <v>59</v>
      </c>
      <c r="G219" s="52" t="s">
        <v>59</v>
      </c>
      <c r="H219" s="52" t="s">
        <v>59</v>
      </c>
      <c r="I219" s="52" t="s">
        <v>59</v>
      </c>
      <c r="J219" s="52" t="s">
        <v>59</v>
      </c>
      <c r="K219" s="52" t="s">
        <v>59</v>
      </c>
      <c r="L219" s="52" t="s">
        <v>59</v>
      </c>
      <c r="M219" s="52" t="s">
        <v>59</v>
      </c>
      <c r="N219" s="52" t="s">
        <v>59</v>
      </c>
      <c r="O219" s="52" t="s">
        <v>59</v>
      </c>
      <c r="P219" s="52" t="s">
        <v>59</v>
      </c>
    </row>
    <row r="220" spans="1:16" ht="14.4" x14ac:dyDescent="0.3">
      <c r="A220" s="14" t="s">
        <v>20</v>
      </c>
      <c r="B220" s="15"/>
      <c r="C220" s="16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</row>
    <row r="221" spans="1:16" ht="14.4" x14ac:dyDescent="0.3">
      <c r="A221" s="18" t="s">
        <v>21</v>
      </c>
      <c r="B221" s="19"/>
      <c r="C221" s="16" t="s">
        <v>19</v>
      </c>
      <c r="D221" s="20">
        <v>0</v>
      </c>
      <c r="E221" s="20">
        <v>0</v>
      </c>
      <c r="F221" s="20">
        <v>0</v>
      </c>
      <c r="G221" s="20">
        <v>0</v>
      </c>
      <c r="H221" s="20">
        <v>0</v>
      </c>
      <c r="I221" s="20">
        <v>0</v>
      </c>
      <c r="J221" s="20">
        <v>0</v>
      </c>
      <c r="K221" s="20">
        <v>0</v>
      </c>
      <c r="L221" s="20">
        <v>0</v>
      </c>
      <c r="M221" s="20">
        <v>0</v>
      </c>
      <c r="N221" s="20">
        <v>0</v>
      </c>
      <c r="O221" s="20">
        <v>0</v>
      </c>
      <c r="P221" s="20">
        <v>0</v>
      </c>
    </row>
    <row r="222" spans="1:16" ht="14.4" x14ac:dyDescent="0.3">
      <c r="A222" s="18" t="s">
        <v>22</v>
      </c>
      <c r="B222" s="19"/>
      <c r="C222" s="16" t="s">
        <v>23</v>
      </c>
      <c r="D222" s="20">
        <f>[46]TR!D35</f>
        <v>294.81</v>
      </c>
      <c r="E222" s="20">
        <f>[46]TR!E35</f>
        <v>269.14</v>
      </c>
      <c r="F222" s="20">
        <f>[46]TR!F35</f>
        <v>285.77</v>
      </c>
      <c r="G222" s="20">
        <f>[46]TR!G35</f>
        <v>299.91000000000003</v>
      </c>
      <c r="H222" s="20">
        <f>[46]TR!H35</f>
        <v>289.72000000000003</v>
      </c>
      <c r="I222" s="20">
        <f>[46]TR!I35</f>
        <v>275.19</v>
      </c>
      <c r="J222" s="20">
        <f>[46]TR!J35</f>
        <v>266.67</v>
      </c>
      <c r="K222" s="20">
        <f>[46]TR!K35</f>
        <v>241.9</v>
      </c>
      <c r="L222" s="20">
        <f>[46]TR!L35</f>
        <v>231.24</v>
      </c>
      <c r="M222" s="20">
        <f>[46]TR!M35</f>
        <v>231.21</v>
      </c>
      <c r="N222" s="20">
        <f>[46]TR!N35</f>
        <v>235.29</v>
      </c>
      <c r="O222" s="20">
        <f>[46]TR!O35</f>
        <v>235.15</v>
      </c>
      <c r="P222" s="20">
        <f>[46]TR!P35</f>
        <v>0</v>
      </c>
    </row>
    <row r="223" spans="1:16" ht="14.4" x14ac:dyDescent="0.3">
      <c r="A223" s="14" t="s">
        <v>24</v>
      </c>
      <c r="B223" s="15"/>
      <c r="C223" s="16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</row>
    <row r="224" spans="1:16" ht="14.4" x14ac:dyDescent="0.3">
      <c r="A224" s="18" t="s">
        <v>25</v>
      </c>
      <c r="B224" s="19"/>
      <c r="C224" s="16" t="s">
        <v>19</v>
      </c>
      <c r="D224" s="20">
        <f>[46]SLR!D68</f>
        <v>0.39779999999999999</v>
      </c>
      <c r="E224" s="20">
        <f>[46]SLR!E68</f>
        <v>0.44869999999999999</v>
      </c>
      <c r="F224" s="20">
        <f>[46]SLR!F68</f>
        <v>0.51160000000000005</v>
      </c>
      <c r="G224" s="20">
        <f>[46]SLR!G68</f>
        <v>0.51719999999999999</v>
      </c>
      <c r="H224" s="20">
        <f>[46]SLR!H68</f>
        <v>0.4844</v>
      </c>
      <c r="I224" s="20">
        <f>[46]SLR!I68</f>
        <v>0.46600000000000003</v>
      </c>
      <c r="J224" s="20">
        <f>[46]SLR!J68</f>
        <v>0.46960000000000002</v>
      </c>
      <c r="K224" s="20">
        <f>[46]SLR!K68</f>
        <v>0.46300000000000002</v>
      </c>
      <c r="L224" s="20">
        <f>[46]SLR!L68</f>
        <v>0.45179999999999998</v>
      </c>
      <c r="M224" s="20">
        <f>[46]SLR!M68</f>
        <v>0.44700000000000001</v>
      </c>
      <c r="N224" s="20">
        <f>[46]SLR!N68</f>
        <v>0.46250000000000002</v>
      </c>
      <c r="O224" s="20">
        <f>[46]SLR!O68</f>
        <v>0.4647</v>
      </c>
      <c r="P224" s="20">
        <f>[46]SLR!P68</f>
        <v>0</v>
      </c>
    </row>
    <row r="225" spans="1:16" ht="14.4" x14ac:dyDescent="0.3">
      <c r="A225" s="14" t="s">
        <v>26</v>
      </c>
      <c r="B225" s="14"/>
      <c r="C225" s="16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</row>
    <row r="226" spans="1:16" ht="14.4" x14ac:dyDescent="0.3">
      <c r="A226" s="18" t="s">
        <v>27</v>
      </c>
      <c r="B226" s="18"/>
      <c r="C226" s="16" t="s">
        <v>19</v>
      </c>
      <c r="D226" s="20">
        <v>0.1368</v>
      </c>
      <c r="E226" s="20">
        <v>0.1368</v>
      </c>
      <c r="F226" s="20">
        <v>0.1368</v>
      </c>
      <c r="G226" s="20">
        <v>0.1368</v>
      </c>
      <c r="H226" s="20">
        <v>0.1368</v>
      </c>
      <c r="I226" s="20">
        <v>0.1368</v>
      </c>
      <c r="J226" s="20">
        <v>0.1368</v>
      </c>
      <c r="K226" s="20">
        <v>0.1368</v>
      </c>
      <c r="L226" s="20">
        <v>0.1368</v>
      </c>
      <c r="M226" s="20">
        <v>0.1368</v>
      </c>
      <c r="N226" s="20">
        <v>0.1368</v>
      </c>
      <c r="O226" s="20">
        <v>0.1368</v>
      </c>
      <c r="P226" s="20">
        <v>0.1368</v>
      </c>
    </row>
    <row r="227" spans="1:16" ht="14.4" x14ac:dyDescent="0.3">
      <c r="A227" s="18" t="s">
        <v>28</v>
      </c>
      <c r="B227" s="18"/>
      <c r="C227" s="16" t="s">
        <v>23</v>
      </c>
      <c r="D227" s="23">
        <v>237.15</v>
      </c>
      <c r="E227" s="23">
        <v>237.15</v>
      </c>
      <c r="F227" s="23">
        <v>237.15</v>
      </c>
      <c r="G227" s="23">
        <v>237.15</v>
      </c>
      <c r="H227" s="23">
        <v>237.15</v>
      </c>
      <c r="I227" s="23">
        <v>237.15</v>
      </c>
      <c r="J227" s="23">
        <v>237.15</v>
      </c>
      <c r="K227" s="23">
        <v>237.15</v>
      </c>
      <c r="L227" s="23">
        <v>237.15</v>
      </c>
      <c r="M227" s="23">
        <v>237.15</v>
      </c>
      <c r="N227" s="23">
        <v>237.15</v>
      </c>
      <c r="O227" s="23">
        <v>237.15</v>
      </c>
      <c r="P227" s="23">
        <v>237.15</v>
      </c>
    </row>
    <row r="228" spans="1:16" ht="14.4" x14ac:dyDescent="0.3">
      <c r="A228" s="14" t="s">
        <v>29</v>
      </c>
      <c r="B228" s="14"/>
      <c r="C228" s="16"/>
      <c r="D228" s="24"/>
      <c r="E228" s="24"/>
      <c r="F228" s="24"/>
      <c r="G228" s="24"/>
      <c r="H228" s="24"/>
      <c r="I228" s="24"/>
      <c r="J228" s="24"/>
      <c r="K228" s="24"/>
      <c r="L228" s="24"/>
      <c r="M228" s="24"/>
      <c r="N228" s="24"/>
      <c r="O228" s="24"/>
      <c r="P228" s="24"/>
    </row>
    <row r="229" spans="1:16" ht="14.4" x14ac:dyDescent="0.3">
      <c r="A229" s="18" t="s">
        <v>30</v>
      </c>
      <c r="B229" s="18"/>
      <c r="C229" s="16" t="s">
        <v>19</v>
      </c>
      <c r="D229" s="52" t="s">
        <v>61</v>
      </c>
      <c r="E229" s="52" t="s">
        <v>61</v>
      </c>
      <c r="F229" s="52" t="s">
        <v>61</v>
      </c>
      <c r="G229" s="52" t="s">
        <v>61</v>
      </c>
      <c r="H229" s="52" t="s">
        <v>61</v>
      </c>
      <c r="I229" s="52" t="s">
        <v>61</v>
      </c>
      <c r="J229" s="52" t="s">
        <v>61</v>
      </c>
      <c r="K229" s="52" t="s">
        <v>61</v>
      </c>
      <c r="L229" s="52" t="s">
        <v>61</v>
      </c>
      <c r="M229" s="52" t="s">
        <v>61</v>
      </c>
      <c r="N229" s="52" t="s">
        <v>61</v>
      </c>
      <c r="O229" s="52" t="s">
        <v>61</v>
      </c>
      <c r="P229" s="52" t="s">
        <v>61</v>
      </c>
    </row>
    <row r="230" spans="1:16" ht="14.4" x14ac:dyDescent="0.3">
      <c r="A230" s="18" t="s">
        <v>31</v>
      </c>
      <c r="B230" s="18"/>
      <c r="C230" s="16" t="s">
        <v>32</v>
      </c>
      <c r="D230" s="52" t="s">
        <v>62</v>
      </c>
      <c r="E230" s="52" t="s">
        <v>62</v>
      </c>
      <c r="F230" s="52" t="s">
        <v>62</v>
      </c>
      <c r="G230" s="52" t="s">
        <v>62</v>
      </c>
      <c r="H230" s="52" t="s">
        <v>62</v>
      </c>
      <c r="I230" s="52" t="s">
        <v>62</v>
      </c>
      <c r="J230" s="52" t="s">
        <v>62</v>
      </c>
      <c r="K230" s="52" t="s">
        <v>62</v>
      </c>
      <c r="L230" s="52" t="s">
        <v>62</v>
      </c>
      <c r="M230" s="52" t="s">
        <v>62</v>
      </c>
      <c r="N230" s="52" t="s">
        <v>62</v>
      </c>
      <c r="O230" s="52" t="s">
        <v>62</v>
      </c>
      <c r="P230" s="52" t="s">
        <v>62</v>
      </c>
    </row>
    <row r="231" spans="1:16" ht="14.4" x14ac:dyDescent="0.3">
      <c r="A231" s="14" t="s">
        <v>33</v>
      </c>
      <c r="B231" s="14"/>
      <c r="C231" s="16"/>
      <c r="D231" s="24"/>
      <c r="E231" s="24"/>
      <c r="F231" s="24"/>
      <c r="G231" s="24"/>
      <c r="H231" s="24"/>
      <c r="I231" s="24"/>
      <c r="J231" s="24"/>
      <c r="K231" s="24"/>
      <c r="L231" s="24"/>
      <c r="M231" s="24"/>
      <c r="N231" s="24"/>
      <c r="O231" s="24"/>
      <c r="P231" s="24"/>
    </row>
    <row r="232" spans="1:16" ht="14.4" x14ac:dyDescent="0.3">
      <c r="A232" s="18" t="s">
        <v>34</v>
      </c>
      <c r="B232" s="18"/>
      <c r="C232" s="16" t="s">
        <v>19</v>
      </c>
      <c r="D232" s="20">
        <v>0</v>
      </c>
      <c r="E232" s="20">
        <v>0</v>
      </c>
      <c r="F232" s="20">
        <v>0</v>
      </c>
      <c r="G232" s="20">
        <v>0</v>
      </c>
      <c r="H232" s="20">
        <v>0</v>
      </c>
      <c r="I232" s="20">
        <v>0</v>
      </c>
      <c r="J232" s="20">
        <v>0</v>
      </c>
      <c r="K232" s="20">
        <v>0</v>
      </c>
      <c r="L232" s="20">
        <v>0</v>
      </c>
      <c r="M232" s="20">
        <v>0</v>
      </c>
      <c r="N232" s="20">
        <v>0</v>
      </c>
      <c r="O232" s="20">
        <v>0</v>
      </c>
      <c r="P232" s="20">
        <v>0</v>
      </c>
    </row>
    <row r="233" spans="1:16" ht="14.4" x14ac:dyDescent="0.3">
      <c r="A233" s="18" t="s">
        <v>35</v>
      </c>
      <c r="B233" s="18"/>
      <c r="C233" s="16" t="s">
        <v>36</v>
      </c>
      <c r="D233" s="52" t="s">
        <v>63</v>
      </c>
      <c r="E233" s="52" t="s">
        <v>63</v>
      </c>
      <c r="F233" s="52" t="s">
        <v>63</v>
      </c>
      <c r="G233" s="52" t="s">
        <v>63</v>
      </c>
      <c r="H233" s="52" t="s">
        <v>63</v>
      </c>
      <c r="I233" s="52" t="s">
        <v>63</v>
      </c>
      <c r="J233" s="52" t="s">
        <v>63</v>
      </c>
      <c r="K233" s="52" t="s">
        <v>63</v>
      </c>
      <c r="L233" s="52" t="s">
        <v>63</v>
      </c>
      <c r="M233" s="52" t="s">
        <v>63</v>
      </c>
      <c r="N233" s="52" t="s">
        <v>63</v>
      </c>
      <c r="O233" s="52" t="s">
        <v>63</v>
      </c>
      <c r="P233" s="52" t="s">
        <v>63</v>
      </c>
    </row>
    <row r="234" spans="1:16" ht="14.4" x14ac:dyDescent="0.3">
      <c r="A234" s="14" t="s">
        <v>37</v>
      </c>
      <c r="B234" s="14"/>
      <c r="C234" s="16"/>
      <c r="D234" s="24"/>
      <c r="E234" s="24"/>
      <c r="F234" s="24"/>
      <c r="G234" s="24"/>
      <c r="H234" s="24"/>
      <c r="I234" s="24"/>
      <c r="J234" s="24"/>
      <c r="K234" s="24"/>
      <c r="L234" s="24"/>
      <c r="M234" s="24"/>
      <c r="N234" s="24"/>
      <c r="O234" s="24"/>
      <c r="P234" s="24"/>
    </row>
    <row r="235" spans="1:16" ht="14.4" x14ac:dyDescent="0.3">
      <c r="A235" s="25" t="s">
        <v>38</v>
      </c>
      <c r="B235" s="18"/>
      <c r="C235" s="16" t="s">
        <v>19</v>
      </c>
      <c r="D235" s="20">
        <f>[46]LD!D28</f>
        <v>9.1399999999999995E-2</v>
      </c>
      <c r="E235" s="20">
        <f>[46]LD!E28</f>
        <v>9.5899999999999999E-2</v>
      </c>
      <c r="F235" s="20">
        <f>[46]LD!F28</f>
        <v>9.98E-2</v>
      </c>
      <c r="G235" s="20">
        <f>[46]LD!G28</f>
        <v>0.1115</v>
      </c>
      <c r="H235" s="20">
        <f>[46]LD!H28</f>
        <v>9.4399999999999998E-2</v>
      </c>
      <c r="I235" s="20">
        <f>[46]LD!I28</f>
        <v>7.4099999999999999E-2</v>
      </c>
      <c r="J235" s="20">
        <f>[46]LD!J28</f>
        <v>7.0900000000000005E-2</v>
      </c>
      <c r="K235" s="20">
        <f>[46]LD!K28</f>
        <v>8.9300000000000004E-2</v>
      </c>
      <c r="L235" s="20">
        <f>[46]LD!L28</f>
        <v>8.8800000000000004E-2</v>
      </c>
      <c r="M235" s="20">
        <f>[46]LD!M28</f>
        <v>8.5500000000000007E-2</v>
      </c>
      <c r="N235" s="20">
        <f>[46]LD!N28</f>
        <v>8.4099999999999994E-2</v>
      </c>
      <c r="O235" s="20">
        <f>[46]LD!O28</f>
        <v>8.5300000000000001E-2</v>
      </c>
      <c r="P235" s="20">
        <f>[46]LD!P28</f>
        <v>0</v>
      </c>
    </row>
    <row r="236" spans="1:16" ht="14.4" x14ac:dyDescent="0.3">
      <c r="A236" s="25" t="s">
        <v>39</v>
      </c>
      <c r="B236" s="18"/>
      <c r="C236" s="16" t="s">
        <v>19</v>
      </c>
      <c r="D236" s="20">
        <v>0</v>
      </c>
      <c r="E236" s="20">
        <v>0</v>
      </c>
      <c r="F236" s="20">
        <v>0</v>
      </c>
      <c r="G236" s="20">
        <v>0</v>
      </c>
      <c r="H236" s="20">
        <v>0</v>
      </c>
      <c r="I236" s="20">
        <v>0</v>
      </c>
      <c r="J236" s="20">
        <v>0</v>
      </c>
      <c r="K236" s="20">
        <v>0</v>
      </c>
      <c r="L236" s="20">
        <v>0</v>
      </c>
      <c r="M236" s="20">
        <v>0</v>
      </c>
      <c r="N236" s="20">
        <v>0</v>
      </c>
      <c r="O236" s="20">
        <v>0</v>
      </c>
      <c r="P236" s="20">
        <v>0</v>
      </c>
    </row>
    <row r="237" spans="1:16" ht="14.4" x14ac:dyDescent="0.3">
      <c r="A237" s="26" t="s">
        <v>40</v>
      </c>
      <c r="B237" s="18"/>
      <c r="C237" s="16" t="s">
        <v>19</v>
      </c>
      <c r="D237" s="20">
        <f>'[46]SR CIT. SUBSIDY'!D107</f>
        <v>7.2836751367259784E-5</v>
      </c>
      <c r="E237" s="20">
        <f>'[46]SR CIT. SUBSIDY'!E107</f>
        <v>6.8004836608513296E-5</v>
      </c>
      <c r="F237" s="20">
        <f>'[46]SR CIT. SUBSIDY'!F107</f>
        <v>7.2021362364614477E-5</v>
      </c>
      <c r="G237" s="20">
        <f>'[46]SR CIT. SUBSIDY'!G107</f>
        <v>8.1837879774750537E-5</v>
      </c>
      <c r="H237" s="20">
        <f>'[46]SR CIT. SUBSIDY'!H107</f>
        <v>7.798204750191218E-5</v>
      </c>
      <c r="I237" s="20">
        <f>'[46]SR CIT. SUBSIDY'!I107</f>
        <v>7.6128332588525541E-5</v>
      </c>
      <c r="J237" s="20">
        <f>'[46]SR CIT. SUBSIDY'!J107</f>
        <v>6.9450356116585135E-5</v>
      </c>
      <c r="K237" s="20">
        <f>'[46]SR CIT. SUBSIDY'!K107</f>
        <v>7.4662532963556342E-5</v>
      </c>
      <c r="L237" s="20">
        <f>'[46]SR CIT. SUBSIDY'!L107</f>
        <v>7.2670454347697154E-5</v>
      </c>
      <c r="M237" s="20">
        <f>'[46]SR CIT. SUBSIDY'!M107</f>
        <v>7.4480298623008149E-5</v>
      </c>
      <c r="N237" s="20">
        <f>'[46]SR CIT. SUBSIDY'!N107</f>
        <v>7.360094464671045E-5</v>
      </c>
      <c r="O237" s="20">
        <f>'[46]SR CIT. SUBSIDY'!O107</f>
        <v>7.9518678198181161E-5</v>
      </c>
      <c r="P237" s="20">
        <f>'[46]SR CIT. SUBSIDY'!P107</f>
        <v>0</v>
      </c>
    </row>
    <row r="238" spans="1:16" ht="14.4" x14ac:dyDescent="0.3">
      <c r="A238" s="26" t="s">
        <v>41</v>
      </c>
      <c r="B238" s="18"/>
      <c r="C238" s="16" t="s">
        <v>19</v>
      </c>
      <c r="D238" s="20">
        <v>0</v>
      </c>
      <c r="E238" s="20">
        <v>0</v>
      </c>
      <c r="F238" s="20">
        <v>0</v>
      </c>
      <c r="G238" s="20">
        <v>0</v>
      </c>
      <c r="H238" s="20">
        <v>0</v>
      </c>
      <c r="I238" s="20">
        <v>0</v>
      </c>
      <c r="J238" s="20">
        <v>0</v>
      </c>
      <c r="K238" s="20">
        <v>0</v>
      </c>
      <c r="L238" s="20">
        <v>0</v>
      </c>
      <c r="M238" s="20">
        <v>0</v>
      </c>
      <c r="N238" s="20">
        <v>0</v>
      </c>
      <c r="O238" s="20">
        <v>0</v>
      </c>
      <c r="P238" s="20">
        <v>0</v>
      </c>
    </row>
    <row r="239" spans="1:16" ht="14.4" x14ac:dyDescent="0.3">
      <c r="A239" s="14" t="s">
        <v>42</v>
      </c>
      <c r="B239" s="14"/>
      <c r="C239" s="16"/>
      <c r="D239" s="24"/>
      <c r="E239" s="24"/>
      <c r="F239" s="24"/>
      <c r="G239" s="24"/>
      <c r="H239" s="24"/>
      <c r="I239" s="24"/>
      <c r="J239" s="24"/>
      <c r="K239" s="24"/>
      <c r="L239" s="24"/>
      <c r="M239" s="24"/>
      <c r="N239" s="24"/>
      <c r="O239" s="24"/>
      <c r="P239" s="24"/>
    </row>
    <row r="240" spans="1:16" ht="14.4" x14ac:dyDescent="0.3">
      <c r="A240" s="14" t="s">
        <v>43</v>
      </c>
      <c r="B240" s="14"/>
      <c r="C240" s="16" t="s">
        <v>44</v>
      </c>
      <c r="D240" s="27"/>
      <c r="E240" s="27"/>
      <c r="F240" s="27"/>
      <c r="G240" s="27"/>
      <c r="H240" s="27"/>
      <c r="I240" s="27"/>
      <c r="J240" s="27"/>
      <c r="K240" s="27"/>
      <c r="L240" s="27"/>
      <c r="M240" s="27"/>
      <c r="N240" s="27"/>
      <c r="O240" s="27"/>
      <c r="P240" s="27"/>
    </row>
    <row r="241" spans="1:16" ht="14.4" x14ac:dyDescent="0.3">
      <c r="A241" s="14" t="s">
        <v>45</v>
      </c>
      <c r="B241" s="14"/>
      <c r="C241" s="16"/>
      <c r="D241" s="28"/>
      <c r="E241" s="28"/>
      <c r="F241" s="28"/>
      <c r="G241" s="28"/>
      <c r="H241" s="28"/>
      <c r="I241" s="28"/>
      <c r="J241" s="28"/>
      <c r="K241" s="28"/>
      <c r="L241" s="28"/>
      <c r="M241" s="28"/>
      <c r="N241" s="28"/>
      <c r="O241" s="28"/>
      <c r="P241" s="28"/>
    </row>
    <row r="242" spans="1:16" ht="14.4" x14ac:dyDescent="0.3">
      <c r="A242" s="14" t="s">
        <v>46</v>
      </c>
      <c r="B242" s="14"/>
      <c r="C242" s="16" t="s">
        <v>19</v>
      </c>
      <c r="D242" s="20">
        <v>0</v>
      </c>
      <c r="E242" s="20">
        <v>0</v>
      </c>
      <c r="F242" s="20">
        <v>0</v>
      </c>
      <c r="G242" s="20">
        <v>0</v>
      </c>
      <c r="H242" s="20">
        <v>0</v>
      </c>
      <c r="I242" s="20">
        <v>0</v>
      </c>
      <c r="J242" s="20">
        <v>0</v>
      </c>
      <c r="K242" s="20">
        <v>0</v>
      </c>
      <c r="L242" s="20">
        <v>0</v>
      </c>
      <c r="M242" s="20">
        <v>0</v>
      </c>
      <c r="N242" s="20">
        <v>0</v>
      </c>
      <c r="O242" s="20">
        <v>0</v>
      </c>
      <c r="P242" s="20">
        <v>0</v>
      </c>
    </row>
    <row r="243" spans="1:16" ht="14.4" x14ac:dyDescent="0.3">
      <c r="A243" s="14" t="s">
        <v>47</v>
      </c>
      <c r="B243" s="14"/>
      <c r="C243" s="16"/>
      <c r="D243" s="24"/>
      <c r="E243" s="24"/>
      <c r="F243" s="24"/>
      <c r="G243" s="24"/>
      <c r="H243" s="24"/>
      <c r="I243" s="24"/>
      <c r="J243" s="24"/>
      <c r="K243" s="24"/>
      <c r="L243" s="24"/>
      <c r="M243" s="24"/>
      <c r="N243" s="24"/>
      <c r="O243" s="24"/>
      <c r="P243" s="24"/>
    </row>
    <row r="244" spans="1:16" ht="14.4" x14ac:dyDescent="0.3">
      <c r="A244" s="18" t="s">
        <v>48</v>
      </c>
      <c r="B244" s="18"/>
      <c r="C244" s="16" t="s">
        <v>19</v>
      </c>
      <c r="D244" s="20">
        <f t="shared" ref="D244:P248" si="17">D202</f>
        <v>0.15609999999999999</v>
      </c>
      <c r="E244" s="20">
        <f t="shared" si="17"/>
        <v>0.15609999999999999</v>
      </c>
      <c r="F244" s="20">
        <f t="shared" si="17"/>
        <v>0.15609999999999999</v>
      </c>
      <c r="G244" s="20">
        <f t="shared" si="17"/>
        <v>0.15609999999999999</v>
      </c>
      <c r="H244" s="20">
        <f t="shared" si="17"/>
        <v>0.15609999999999999</v>
      </c>
      <c r="I244" s="20">
        <f t="shared" si="17"/>
        <v>0.15609999999999999</v>
      </c>
      <c r="J244" s="20">
        <f t="shared" si="17"/>
        <v>0.15609999999999999</v>
      </c>
      <c r="K244" s="20">
        <f t="shared" si="17"/>
        <v>0.15609999999999999</v>
      </c>
      <c r="L244" s="20">
        <f t="shared" si="17"/>
        <v>0.15609999999999999</v>
      </c>
      <c r="M244" s="20">
        <f t="shared" si="17"/>
        <v>0.15609999999999999</v>
      </c>
      <c r="N244" s="20">
        <f t="shared" si="17"/>
        <v>0.15609999999999999</v>
      </c>
      <c r="O244" s="20">
        <f t="shared" si="17"/>
        <v>0.15609999999999999</v>
      </c>
      <c r="P244" s="20">
        <f t="shared" si="17"/>
        <v>0.15609999999999999</v>
      </c>
    </row>
    <row r="245" spans="1:16" ht="14.4" x14ac:dyDescent="0.3">
      <c r="A245" s="18" t="s">
        <v>49</v>
      </c>
      <c r="B245" s="18"/>
      <c r="C245" s="16" t="s">
        <v>19</v>
      </c>
      <c r="D245" s="20">
        <f t="shared" si="17"/>
        <v>2.5000000000000001E-3</v>
      </c>
      <c r="E245" s="20">
        <f t="shared" si="17"/>
        <v>2.5000000000000001E-3</v>
      </c>
      <c r="F245" s="20">
        <f t="shared" si="17"/>
        <v>2.5000000000000001E-3</v>
      </c>
      <c r="G245" s="20">
        <f t="shared" si="17"/>
        <v>2.5000000000000001E-3</v>
      </c>
      <c r="H245" s="20">
        <f t="shared" si="17"/>
        <v>2.5000000000000001E-3</v>
      </c>
      <c r="I245" s="20">
        <f t="shared" si="17"/>
        <v>2.5000000000000001E-3</v>
      </c>
      <c r="J245" s="20">
        <f t="shared" si="17"/>
        <v>2.5000000000000001E-3</v>
      </c>
      <c r="K245" s="20">
        <f t="shared" si="17"/>
        <v>2.5000000000000001E-3</v>
      </c>
      <c r="L245" s="20">
        <f t="shared" si="17"/>
        <v>2.5000000000000001E-3</v>
      </c>
      <c r="M245" s="20">
        <f t="shared" si="17"/>
        <v>2.5000000000000001E-3</v>
      </c>
      <c r="N245" s="20">
        <f t="shared" si="17"/>
        <v>2.5000000000000001E-3</v>
      </c>
      <c r="O245" s="20">
        <f t="shared" si="17"/>
        <v>2.5000000000000001E-3</v>
      </c>
      <c r="P245" s="20">
        <f t="shared" si="17"/>
        <v>2.5000000000000001E-3</v>
      </c>
    </row>
    <row r="246" spans="1:16" ht="14.4" x14ac:dyDescent="0.3">
      <c r="A246" s="18" t="s">
        <v>111</v>
      </c>
      <c r="B246" s="18"/>
      <c r="C246" s="16" t="s">
        <v>19</v>
      </c>
      <c r="D246" s="20">
        <f t="shared" si="17"/>
        <v>0.1938</v>
      </c>
      <c r="E246" s="20">
        <f t="shared" si="17"/>
        <v>0.1938</v>
      </c>
      <c r="F246" s="20">
        <f t="shared" si="17"/>
        <v>0.1938</v>
      </c>
      <c r="G246" s="20">
        <f t="shared" si="17"/>
        <v>0.1938</v>
      </c>
      <c r="H246" s="20">
        <f t="shared" si="17"/>
        <v>0.1938</v>
      </c>
      <c r="I246" s="20">
        <f t="shared" si="17"/>
        <v>0.1938</v>
      </c>
      <c r="J246" s="20">
        <f t="shared" si="17"/>
        <v>0.1938</v>
      </c>
      <c r="K246" s="20">
        <f t="shared" si="17"/>
        <v>0.1938</v>
      </c>
      <c r="L246" s="20">
        <f t="shared" si="17"/>
        <v>0.1938</v>
      </c>
      <c r="M246" s="20">
        <f t="shared" si="17"/>
        <v>0.1938</v>
      </c>
      <c r="N246" s="20">
        <f t="shared" si="17"/>
        <v>0.1938</v>
      </c>
      <c r="O246" s="20">
        <f t="shared" si="17"/>
        <v>0.1938</v>
      </c>
      <c r="P246" s="20">
        <f t="shared" si="17"/>
        <v>0.1938</v>
      </c>
    </row>
    <row r="247" spans="1:16" ht="14.4" x14ac:dyDescent="0.3">
      <c r="A247" s="18" t="s">
        <v>112</v>
      </c>
      <c r="B247" s="18"/>
      <c r="C247" s="16" t="s">
        <v>19</v>
      </c>
      <c r="D247" s="42">
        <f>D205</f>
        <v>2.6499999999999999E-2</v>
      </c>
      <c r="E247" s="42">
        <f t="shared" si="17"/>
        <v>2.6499999999999999E-2</v>
      </c>
      <c r="F247" s="42">
        <f t="shared" si="17"/>
        <v>2.6499999999999999E-2</v>
      </c>
      <c r="G247" s="42">
        <f t="shared" si="17"/>
        <v>2.6499999999999999E-2</v>
      </c>
      <c r="H247" s="42">
        <f t="shared" si="17"/>
        <v>2.6499999999999999E-2</v>
      </c>
      <c r="I247" s="42">
        <f t="shared" si="17"/>
        <v>2.6499999999999999E-2</v>
      </c>
      <c r="J247" s="42">
        <f t="shared" si="17"/>
        <v>2.6499999999999999E-2</v>
      </c>
      <c r="K247" s="42">
        <f t="shared" si="17"/>
        <v>2.6499999999999999E-2</v>
      </c>
      <c r="L247" s="42">
        <f t="shared" si="17"/>
        <v>2.6499999999999999E-2</v>
      </c>
      <c r="M247" s="42">
        <f t="shared" si="17"/>
        <v>2.6499999999999999E-2</v>
      </c>
      <c r="N247" s="42">
        <f t="shared" si="17"/>
        <v>2.6499999999999999E-2</v>
      </c>
      <c r="O247" s="42">
        <f t="shared" si="17"/>
        <v>2.6499999999999999E-2</v>
      </c>
      <c r="P247" s="42">
        <f t="shared" si="17"/>
        <v>2.6499999999999999E-2</v>
      </c>
    </row>
    <row r="248" spans="1:16" ht="14.4" x14ac:dyDescent="0.3">
      <c r="A248" s="14" t="s">
        <v>51</v>
      </c>
      <c r="B248" s="14"/>
      <c r="C248" s="16" t="s">
        <v>19</v>
      </c>
      <c r="D248" s="20">
        <f>D206</f>
        <v>0.183</v>
      </c>
      <c r="E248" s="20">
        <f t="shared" si="17"/>
        <v>0.183</v>
      </c>
      <c r="F248" s="20">
        <f t="shared" si="17"/>
        <v>0.183</v>
      </c>
      <c r="G248" s="20">
        <f t="shared" si="17"/>
        <v>0.183</v>
      </c>
      <c r="H248" s="20">
        <f t="shared" si="17"/>
        <v>0.183</v>
      </c>
      <c r="I248" s="20">
        <f t="shared" si="17"/>
        <v>0.25629999999999997</v>
      </c>
      <c r="J248" s="20">
        <f t="shared" si="17"/>
        <v>0.25629999999999997</v>
      </c>
      <c r="K248" s="20">
        <f t="shared" si="17"/>
        <v>0.25629999999999997</v>
      </c>
      <c r="L248" s="20">
        <f t="shared" si="17"/>
        <v>0.25629999999999997</v>
      </c>
      <c r="M248" s="20">
        <f t="shared" si="17"/>
        <v>0.25629999999999997</v>
      </c>
      <c r="N248" s="20">
        <f t="shared" si="17"/>
        <v>0.25629999999999997</v>
      </c>
      <c r="O248" s="20">
        <f t="shared" si="17"/>
        <v>0.25629999999999997</v>
      </c>
      <c r="P248" s="20">
        <f t="shared" si="17"/>
        <v>0.25629999999999997</v>
      </c>
    </row>
    <row r="249" spans="1:16" ht="14.4" x14ac:dyDescent="0.3">
      <c r="A249" s="14" t="s">
        <v>52</v>
      </c>
      <c r="B249" s="14"/>
      <c r="C249" s="29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</row>
    <row r="250" spans="1:16" ht="14.4" x14ac:dyDescent="0.3">
      <c r="A250" s="18" t="s">
        <v>53</v>
      </c>
      <c r="B250" s="18"/>
      <c r="C250" s="16" t="s">
        <v>44</v>
      </c>
      <c r="D250" s="30">
        <f>'[46]DU VAT'!D16</f>
        <v>0.1082</v>
      </c>
      <c r="E250" s="30">
        <f>'[46]DU VAT'!E16</f>
        <v>0.1134</v>
      </c>
      <c r="F250" s="30">
        <f>'[46]DU VAT'!F16</f>
        <v>0.111</v>
      </c>
      <c r="G250" s="30">
        <f>'[46]DU VAT'!G16</f>
        <v>0.11070000000000001</v>
      </c>
      <c r="H250" s="30">
        <f>'[46]DU VAT'!H16</f>
        <v>0.10920000000000001</v>
      </c>
      <c r="I250" s="30">
        <f>'[46]DU VAT'!I16</f>
        <v>0.1129</v>
      </c>
      <c r="J250" s="30">
        <f>'[46]DU VAT'!J16</f>
        <v>0.1123</v>
      </c>
      <c r="K250" s="30">
        <f>'[46]DU VAT'!K16</f>
        <v>0.1137</v>
      </c>
      <c r="L250" s="30">
        <f>'[46]DU VAT'!L16</f>
        <v>0.1116</v>
      </c>
      <c r="M250" s="30">
        <f>'[46]DU VAT'!M16</f>
        <v>0.10979999999999999</v>
      </c>
      <c r="N250" s="30">
        <f>'[46]DU VAT'!N16</f>
        <v>0.1111</v>
      </c>
      <c r="O250" s="30">
        <f>'[46]DU VAT'!O16</f>
        <v>0.1119</v>
      </c>
      <c r="P250" s="30" t="e">
        <f>'[46]DU VAT'!P16</f>
        <v>#DIV/0!</v>
      </c>
    </row>
    <row r="251" spans="1:16" ht="14.4" x14ac:dyDescent="0.3">
      <c r="A251" s="18" t="s">
        <v>54</v>
      </c>
      <c r="B251" s="18"/>
      <c r="C251" s="16" t="s">
        <v>44</v>
      </c>
      <c r="D251" s="30">
        <f>'[46]DU VAT'!D20</f>
        <v>2.24E-2</v>
      </c>
      <c r="E251" s="30">
        <f>'[46]DU VAT'!E20</f>
        <v>8.6099999999999996E-2</v>
      </c>
      <c r="F251" s="30">
        <f>'[46]DU VAT'!F20</f>
        <v>0.1036</v>
      </c>
      <c r="G251" s="30">
        <f>'[46]DU VAT'!G20</f>
        <v>0.10589999999999999</v>
      </c>
      <c r="H251" s="30">
        <f>'[46]DU VAT'!H20</f>
        <v>0.10730000000000001</v>
      </c>
      <c r="I251" s="30">
        <f>'[46]DU VAT'!I20</f>
        <v>0.1052</v>
      </c>
      <c r="J251" s="30">
        <f>'[46]DU VAT'!J20</f>
        <v>0.1056</v>
      </c>
      <c r="K251" s="30">
        <f>'[46]DU VAT'!K20</f>
        <v>0.106</v>
      </c>
      <c r="L251" s="30">
        <f>'[46]DU VAT'!L20</f>
        <v>0.10340000000000001</v>
      </c>
      <c r="M251" s="30">
        <f>'[46]DU VAT'!M20</f>
        <v>0.1046</v>
      </c>
      <c r="N251" s="30">
        <f>'[46]DU VAT'!N20</f>
        <v>0.1004</v>
      </c>
      <c r="O251" s="30">
        <f>'[46]DU VAT'!O20</f>
        <v>9.8500000000000004E-2</v>
      </c>
      <c r="P251" s="30" t="e">
        <f>'[46]DU VAT'!P20</f>
        <v>#DIV/0!</v>
      </c>
    </row>
    <row r="252" spans="1:16" ht="14.4" x14ac:dyDescent="0.3">
      <c r="A252" s="18" t="s">
        <v>55</v>
      </c>
      <c r="B252" s="18"/>
      <c r="C252" s="16" t="s">
        <v>44</v>
      </c>
      <c r="D252" s="30">
        <f>'[46]DU VAT'!D26</f>
        <v>9.3100000000000002E-2</v>
      </c>
      <c r="E252" s="30">
        <f>'[46]DU VAT'!E26</f>
        <v>0.10929999999999999</v>
      </c>
      <c r="F252" s="30">
        <f>'[46]DU VAT'!F26</f>
        <v>0.11</v>
      </c>
      <c r="G252" s="30">
        <f>'[46]DU VAT'!G26</f>
        <v>0.11</v>
      </c>
      <c r="H252" s="30">
        <f>'[46]DU VAT'!H26</f>
        <v>0.1089</v>
      </c>
      <c r="I252" s="30">
        <f>'[46]DU VAT'!I26</f>
        <v>0.1119</v>
      </c>
      <c r="J252" s="30">
        <f>'[46]DU VAT'!J26</f>
        <v>0.1115</v>
      </c>
      <c r="K252" s="30">
        <f>'[46]DU VAT'!K26</f>
        <v>0.1129</v>
      </c>
      <c r="L252" s="30">
        <f>'[46]DU VAT'!L26</f>
        <v>0.11070000000000001</v>
      </c>
      <c r="M252" s="30">
        <f>'[46]DU VAT'!M26</f>
        <v>0.10920000000000001</v>
      </c>
      <c r="N252" s="30">
        <f>'[46]DU VAT'!N26</f>
        <v>0.1099</v>
      </c>
      <c r="O252" s="30">
        <f>'[46]DU VAT'!O26</f>
        <v>0.1103</v>
      </c>
      <c r="P252" s="30" t="e">
        <f>'[46]DU VAT'!P26</f>
        <v>#DIV/0!</v>
      </c>
    </row>
    <row r="253" spans="1:16" ht="14.4" x14ac:dyDescent="0.3">
      <c r="A253" s="18" t="s">
        <v>56</v>
      </c>
      <c r="B253" s="18"/>
      <c r="C253" s="16" t="s">
        <v>44</v>
      </c>
      <c r="D253" s="30">
        <f t="shared" ref="D253:P254" si="18">D211</f>
        <v>0.12</v>
      </c>
      <c r="E253" s="30">
        <f t="shared" si="18"/>
        <v>0.12</v>
      </c>
      <c r="F253" s="30">
        <f t="shared" si="18"/>
        <v>0.12</v>
      </c>
      <c r="G253" s="30">
        <f t="shared" si="18"/>
        <v>0.12</v>
      </c>
      <c r="H253" s="30">
        <f t="shared" si="18"/>
        <v>0.12</v>
      </c>
      <c r="I253" s="30">
        <f t="shared" si="18"/>
        <v>0.12</v>
      </c>
      <c r="J253" s="30">
        <f t="shared" si="18"/>
        <v>0.12</v>
      </c>
      <c r="K253" s="30">
        <f t="shared" si="18"/>
        <v>0.12</v>
      </c>
      <c r="L253" s="30">
        <f t="shared" si="18"/>
        <v>0.12</v>
      </c>
      <c r="M253" s="30">
        <f t="shared" si="18"/>
        <v>0.12</v>
      </c>
      <c r="N253" s="30">
        <f t="shared" si="18"/>
        <v>0.12</v>
      </c>
      <c r="O253" s="30">
        <f t="shared" si="18"/>
        <v>0.12</v>
      </c>
      <c r="P253" s="30">
        <f t="shared" si="18"/>
        <v>0.12</v>
      </c>
    </row>
    <row r="254" spans="1:16" ht="14.4" x14ac:dyDescent="0.3">
      <c r="A254" s="18" t="s">
        <v>57</v>
      </c>
      <c r="B254" s="18"/>
      <c r="C254" s="16" t="s">
        <v>44</v>
      </c>
      <c r="D254" s="30">
        <f t="shared" si="18"/>
        <v>0.12</v>
      </c>
      <c r="E254" s="30">
        <f t="shared" si="18"/>
        <v>0.12</v>
      </c>
      <c r="F254" s="30">
        <f t="shared" si="18"/>
        <v>0.12</v>
      </c>
      <c r="G254" s="30">
        <f t="shared" si="18"/>
        <v>0.12</v>
      </c>
      <c r="H254" s="30">
        <f t="shared" si="18"/>
        <v>0.12</v>
      </c>
      <c r="I254" s="30">
        <f t="shared" si="18"/>
        <v>0.12</v>
      </c>
      <c r="J254" s="30">
        <f t="shared" si="18"/>
        <v>0.12</v>
      </c>
      <c r="K254" s="30">
        <f t="shared" si="18"/>
        <v>0.12</v>
      </c>
      <c r="L254" s="30">
        <f t="shared" si="18"/>
        <v>0.12</v>
      </c>
      <c r="M254" s="30">
        <f t="shared" si="18"/>
        <v>0.12</v>
      </c>
      <c r="N254" s="30">
        <f t="shared" si="18"/>
        <v>0.12</v>
      </c>
      <c r="O254" s="30">
        <f t="shared" si="18"/>
        <v>0.12</v>
      </c>
      <c r="P254" s="30">
        <f t="shared" si="18"/>
        <v>0.12</v>
      </c>
    </row>
    <row r="255" spans="1:16" s="5" customFormat="1" ht="14.4" x14ac:dyDescent="0.3">
      <c r="A255" s="55"/>
      <c r="B255" s="55"/>
      <c r="C255" s="56"/>
      <c r="D255" s="57"/>
      <c r="E255" s="57"/>
      <c r="F255" s="57"/>
      <c r="G255" s="57"/>
      <c r="H255" s="57"/>
      <c r="I255" s="57"/>
      <c r="J255" s="57"/>
      <c r="K255" s="57"/>
      <c r="L255" s="57"/>
      <c r="M255" s="57"/>
      <c r="N255" s="57"/>
      <c r="O255" s="57"/>
      <c r="P255" s="57"/>
    </row>
    <row r="256" spans="1:16" x14ac:dyDescent="0.3">
      <c r="A256" s="3" t="s">
        <v>58</v>
      </c>
    </row>
    <row r="258" spans="1:16" ht="18" x14ac:dyDescent="0.35">
      <c r="A258" s="59" t="str">
        <f>'[46]Statistical data'!A155</f>
        <v xml:space="preserve">  General Power-13.8 kV and Below</v>
      </c>
      <c r="B258" s="60"/>
      <c r="C258" s="5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</row>
    <row r="259" spans="1:16" s="13" customFormat="1" ht="14.4" x14ac:dyDescent="0.3">
      <c r="A259" s="11" t="s">
        <v>3</v>
      </c>
      <c r="B259" s="11"/>
      <c r="C259" s="11" t="s">
        <v>4</v>
      </c>
      <c r="D259" s="73">
        <f t="shared" ref="D259:P259" si="19">D217</f>
        <v>43101</v>
      </c>
      <c r="E259" s="73">
        <f t="shared" si="19"/>
        <v>43132</v>
      </c>
      <c r="F259" s="73">
        <f t="shared" si="19"/>
        <v>43160</v>
      </c>
      <c r="G259" s="73">
        <f t="shared" si="19"/>
        <v>43191</v>
      </c>
      <c r="H259" s="73">
        <f t="shared" si="19"/>
        <v>43221</v>
      </c>
      <c r="I259" s="73">
        <f t="shared" si="19"/>
        <v>43252</v>
      </c>
      <c r="J259" s="73">
        <f t="shared" si="19"/>
        <v>43282</v>
      </c>
      <c r="K259" s="73">
        <f t="shared" si="19"/>
        <v>43313</v>
      </c>
      <c r="L259" s="73">
        <f t="shared" si="19"/>
        <v>43344</v>
      </c>
      <c r="M259" s="73">
        <f t="shared" si="19"/>
        <v>43374</v>
      </c>
      <c r="N259" s="73">
        <f t="shared" si="19"/>
        <v>43405</v>
      </c>
      <c r="O259" s="73">
        <f t="shared" si="19"/>
        <v>43435</v>
      </c>
      <c r="P259" s="73">
        <f t="shared" si="19"/>
        <v>43466</v>
      </c>
    </row>
    <row r="260" spans="1:16" ht="14.4" x14ac:dyDescent="0.3">
      <c r="A260" s="14" t="s">
        <v>17</v>
      </c>
      <c r="B260" s="15"/>
      <c r="C260" s="16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</row>
    <row r="261" spans="1:16" ht="14.4" x14ac:dyDescent="0.3">
      <c r="A261" s="18" t="s">
        <v>18</v>
      </c>
      <c r="B261" s="19"/>
      <c r="C261" s="16" t="s">
        <v>19</v>
      </c>
      <c r="D261" s="52" t="s">
        <v>59</v>
      </c>
      <c r="E261" s="52" t="s">
        <v>59</v>
      </c>
      <c r="F261" s="52" t="s">
        <v>59</v>
      </c>
      <c r="G261" s="52" t="s">
        <v>59</v>
      </c>
      <c r="H261" s="52" t="s">
        <v>59</v>
      </c>
      <c r="I261" s="52" t="s">
        <v>59</v>
      </c>
      <c r="J261" s="52" t="s">
        <v>59</v>
      </c>
      <c r="K261" s="52" t="s">
        <v>59</v>
      </c>
      <c r="L261" s="52" t="s">
        <v>59</v>
      </c>
      <c r="M261" s="52" t="s">
        <v>59</v>
      </c>
      <c r="N261" s="52" t="s">
        <v>59</v>
      </c>
      <c r="O261" s="52" t="s">
        <v>59</v>
      </c>
      <c r="P261" s="52" t="s">
        <v>59</v>
      </c>
    </row>
    <row r="262" spans="1:16" ht="14.4" x14ac:dyDescent="0.3">
      <c r="A262" s="14" t="s">
        <v>20</v>
      </c>
      <c r="B262" s="15"/>
      <c r="C262" s="16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</row>
    <row r="263" spans="1:16" ht="14.4" x14ac:dyDescent="0.3">
      <c r="A263" s="18" t="s">
        <v>21</v>
      </c>
      <c r="B263" s="19"/>
      <c r="C263" s="16" t="s">
        <v>19</v>
      </c>
      <c r="D263" s="20">
        <v>0</v>
      </c>
      <c r="E263" s="20">
        <v>0</v>
      </c>
      <c r="F263" s="20">
        <v>0</v>
      </c>
      <c r="G263" s="20">
        <v>0</v>
      </c>
      <c r="H263" s="20">
        <v>0</v>
      </c>
      <c r="I263" s="20">
        <v>0</v>
      </c>
      <c r="J263" s="20">
        <v>0</v>
      </c>
      <c r="K263" s="20">
        <v>0</v>
      </c>
      <c r="L263" s="20">
        <v>0</v>
      </c>
      <c r="M263" s="20">
        <v>0</v>
      </c>
      <c r="N263" s="20">
        <v>0</v>
      </c>
      <c r="O263" s="20">
        <v>0</v>
      </c>
      <c r="P263" s="20">
        <v>0</v>
      </c>
    </row>
    <row r="264" spans="1:16" ht="14.4" x14ac:dyDescent="0.3">
      <c r="A264" s="18" t="s">
        <v>22</v>
      </c>
      <c r="B264" s="19"/>
      <c r="C264" s="16" t="s">
        <v>23</v>
      </c>
      <c r="D264" s="20">
        <f>[46]TR!D36</f>
        <v>313.86</v>
      </c>
      <c r="E264" s="20">
        <f>[46]TR!E36</f>
        <v>290.62</v>
      </c>
      <c r="F264" s="20">
        <f>[46]TR!F36</f>
        <v>304.42</v>
      </c>
      <c r="G264" s="20">
        <f>[46]TR!G36</f>
        <v>314.64</v>
      </c>
      <c r="H264" s="20">
        <f>[46]TR!H36</f>
        <v>306.55</v>
      </c>
      <c r="I264" s="20">
        <f>[46]TR!I36</f>
        <v>289.38</v>
      </c>
      <c r="J264" s="20">
        <f>[46]TR!J36</f>
        <v>287.33999999999997</v>
      </c>
      <c r="K264" s="20">
        <f>[46]TR!K36</f>
        <v>263.83</v>
      </c>
      <c r="L264" s="20">
        <f>[46]TR!L36</f>
        <v>251.83</v>
      </c>
      <c r="M264" s="20">
        <f>[46]TR!M36</f>
        <v>251.5</v>
      </c>
      <c r="N264" s="20">
        <f>[46]TR!N36</f>
        <v>254.35</v>
      </c>
      <c r="O264" s="20">
        <f>[46]TR!O36</f>
        <v>258.11</v>
      </c>
      <c r="P264" s="20">
        <f>[46]TR!P36</f>
        <v>0</v>
      </c>
    </row>
    <row r="265" spans="1:16" ht="14.4" x14ac:dyDescent="0.3">
      <c r="A265" s="14" t="s">
        <v>24</v>
      </c>
      <c r="B265" s="15"/>
      <c r="C265" s="16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</row>
    <row r="266" spans="1:16" ht="14.4" x14ac:dyDescent="0.3">
      <c r="A266" s="18" t="s">
        <v>25</v>
      </c>
      <c r="B266" s="19"/>
      <c r="C266" s="16" t="s">
        <v>19</v>
      </c>
      <c r="D266" s="20">
        <f>[46]SLR!D69</f>
        <v>0.1668</v>
      </c>
      <c r="E266" s="20">
        <f>[46]SLR!E69</f>
        <v>0.19159999999999999</v>
      </c>
      <c r="F266" s="20">
        <f>[46]SLR!F69</f>
        <v>0.21299999999999999</v>
      </c>
      <c r="G266" s="20">
        <f>[46]SLR!G69</f>
        <v>0.21110000000000001</v>
      </c>
      <c r="H266" s="20">
        <f>[46]SLR!H69</f>
        <v>0.2034</v>
      </c>
      <c r="I266" s="20">
        <f>[46]SLR!I69</f>
        <v>0.19570000000000001</v>
      </c>
      <c r="J266" s="20">
        <f>[46]SLR!J69</f>
        <v>0.2016</v>
      </c>
      <c r="K266" s="20">
        <f>[46]SLR!K69</f>
        <v>0.20849999999999999</v>
      </c>
      <c r="L266" s="20">
        <f>[46]SLR!L69</f>
        <v>0.20680000000000001</v>
      </c>
      <c r="M266" s="20">
        <f>[46]SLR!M69</f>
        <v>0.20669999999999999</v>
      </c>
      <c r="N266" s="20">
        <f>[46]SLR!N69</f>
        <v>0.2152</v>
      </c>
      <c r="O266" s="20">
        <f>[46]SLR!O69</f>
        <v>0.21179999999999999</v>
      </c>
      <c r="P266" s="20">
        <f>[46]SLR!P69</f>
        <v>0</v>
      </c>
    </row>
    <row r="267" spans="1:16" ht="14.4" x14ac:dyDescent="0.3">
      <c r="A267" s="14" t="s">
        <v>26</v>
      </c>
      <c r="B267" s="14"/>
      <c r="C267" s="16"/>
      <c r="D267" s="22"/>
      <c r="E267" s="22"/>
      <c r="F267" s="22"/>
      <c r="G267" s="22"/>
      <c r="H267" s="22"/>
      <c r="I267" s="22"/>
      <c r="J267" s="22"/>
      <c r="K267" s="22"/>
      <c r="L267" s="22"/>
      <c r="M267" s="22"/>
      <c r="N267" s="22"/>
      <c r="O267" s="22"/>
      <c r="P267" s="22"/>
    </row>
    <row r="268" spans="1:16" ht="14.4" x14ac:dyDescent="0.3">
      <c r="A268" s="18" t="s">
        <v>27</v>
      </c>
      <c r="B268" s="18"/>
      <c r="C268" s="16" t="s">
        <v>19</v>
      </c>
      <c r="D268" s="20">
        <v>5.1299999999999998E-2</v>
      </c>
      <c r="E268" s="20">
        <v>5.1299999999999998E-2</v>
      </c>
      <c r="F268" s="20">
        <v>5.1299999999999998E-2</v>
      </c>
      <c r="G268" s="20">
        <v>5.1299999999999998E-2</v>
      </c>
      <c r="H268" s="20">
        <v>5.1299999999999998E-2</v>
      </c>
      <c r="I268" s="20">
        <v>5.1299999999999998E-2</v>
      </c>
      <c r="J268" s="20">
        <v>5.1299999999999998E-2</v>
      </c>
      <c r="K268" s="20">
        <v>5.1299999999999998E-2</v>
      </c>
      <c r="L268" s="20">
        <v>5.1299999999999998E-2</v>
      </c>
      <c r="M268" s="20">
        <v>5.1299999999999998E-2</v>
      </c>
      <c r="N268" s="20">
        <v>5.1299999999999998E-2</v>
      </c>
      <c r="O268" s="20">
        <v>5.1299999999999998E-2</v>
      </c>
      <c r="P268" s="20">
        <v>5.1299999999999998E-2</v>
      </c>
    </row>
    <row r="269" spans="1:16" ht="14.4" x14ac:dyDescent="0.3">
      <c r="A269" s="18" t="s">
        <v>28</v>
      </c>
      <c r="B269" s="18"/>
      <c r="C269" s="16" t="s">
        <v>23</v>
      </c>
      <c r="D269" s="23">
        <v>182.66</v>
      </c>
      <c r="E269" s="23">
        <v>182.66</v>
      </c>
      <c r="F269" s="23">
        <v>182.66</v>
      </c>
      <c r="G269" s="23">
        <v>182.66</v>
      </c>
      <c r="H269" s="23">
        <v>182.66</v>
      </c>
      <c r="I269" s="23">
        <v>182.66</v>
      </c>
      <c r="J269" s="23">
        <v>182.66</v>
      </c>
      <c r="K269" s="23">
        <v>182.66</v>
      </c>
      <c r="L269" s="23">
        <v>182.66</v>
      </c>
      <c r="M269" s="23">
        <v>182.66</v>
      </c>
      <c r="N269" s="23">
        <v>182.66</v>
      </c>
      <c r="O269" s="23">
        <v>182.66</v>
      </c>
      <c r="P269" s="23">
        <v>182.66</v>
      </c>
    </row>
    <row r="270" spans="1:16" ht="14.4" x14ac:dyDescent="0.3">
      <c r="A270" s="14" t="s">
        <v>29</v>
      </c>
      <c r="B270" s="14"/>
      <c r="C270" s="16"/>
      <c r="D270" s="24"/>
      <c r="E270" s="24"/>
      <c r="F270" s="24"/>
      <c r="G270" s="24"/>
      <c r="H270" s="24"/>
      <c r="I270" s="24"/>
      <c r="J270" s="24"/>
      <c r="K270" s="24"/>
      <c r="L270" s="24"/>
      <c r="M270" s="24"/>
      <c r="N270" s="24"/>
      <c r="O270" s="24"/>
      <c r="P270" s="24"/>
    </row>
    <row r="271" spans="1:16" ht="14.4" x14ac:dyDescent="0.3">
      <c r="A271" s="18" t="s">
        <v>30</v>
      </c>
      <c r="B271" s="18"/>
      <c r="C271" s="16" t="s">
        <v>19</v>
      </c>
      <c r="D271" s="52" t="s">
        <v>61</v>
      </c>
      <c r="E271" s="52" t="s">
        <v>61</v>
      </c>
      <c r="F271" s="52" t="s">
        <v>61</v>
      </c>
      <c r="G271" s="52" t="s">
        <v>61</v>
      </c>
      <c r="H271" s="52" t="s">
        <v>61</v>
      </c>
      <c r="I271" s="52" t="s">
        <v>61</v>
      </c>
      <c r="J271" s="52" t="s">
        <v>61</v>
      </c>
      <c r="K271" s="52" t="s">
        <v>61</v>
      </c>
      <c r="L271" s="52" t="s">
        <v>61</v>
      </c>
      <c r="M271" s="52" t="s">
        <v>61</v>
      </c>
      <c r="N271" s="52" t="s">
        <v>61</v>
      </c>
      <c r="O271" s="52" t="s">
        <v>61</v>
      </c>
      <c r="P271" s="52" t="s">
        <v>61</v>
      </c>
    </row>
    <row r="272" spans="1:16" ht="14.4" x14ac:dyDescent="0.3">
      <c r="A272" s="18" t="s">
        <v>31</v>
      </c>
      <c r="B272" s="18"/>
      <c r="C272" s="16" t="s">
        <v>32</v>
      </c>
      <c r="D272" s="52" t="s">
        <v>62</v>
      </c>
      <c r="E272" s="52" t="s">
        <v>62</v>
      </c>
      <c r="F272" s="52" t="s">
        <v>62</v>
      </c>
      <c r="G272" s="52" t="s">
        <v>62</v>
      </c>
      <c r="H272" s="52" t="s">
        <v>62</v>
      </c>
      <c r="I272" s="52" t="s">
        <v>62</v>
      </c>
      <c r="J272" s="52" t="s">
        <v>62</v>
      </c>
      <c r="K272" s="52" t="s">
        <v>62</v>
      </c>
      <c r="L272" s="52" t="s">
        <v>62</v>
      </c>
      <c r="M272" s="52" t="s">
        <v>62</v>
      </c>
      <c r="N272" s="52" t="s">
        <v>62</v>
      </c>
      <c r="O272" s="52" t="s">
        <v>62</v>
      </c>
      <c r="P272" s="52" t="s">
        <v>62</v>
      </c>
    </row>
    <row r="273" spans="1:16" ht="14.4" x14ac:dyDescent="0.3">
      <c r="A273" s="14" t="s">
        <v>33</v>
      </c>
      <c r="B273" s="14"/>
      <c r="C273" s="16"/>
      <c r="D273" s="24"/>
      <c r="E273" s="24"/>
      <c r="F273" s="24"/>
      <c r="G273" s="24"/>
      <c r="H273" s="24"/>
      <c r="I273" s="24"/>
      <c r="J273" s="24"/>
      <c r="K273" s="24"/>
      <c r="L273" s="24"/>
      <c r="M273" s="24"/>
      <c r="N273" s="24"/>
      <c r="O273" s="24"/>
      <c r="P273" s="24"/>
    </row>
    <row r="274" spans="1:16" ht="14.4" x14ac:dyDescent="0.3">
      <c r="A274" s="18" t="s">
        <v>34</v>
      </c>
      <c r="B274" s="18"/>
      <c r="C274" s="16" t="s">
        <v>19</v>
      </c>
      <c r="D274" s="20">
        <v>0</v>
      </c>
      <c r="E274" s="20">
        <v>0</v>
      </c>
      <c r="F274" s="20">
        <v>0</v>
      </c>
      <c r="G274" s="20">
        <v>0</v>
      </c>
      <c r="H274" s="20">
        <v>0</v>
      </c>
      <c r="I274" s="20">
        <v>0</v>
      </c>
      <c r="J274" s="20">
        <v>0</v>
      </c>
      <c r="K274" s="20">
        <v>0</v>
      </c>
      <c r="L274" s="20">
        <v>0</v>
      </c>
      <c r="M274" s="20">
        <v>0</v>
      </c>
      <c r="N274" s="20">
        <v>0</v>
      </c>
      <c r="O274" s="20">
        <v>0</v>
      </c>
      <c r="P274" s="20">
        <v>0</v>
      </c>
    </row>
    <row r="275" spans="1:16" ht="14.4" x14ac:dyDescent="0.3">
      <c r="A275" s="18" t="s">
        <v>35</v>
      </c>
      <c r="B275" s="18"/>
      <c r="C275" s="16" t="s">
        <v>36</v>
      </c>
      <c r="D275" s="52" t="s">
        <v>63</v>
      </c>
      <c r="E275" s="52" t="s">
        <v>63</v>
      </c>
      <c r="F275" s="52" t="s">
        <v>63</v>
      </c>
      <c r="G275" s="52" t="s">
        <v>63</v>
      </c>
      <c r="H275" s="52" t="s">
        <v>63</v>
      </c>
      <c r="I275" s="52" t="s">
        <v>63</v>
      </c>
      <c r="J275" s="52" t="s">
        <v>63</v>
      </c>
      <c r="K275" s="52" t="s">
        <v>63</v>
      </c>
      <c r="L275" s="52" t="s">
        <v>63</v>
      </c>
      <c r="M275" s="52" t="s">
        <v>63</v>
      </c>
      <c r="N275" s="52" t="s">
        <v>63</v>
      </c>
      <c r="O275" s="52" t="s">
        <v>63</v>
      </c>
      <c r="P275" s="52" t="s">
        <v>63</v>
      </c>
    </row>
    <row r="276" spans="1:16" ht="14.4" x14ac:dyDescent="0.3">
      <c r="A276" s="14" t="s">
        <v>37</v>
      </c>
      <c r="B276" s="14"/>
      <c r="C276" s="16"/>
      <c r="D276" s="24"/>
      <c r="E276" s="24"/>
      <c r="F276" s="24"/>
      <c r="G276" s="24"/>
      <c r="H276" s="24"/>
      <c r="I276" s="24"/>
      <c r="J276" s="24"/>
      <c r="K276" s="24"/>
      <c r="L276" s="24"/>
      <c r="M276" s="24"/>
      <c r="N276" s="24"/>
      <c r="O276" s="24"/>
      <c r="P276" s="24"/>
    </row>
    <row r="277" spans="1:16" ht="14.4" x14ac:dyDescent="0.3">
      <c r="A277" s="25" t="s">
        <v>38</v>
      </c>
      <c r="B277" s="18"/>
      <c r="C277" s="16" t="s">
        <v>19</v>
      </c>
      <c r="D277" s="20">
        <f>[46]LD!D28</f>
        <v>9.1399999999999995E-2</v>
      </c>
      <c r="E277" s="20">
        <f>[46]LD!E28</f>
        <v>9.5899999999999999E-2</v>
      </c>
      <c r="F277" s="20">
        <f>[46]LD!F28</f>
        <v>9.98E-2</v>
      </c>
      <c r="G277" s="20">
        <f>[46]LD!G28</f>
        <v>0.1115</v>
      </c>
      <c r="H277" s="20">
        <f>[46]LD!H28</f>
        <v>9.4399999999999998E-2</v>
      </c>
      <c r="I277" s="20">
        <f>[46]LD!I28</f>
        <v>7.4099999999999999E-2</v>
      </c>
      <c r="J277" s="20">
        <f>[46]LD!J28</f>
        <v>7.0900000000000005E-2</v>
      </c>
      <c r="K277" s="20">
        <f>[46]LD!K28</f>
        <v>8.9300000000000004E-2</v>
      </c>
      <c r="L277" s="20">
        <f>[46]LD!L28</f>
        <v>8.8800000000000004E-2</v>
      </c>
      <c r="M277" s="20">
        <f>[46]LD!M28</f>
        <v>8.5500000000000007E-2</v>
      </c>
      <c r="N277" s="20">
        <f>[46]LD!N28</f>
        <v>8.4099999999999994E-2</v>
      </c>
      <c r="O277" s="20">
        <f>[46]LD!O28</f>
        <v>8.5300000000000001E-2</v>
      </c>
      <c r="P277" s="20">
        <f>[46]LD!P28</f>
        <v>0</v>
      </c>
    </row>
    <row r="278" spans="1:16" ht="14.4" x14ac:dyDescent="0.3">
      <c r="A278" s="25" t="s">
        <v>39</v>
      </c>
      <c r="B278" s="18"/>
      <c r="C278" s="16" t="s">
        <v>19</v>
      </c>
      <c r="D278" s="20">
        <v>0</v>
      </c>
      <c r="E278" s="20">
        <v>0</v>
      </c>
      <c r="F278" s="20">
        <v>0</v>
      </c>
      <c r="G278" s="20">
        <v>0</v>
      </c>
      <c r="H278" s="20">
        <v>0</v>
      </c>
      <c r="I278" s="20">
        <v>0</v>
      </c>
      <c r="J278" s="20">
        <v>0</v>
      </c>
      <c r="K278" s="20">
        <v>0</v>
      </c>
      <c r="L278" s="20">
        <v>0</v>
      </c>
      <c r="M278" s="20">
        <v>0</v>
      </c>
      <c r="N278" s="20">
        <v>0</v>
      </c>
      <c r="O278" s="20">
        <v>0</v>
      </c>
      <c r="P278" s="20">
        <v>0</v>
      </c>
    </row>
    <row r="279" spans="1:16" ht="14.4" x14ac:dyDescent="0.3">
      <c r="A279" s="26" t="s">
        <v>40</v>
      </c>
      <c r="B279" s="18"/>
      <c r="C279" s="16" t="s">
        <v>19</v>
      </c>
      <c r="D279" s="20">
        <f>'[46]SR CIT. SUBSIDY'!D107</f>
        <v>7.2836751367259784E-5</v>
      </c>
      <c r="E279" s="20">
        <f>'[46]SR CIT. SUBSIDY'!E107</f>
        <v>6.8004836608513296E-5</v>
      </c>
      <c r="F279" s="20">
        <f>'[46]SR CIT. SUBSIDY'!F107</f>
        <v>7.2021362364614477E-5</v>
      </c>
      <c r="G279" s="20">
        <f>'[46]SR CIT. SUBSIDY'!G107</f>
        <v>8.1837879774750537E-5</v>
      </c>
      <c r="H279" s="20">
        <f>'[46]SR CIT. SUBSIDY'!H107</f>
        <v>7.798204750191218E-5</v>
      </c>
      <c r="I279" s="20">
        <f>'[46]SR CIT. SUBSIDY'!I107</f>
        <v>7.6128332588525541E-5</v>
      </c>
      <c r="J279" s="20">
        <f>'[46]SR CIT. SUBSIDY'!J107</f>
        <v>6.9450356116585135E-5</v>
      </c>
      <c r="K279" s="20">
        <f>'[46]SR CIT. SUBSIDY'!K107</f>
        <v>7.4662532963556342E-5</v>
      </c>
      <c r="L279" s="20">
        <f>'[46]SR CIT. SUBSIDY'!L107</f>
        <v>7.2670454347697154E-5</v>
      </c>
      <c r="M279" s="20">
        <f>'[46]SR CIT. SUBSIDY'!M107</f>
        <v>7.4480298623008149E-5</v>
      </c>
      <c r="N279" s="20">
        <f>'[46]SR CIT. SUBSIDY'!N107</f>
        <v>7.360094464671045E-5</v>
      </c>
      <c r="O279" s="20">
        <f>'[46]SR CIT. SUBSIDY'!O107</f>
        <v>7.9518678198181161E-5</v>
      </c>
      <c r="P279" s="20">
        <f>'[46]SR CIT. SUBSIDY'!P107</f>
        <v>0</v>
      </c>
    </row>
    <row r="280" spans="1:16" ht="14.4" x14ac:dyDescent="0.3">
      <c r="A280" s="26" t="s">
        <v>41</v>
      </c>
      <c r="B280" s="18"/>
      <c r="C280" s="16" t="s">
        <v>19</v>
      </c>
      <c r="D280" s="20">
        <v>0</v>
      </c>
      <c r="E280" s="20">
        <v>0</v>
      </c>
      <c r="F280" s="20">
        <v>0</v>
      </c>
      <c r="G280" s="20">
        <v>0</v>
      </c>
      <c r="H280" s="20">
        <v>0</v>
      </c>
      <c r="I280" s="20">
        <v>0</v>
      </c>
      <c r="J280" s="20">
        <v>0</v>
      </c>
      <c r="K280" s="20">
        <v>0</v>
      </c>
      <c r="L280" s="20">
        <v>0</v>
      </c>
      <c r="M280" s="20">
        <v>0</v>
      </c>
      <c r="N280" s="20">
        <v>0</v>
      </c>
      <c r="O280" s="20">
        <v>0</v>
      </c>
      <c r="P280" s="20">
        <v>0</v>
      </c>
    </row>
    <row r="281" spans="1:16" ht="14.4" x14ac:dyDescent="0.3">
      <c r="A281" s="14" t="s">
        <v>42</v>
      </c>
      <c r="B281" s="14"/>
      <c r="C281" s="16"/>
      <c r="D281" s="24"/>
      <c r="E281" s="24"/>
      <c r="F281" s="24"/>
      <c r="G281" s="24"/>
      <c r="H281" s="24"/>
      <c r="I281" s="24"/>
      <c r="J281" s="24"/>
      <c r="K281" s="24"/>
      <c r="L281" s="24"/>
      <c r="M281" s="24"/>
      <c r="N281" s="24"/>
      <c r="O281" s="24"/>
      <c r="P281" s="24"/>
    </row>
    <row r="282" spans="1:16" ht="14.4" x14ac:dyDescent="0.3">
      <c r="A282" s="14" t="s">
        <v>43</v>
      </c>
      <c r="B282" s="14"/>
      <c r="C282" s="16" t="s">
        <v>44</v>
      </c>
      <c r="D282" s="27"/>
      <c r="E282" s="27"/>
      <c r="F282" s="27"/>
      <c r="G282" s="27"/>
      <c r="H282" s="27"/>
      <c r="I282" s="27"/>
      <c r="J282" s="27"/>
      <c r="K282" s="27"/>
      <c r="L282" s="27"/>
      <c r="M282" s="27"/>
      <c r="N282" s="27"/>
      <c r="O282" s="27"/>
      <c r="P282" s="27"/>
    </row>
    <row r="283" spans="1:16" ht="14.4" x14ac:dyDescent="0.3">
      <c r="A283" s="14" t="s">
        <v>45</v>
      </c>
      <c r="B283" s="14"/>
      <c r="C283" s="16"/>
      <c r="D283" s="28"/>
      <c r="E283" s="28"/>
      <c r="F283" s="28"/>
      <c r="G283" s="28"/>
      <c r="H283" s="28"/>
      <c r="I283" s="28"/>
      <c r="J283" s="28"/>
      <c r="K283" s="28"/>
      <c r="L283" s="28"/>
      <c r="M283" s="28"/>
      <c r="N283" s="28"/>
      <c r="O283" s="28"/>
      <c r="P283" s="28"/>
    </row>
    <row r="284" spans="1:16" ht="14.4" x14ac:dyDescent="0.3">
      <c r="A284" s="14" t="s">
        <v>46</v>
      </c>
      <c r="B284" s="14"/>
      <c r="C284" s="16" t="s">
        <v>19</v>
      </c>
      <c r="D284" s="20">
        <v>0</v>
      </c>
      <c r="E284" s="20">
        <v>0</v>
      </c>
      <c r="F284" s="20">
        <v>0</v>
      </c>
      <c r="G284" s="20">
        <v>0</v>
      </c>
      <c r="H284" s="20">
        <v>0</v>
      </c>
      <c r="I284" s="20">
        <v>0</v>
      </c>
      <c r="J284" s="20">
        <v>0</v>
      </c>
      <c r="K284" s="20">
        <v>0</v>
      </c>
      <c r="L284" s="20">
        <v>0</v>
      </c>
      <c r="M284" s="20">
        <v>0</v>
      </c>
      <c r="N284" s="20">
        <v>0</v>
      </c>
      <c r="O284" s="20">
        <v>0</v>
      </c>
      <c r="P284" s="20">
        <v>0</v>
      </c>
    </row>
    <row r="285" spans="1:16" ht="14.4" x14ac:dyDescent="0.3">
      <c r="A285" s="14" t="s">
        <v>47</v>
      </c>
      <c r="B285" s="14"/>
      <c r="C285" s="16"/>
      <c r="D285" s="24"/>
      <c r="E285" s="24"/>
      <c r="F285" s="24"/>
      <c r="G285" s="24"/>
      <c r="H285" s="24"/>
      <c r="I285" s="24"/>
      <c r="J285" s="24"/>
      <c r="K285" s="24"/>
      <c r="L285" s="24"/>
      <c r="M285" s="24"/>
      <c r="N285" s="24"/>
      <c r="O285" s="24"/>
      <c r="P285" s="24"/>
    </row>
    <row r="286" spans="1:16" ht="14.4" x14ac:dyDescent="0.3">
      <c r="A286" s="18" t="s">
        <v>48</v>
      </c>
      <c r="B286" s="18"/>
      <c r="C286" s="16" t="s">
        <v>19</v>
      </c>
      <c r="D286" s="20">
        <f t="shared" ref="D286:P290" si="20">D244</f>
        <v>0.15609999999999999</v>
      </c>
      <c r="E286" s="20">
        <f t="shared" si="20"/>
        <v>0.15609999999999999</v>
      </c>
      <c r="F286" s="20">
        <f t="shared" si="20"/>
        <v>0.15609999999999999</v>
      </c>
      <c r="G286" s="20">
        <f t="shared" si="20"/>
        <v>0.15609999999999999</v>
      </c>
      <c r="H286" s="20">
        <f t="shared" si="20"/>
        <v>0.15609999999999999</v>
      </c>
      <c r="I286" s="20">
        <f t="shared" si="20"/>
        <v>0.15609999999999999</v>
      </c>
      <c r="J286" s="20">
        <f t="shared" si="20"/>
        <v>0.15609999999999999</v>
      </c>
      <c r="K286" s="20">
        <f t="shared" si="20"/>
        <v>0.15609999999999999</v>
      </c>
      <c r="L286" s="20">
        <f t="shared" si="20"/>
        <v>0.15609999999999999</v>
      </c>
      <c r="M286" s="20">
        <f t="shared" si="20"/>
        <v>0.15609999999999999</v>
      </c>
      <c r="N286" s="20">
        <f t="shared" si="20"/>
        <v>0.15609999999999999</v>
      </c>
      <c r="O286" s="20">
        <f t="shared" si="20"/>
        <v>0.15609999999999999</v>
      </c>
      <c r="P286" s="20">
        <f t="shared" si="20"/>
        <v>0.15609999999999999</v>
      </c>
    </row>
    <row r="287" spans="1:16" ht="14.4" x14ac:dyDescent="0.3">
      <c r="A287" s="18" t="s">
        <v>49</v>
      </c>
      <c r="B287" s="18"/>
      <c r="C287" s="16" t="s">
        <v>19</v>
      </c>
      <c r="D287" s="20">
        <f t="shared" si="20"/>
        <v>2.5000000000000001E-3</v>
      </c>
      <c r="E287" s="20">
        <f t="shared" si="20"/>
        <v>2.5000000000000001E-3</v>
      </c>
      <c r="F287" s="20">
        <f t="shared" si="20"/>
        <v>2.5000000000000001E-3</v>
      </c>
      <c r="G287" s="20">
        <f t="shared" si="20"/>
        <v>2.5000000000000001E-3</v>
      </c>
      <c r="H287" s="20">
        <f t="shared" si="20"/>
        <v>2.5000000000000001E-3</v>
      </c>
      <c r="I287" s="20">
        <f t="shared" si="20"/>
        <v>2.5000000000000001E-3</v>
      </c>
      <c r="J287" s="20">
        <f t="shared" si="20"/>
        <v>2.5000000000000001E-3</v>
      </c>
      <c r="K287" s="20">
        <f t="shared" si="20"/>
        <v>2.5000000000000001E-3</v>
      </c>
      <c r="L287" s="20">
        <f t="shared" si="20"/>
        <v>2.5000000000000001E-3</v>
      </c>
      <c r="M287" s="20">
        <f t="shared" si="20"/>
        <v>2.5000000000000001E-3</v>
      </c>
      <c r="N287" s="20">
        <f t="shared" si="20"/>
        <v>2.5000000000000001E-3</v>
      </c>
      <c r="O287" s="20">
        <f t="shared" si="20"/>
        <v>2.5000000000000001E-3</v>
      </c>
      <c r="P287" s="20">
        <f t="shared" si="20"/>
        <v>2.5000000000000001E-3</v>
      </c>
    </row>
    <row r="288" spans="1:16" ht="14.4" x14ac:dyDescent="0.3">
      <c r="A288" s="18" t="s">
        <v>111</v>
      </c>
      <c r="B288" s="18"/>
      <c r="C288" s="16" t="s">
        <v>19</v>
      </c>
      <c r="D288" s="20">
        <f t="shared" si="20"/>
        <v>0.1938</v>
      </c>
      <c r="E288" s="20">
        <f t="shared" si="20"/>
        <v>0.1938</v>
      </c>
      <c r="F288" s="20">
        <f t="shared" si="20"/>
        <v>0.1938</v>
      </c>
      <c r="G288" s="20">
        <f t="shared" si="20"/>
        <v>0.1938</v>
      </c>
      <c r="H288" s="20">
        <f t="shared" si="20"/>
        <v>0.1938</v>
      </c>
      <c r="I288" s="20">
        <f t="shared" si="20"/>
        <v>0.1938</v>
      </c>
      <c r="J288" s="20">
        <f t="shared" si="20"/>
        <v>0.1938</v>
      </c>
      <c r="K288" s="20">
        <f t="shared" si="20"/>
        <v>0.1938</v>
      </c>
      <c r="L288" s="20">
        <f t="shared" si="20"/>
        <v>0.1938</v>
      </c>
      <c r="M288" s="20">
        <f t="shared" si="20"/>
        <v>0.1938</v>
      </c>
      <c r="N288" s="20">
        <f t="shared" si="20"/>
        <v>0.1938</v>
      </c>
      <c r="O288" s="20">
        <f t="shared" si="20"/>
        <v>0.1938</v>
      </c>
      <c r="P288" s="20">
        <f t="shared" si="20"/>
        <v>0.1938</v>
      </c>
    </row>
    <row r="289" spans="1:16" ht="14.4" x14ac:dyDescent="0.3">
      <c r="A289" s="18" t="s">
        <v>112</v>
      </c>
      <c r="B289" s="18"/>
      <c r="C289" s="16" t="s">
        <v>19</v>
      </c>
      <c r="D289" s="42">
        <f>D247</f>
        <v>2.6499999999999999E-2</v>
      </c>
      <c r="E289" s="42">
        <f t="shared" si="20"/>
        <v>2.6499999999999999E-2</v>
      </c>
      <c r="F289" s="42">
        <f t="shared" si="20"/>
        <v>2.6499999999999999E-2</v>
      </c>
      <c r="G289" s="42">
        <f t="shared" si="20"/>
        <v>2.6499999999999999E-2</v>
      </c>
      <c r="H289" s="42">
        <f t="shared" si="20"/>
        <v>2.6499999999999999E-2</v>
      </c>
      <c r="I289" s="42">
        <f t="shared" si="20"/>
        <v>2.6499999999999999E-2</v>
      </c>
      <c r="J289" s="42">
        <f t="shared" si="20"/>
        <v>2.6499999999999999E-2</v>
      </c>
      <c r="K289" s="42">
        <f t="shared" si="20"/>
        <v>2.6499999999999999E-2</v>
      </c>
      <c r="L289" s="42">
        <f t="shared" si="20"/>
        <v>2.6499999999999999E-2</v>
      </c>
      <c r="M289" s="42">
        <f t="shared" si="20"/>
        <v>2.6499999999999999E-2</v>
      </c>
      <c r="N289" s="42">
        <f t="shared" si="20"/>
        <v>2.6499999999999999E-2</v>
      </c>
      <c r="O289" s="42">
        <f t="shared" si="20"/>
        <v>2.6499999999999999E-2</v>
      </c>
      <c r="P289" s="42">
        <f t="shared" si="20"/>
        <v>2.6499999999999999E-2</v>
      </c>
    </row>
    <row r="290" spans="1:16" ht="14.4" x14ac:dyDescent="0.3">
      <c r="A290" s="14" t="s">
        <v>51</v>
      </c>
      <c r="B290" s="14"/>
      <c r="C290" s="16" t="s">
        <v>19</v>
      </c>
      <c r="D290" s="20">
        <f>D248</f>
        <v>0.183</v>
      </c>
      <c r="E290" s="20">
        <f t="shared" si="20"/>
        <v>0.183</v>
      </c>
      <c r="F290" s="20">
        <f t="shared" si="20"/>
        <v>0.183</v>
      </c>
      <c r="G290" s="20">
        <f t="shared" si="20"/>
        <v>0.183</v>
      </c>
      <c r="H290" s="20">
        <f t="shared" si="20"/>
        <v>0.183</v>
      </c>
      <c r="I290" s="20">
        <f t="shared" si="20"/>
        <v>0.25629999999999997</v>
      </c>
      <c r="J290" s="20">
        <f t="shared" si="20"/>
        <v>0.25629999999999997</v>
      </c>
      <c r="K290" s="20">
        <f t="shared" si="20"/>
        <v>0.25629999999999997</v>
      </c>
      <c r="L290" s="20">
        <f t="shared" si="20"/>
        <v>0.25629999999999997</v>
      </c>
      <c r="M290" s="20">
        <f t="shared" si="20"/>
        <v>0.25629999999999997</v>
      </c>
      <c r="N290" s="20">
        <f t="shared" si="20"/>
        <v>0.25629999999999997</v>
      </c>
      <c r="O290" s="20">
        <f t="shared" si="20"/>
        <v>0.25629999999999997</v>
      </c>
      <c r="P290" s="20">
        <f t="shared" si="20"/>
        <v>0.25629999999999997</v>
      </c>
    </row>
    <row r="291" spans="1:16" ht="14.4" x14ac:dyDescent="0.3">
      <c r="A291" s="14" t="s">
        <v>52</v>
      </c>
      <c r="B291" s="14"/>
      <c r="C291" s="29"/>
      <c r="D291" s="22"/>
      <c r="E291" s="22"/>
      <c r="F291" s="22"/>
      <c r="G291" s="22"/>
      <c r="H291" s="22"/>
      <c r="I291" s="22"/>
      <c r="J291" s="22"/>
      <c r="K291" s="22"/>
      <c r="L291" s="22"/>
      <c r="M291" s="22"/>
      <c r="N291" s="22"/>
      <c r="O291" s="22"/>
      <c r="P291" s="22"/>
    </row>
    <row r="292" spans="1:16" ht="14.4" x14ac:dyDescent="0.3">
      <c r="A292" s="18" t="s">
        <v>53</v>
      </c>
      <c r="B292" s="18"/>
      <c r="C292" s="16" t="s">
        <v>44</v>
      </c>
      <c r="D292" s="30">
        <f>'[46]DU VAT'!D16</f>
        <v>0.1082</v>
      </c>
      <c r="E292" s="30">
        <f>'[46]DU VAT'!E16</f>
        <v>0.1134</v>
      </c>
      <c r="F292" s="30">
        <f>'[46]DU VAT'!F16</f>
        <v>0.111</v>
      </c>
      <c r="G292" s="30">
        <f>'[46]DU VAT'!G16</f>
        <v>0.11070000000000001</v>
      </c>
      <c r="H292" s="30">
        <f>'[46]DU VAT'!H16</f>
        <v>0.10920000000000001</v>
      </c>
      <c r="I292" s="30">
        <f>'[46]DU VAT'!I16</f>
        <v>0.1129</v>
      </c>
      <c r="J292" s="30">
        <f>'[46]DU VAT'!J16</f>
        <v>0.1123</v>
      </c>
      <c r="K292" s="30">
        <f>'[46]DU VAT'!K16</f>
        <v>0.1137</v>
      </c>
      <c r="L292" s="30">
        <f>'[46]DU VAT'!L16</f>
        <v>0.1116</v>
      </c>
      <c r="M292" s="30">
        <f>'[46]DU VAT'!M16</f>
        <v>0.10979999999999999</v>
      </c>
      <c r="N292" s="30">
        <f>'[46]DU VAT'!N16</f>
        <v>0.1111</v>
      </c>
      <c r="O292" s="30">
        <f>'[46]DU VAT'!O16</f>
        <v>0.1119</v>
      </c>
      <c r="P292" s="30" t="e">
        <f>'[46]DU VAT'!P16</f>
        <v>#DIV/0!</v>
      </c>
    </row>
    <row r="293" spans="1:16" ht="14.4" x14ac:dyDescent="0.3">
      <c r="A293" s="18" t="s">
        <v>54</v>
      </c>
      <c r="B293" s="18"/>
      <c r="C293" s="16" t="s">
        <v>44</v>
      </c>
      <c r="D293" s="30">
        <f>'[46]DU VAT'!D20</f>
        <v>2.24E-2</v>
      </c>
      <c r="E293" s="30">
        <f>'[46]DU VAT'!E20</f>
        <v>8.6099999999999996E-2</v>
      </c>
      <c r="F293" s="30">
        <f>'[46]DU VAT'!F20</f>
        <v>0.1036</v>
      </c>
      <c r="G293" s="30">
        <f>'[46]DU VAT'!G20</f>
        <v>0.10589999999999999</v>
      </c>
      <c r="H293" s="30">
        <f>'[46]DU VAT'!H20</f>
        <v>0.10730000000000001</v>
      </c>
      <c r="I293" s="30">
        <f>'[46]DU VAT'!I20</f>
        <v>0.1052</v>
      </c>
      <c r="J293" s="30">
        <f>'[46]DU VAT'!J20</f>
        <v>0.1056</v>
      </c>
      <c r="K293" s="30">
        <f>'[46]DU VAT'!K20</f>
        <v>0.106</v>
      </c>
      <c r="L293" s="30">
        <f>'[46]DU VAT'!L20</f>
        <v>0.10340000000000001</v>
      </c>
      <c r="M293" s="30">
        <f>'[46]DU VAT'!M20</f>
        <v>0.1046</v>
      </c>
      <c r="N293" s="30">
        <f>'[46]DU VAT'!N20</f>
        <v>0.1004</v>
      </c>
      <c r="O293" s="30">
        <f>'[46]DU VAT'!O20</f>
        <v>9.8500000000000004E-2</v>
      </c>
      <c r="P293" s="30" t="e">
        <f>'[46]DU VAT'!P20</f>
        <v>#DIV/0!</v>
      </c>
    </row>
    <row r="294" spans="1:16" ht="14.4" x14ac:dyDescent="0.3">
      <c r="A294" s="18" t="s">
        <v>55</v>
      </c>
      <c r="B294" s="18"/>
      <c r="C294" s="16" t="s">
        <v>44</v>
      </c>
      <c r="D294" s="30">
        <f>'[46]DU VAT'!D26</f>
        <v>9.3100000000000002E-2</v>
      </c>
      <c r="E294" s="30">
        <f>'[46]DU VAT'!E26</f>
        <v>0.10929999999999999</v>
      </c>
      <c r="F294" s="30">
        <f>'[46]DU VAT'!F26</f>
        <v>0.11</v>
      </c>
      <c r="G294" s="30">
        <f>'[46]DU VAT'!G26</f>
        <v>0.11</v>
      </c>
      <c r="H294" s="30">
        <f>'[46]DU VAT'!H26</f>
        <v>0.1089</v>
      </c>
      <c r="I294" s="30">
        <f>'[46]DU VAT'!I26</f>
        <v>0.1119</v>
      </c>
      <c r="J294" s="30">
        <f>'[46]DU VAT'!J26</f>
        <v>0.1115</v>
      </c>
      <c r="K294" s="30">
        <f>'[46]DU VAT'!K26</f>
        <v>0.1129</v>
      </c>
      <c r="L294" s="30">
        <f>'[46]DU VAT'!L26</f>
        <v>0.11070000000000001</v>
      </c>
      <c r="M294" s="30">
        <f>'[46]DU VAT'!M26</f>
        <v>0.10920000000000001</v>
      </c>
      <c r="N294" s="30">
        <f>'[46]DU VAT'!N26</f>
        <v>0.1099</v>
      </c>
      <c r="O294" s="30">
        <f>'[46]DU VAT'!O26</f>
        <v>0.1103</v>
      </c>
      <c r="P294" s="30" t="e">
        <f>'[46]DU VAT'!P26</f>
        <v>#DIV/0!</v>
      </c>
    </row>
    <row r="295" spans="1:16" ht="14.4" x14ac:dyDescent="0.3">
      <c r="A295" s="18" t="s">
        <v>56</v>
      </c>
      <c r="B295" s="18"/>
      <c r="C295" s="16" t="s">
        <v>44</v>
      </c>
      <c r="D295" s="30">
        <f t="shared" ref="D295:P296" si="21">D253</f>
        <v>0.12</v>
      </c>
      <c r="E295" s="30">
        <f t="shared" si="21"/>
        <v>0.12</v>
      </c>
      <c r="F295" s="30">
        <f t="shared" si="21"/>
        <v>0.12</v>
      </c>
      <c r="G295" s="30">
        <f t="shared" si="21"/>
        <v>0.12</v>
      </c>
      <c r="H295" s="30">
        <f t="shared" si="21"/>
        <v>0.12</v>
      </c>
      <c r="I295" s="30">
        <f t="shared" si="21"/>
        <v>0.12</v>
      </c>
      <c r="J295" s="30">
        <f t="shared" si="21"/>
        <v>0.12</v>
      </c>
      <c r="K295" s="30">
        <f t="shared" si="21"/>
        <v>0.12</v>
      </c>
      <c r="L295" s="30">
        <f t="shared" si="21"/>
        <v>0.12</v>
      </c>
      <c r="M295" s="30">
        <f t="shared" si="21"/>
        <v>0.12</v>
      </c>
      <c r="N295" s="30">
        <f t="shared" si="21"/>
        <v>0.12</v>
      </c>
      <c r="O295" s="30">
        <f t="shared" si="21"/>
        <v>0.12</v>
      </c>
      <c r="P295" s="30">
        <f t="shared" si="21"/>
        <v>0.12</v>
      </c>
    </row>
    <row r="296" spans="1:16" ht="14.4" x14ac:dyDescent="0.3">
      <c r="A296" s="18" t="s">
        <v>57</v>
      </c>
      <c r="B296" s="18"/>
      <c r="C296" s="16" t="s">
        <v>44</v>
      </c>
      <c r="D296" s="30">
        <f t="shared" si="21"/>
        <v>0.12</v>
      </c>
      <c r="E296" s="30">
        <f t="shared" si="21"/>
        <v>0.12</v>
      </c>
      <c r="F296" s="30">
        <f t="shared" si="21"/>
        <v>0.12</v>
      </c>
      <c r="G296" s="30">
        <f t="shared" si="21"/>
        <v>0.12</v>
      </c>
      <c r="H296" s="30">
        <f t="shared" si="21"/>
        <v>0.12</v>
      </c>
      <c r="I296" s="30">
        <f t="shared" si="21"/>
        <v>0.12</v>
      </c>
      <c r="J296" s="30">
        <f t="shared" si="21"/>
        <v>0.12</v>
      </c>
      <c r="K296" s="30">
        <f t="shared" si="21"/>
        <v>0.12</v>
      </c>
      <c r="L296" s="30">
        <f t="shared" si="21"/>
        <v>0.12</v>
      </c>
      <c r="M296" s="30">
        <f t="shared" si="21"/>
        <v>0.12</v>
      </c>
      <c r="N296" s="30">
        <f t="shared" si="21"/>
        <v>0.12</v>
      </c>
      <c r="O296" s="30">
        <f t="shared" si="21"/>
        <v>0.12</v>
      </c>
      <c r="P296" s="30">
        <f t="shared" si="21"/>
        <v>0.12</v>
      </c>
    </row>
    <row r="297" spans="1:16" s="5" customFormat="1" ht="14.4" x14ac:dyDescent="0.3">
      <c r="A297" s="55"/>
      <c r="B297" s="55"/>
      <c r="C297" s="56"/>
      <c r="D297" s="57"/>
      <c r="E297" s="57"/>
      <c r="F297" s="57"/>
      <c r="G297" s="57"/>
      <c r="H297" s="57"/>
      <c r="I297" s="57"/>
      <c r="J297" s="57"/>
      <c r="K297" s="57"/>
      <c r="L297" s="57"/>
      <c r="M297" s="57"/>
      <c r="N297" s="57"/>
      <c r="O297" s="57"/>
      <c r="P297" s="57"/>
    </row>
    <row r="298" spans="1:16" x14ac:dyDescent="0.3">
      <c r="A298" s="3" t="s">
        <v>58</v>
      </c>
    </row>
    <row r="299" spans="1:16" s="5" customFormat="1" ht="14.4" x14ac:dyDescent="0.3">
      <c r="A299" s="55"/>
      <c r="B299" s="55"/>
      <c r="C299" s="56"/>
      <c r="D299" s="57"/>
      <c r="E299" s="57"/>
      <c r="F299" s="57"/>
      <c r="G299" s="57"/>
      <c r="H299" s="57"/>
      <c r="I299" s="57"/>
      <c r="J299" s="57"/>
      <c r="K299" s="57"/>
      <c r="L299" s="57"/>
      <c r="M299" s="57"/>
      <c r="N299" s="57"/>
      <c r="O299" s="57"/>
      <c r="P299" s="57"/>
    </row>
    <row r="300" spans="1:16" ht="18" x14ac:dyDescent="0.35">
      <c r="A300" s="59" t="str">
        <f>'[46]Statistical data'!A156</f>
        <v xml:space="preserve">  General Power-34.5kV</v>
      </c>
      <c r="B300" s="60"/>
      <c r="C300" s="5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</row>
    <row r="301" spans="1:16" s="13" customFormat="1" ht="14.4" x14ac:dyDescent="0.3">
      <c r="A301" s="11" t="s">
        <v>3</v>
      </c>
      <c r="B301" s="11"/>
      <c r="C301" s="11" t="s">
        <v>4</v>
      </c>
      <c r="D301" s="73">
        <f>D259</f>
        <v>43101</v>
      </c>
      <c r="E301" s="73">
        <f t="shared" ref="E301:P301" si="22">E259</f>
        <v>43132</v>
      </c>
      <c r="F301" s="73">
        <f t="shared" si="22"/>
        <v>43160</v>
      </c>
      <c r="G301" s="73">
        <f t="shared" si="22"/>
        <v>43191</v>
      </c>
      <c r="H301" s="73">
        <f t="shared" si="22"/>
        <v>43221</v>
      </c>
      <c r="I301" s="73">
        <f t="shared" si="22"/>
        <v>43252</v>
      </c>
      <c r="J301" s="73">
        <f t="shared" si="22"/>
        <v>43282</v>
      </c>
      <c r="K301" s="73">
        <f t="shared" si="22"/>
        <v>43313</v>
      </c>
      <c r="L301" s="73">
        <f t="shared" si="22"/>
        <v>43344</v>
      </c>
      <c r="M301" s="73">
        <f t="shared" si="22"/>
        <v>43374</v>
      </c>
      <c r="N301" s="73">
        <f t="shared" si="22"/>
        <v>43405</v>
      </c>
      <c r="O301" s="73">
        <f t="shared" si="22"/>
        <v>43435</v>
      </c>
      <c r="P301" s="73">
        <f t="shared" si="22"/>
        <v>43466</v>
      </c>
    </row>
    <row r="302" spans="1:16" ht="14.4" x14ac:dyDescent="0.3">
      <c r="A302" s="14" t="s">
        <v>17</v>
      </c>
      <c r="B302" s="15"/>
      <c r="C302" s="16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</row>
    <row r="303" spans="1:16" ht="14.4" x14ac:dyDescent="0.3">
      <c r="A303" s="18" t="s">
        <v>18</v>
      </c>
      <c r="B303" s="19"/>
      <c r="C303" s="16" t="s">
        <v>19</v>
      </c>
      <c r="D303" s="52" t="s">
        <v>59</v>
      </c>
      <c r="E303" s="52" t="s">
        <v>59</v>
      </c>
      <c r="F303" s="52" t="s">
        <v>59</v>
      </c>
      <c r="G303" s="52" t="s">
        <v>59</v>
      </c>
      <c r="H303" s="52" t="s">
        <v>59</v>
      </c>
      <c r="I303" s="52" t="s">
        <v>59</v>
      </c>
      <c r="J303" s="52" t="s">
        <v>59</v>
      </c>
      <c r="K303" s="52" t="s">
        <v>59</v>
      </c>
      <c r="L303" s="52" t="s">
        <v>59</v>
      </c>
      <c r="M303" s="52" t="s">
        <v>59</v>
      </c>
      <c r="N303" s="52" t="s">
        <v>59</v>
      </c>
      <c r="O303" s="52" t="s">
        <v>59</v>
      </c>
      <c r="P303" s="52" t="s">
        <v>59</v>
      </c>
    </row>
    <row r="304" spans="1:16" ht="14.4" hidden="1" x14ac:dyDescent="0.3">
      <c r="A304" s="18" t="s">
        <v>66</v>
      </c>
      <c r="B304" s="19"/>
      <c r="C304" s="16" t="s">
        <v>19</v>
      </c>
      <c r="D304" s="20">
        <v>0</v>
      </c>
      <c r="E304" s="20">
        <v>0</v>
      </c>
      <c r="F304" s="20">
        <v>0</v>
      </c>
      <c r="G304" s="20">
        <v>0</v>
      </c>
      <c r="H304" s="20">
        <v>0</v>
      </c>
      <c r="I304" s="20">
        <v>0</v>
      </c>
      <c r="J304" s="20">
        <v>0</v>
      </c>
      <c r="K304" s="20">
        <v>0</v>
      </c>
      <c r="L304" s="20">
        <v>0</v>
      </c>
      <c r="M304" s="20">
        <v>0</v>
      </c>
      <c r="N304" s="20">
        <v>0</v>
      </c>
      <c r="O304" s="20">
        <v>0</v>
      </c>
      <c r="P304" s="20">
        <v>0</v>
      </c>
    </row>
    <row r="305" spans="1:16" ht="14.4" x14ac:dyDescent="0.3">
      <c r="A305" s="14" t="s">
        <v>20</v>
      </c>
      <c r="B305" s="15"/>
      <c r="C305" s="16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</row>
    <row r="306" spans="1:16" ht="14.4" x14ac:dyDescent="0.3">
      <c r="A306" s="18" t="s">
        <v>21</v>
      </c>
      <c r="B306" s="19"/>
      <c r="C306" s="16" t="s">
        <v>19</v>
      </c>
      <c r="D306" s="20">
        <v>0</v>
      </c>
      <c r="E306" s="20">
        <v>0</v>
      </c>
      <c r="F306" s="20">
        <v>0</v>
      </c>
      <c r="G306" s="20">
        <v>0</v>
      </c>
      <c r="H306" s="20">
        <v>0</v>
      </c>
      <c r="I306" s="20">
        <v>0</v>
      </c>
      <c r="J306" s="20">
        <v>0</v>
      </c>
      <c r="K306" s="20">
        <v>0</v>
      </c>
      <c r="L306" s="20">
        <v>0</v>
      </c>
      <c r="M306" s="20">
        <v>0</v>
      </c>
      <c r="N306" s="20">
        <v>0</v>
      </c>
      <c r="O306" s="20">
        <v>0</v>
      </c>
      <c r="P306" s="20">
        <v>0</v>
      </c>
    </row>
    <row r="307" spans="1:16" ht="14.4" x14ac:dyDescent="0.3">
      <c r="A307" s="18" t="s">
        <v>22</v>
      </c>
      <c r="B307" s="19"/>
      <c r="C307" s="16" t="s">
        <v>23</v>
      </c>
      <c r="D307" s="20">
        <f>[46]TR!D37</f>
        <v>352.63</v>
      </c>
      <c r="E307" s="20">
        <f>[46]TR!E37</f>
        <v>327.83</v>
      </c>
      <c r="F307" s="20">
        <f>[46]TR!F37</f>
        <v>355.61</v>
      </c>
      <c r="G307" s="20">
        <f>[46]TR!G37</f>
        <v>344.61</v>
      </c>
      <c r="H307" s="20">
        <f>[46]TR!H37</f>
        <v>341.51</v>
      </c>
      <c r="I307" s="20">
        <f>[46]TR!I37</f>
        <v>324.49</v>
      </c>
      <c r="J307" s="20">
        <f>[46]TR!J37</f>
        <v>327.62</v>
      </c>
      <c r="K307" s="20">
        <f>[46]TR!K37</f>
        <v>295.55</v>
      </c>
      <c r="L307" s="20">
        <f>[46]TR!L37</f>
        <v>286.5</v>
      </c>
      <c r="M307" s="20">
        <f>[46]TR!M37</f>
        <v>288.31</v>
      </c>
      <c r="N307" s="20">
        <f>[46]TR!N37</f>
        <v>287.74</v>
      </c>
      <c r="O307" s="20">
        <f>[46]TR!O37</f>
        <v>298.24</v>
      </c>
      <c r="P307" s="20">
        <f>[46]TR!P37</f>
        <v>0</v>
      </c>
    </row>
    <row r="308" spans="1:16" ht="14.4" x14ac:dyDescent="0.3">
      <c r="A308" s="14" t="s">
        <v>24</v>
      </c>
      <c r="B308" s="15"/>
      <c r="C308" s="16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</row>
    <row r="309" spans="1:16" ht="14.4" x14ac:dyDescent="0.3">
      <c r="A309" s="18" t="s">
        <v>25</v>
      </c>
      <c r="B309" s="19"/>
      <c r="C309" s="16" t="s">
        <v>19</v>
      </c>
      <c r="D309" s="20">
        <f>[46]SLR!D70</f>
        <v>0.1668</v>
      </c>
      <c r="E309" s="20">
        <f>[46]SLR!E70</f>
        <v>0.19159999999999999</v>
      </c>
      <c r="F309" s="20">
        <f>[46]SLR!F70</f>
        <v>0.21299999999999999</v>
      </c>
      <c r="G309" s="20">
        <f>[46]SLR!G70</f>
        <v>0.21110000000000001</v>
      </c>
      <c r="H309" s="20">
        <f>[46]SLR!H70</f>
        <v>0.2034</v>
      </c>
      <c r="I309" s="20">
        <f>[46]SLR!I70</f>
        <v>0.19570000000000001</v>
      </c>
      <c r="J309" s="20">
        <f>[46]SLR!J70</f>
        <v>0.2016</v>
      </c>
      <c r="K309" s="20">
        <f>[46]SLR!K70</f>
        <v>0.20849999999999999</v>
      </c>
      <c r="L309" s="20">
        <f>[46]SLR!L70</f>
        <v>0.20680000000000001</v>
      </c>
      <c r="M309" s="20">
        <f>[46]SLR!M70</f>
        <v>0.20669999999999999</v>
      </c>
      <c r="N309" s="20">
        <f>[46]SLR!N70</f>
        <v>0.2152</v>
      </c>
      <c r="O309" s="20">
        <f>[46]SLR!O70</f>
        <v>0.21179999999999999</v>
      </c>
      <c r="P309" s="20">
        <f>[46]SLR!P70</f>
        <v>0</v>
      </c>
    </row>
    <row r="310" spans="1:16" ht="14.4" x14ac:dyDescent="0.3">
      <c r="A310" s="14" t="s">
        <v>26</v>
      </c>
      <c r="B310" s="14"/>
      <c r="C310" s="16"/>
      <c r="D310" s="22"/>
      <c r="E310" s="22"/>
      <c r="F310" s="22"/>
      <c r="G310" s="22"/>
      <c r="H310" s="22"/>
      <c r="I310" s="22"/>
      <c r="J310" s="22"/>
      <c r="K310" s="22"/>
      <c r="L310" s="22"/>
      <c r="M310" s="22"/>
      <c r="N310" s="22"/>
      <c r="O310" s="22"/>
      <c r="P310" s="22"/>
    </row>
    <row r="311" spans="1:16" ht="14.4" x14ac:dyDescent="0.3">
      <c r="A311" s="18" t="s">
        <v>27</v>
      </c>
      <c r="B311" s="18"/>
      <c r="C311" s="16" t="s">
        <v>19</v>
      </c>
      <c r="D311" s="20">
        <v>5.1299999999999998E-2</v>
      </c>
      <c r="E311" s="20">
        <v>5.1299999999999998E-2</v>
      </c>
      <c r="F311" s="20">
        <v>5.1299999999999998E-2</v>
      </c>
      <c r="G311" s="20">
        <v>5.1299999999999998E-2</v>
      </c>
      <c r="H311" s="20">
        <v>5.1299999999999998E-2</v>
      </c>
      <c r="I311" s="20">
        <v>5.1299999999999998E-2</v>
      </c>
      <c r="J311" s="20">
        <v>5.1299999999999998E-2</v>
      </c>
      <c r="K311" s="20">
        <v>5.1299999999999998E-2</v>
      </c>
      <c r="L311" s="20">
        <v>5.1299999999999998E-2</v>
      </c>
      <c r="M311" s="20">
        <v>5.1299999999999998E-2</v>
      </c>
      <c r="N311" s="20">
        <v>5.1299999999999998E-2</v>
      </c>
      <c r="O311" s="20">
        <v>5.1299999999999998E-2</v>
      </c>
      <c r="P311" s="20">
        <v>5.1299999999999998E-2</v>
      </c>
    </row>
    <row r="312" spans="1:16" ht="14.4" x14ac:dyDescent="0.3">
      <c r="A312" s="18" t="s">
        <v>28</v>
      </c>
      <c r="B312" s="18"/>
      <c r="C312" s="16" t="s">
        <v>23</v>
      </c>
      <c r="D312" s="23">
        <v>182.66</v>
      </c>
      <c r="E312" s="23">
        <v>182.66</v>
      </c>
      <c r="F312" s="23">
        <v>182.66</v>
      </c>
      <c r="G312" s="23">
        <v>182.66</v>
      </c>
      <c r="H312" s="23">
        <v>182.66</v>
      </c>
      <c r="I312" s="23">
        <v>182.66</v>
      </c>
      <c r="J312" s="23">
        <v>182.66</v>
      </c>
      <c r="K312" s="23">
        <v>182.66</v>
      </c>
      <c r="L312" s="23">
        <v>182.66</v>
      </c>
      <c r="M312" s="23">
        <v>182.66</v>
      </c>
      <c r="N312" s="23">
        <v>182.66</v>
      </c>
      <c r="O312" s="23">
        <v>182.66</v>
      </c>
      <c r="P312" s="23">
        <v>182.66</v>
      </c>
    </row>
    <row r="313" spans="1:16" ht="14.4" x14ac:dyDescent="0.3">
      <c r="A313" s="14" t="s">
        <v>29</v>
      </c>
      <c r="B313" s="14"/>
      <c r="C313" s="16"/>
      <c r="D313" s="24"/>
      <c r="E313" s="24"/>
      <c r="F313" s="24"/>
      <c r="G313" s="24"/>
      <c r="H313" s="24"/>
      <c r="I313" s="24"/>
      <c r="J313" s="24"/>
      <c r="K313" s="24"/>
      <c r="L313" s="24"/>
      <c r="M313" s="24"/>
      <c r="N313" s="24"/>
      <c r="O313" s="24"/>
      <c r="P313" s="24"/>
    </row>
    <row r="314" spans="1:16" ht="14.4" x14ac:dyDescent="0.3">
      <c r="A314" s="18" t="s">
        <v>30</v>
      </c>
      <c r="B314" s="18"/>
      <c r="C314" s="16" t="s">
        <v>19</v>
      </c>
      <c r="D314" s="52" t="s">
        <v>61</v>
      </c>
      <c r="E314" s="52" t="s">
        <v>61</v>
      </c>
      <c r="F314" s="52" t="s">
        <v>61</v>
      </c>
      <c r="G314" s="52" t="s">
        <v>61</v>
      </c>
      <c r="H314" s="52" t="s">
        <v>61</v>
      </c>
      <c r="I314" s="52" t="s">
        <v>61</v>
      </c>
      <c r="J314" s="52" t="s">
        <v>61</v>
      </c>
      <c r="K314" s="52" t="s">
        <v>61</v>
      </c>
      <c r="L314" s="52" t="s">
        <v>61</v>
      </c>
      <c r="M314" s="52" t="s">
        <v>61</v>
      </c>
      <c r="N314" s="52" t="s">
        <v>61</v>
      </c>
      <c r="O314" s="52" t="s">
        <v>61</v>
      </c>
      <c r="P314" s="52" t="s">
        <v>61</v>
      </c>
    </row>
    <row r="315" spans="1:16" ht="14.4" x14ac:dyDescent="0.3">
      <c r="A315" s="18" t="s">
        <v>31</v>
      </c>
      <c r="B315" s="18"/>
      <c r="C315" s="16" t="s">
        <v>32</v>
      </c>
      <c r="D315" s="52" t="s">
        <v>62</v>
      </c>
      <c r="E315" s="52" t="s">
        <v>62</v>
      </c>
      <c r="F315" s="52" t="s">
        <v>62</v>
      </c>
      <c r="G315" s="52" t="s">
        <v>62</v>
      </c>
      <c r="H315" s="52" t="s">
        <v>62</v>
      </c>
      <c r="I315" s="52" t="s">
        <v>62</v>
      </c>
      <c r="J315" s="52" t="s">
        <v>62</v>
      </c>
      <c r="K315" s="52" t="s">
        <v>62</v>
      </c>
      <c r="L315" s="52" t="s">
        <v>62</v>
      </c>
      <c r="M315" s="52" t="s">
        <v>62</v>
      </c>
      <c r="N315" s="52" t="s">
        <v>62</v>
      </c>
      <c r="O315" s="52" t="s">
        <v>62</v>
      </c>
      <c r="P315" s="52" t="s">
        <v>62</v>
      </c>
    </row>
    <row r="316" spans="1:16" ht="14.4" x14ac:dyDescent="0.3">
      <c r="A316" s="14" t="s">
        <v>33</v>
      </c>
      <c r="B316" s="14"/>
      <c r="C316" s="16"/>
      <c r="D316" s="24"/>
      <c r="E316" s="24"/>
      <c r="F316" s="24"/>
      <c r="G316" s="24"/>
      <c r="H316" s="24"/>
      <c r="I316" s="24"/>
      <c r="J316" s="24"/>
      <c r="K316" s="24"/>
      <c r="L316" s="24"/>
      <c r="M316" s="24"/>
      <c r="N316" s="24"/>
      <c r="O316" s="24"/>
      <c r="P316" s="24"/>
    </row>
    <row r="317" spans="1:16" ht="14.4" x14ac:dyDescent="0.3">
      <c r="A317" s="18" t="s">
        <v>34</v>
      </c>
      <c r="B317" s="18"/>
      <c r="C317" s="16" t="s">
        <v>19</v>
      </c>
      <c r="D317" s="20">
        <v>0</v>
      </c>
      <c r="E317" s="20">
        <v>0</v>
      </c>
      <c r="F317" s="20">
        <v>0</v>
      </c>
      <c r="G317" s="20">
        <v>0</v>
      </c>
      <c r="H317" s="20">
        <v>0</v>
      </c>
      <c r="I317" s="20">
        <v>0</v>
      </c>
      <c r="J317" s="20">
        <v>0</v>
      </c>
      <c r="K317" s="20">
        <v>0</v>
      </c>
      <c r="L317" s="20">
        <v>0</v>
      </c>
      <c r="M317" s="20">
        <v>0</v>
      </c>
      <c r="N317" s="20">
        <v>0</v>
      </c>
      <c r="O317" s="20">
        <v>0</v>
      </c>
      <c r="P317" s="20">
        <v>0</v>
      </c>
    </row>
    <row r="318" spans="1:16" ht="14.4" x14ac:dyDescent="0.3">
      <c r="A318" s="18" t="s">
        <v>35</v>
      </c>
      <c r="B318" s="18"/>
      <c r="C318" s="16" t="s">
        <v>36</v>
      </c>
      <c r="D318" s="52" t="s">
        <v>63</v>
      </c>
      <c r="E318" s="52" t="s">
        <v>63</v>
      </c>
      <c r="F318" s="52" t="s">
        <v>63</v>
      </c>
      <c r="G318" s="52" t="s">
        <v>63</v>
      </c>
      <c r="H318" s="52" t="s">
        <v>63</v>
      </c>
      <c r="I318" s="52" t="s">
        <v>63</v>
      </c>
      <c r="J318" s="52" t="s">
        <v>63</v>
      </c>
      <c r="K318" s="52" t="s">
        <v>63</v>
      </c>
      <c r="L318" s="52" t="s">
        <v>63</v>
      </c>
      <c r="M318" s="52" t="s">
        <v>63</v>
      </c>
      <c r="N318" s="52" t="s">
        <v>63</v>
      </c>
      <c r="O318" s="52" t="s">
        <v>63</v>
      </c>
      <c r="P318" s="52" t="s">
        <v>63</v>
      </c>
    </row>
    <row r="319" spans="1:16" ht="14.4" x14ac:dyDescent="0.3">
      <c r="A319" s="14" t="s">
        <v>37</v>
      </c>
      <c r="B319" s="14"/>
      <c r="C319" s="16"/>
      <c r="D319" s="24"/>
      <c r="E319" s="24"/>
      <c r="F319" s="24"/>
      <c r="G319" s="24"/>
      <c r="H319" s="24"/>
      <c r="I319" s="24"/>
      <c r="J319" s="24"/>
      <c r="K319" s="24"/>
      <c r="L319" s="24"/>
      <c r="M319" s="24"/>
      <c r="N319" s="24"/>
      <c r="O319" s="24"/>
      <c r="P319" s="24"/>
    </row>
    <row r="320" spans="1:16" ht="14.4" x14ac:dyDescent="0.3">
      <c r="A320" s="25" t="s">
        <v>38</v>
      </c>
      <c r="B320" s="18"/>
      <c r="C320" s="16" t="s">
        <v>19</v>
      </c>
      <c r="D320" s="20">
        <f>[46]LD!D28</f>
        <v>9.1399999999999995E-2</v>
      </c>
      <c r="E320" s="20">
        <f>[46]LD!E28</f>
        <v>9.5899999999999999E-2</v>
      </c>
      <c r="F320" s="20">
        <f>[46]LD!F28</f>
        <v>9.98E-2</v>
      </c>
      <c r="G320" s="20">
        <f>[46]LD!G28</f>
        <v>0.1115</v>
      </c>
      <c r="H320" s="20">
        <f>[46]LD!H28</f>
        <v>9.4399999999999998E-2</v>
      </c>
      <c r="I320" s="20">
        <f>[46]LD!I28</f>
        <v>7.4099999999999999E-2</v>
      </c>
      <c r="J320" s="20">
        <f>[46]LD!J28</f>
        <v>7.0900000000000005E-2</v>
      </c>
      <c r="K320" s="20">
        <f>[46]LD!K28</f>
        <v>8.9300000000000004E-2</v>
      </c>
      <c r="L320" s="20">
        <f>[46]LD!L28</f>
        <v>8.8800000000000004E-2</v>
      </c>
      <c r="M320" s="20">
        <f>[46]LD!M28</f>
        <v>8.5500000000000007E-2</v>
      </c>
      <c r="N320" s="20">
        <f>[46]LD!N28</f>
        <v>8.4099999999999994E-2</v>
      </c>
      <c r="O320" s="20">
        <f>[46]LD!O28</f>
        <v>8.5300000000000001E-2</v>
      </c>
      <c r="P320" s="20">
        <f>[46]LD!P28</f>
        <v>0</v>
      </c>
    </row>
    <row r="321" spans="1:16" ht="14.4" x14ac:dyDescent="0.3">
      <c r="A321" s="25" t="s">
        <v>39</v>
      </c>
      <c r="B321" s="18"/>
      <c r="C321" s="16" t="s">
        <v>19</v>
      </c>
      <c r="D321" s="20">
        <v>0</v>
      </c>
      <c r="E321" s="20">
        <v>0</v>
      </c>
      <c r="F321" s="20">
        <v>0</v>
      </c>
      <c r="G321" s="20">
        <v>0</v>
      </c>
      <c r="H321" s="20">
        <v>0</v>
      </c>
      <c r="I321" s="20">
        <v>0</v>
      </c>
      <c r="J321" s="20">
        <v>0</v>
      </c>
      <c r="K321" s="20">
        <v>0</v>
      </c>
      <c r="L321" s="20">
        <v>0</v>
      </c>
      <c r="M321" s="20">
        <v>0</v>
      </c>
      <c r="N321" s="20">
        <v>0</v>
      </c>
      <c r="O321" s="20">
        <v>0</v>
      </c>
      <c r="P321" s="20">
        <v>0</v>
      </c>
    </row>
    <row r="322" spans="1:16" ht="14.4" x14ac:dyDescent="0.3">
      <c r="A322" s="26" t="s">
        <v>40</v>
      </c>
      <c r="B322" s="18"/>
      <c r="C322" s="16" t="s">
        <v>19</v>
      </c>
      <c r="D322" s="20">
        <f>'[46]SR CIT. SUBSIDY'!D107</f>
        <v>7.2836751367259784E-5</v>
      </c>
      <c r="E322" s="20">
        <f>'[46]SR CIT. SUBSIDY'!E107</f>
        <v>6.8004836608513296E-5</v>
      </c>
      <c r="F322" s="20">
        <f>'[46]SR CIT. SUBSIDY'!F107</f>
        <v>7.2021362364614477E-5</v>
      </c>
      <c r="G322" s="20">
        <f>'[46]SR CIT. SUBSIDY'!G107</f>
        <v>8.1837879774750537E-5</v>
      </c>
      <c r="H322" s="20">
        <f>'[46]SR CIT. SUBSIDY'!H107</f>
        <v>7.798204750191218E-5</v>
      </c>
      <c r="I322" s="20">
        <f>'[46]SR CIT. SUBSIDY'!I107</f>
        <v>7.6128332588525541E-5</v>
      </c>
      <c r="J322" s="20">
        <f>'[46]SR CIT. SUBSIDY'!J107</f>
        <v>6.9450356116585135E-5</v>
      </c>
      <c r="K322" s="20">
        <f>'[46]SR CIT. SUBSIDY'!K107</f>
        <v>7.4662532963556342E-5</v>
      </c>
      <c r="L322" s="20">
        <f>'[46]SR CIT. SUBSIDY'!L107</f>
        <v>7.2670454347697154E-5</v>
      </c>
      <c r="M322" s="20">
        <f>'[46]SR CIT. SUBSIDY'!M107</f>
        <v>7.4480298623008149E-5</v>
      </c>
      <c r="N322" s="20">
        <f>'[46]SR CIT. SUBSIDY'!N107</f>
        <v>7.360094464671045E-5</v>
      </c>
      <c r="O322" s="20">
        <f>'[46]SR CIT. SUBSIDY'!O107</f>
        <v>7.9518678198181161E-5</v>
      </c>
      <c r="P322" s="20">
        <f>'[46]SR CIT. SUBSIDY'!P107</f>
        <v>0</v>
      </c>
    </row>
    <row r="323" spans="1:16" ht="14.4" x14ac:dyDescent="0.3">
      <c r="A323" s="26" t="s">
        <v>41</v>
      </c>
      <c r="B323" s="18"/>
      <c r="C323" s="16" t="s">
        <v>19</v>
      </c>
      <c r="D323" s="20">
        <v>0</v>
      </c>
      <c r="E323" s="20">
        <v>0</v>
      </c>
      <c r="F323" s="20">
        <v>0</v>
      </c>
      <c r="G323" s="20">
        <v>0</v>
      </c>
      <c r="H323" s="20">
        <v>0</v>
      </c>
      <c r="I323" s="20">
        <v>0</v>
      </c>
      <c r="J323" s="20">
        <v>0</v>
      </c>
      <c r="K323" s="20">
        <v>0</v>
      </c>
      <c r="L323" s="20">
        <v>0</v>
      </c>
      <c r="M323" s="20">
        <v>0</v>
      </c>
      <c r="N323" s="20">
        <v>0</v>
      </c>
      <c r="O323" s="20">
        <v>0</v>
      </c>
      <c r="P323" s="20">
        <v>0</v>
      </c>
    </row>
    <row r="324" spans="1:16" ht="14.4" x14ac:dyDescent="0.3">
      <c r="A324" s="14" t="s">
        <v>42</v>
      </c>
      <c r="B324" s="14"/>
      <c r="C324" s="16"/>
      <c r="D324" s="24"/>
      <c r="E324" s="24"/>
      <c r="F324" s="24"/>
      <c r="G324" s="24"/>
      <c r="H324" s="24"/>
      <c r="I324" s="24"/>
      <c r="J324" s="24"/>
      <c r="K324" s="24"/>
      <c r="L324" s="24"/>
      <c r="M324" s="24"/>
      <c r="N324" s="24"/>
      <c r="O324" s="24"/>
      <c r="P324" s="24"/>
    </row>
    <row r="325" spans="1:16" ht="14.4" x14ac:dyDescent="0.3">
      <c r="A325" s="14" t="s">
        <v>43</v>
      </c>
      <c r="B325" s="14"/>
      <c r="C325" s="16" t="s">
        <v>44</v>
      </c>
      <c r="D325" s="27"/>
      <c r="E325" s="27"/>
      <c r="F325" s="27"/>
      <c r="G325" s="27"/>
      <c r="H325" s="27"/>
      <c r="I325" s="27"/>
      <c r="J325" s="27"/>
      <c r="K325" s="27"/>
      <c r="L325" s="27"/>
      <c r="M325" s="27"/>
      <c r="N325" s="27"/>
      <c r="O325" s="27"/>
      <c r="P325" s="27"/>
    </row>
    <row r="326" spans="1:16" ht="14.4" x14ac:dyDescent="0.3">
      <c r="A326" s="14" t="s">
        <v>45</v>
      </c>
      <c r="B326" s="14"/>
      <c r="C326" s="16"/>
      <c r="D326" s="28"/>
      <c r="E326" s="28"/>
      <c r="F326" s="28"/>
      <c r="G326" s="28"/>
      <c r="H326" s="28"/>
      <c r="I326" s="28"/>
      <c r="J326" s="28"/>
      <c r="K326" s="28"/>
      <c r="L326" s="28"/>
      <c r="M326" s="28"/>
      <c r="N326" s="28"/>
      <c r="O326" s="28"/>
      <c r="P326" s="28"/>
    </row>
    <row r="327" spans="1:16" ht="14.4" x14ac:dyDescent="0.3">
      <c r="A327" s="14" t="s">
        <v>46</v>
      </c>
      <c r="B327" s="14"/>
      <c r="C327" s="16" t="s">
        <v>19</v>
      </c>
      <c r="D327" s="20">
        <v>0</v>
      </c>
      <c r="E327" s="20">
        <v>0</v>
      </c>
      <c r="F327" s="20">
        <v>0</v>
      </c>
      <c r="G327" s="20">
        <v>0</v>
      </c>
      <c r="H327" s="20">
        <v>0</v>
      </c>
      <c r="I327" s="20">
        <v>0</v>
      </c>
      <c r="J327" s="20">
        <v>0</v>
      </c>
      <c r="K327" s="20">
        <v>0</v>
      </c>
      <c r="L327" s="20">
        <v>0</v>
      </c>
      <c r="M327" s="20">
        <v>0</v>
      </c>
      <c r="N327" s="20">
        <v>0</v>
      </c>
      <c r="O327" s="20">
        <v>0</v>
      </c>
      <c r="P327" s="20">
        <v>0</v>
      </c>
    </row>
    <row r="328" spans="1:16" ht="14.4" x14ac:dyDescent="0.3">
      <c r="A328" s="14" t="s">
        <v>47</v>
      </c>
      <c r="B328" s="14"/>
      <c r="C328" s="16"/>
      <c r="D328" s="24"/>
      <c r="E328" s="24"/>
      <c r="F328" s="24"/>
      <c r="G328" s="24"/>
      <c r="H328" s="24"/>
      <c r="I328" s="24"/>
      <c r="J328" s="24"/>
      <c r="K328" s="24"/>
      <c r="L328" s="24"/>
      <c r="M328" s="24"/>
      <c r="N328" s="24"/>
      <c r="O328" s="24"/>
      <c r="P328" s="24"/>
    </row>
    <row r="329" spans="1:16" ht="14.4" x14ac:dyDescent="0.3">
      <c r="A329" s="18" t="s">
        <v>48</v>
      </c>
      <c r="B329" s="18"/>
      <c r="C329" s="16" t="s">
        <v>19</v>
      </c>
      <c r="D329" s="20">
        <f>D286</f>
        <v>0.15609999999999999</v>
      </c>
      <c r="E329" s="20">
        <f t="shared" ref="E329:P333" si="23">E286</f>
        <v>0.15609999999999999</v>
      </c>
      <c r="F329" s="20">
        <f t="shared" si="23"/>
        <v>0.15609999999999999</v>
      </c>
      <c r="G329" s="20">
        <f t="shared" si="23"/>
        <v>0.15609999999999999</v>
      </c>
      <c r="H329" s="20">
        <f t="shared" si="23"/>
        <v>0.15609999999999999</v>
      </c>
      <c r="I329" s="20">
        <f t="shared" si="23"/>
        <v>0.15609999999999999</v>
      </c>
      <c r="J329" s="20">
        <f t="shared" si="23"/>
        <v>0.15609999999999999</v>
      </c>
      <c r="K329" s="20">
        <f t="shared" si="23"/>
        <v>0.15609999999999999</v>
      </c>
      <c r="L329" s="20">
        <f t="shared" si="23"/>
        <v>0.15609999999999999</v>
      </c>
      <c r="M329" s="20">
        <f t="shared" si="23"/>
        <v>0.15609999999999999</v>
      </c>
      <c r="N329" s="20">
        <f t="shared" si="23"/>
        <v>0.15609999999999999</v>
      </c>
      <c r="O329" s="20">
        <f t="shared" si="23"/>
        <v>0.15609999999999999</v>
      </c>
      <c r="P329" s="20">
        <f t="shared" si="23"/>
        <v>0.15609999999999999</v>
      </c>
    </row>
    <row r="330" spans="1:16" ht="14.4" x14ac:dyDescent="0.3">
      <c r="A330" s="18" t="s">
        <v>49</v>
      </c>
      <c r="B330" s="18"/>
      <c r="C330" s="16" t="s">
        <v>19</v>
      </c>
      <c r="D330" s="20">
        <f>D287</f>
        <v>2.5000000000000001E-3</v>
      </c>
      <c r="E330" s="20">
        <f t="shared" si="23"/>
        <v>2.5000000000000001E-3</v>
      </c>
      <c r="F330" s="20">
        <f t="shared" si="23"/>
        <v>2.5000000000000001E-3</v>
      </c>
      <c r="G330" s="20">
        <f t="shared" si="23"/>
        <v>2.5000000000000001E-3</v>
      </c>
      <c r="H330" s="20">
        <f t="shared" si="23"/>
        <v>2.5000000000000001E-3</v>
      </c>
      <c r="I330" s="20">
        <f t="shared" si="23"/>
        <v>2.5000000000000001E-3</v>
      </c>
      <c r="J330" s="20">
        <f t="shared" si="23"/>
        <v>2.5000000000000001E-3</v>
      </c>
      <c r="K330" s="20">
        <f t="shared" si="23"/>
        <v>2.5000000000000001E-3</v>
      </c>
      <c r="L330" s="20">
        <f t="shared" si="23"/>
        <v>2.5000000000000001E-3</v>
      </c>
      <c r="M330" s="20">
        <f t="shared" si="23"/>
        <v>2.5000000000000001E-3</v>
      </c>
      <c r="N330" s="20">
        <f t="shared" si="23"/>
        <v>2.5000000000000001E-3</v>
      </c>
      <c r="O330" s="20">
        <f t="shared" si="23"/>
        <v>2.5000000000000001E-3</v>
      </c>
      <c r="P330" s="20">
        <f t="shared" si="23"/>
        <v>2.5000000000000001E-3</v>
      </c>
    </row>
    <row r="331" spans="1:16" ht="14.4" x14ac:dyDescent="0.3">
      <c r="A331" s="18" t="s">
        <v>111</v>
      </c>
      <c r="B331" s="18"/>
      <c r="C331" s="16" t="s">
        <v>19</v>
      </c>
      <c r="D331" s="20">
        <f>D288</f>
        <v>0.1938</v>
      </c>
      <c r="E331" s="20">
        <f t="shared" si="23"/>
        <v>0.1938</v>
      </c>
      <c r="F331" s="20">
        <f t="shared" si="23"/>
        <v>0.1938</v>
      </c>
      <c r="G331" s="20">
        <f t="shared" si="23"/>
        <v>0.1938</v>
      </c>
      <c r="H331" s="20">
        <f t="shared" si="23"/>
        <v>0.1938</v>
      </c>
      <c r="I331" s="20">
        <f t="shared" si="23"/>
        <v>0.1938</v>
      </c>
      <c r="J331" s="20">
        <f t="shared" si="23"/>
        <v>0.1938</v>
      </c>
      <c r="K331" s="20">
        <f t="shared" si="23"/>
        <v>0.1938</v>
      </c>
      <c r="L331" s="20">
        <f t="shared" si="23"/>
        <v>0.1938</v>
      </c>
      <c r="M331" s="20">
        <f t="shared" si="23"/>
        <v>0.1938</v>
      </c>
      <c r="N331" s="20">
        <f t="shared" si="23"/>
        <v>0.1938</v>
      </c>
      <c r="O331" s="20">
        <f t="shared" si="23"/>
        <v>0.1938</v>
      </c>
      <c r="P331" s="20">
        <f t="shared" si="23"/>
        <v>0.1938</v>
      </c>
    </row>
    <row r="332" spans="1:16" ht="14.4" x14ac:dyDescent="0.3">
      <c r="A332" s="18" t="s">
        <v>112</v>
      </c>
      <c r="B332" s="18"/>
      <c r="C332" s="16" t="s">
        <v>19</v>
      </c>
      <c r="D332" s="20">
        <f>D289</f>
        <v>2.6499999999999999E-2</v>
      </c>
      <c r="E332" s="20">
        <f t="shared" si="23"/>
        <v>2.6499999999999999E-2</v>
      </c>
      <c r="F332" s="20">
        <f t="shared" si="23"/>
        <v>2.6499999999999999E-2</v>
      </c>
      <c r="G332" s="20">
        <f t="shared" si="23"/>
        <v>2.6499999999999999E-2</v>
      </c>
      <c r="H332" s="20">
        <f t="shared" si="23"/>
        <v>2.6499999999999999E-2</v>
      </c>
      <c r="I332" s="20">
        <f t="shared" si="23"/>
        <v>2.6499999999999999E-2</v>
      </c>
      <c r="J332" s="20">
        <f t="shared" si="23"/>
        <v>2.6499999999999999E-2</v>
      </c>
      <c r="K332" s="20">
        <f t="shared" si="23"/>
        <v>2.6499999999999999E-2</v>
      </c>
      <c r="L332" s="20">
        <f t="shared" si="23"/>
        <v>2.6499999999999999E-2</v>
      </c>
      <c r="M332" s="20">
        <f t="shared" si="23"/>
        <v>2.6499999999999999E-2</v>
      </c>
      <c r="N332" s="20">
        <f t="shared" si="23"/>
        <v>2.6499999999999999E-2</v>
      </c>
      <c r="O332" s="20">
        <f t="shared" si="23"/>
        <v>2.6499999999999999E-2</v>
      </c>
      <c r="P332" s="20">
        <f t="shared" si="23"/>
        <v>2.6499999999999999E-2</v>
      </c>
    </row>
    <row r="333" spans="1:16" ht="14.4" x14ac:dyDescent="0.3">
      <c r="A333" s="14" t="s">
        <v>51</v>
      </c>
      <c r="B333" s="14"/>
      <c r="C333" s="16" t="s">
        <v>19</v>
      </c>
      <c r="D333" s="20">
        <f>D290</f>
        <v>0.183</v>
      </c>
      <c r="E333" s="20">
        <f t="shared" si="23"/>
        <v>0.183</v>
      </c>
      <c r="F333" s="20">
        <f t="shared" si="23"/>
        <v>0.183</v>
      </c>
      <c r="G333" s="20">
        <f t="shared" si="23"/>
        <v>0.183</v>
      </c>
      <c r="H333" s="20">
        <f t="shared" si="23"/>
        <v>0.183</v>
      </c>
      <c r="I333" s="20">
        <f t="shared" si="23"/>
        <v>0.25629999999999997</v>
      </c>
      <c r="J333" s="20">
        <f t="shared" si="23"/>
        <v>0.25629999999999997</v>
      </c>
      <c r="K333" s="20">
        <f t="shared" si="23"/>
        <v>0.25629999999999997</v>
      </c>
      <c r="L333" s="20">
        <f t="shared" si="23"/>
        <v>0.25629999999999997</v>
      </c>
      <c r="M333" s="20">
        <f t="shared" si="23"/>
        <v>0.25629999999999997</v>
      </c>
      <c r="N333" s="20">
        <f t="shared" si="23"/>
        <v>0.25629999999999997</v>
      </c>
      <c r="O333" s="20">
        <f t="shared" si="23"/>
        <v>0.25629999999999997</v>
      </c>
      <c r="P333" s="20">
        <f t="shared" si="23"/>
        <v>0.25629999999999997</v>
      </c>
    </row>
    <row r="334" spans="1:16" ht="14.4" x14ac:dyDescent="0.3">
      <c r="A334" s="14" t="s">
        <v>52</v>
      </c>
      <c r="B334" s="14"/>
      <c r="C334" s="29"/>
      <c r="D334" s="22"/>
      <c r="E334" s="22"/>
      <c r="F334" s="22"/>
      <c r="G334" s="22"/>
      <c r="H334" s="22"/>
      <c r="I334" s="22"/>
      <c r="J334" s="22"/>
      <c r="K334" s="22"/>
      <c r="L334" s="22"/>
      <c r="M334" s="22"/>
      <c r="N334" s="22"/>
      <c r="O334" s="22"/>
      <c r="P334" s="22"/>
    </row>
    <row r="335" spans="1:16" ht="14.4" x14ac:dyDescent="0.3">
      <c r="A335" s="18" t="s">
        <v>53</v>
      </c>
      <c r="B335" s="18"/>
      <c r="C335" s="16" t="s">
        <v>44</v>
      </c>
      <c r="D335" s="30">
        <f>'[46]DU VAT'!D16</f>
        <v>0.1082</v>
      </c>
      <c r="E335" s="30">
        <f>'[46]DU VAT'!E16</f>
        <v>0.1134</v>
      </c>
      <c r="F335" s="30">
        <f>'[46]DU VAT'!F16</f>
        <v>0.111</v>
      </c>
      <c r="G335" s="30">
        <f>'[46]DU VAT'!G16</f>
        <v>0.11070000000000001</v>
      </c>
      <c r="H335" s="30">
        <f>'[46]DU VAT'!H16</f>
        <v>0.10920000000000001</v>
      </c>
      <c r="I335" s="30">
        <f>'[46]DU VAT'!I16</f>
        <v>0.1129</v>
      </c>
      <c r="J335" s="30">
        <f>'[46]DU VAT'!J16</f>
        <v>0.1123</v>
      </c>
      <c r="K335" s="30">
        <f>'[46]DU VAT'!K16</f>
        <v>0.1137</v>
      </c>
      <c r="L335" s="30">
        <f>'[46]DU VAT'!L16</f>
        <v>0.1116</v>
      </c>
      <c r="M335" s="30">
        <f>'[46]DU VAT'!M16</f>
        <v>0.10979999999999999</v>
      </c>
      <c r="N335" s="30">
        <f>'[46]DU VAT'!N16</f>
        <v>0.1111</v>
      </c>
      <c r="O335" s="30">
        <f>'[46]DU VAT'!O16</f>
        <v>0.1119</v>
      </c>
      <c r="P335" s="30" t="e">
        <f>'[46]DU VAT'!P16</f>
        <v>#DIV/0!</v>
      </c>
    </row>
    <row r="336" spans="1:16" ht="14.4" x14ac:dyDescent="0.3">
      <c r="A336" s="18" t="s">
        <v>54</v>
      </c>
      <c r="B336" s="18"/>
      <c r="C336" s="16" t="s">
        <v>44</v>
      </c>
      <c r="D336" s="30">
        <f>'[46]DU VAT'!D20</f>
        <v>2.24E-2</v>
      </c>
      <c r="E336" s="30">
        <f>'[46]DU VAT'!E20</f>
        <v>8.6099999999999996E-2</v>
      </c>
      <c r="F336" s="30">
        <f>'[46]DU VAT'!F20</f>
        <v>0.1036</v>
      </c>
      <c r="G336" s="30">
        <f>'[46]DU VAT'!G20</f>
        <v>0.10589999999999999</v>
      </c>
      <c r="H336" s="30">
        <f>'[46]DU VAT'!H20</f>
        <v>0.10730000000000001</v>
      </c>
      <c r="I336" s="30">
        <f>'[46]DU VAT'!I20</f>
        <v>0.1052</v>
      </c>
      <c r="J336" s="30">
        <f>'[46]DU VAT'!J20</f>
        <v>0.1056</v>
      </c>
      <c r="K336" s="30">
        <f>'[46]DU VAT'!K20</f>
        <v>0.106</v>
      </c>
      <c r="L336" s="30">
        <f>'[46]DU VAT'!L20</f>
        <v>0.10340000000000001</v>
      </c>
      <c r="M336" s="30">
        <f>'[46]DU VAT'!M20</f>
        <v>0.1046</v>
      </c>
      <c r="N336" s="30">
        <f>'[46]DU VAT'!N20</f>
        <v>0.1004</v>
      </c>
      <c r="O336" s="30">
        <f>'[46]DU VAT'!O20</f>
        <v>9.8500000000000004E-2</v>
      </c>
      <c r="P336" s="30" t="e">
        <f>'[46]DU VAT'!P20</f>
        <v>#DIV/0!</v>
      </c>
    </row>
    <row r="337" spans="1:16" ht="14.4" x14ac:dyDescent="0.3">
      <c r="A337" s="18" t="s">
        <v>55</v>
      </c>
      <c r="B337" s="18"/>
      <c r="C337" s="16" t="s">
        <v>44</v>
      </c>
      <c r="D337" s="30">
        <f>'[46]DU VAT'!D26</f>
        <v>9.3100000000000002E-2</v>
      </c>
      <c r="E337" s="30">
        <f>'[46]DU VAT'!E26</f>
        <v>0.10929999999999999</v>
      </c>
      <c r="F337" s="30">
        <f>'[46]DU VAT'!F26</f>
        <v>0.11</v>
      </c>
      <c r="G337" s="30">
        <f>'[46]DU VAT'!G26</f>
        <v>0.11</v>
      </c>
      <c r="H337" s="30">
        <f>'[46]DU VAT'!H26</f>
        <v>0.1089</v>
      </c>
      <c r="I337" s="30">
        <f>'[46]DU VAT'!I26</f>
        <v>0.1119</v>
      </c>
      <c r="J337" s="30">
        <f>'[46]DU VAT'!J26</f>
        <v>0.1115</v>
      </c>
      <c r="K337" s="30">
        <f>'[46]DU VAT'!K26</f>
        <v>0.1129</v>
      </c>
      <c r="L337" s="30">
        <f>'[46]DU VAT'!L26</f>
        <v>0.11070000000000001</v>
      </c>
      <c r="M337" s="30">
        <f>'[46]DU VAT'!M26</f>
        <v>0.10920000000000001</v>
      </c>
      <c r="N337" s="30">
        <f>'[46]DU VAT'!N26</f>
        <v>0.1099</v>
      </c>
      <c r="O337" s="30">
        <f>'[46]DU VAT'!O26</f>
        <v>0.1103</v>
      </c>
      <c r="P337" s="30" t="e">
        <f>'[46]DU VAT'!P26</f>
        <v>#DIV/0!</v>
      </c>
    </row>
    <row r="338" spans="1:16" ht="14.4" x14ac:dyDescent="0.3">
      <c r="A338" s="18" t="s">
        <v>56</v>
      </c>
      <c r="B338" s="18"/>
      <c r="C338" s="16" t="s">
        <v>44</v>
      </c>
      <c r="D338" s="30">
        <f>D295</f>
        <v>0.12</v>
      </c>
      <c r="E338" s="30">
        <f t="shared" ref="E338:P339" si="24">E295</f>
        <v>0.12</v>
      </c>
      <c r="F338" s="30">
        <f t="shared" si="24"/>
        <v>0.12</v>
      </c>
      <c r="G338" s="30">
        <f t="shared" si="24"/>
        <v>0.12</v>
      </c>
      <c r="H338" s="30">
        <f t="shared" si="24"/>
        <v>0.12</v>
      </c>
      <c r="I338" s="30">
        <f t="shared" si="24"/>
        <v>0.12</v>
      </c>
      <c r="J338" s="30">
        <f t="shared" si="24"/>
        <v>0.12</v>
      </c>
      <c r="K338" s="30">
        <f t="shared" si="24"/>
        <v>0.12</v>
      </c>
      <c r="L338" s="30">
        <f t="shared" si="24"/>
        <v>0.12</v>
      </c>
      <c r="M338" s="30">
        <f t="shared" si="24"/>
        <v>0.12</v>
      </c>
      <c r="N338" s="30">
        <f t="shared" si="24"/>
        <v>0.12</v>
      </c>
      <c r="O338" s="30">
        <f t="shared" si="24"/>
        <v>0.12</v>
      </c>
      <c r="P338" s="30">
        <f t="shared" si="24"/>
        <v>0.12</v>
      </c>
    </row>
    <row r="339" spans="1:16" ht="14.4" x14ac:dyDescent="0.3">
      <c r="A339" s="18" t="s">
        <v>57</v>
      </c>
      <c r="B339" s="18"/>
      <c r="C339" s="16" t="s">
        <v>44</v>
      </c>
      <c r="D339" s="30">
        <f>D296</f>
        <v>0.12</v>
      </c>
      <c r="E339" s="30">
        <f t="shared" si="24"/>
        <v>0.12</v>
      </c>
      <c r="F339" s="30">
        <f t="shared" si="24"/>
        <v>0.12</v>
      </c>
      <c r="G339" s="30">
        <f t="shared" si="24"/>
        <v>0.12</v>
      </c>
      <c r="H339" s="30">
        <f t="shared" si="24"/>
        <v>0.12</v>
      </c>
      <c r="I339" s="30">
        <f t="shared" si="24"/>
        <v>0.12</v>
      </c>
      <c r="J339" s="30">
        <f t="shared" si="24"/>
        <v>0.12</v>
      </c>
      <c r="K339" s="30">
        <f t="shared" si="24"/>
        <v>0.12</v>
      </c>
      <c r="L339" s="30">
        <f t="shared" si="24"/>
        <v>0.12</v>
      </c>
      <c r="M339" s="30">
        <f t="shared" si="24"/>
        <v>0.12</v>
      </c>
      <c r="N339" s="30">
        <f t="shared" si="24"/>
        <v>0.12</v>
      </c>
      <c r="O339" s="30">
        <f t="shared" si="24"/>
        <v>0.12</v>
      </c>
      <c r="P339" s="30">
        <f t="shared" si="24"/>
        <v>0.12</v>
      </c>
    </row>
    <row r="340" spans="1:16" s="5" customFormat="1" ht="14.4" x14ac:dyDescent="0.3">
      <c r="A340" s="55"/>
      <c r="B340" s="55"/>
      <c r="C340" s="56"/>
      <c r="D340" s="57"/>
      <c r="E340" s="57"/>
      <c r="F340" s="57"/>
      <c r="G340" s="57"/>
      <c r="H340" s="57"/>
      <c r="I340" s="57"/>
      <c r="J340" s="57"/>
      <c r="K340" s="57"/>
      <c r="L340" s="57"/>
      <c r="M340" s="57"/>
      <c r="N340" s="57"/>
      <c r="O340" s="57"/>
      <c r="P340" s="57"/>
    </row>
    <row r="341" spans="1:16" x14ac:dyDescent="0.3">
      <c r="A341" s="3" t="s">
        <v>58</v>
      </c>
    </row>
    <row r="342" spans="1:16" s="5" customFormat="1" ht="14.4" x14ac:dyDescent="0.3">
      <c r="A342" s="55"/>
      <c r="B342" s="55"/>
      <c r="C342" s="56"/>
      <c r="D342" s="57"/>
      <c r="E342" s="57"/>
      <c r="F342" s="57"/>
      <c r="G342" s="57"/>
      <c r="H342" s="57"/>
      <c r="I342" s="57"/>
      <c r="J342" s="57"/>
      <c r="K342" s="57"/>
      <c r="L342" s="57"/>
      <c r="M342" s="57"/>
      <c r="N342" s="57"/>
      <c r="O342" s="57"/>
      <c r="P342" s="57"/>
    </row>
    <row r="343" spans="1:16" ht="18" x14ac:dyDescent="0.35">
      <c r="A343" s="59" t="str">
        <f>'[46]Statistical data'!A157</f>
        <v xml:space="preserve">  General Power-69/115kV</v>
      </c>
      <c r="B343" s="60"/>
      <c r="C343" s="5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</row>
    <row r="344" spans="1:16" s="13" customFormat="1" ht="14.4" x14ac:dyDescent="0.3">
      <c r="A344" s="11" t="s">
        <v>3</v>
      </c>
      <c r="B344" s="11"/>
      <c r="C344" s="11" t="s">
        <v>4</v>
      </c>
      <c r="D344" s="73">
        <f t="shared" ref="D344:P344" si="25">D301</f>
        <v>43101</v>
      </c>
      <c r="E344" s="73">
        <f t="shared" si="25"/>
        <v>43132</v>
      </c>
      <c r="F344" s="73">
        <f t="shared" si="25"/>
        <v>43160</v>
      </c>
      <c r="G344" s="73">
        <f t="shared" si="25"/>
        <v>43191</v>
      </c>
      <c r="H344" s="73">
        <f t="shared" si="25"/>
        <v>43221</v>
      </c>
      <c r="I344" s="73">
        <f t="shared" si="25"/>
        <v>43252</v>
      </c>
      <c r="J344" s="73">
        <f t="shared" si="25"/>
        <v>43282</v>
      </c>
      <c r="K344" s="73">
        <f t="shared" si="25"/>
        <v>43313</v>
      </c>
      <c r="L344" s="73">
        <f t="shared" si="25"/>
        <v>43344</v>
      </c>
      <c r="M344" s="73">
        <f t="shared" si="25"/>
        <v>43374</v>
      </c>
      <c r="N344" s="73">
        <f t="shared" si="25"/>
        <v>43405</v>
      </c>
      <c r="O344" s="73">
        <f t="shared" si="25"/>
        <v>43435</v>
      </c>
      <c r="P344" s="73">
        <f t="shared" si="25"/>
        <v>43466</v>
      </c>
    </row>
    <row r="345" spans="1:16" ht="14.4" x14ac:dyDescent="0.3">
      <c r="A345" s="14" t="s">
        <v>17</v>
      </c>
      <c r="B345" s="15"/>
      <c r="C345" s="16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</row>
    <row r="346" spans="1:16" ht="14.4" x14ac:dyDescent="0.3">
      <c r="A346" s="18" t="s">
        <v>18</v>
      </c>
      <c r="B346" s="19"/>
      <c r="C346" s="16" t="s">
        <v>19</v>
      </c>
      <c r="D346" s="20">
        <f>D389</f>
        <v>4.0768000000000004</v>
      </c>
      <c r="E346" s="20">
        <f t="shared" ref="E346:P346" si="26">E389</f>
        <v>4.6547999999999998</v>
      </c>
      <c r="F346" s="20">
        <f t="shared" si="26"/>
        <v>5.2961999999999998</v>
      </c>
      <c r="G346" s="20">
        <f t="shared" si="26"/>
        <v>5.4734999999999996</v>
      </c>
      <c r="H346" s="20">
        <f t="shared" si="26"/>
        <v>5.0522999999999998</v>
      </c>
      <c r="I346" s="20">
        <f t="shared" si="26"/>
        <v>4.9828000000000001</v>
      </c>
      <c r="J346" s="20">
        <f t="shared" si="26"/>
        <v>5.2651000000000003</v>
      </c>
      <c r="K346" s="20">
        <f t="shared" si="26"/>
        <v>5.3491</v>
      </c>
      <c r="L346" s="20">
        <f t="shared" si="26"/>
        <v>5.2718999999999996</v>
      </c>
      <c r="M346" s="20">
        <f t="shared" si="26"/>
        <v>5.1908000000000003</v>
      </c>
      <c r="N346" s="20">
        <f t="shared" si="26"/>
        <v>5.2725</v>
      </c>
      <c r="O346" s="20">
        <f t="shared" si="26"/>
        <v>5.3303000000000003</v>
      </c>
      <c r="P346" s="20" t="e">
        <f t="shared" si="26"/>
        <v>#DIV/0!</v>
      </c>
    </row>
    <row r="347" spans="1:16" ht="14.4" x14ac:dyDescent="0.3">
      <c r="A347" s="14" t="s">
        <v>20</v>
      </c>
      <c r="B347" s="15"/>
      <c r="C347" s="16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</row>
    <row r="348" spans="1:16" ht="14.4" x14ac:dyDescent="0.3">
      <c r="A348" s="18" t="s">
        <v>21</v>
      </c>
      <c r="B348" s="19"/>
      <c r="C348" s="16" t="s">
        <v>19</v>
      </c>
      <c r="D348" s="20">
        <v>0</v>
      </c>
      <c r="E348" s="20">
        <v>0</v>
      </c>
      <c r="F348" s="20">
        <v>0</v>
      </c>
      <c r="G348" s="20">
        <v>0</v>
      </c>
      <c r="H348" s="20">
        <v>0</v>
      </c>
      <c r="I348" s="20">
        <v>0</v>
      </c>
      <c r="J348" s="20">
        <v>0</v>
      </c>
      <c r="K348" s="20">
        <v>0</v>
      </c>
      <c r="L348" s="20">
        <v>0</v>
      </c>
      <c r="M348" s="20">
        <v>0</v>
      </c>
      <c r="N348" s="20">
        <v>0</v>
      </c>
      <c r="O348" s="20">
        <v>0</v>
      </c>
      <c r="P348" s="20">
        <v>0</v>
      </c>
    </row>
    <row r="349" spans="1:16" ht="14.4" x14ac:dyDescent="0.3">
      <c r="A349" s="18" t="s">
        <v>22</v>
      </c>
      <c r="B349" s="19"/>
      <c r="C349" s="16" t="s">
        <v>23</v>
      </c>
      <c r="D349" s="20">
        <f>[46]TR!D38</f>
        <v>269.77</v>
      </c>
      <c r="E349" s="20">
        <f>[46]TR!E38</f>
        <v>244.97</v>
      </c>
      <c r="F349" s="20">
        <f>[46]TR!F38</f>
        <v>272.75</v>
      </c>
      <c r="G349" s="20">
        <f>[46]TR!G38</f>
        <v>261.75</v>
      </c>
      <c r="H349" s="20">
        <f>[46]TR!H38</f>
        <v>258.64999999999998</v>
      </c>
      <c r="I349" s="20">
        <f>[46]TR!I38</f>
        <v>241.63</v>
      </c>
      <c r="J349" s="20">
        <f>[46]TR!J38</f>
        <v>244.76</v>
      </c>
      <c r="K349" s="20">
        <f>[46]TR!K38</f>
        <v>212.69</v>
      </c>
      <c r="L349" s="20">
        <f>[46]TR!L38</f>
        <v>211.65</v>
      </c>
      <c r="M349" s="20">
        <f>[46]TR!M38</f>
        <v>213.46</v>
      </c>
      <c r="N349" s="20">
        <f>[46]TR!N38</f>
        <v>212.89</v>
      </c>
      <c r="O349" s="20">
        <f>[46]TR!O38</f>
        <v>223.39</v>
      </c>
      <c r="P349" s="20">
        <f>[46]TR!P38</f>
        <v>0</v>
      </c>
    </row>
    <row r="350" spans="1:16" ht="14.4" x14ac:dyDescent="0.3">
      <c r="A350" s="14" t="s">
        <v>24</v>
      </c>
      <c r="B350" s="15"/>
      <c r="C350" s="16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</row>
    <row r="351" spans="1:16" ht="14.4" x14ac:dyDescent="0.3">
      <c r="A351" s="18" t="s">
        <v>25</v>
      </c>
      <c r="B351" s="19"/>
      <c r="C351" s="16" t="s">
        <v>19</v>
      </c>
      <c r="D351" s="20">
        <f>[46]SLR!D71</f>
        <v>4.7399999999999998E-2</v>
      </c>
      <c r="E351" s="20">
        <f>[46]SLR!E71</f>
        <v>5.4800000000000001E-2</v>
      </c>
      <c r="F351" s="20">
        <f>[46]SLR!F71</f>
        <v>6.1199999999999997E-2</v>
      </c>
      <c r="G351" s="20">
        <f>[46]SLR!G71</f>
        <v>6.1100000000000002E-2</v>
      </c>
      <c r="H351" s="20">
        <f>[46]SLR!H71</f>
        <v>5.8900000000000001E-2</v>
      </c>
      <c r="I351" s="20">
        <f>[46]SLR!I71</f>
        <v>5.8799999999999998E-2</v>
      </c>
      <c r="J351" s="20">
        <f>[46]SLR!J71</f>
        <v>6.2399999999999997E-2</v>
      </c>
      <c r="K351" s="20">
        <f>[46]SLR!K71</f>
        <v>6.5799999999999997E-2</v>
      </c>
      <c r="L351" s="20">
        <f>[46]SLR!L71</f>
        <v>6.7100000000000007E-2</v>
      </c>
      <c r="M351" s="20">
        <f>[46]SLR!M71</f>
        <v>6.8699999999999997E-2</v>
      </c>
      <c r="N351" s="20">
        <f>[46]SLR!N71</f>
        <v>7.3899999999999993E-2</v>
      </c>
      <c r="O351" s="20">
        <f>[46]SLR!O71</f>
        <v>7.4399999999999994E-2</v>
      </c>
      <c r="P351" s="20">
        <f>[46]SLR!P71</f>
        <v>0</v>
      </c>
    </row>
    <row r="352" spans="1:16" ht="14.4" x14ac:dyDescent="0.3">
      <c r="A352" s="14" t="s">
        <v>26</v>
      </c>
      <c r="B352" s="14"/>
      <c r="C352" s="16"/>
      <c r="D352" s="22"/>
      <c r="E352" s="22"/>
      <c r="F352" s="22"/>
      <c r="G352" s="22"/>
      <c r="H352" s="22"/>
      <c r="I352" s="22"/>
      <c r="J352" s="22"/>
      <c r="K352" s="22"/>
      <c r="L352" s="22"/>
      <c r="M352" s="22"/>
      <c r="N352" s="22"/>
      <c r="O352" s="22"/>
      <c r="P352" s="22"/>
    </row>
    <row r="353" spans="1:16" ht="14.4" x14ac:dyDescent="0.3">
      <c r="A353" s="18" t="s">
        <v>27</v>
      </c>
      <c r="B353" s="18"/>
      <c r="C353" s="16" t="s">
        <v>19</v>
      </c>
      <c r="D353" s="20">
        <f t="shared" ref="D353:P353" si="27">D311</f>
        <v>5.1299999999999998E-2</v>
      </c>
      <c r="E353" s="20">
        <f t="shared" si="27"/>
        <v>5.1299999999999998E-2</v>
      </c>
      <c r="F353" s="20">
        <f t="shared" si="27"/>
        <v>5.1299999999999998E-2</v>
      </c>
      <c r="G353" s="20">
        <f t="shared" si="27"/>
        <v>5.1299999999999998E-2</v>
      </c>
      <c r="H353" s="20">
        <f t="shared" si="27"/>
        <v>5.1299999999999998E-2</v>
      </c>
      <c r="I353" s="20">
        <f t="shared" si="27"/>
        <v>5.1299999999999998E-2</v>
      </c>
      <c r="J353" s="20">
        <f t="shared" si="27"/>
        <v>5.1299999999999998E-2</v>
      </c>
      <c r="K353" s="20">
        <f t="shared" si="27"/>
        <v>5.1299999999999998E-2</v>
      </c>
      <c r="L353" s="20">
        <f t="shared" si="27"/>
        <v>5.1299999999999998E-2</v>
      </c>
      <c r="M353" s="20">
        <f t="shared" si="27"/>
        <v>5.1299999999999998E-2</v>
      </c>
      <c r="N353" s="20">
        <f t="shared" si="27"/>
        <v>5.1299999999999998E-2</v>
      </c>
      <c r="O353" s="20">
        <f t="shared" si="27"/>
        <v>5.1299999999999998E-2</v>
      </c>
      <c r="P353" s="20">
        <f t="shared" si="27"/>
        <v>5.1299999999999998E-2</v>
      </c>
    </row>
    <row r="354" spans="1:16" ht="14.4" x14ac:dyDescent="0.3">
      <c r="A354" s="18" t="s">
        <v>28</v>
      </c>
      <c r="B354" s="18"/>
      <c r="C354" s="16" t="s">
        <v>23</v>
      </c>
      <c r="D354" s="23">
        <v>143.32</v>
      </c>
      <c r="E354" s="23">
        <v>143.32</v>
      </c>
      <c r="F354" s="23">
        <v>143.32</v>
      </c>
      <c r="G354" s="23">
        <v>143.32</v>
      </c>
      <c r="H354" s="23">
        <v>143.32</v>
      </c>
      <c r="I354" s="23">
        <v>143.32</v>
      </c>
      <c r="J354" s="23">
        <v>143.32</v>
      </c>
      <c r="K354" s="23">
        <v>143.32</v>
      </c>
      <c r="L354" s="23">
        <v>143.32</v>
      </c>
      <c r="M354" s="23">
        <v>143.32</v>
      </c>
      <c r="N354" s="23">
        <v>143.32</v>
      </c>
      <c r="O354" s="23">
        <v>143.32</v>
      </c>
      <c r="P354" s="23">
        <v>143.32</v>
      </c>
    </row>
    <row r="355" spans="1:16" ht="14.4" x14ac:dyDescent="0.3">
      <c r="A355" s="14" t="s">
        <v>29</v>
      </c>
      <c r="B355" s="14"/>
      <c r="C355" s="16"/>
      <c r="D355" s="24"/>
      <c r="E355" s="24"/>
      <c r="F355" s="24"/>
      <c r="G355" s="24"/>
      <c r="H355" s="24"/>
      <c r="I355" s="24"/>
      <c r="J355" s="24"/>
      <c r="K355" s="24"/>
      <c r="L355" s="24"/>
      <c r="M355" s="24"/>
      <c r="N355" s="24"/>
      <c r="O355" s="24"/>
      <c r="P355" s="24"/>
    </row>
    <row r="356" spans="1:16" ht="14.4" x14ac:dyDescent="0.3">
      <c r="A356" s="18" t="s">
        <v>30</v>
      </c>
      <c r="B356" s="18"/>
      <c r="C356" s="16" t="s">
        <v>19</v>
      </c>
      <c r="D356" s="20">
        <v>0</v>
      </c>
      <c r="E356" s="20">
        <v>0</v>
      </c>
      <c r="F356" s="20">
        <v>0</v>
      </c>
      <c r="G356" s="20">
        <v>0</v>
      </c>
      <c r="H356" s="20">
        <v>0</v>
      </c>
      <c r="I356" s="20">
        <v>0</v>
      </c>
      <c r="J356" s="20">
        <v>0</v>
      </c>
      <c r="K356" s="20">
        <v>0</v>
      </c>
      <c r="L356" s="20">
        <v>0</v>
      </c>
      <c r="M356" s="20">
        <v>0</v>
      </c>
      <c r="N356" s="20">
        <v>0</v>
      </c>
      <c r="O356" s="20">
        <v>0</v>
      </c>
      <c r="P356" s="20">
        <v>0</v>
      </c>
    </row>
    <row r="357" spans="1:16" ht="14.4" x14ac:dyDescent="0.3">
      <c r="A357" s="18" t="s">
        <v>31</v>
      </c>
      <c r="B357" s="18"/>
      <c r="C357" s="16" t="s">
        <v>32</v>
      </c>
      <c r="D357" s="52" t="s">
        <v>62</v>
      </c>
      <c r="E357" s="52" t="s">
        <v>62</v>
      </c>
      <c r="F357" s="52" t="s">
        <v>62</v>
      </c>
      <c r="G357" s="52" t="s">
        <v>62</v>
      </c>
      <c r="H357" s="52" t="s">
        <v>62</v>
      </c>
      <c r="I357" s="52" t="s">
        <v>62</v>
      </c>
      <c r="J357" s="52" t="s">
        <v>62</v>
      </c>
      <c r="K357" s="52" t="s">
        <v>62</v>
      </c>
      <c r="L357" s="52" t="s">
        <v>62</v>
      </c>
      <c r="M357" s="52" t="s">
        <v>62</v>
      </c>
      <c r="N357" s="52" t="s">
        <v>62</v>
      </c>
      <c r="O357" s="52" t="s">
        <v>62</v>
      </c>
      <c r="P357" s="52" t="s">
        <v>62</v>
      </c>
    </row>
    <row r="358" spans="1:16" ht="14.4" x14ac:dyDescent="0.3">
      <c r="A358" s="14" t="s">
        <v>33</v>
      </c>
      <c r="B358" s="14"/>
      <c r="C358" s="16"/>
      <c r="D358" s="24"/>
      <c r="E358" s="24"/>
      <c r="F358" s="24"/>
      <c r="G358" s="24"/>
      <c r="H358" s="24"/>
      <c r="I358" s="24"/>
      <c r="J358" s="24"/>
      <c r="K358" s="24"/>
      <c r="L358" s="24"/>
      <c r="M358" s="24"/>
      <c r="N358" s="24"/>
      <c r="O358" s="24"/>
      <c r="P358" s="24"/>
    </row>
    <row r="359" spans="1:16" ht="14.4" x14ac:dyDescent="0.3">
      <c r="A359" s="18" t="s">
        <v>34</v>
      </c>
      <c r="B359" s="18"/>
      <c r="C359" s="16" t="s">
        <v>19</v>
      </c>
      <c r="D359" s="20">
        <v>0</v>
      </c>
      <c r="E359" s="20">
        <v>0</v>
      </c>
      <c r="F359" s="20">
        <v>0</v>
      </c>
      <c r="G359" s="20">
        <v>0</v>
      </c>
      <c r="H359" s="20">
        <v>0</v>
      </c>
      <c r="I359" s="20">
        <v>0</v>
      </c>
      <c r="J359" s="20">
        <v>0</v>
      </c>
      <c r="K359" s="20">
        <v>0</v>
      </c>
      <c r="L359" s="20">
        <v>0</v>
      </c>
      <c r="M359" s="20">
        <v>0</v>
      </c>
      <c r="N359" s="20">
        <v>0</v>
      </c>
      <c r="O359" s="20">
        <v>0</v>
      </c>
      <c r="P359" s="20">
        <v>0</v>
      </c>
    </row>
    <row r="360" spans="1:16" ht="14.4" x14ac:dyDescent="0.3">
      <c r="A360" s="18" t="s">
        <v>35</v>
      </c>
      <c r="B360" s="18"/>
      <c r="C360" s="16" t="s">
        <v>36</v>
      </c>
      <c r="D360" s="52" t="s">
        <v>63</v>
      </c>
      <c r="E360" s="52" t="s">
        <v>63</v>
      </c>
      <c r="F360" s="52" t="s">
        <v>63</v>
      </c>
      <c r="G360" s="52" t="s">
        <v>63</v>
      </c>
      <c r="H360" s="52" t="s">
        <v>63</v>
      </c>
      <c r="I360" s="52" t="s">
        <v>63</v>
      </c>
      <c r="J360" s="52" t="s">
        <v>63</v>
      </c>
      <c r="K360" s="52" t="s">
        <v>63</v>
      </c>
      <c r="L360" s="52" t="s">
        <v>63</v>
      </c>
      <c r="M360" s="52" t="s">
        <v>63</v>
      </c>
      <c r="N360" s="52" t="s">
        <v>63</v>
      </c>
      <c r="O360" s="52" t="s">
        <v>63</v>
      </c>
      <c r="P360" s="52" t="s">
        <v>63</v>
      </c>
    </row>
    <row r="361" spans="1:16" ht="14.4" x14ac:dyDescent="0.3">
      <c r="A361" s="14" t="s">
        <v>37</v>
      </c>
      <c r="B361" s="14"/>
      <c r="C361" s="16"/>
      <c r="D361" s="24"/>
      <c r="E361" s="24"/>
      <c r="F361" s="24"/>
      <c r="G361" s="24"/>
      <c r="H361" s="24"/>
      <c r="I361" s="24"/>
      <c r="J361" s="24"/>
      <c r="K361" s="24"/>
      <c r="L361" s="24"/>
      <c r="M361" s="24"/>
      <c r="N361" s="24"/>
      <c r="O361" s="24"/>
      <c r="P361" s="24"/>
    </row>
    <row r="362" spans="1:16" ht="14.4" x14ac:dyDescent="0.3">
      <c r="A362" s="25" t="s">
        <v>38</v>
      </c>
      <c r="B362" s="18"/>
      <c r="C362" s="16" t="s">
        <v>19</v>
      </c>
      <c r="D362" s="20">
        <f>[46]LD!D28</f>
        <v>9.1399999999999995E-2</v>
      </c>
      <c r="E362" s="20">
        <f>[46]LD!E28</f>
        <v>9.5899999999999999E-2</v>
      </c>
      <c r="F362" s="20">
        <f>[46]LD!F28</f>
        <v>9.98E-2</v>
      </c>
      <c r="G362" s="20">
        <f>[46]LD!G28</f>
        <v>0.1115</v>
      </c>
      <c r="H362" s="20">
        <f>[46]LD!H28</f>
        <v>9.4399999999999998E-2</v>
      </c>
      <c r="I362" s="20">
        <f>[46]LD!I28</f>
        <v>7.4099999999999999E-2</v>
      </c>
      <c r="J362" s="20">
        <f>[46]LD!J28</f>
        <v>7.0900000000000005E-2</v>
      </c>
      <c r="K362" s="20">
        <f>[46]LD!K28</f>
        <v>8.9300000000000004E-2</v>
      </c>
      <c r="L362" s="20">
        <f>[46]LD!L28</f>
        <v>8.8800000000000004E-2</v>
      </c>
      <c r="M362" s="20">
        <f>[46]LD!M28</f>
        <v>8.5500000000000007E-2</v>
      </c>
      <c r="N362" s="20">
        <f>[46]LD!N28</f>
        <v>8.4099999999999994E-2</v>
      </c>
      <c r="O362" s="20">
        <f>[46]LD!O28</f>
        <v>8.5300000000000001E-2</v>
      </c>
      <c r="P362" s="20">
        <f>[46]LD!P28</f>
        <v>0</v>
      </c>
    </row>
    <row r="363" spans="1:16" ht="14.4" x14ac:dyDescent="0.3">
      <c r="A363" s="25" t="s">
        <v>39</v>
      </c>
      <c r="B363" s="18"/>
      <c r="C363" s="16" t="s">
        <v>19</v>
      </c>
      <c r="D363" s="20">
        <v>0</v>
      </c>
      <c r="E363" s="20">
        <v>0</v>
      </c>
      <c r="F363" s="20">
        <v>0</v>
      </c>
      <c r="G363" s="20">
        <v>0</v>
      </c>
      <c r="H363" s="20">
        <v>0</v>
      </c>
      <c r="I363" s="20">
        <v>0</v>
      </c>
      <c r="J363" s="20">
        <v>0</v>
      </c>
      <c r="K363" s="20">
        <v>0</v>
      </c>
      <c r="L363" s="20">
        <v>0</v>
      </c>
      <c r="M363" s="20">
        <v>0</v>
      </c>
      <c r="N363" s="20">
        <v>0</v>
      </c>
      <c r="O363" s="20">
        <v>0</v>
      </c>
      <c r="P363" s="20">
        <v>0</v>
      </c>
    </row>
    <row r="364" spans="1:16" ht="14.4" x14ac:dyDescent="0.3">
      <c r="A364" s="26" t="s">
        <v>40</v>
      </c>
      <c r="B364" s="18"/>
      <c r="C364" s="16" t="s">
        <v>19</v>
      </c>
      <c r="D364" s="20">
        <f>'[46]SR CIT. SUBSIDY'!D107</f>
        <v>7.2836751367259784E-5</v>
      </c>
      <c r="E364" s="20">
        <f>'[46]SR CIT. SUBSIDY'!E107</f>
        <v>6.8004836608513296E-5</v>
      </c>
      <c r="F364" s="20">
        <f>'[46]SR CIT. SUBSIDY'!F107</f>
        <v>7.2021362364614477E-5</v>
      </c>
      <c r="G364" s="20">
        <f>'[46]SR CIT. SUBSIDY'!G107</f>
        <v>8.1837879774750537E-5</v>
      </c>
      <c r="H364" s="20">
        <f>'[46]SR CIT. SUBSIDY'!H107</f>
        <v>7.798204750191218E-5</v>
      </c>
      <c r="I364" s="20">
        <f>'[46]SR CIT. SUBSIDY'!I107</f>
        <v>7.6128332588525541E-5</v>
      </c>
      <c r="J364" s="20">
        <f>'[46]SR CIT. SUBSIDY'!J107</f>
        <v>6.9450356116585135E-5</v>
      </c>
      <c r="K364" s="20">
        <f>'[46]SR CIT. SUBSIDY'!K107</f>
        <v>7.4662532963556342E-5</v>
      </c>
      <c r="L364" s="20">
        <f>'[46]SR CIT. SUBSIDY'!L107</f>
        <v>7.2670454347697154E-5</v>
      </c>
      <c r="M364" s="20">
        <f>'[46]SR CIT. SUBSIDY'!M107</f>
        <v>7.4480298623008149E-5</v>
      </c>
      <c r="N364" s="20">
        <f>'[46]SR CIT. SUBSIDY'!N107</f>
        <v>7.360094464671045E-5</v>
      </c>
      <c r="O364" s="20">
        <f>'[46]SR CIT. SUBSIDY'!O107</f>
        <v>7.9518678198181161E-5</v>
      </c>
      <c r="P364" s="20">
        <f>'[46]SR CIT. SUBSIDY'!P107</f>
        <v>0</v>
      </c>
    </row>
    <row r="365" spans="1:16" ht="14.4" x14ac:dyDescent="0.3">
      <c r="A365" s="26" t="s">
        <v>41</v>
      </c>
      <c r="B365" s="18"/>
      <c r="C365" s="16" t="s">
        <v>19</v>
      </c>
      <c r="D365" s="20">
        <v>0</v>
      </c>
      <c r="E365" s="20">
        <v>0</v>
      </c>
      <c r="F365" s="20">
        <v>0</v>
      </c>
      <c r="G365" s="20">
        <v>0</v>
      </c>
      <c r="H365" s="20">
        <v>0</v>
      </c>
      <c r="I365" s="20">
        <v>0</v>
      </c>
      <c r="J365" s="20">
        <v>0</v>
      </c>
      <c r="K365" s="20">
        <v>0</v>
      </c>
      <c r="L365" s="20">
        <v>0</v>
      </c>
      <c r="M365" s="20">
        <v>0</v>
      </c>
      <c r="N365" s="20">
        <v>0</v>
      </c>
      <c r="O365" s="20">
        <v>0</v>
      </c>
      <c r="P365" s="20">
        <v>0</v>
      </c>
    </row>
    <row r="366" spans="1:16" ht="14.4" x14ac:dyDescent="0.3">
      <c r="A366" s="14" t="s">
        <v>42</v>
      </c>
      <c r="B366" s="14"/>
      <c r="C366" s="16"/>
      <c r="D366" s="24"/>
      <c r="E366" s="24"/>
      <c r="F366" s="24"/>
      <c r="G366" s="24"/>
      <c r="H366" s="24"/>
      <c r="I366" s="24"/>
      <c r="J366" s="24"/>
      <c r="K366" s="24"/>
      <c r="L366" s="24"/>
      <c r="M366" s="24"/>
      <c r="N366" s="24"/>
      <c r="O366" s="24"/>
      <c r="P366" s="24"/>
    </row>
    <row r="367" spans="1:16" ht="14.4" x14ac:dyDescent="0.3">
      <c r="A367" s="14" t="s">
        <v>43</v>
      </c>
      <c r="B367" s="14"/>
      <c r="C367" s="16" t="s">
        <v>44</v>
      </c>
      <c r="D367" s="27"/>
      <c r="E367" s="27"/>
      <c r="F367" s="27"/>
      <c r="G367" s="27"/>
      <c r="H367" s="27"/>
      <c r="I367" s="27"/>
      <c r="J367" s="27"/>
      <c r="K367" s="27"/>
      <c r="L367" s="27"/>
      <c r="M367" s="27"/>
      <c r="N367" s="27"/>
      <c r="O367" s="27"/>
      <c r="P367" s="27"/>
    </row>
    <row r="368" spans="1:16" ht="14.4" x14ac:dyDescent="0.3">
      <c r="A368" s="14" t="s">
        <v>45</v>
      </c>
      <c r="B368" s="14"/>
      <c r="C368" s="16"/>
      <c r="D368" s="28"/>
      <c r="E368" s="28"/>
      <c r="F368" s="28"/>
      <c r="G368" s="28"/>
      <c r="H368" s="28"/>
      <c r="I368" s="28"/>
      <c r="J368" s="28"/>
      <c r="K368" s="28"/>
      <c r="L368" s="28"/>
      <c r="M368" s="28"/>
      <c r="N368" s="28"/>
      <c r="O368" s="28"/>
      <c r="P368" s="28"/>
    </row>
    <row r="369" spans="1:16" ht="14.4" x14ac:dyDescent="0.3">
      <c r="A369" s="14" t="s">
        <v>46</v>
      </c>
      <c r="B369" s="14"/>
      <c r="C369" s="16" t="s">
        <v>19</v>
      </c>
      <c r="D369" s="20">
        <v>0</v>
      </c>
      <c r="E369" s="20">
        <v>0</v>
      </c>
      <c r="F369" s="20">
        <v>0</v>
      </c>
      <c r="G369" s="20">
        <v>0</v>
      </c>
      <c r="H369" s="20">
        <v>0</v>
      </c>
      <c r="I369" s="20">
        <v>0</v>
      </c>
      <c r="J369" s="20">
        <v>0</v>
      </c>
      <c r="K369" s="20">
        <v>0</v>
      </c>
      <c r="L369" s="20">
        <v>0</v>
      </c>
      <c r="M369" s="20">
        <v>0</v>
      </c>
      <c r="N369" s="20">
        <v>0</v>
      </c>
      <c r="O369" s="20">
        <v>0</v>
      </c>
      <c r="P369" s="20">
        <v>0</v>
      </c>
    </row>
    <row r="370" spans="1:16" ht="14.4" x14ac:dyDescent="0.3">
      <c r="A370" s="14" t="s">
        <v>47</v>
      </c>
      <c r="B370" s="14"/>
      <c r="C370" s="16"/>
      <c r="D370" s="24"/>
      <c r="E370" s="24"/>
      <c r="F370" s="24"/>
      <c r="G370" s="24"/>
      <c r="H370" s="24"/>
      <c r="I370" s="24"/>
      <c r="J370" s="24"/>
      <c r="K370" s="24"/>
      <c r="L370" s="24"/>
      <c r="M370" s="24"/>
      <c r="N370" s="24"/>
      <c r="O370" s="24"/>
      <c r="P370" s="24"/>
    </row>
    <row r="371" spans="1:16" ht="14.4" x14ac:dyDescent="0.3">
      <c r="A371" s="18" t="s">
        <v>48</v>
      </c>
      <c r="B371" s="18"/>
      <c r="C371" s="16" t="s">
        <v>19</v>
      </c>
      <c r="D371" s="20">
        <f t="shared" ref="D371:P375" si="28">D329</f>
        <v>0.15609999999999999</v>
      </c>
      <c r="E371" s="20">
        <f t="shared" si="28"/>
        <v>0.15609999999999999</v>
      </c>
      <c r="F371" s="20">
        <f t="shared" si="28"/>
        <v>0.15609999999999999</v>
      </c>
      <c r="G371" s="20">
        <f t="shared" si="28"/>
        <v>0.15609999999999999</v>
      </c>
      <c r="H371" s="20">
        <f t="shared" si="28"/>
        <v>0.15609999999999999</v>
      </c>
      <c r="I371" s="20">
        <f t="shared" si="28"/>
        <v>0.15609999999999999</v>
      </c>
      <c r="J371" s="20">
        <f t="shared" si="28"/>
        <v>0.15609999999999999</v>
      </c>
      <c r="K371" s="20">
        <f t="shared" si="28"/>
        <v>0.15609999999999999</v>
      </c>
      <c r="L371" s="20">
        <f t="shared" si="28"/>
        <v>0.15609999999999999</v>
      </c>
      <c r="M371" s="20">
        <f t="shared" si="28"/>
        <v>0.15609999999999999</v>
      </c>
      <c r="N371" s="20">
        <f t="shared" si="28"/>
        <v>0.15609999999999999</v>
      </c>
      <c r="O371" s="20">
        <f t="shared" si="28"/>
        <v>0.15609999999999999</v>
      </c>
      <c r="P371" s="20">
        <f t="shared" si="28"/>
        <v>0.15609999999999999</v>
      </c>
    </row>
    <row r="372" spans="1:16" ht="14.4" x14ac:dyDescent="0.3">
      <c r="A372" s="18" t="s">
        <v>49</v>
      </c>
      <c r="B372" s="18"/>
      <c r="C372" s="16" t="s">
        <v>19</v>
      </c>
      <c r="D372" s="20">
        <f t="shared" si="28"/>
        <v>2.5000000000000001E-3</v>
      </c>
      <c r="E372" s="20">
        <f t="shared" si="28"/>
        <v>2.5000000000000001E-3</v>
      </c>
      <c r="F372" s="20">
        <f t="shared" si="28"/>
        <v>2.5000000000000001E-3</v>
      </c>
      <c r="G372" s="20">
        <f t="shared" si="28"/>
        <v>2.5000000000000001E-3</v>
      </c>
      <c r="H372" s="20">
        <f t="shared" si="28"/>
        <v>2.5000000000000001E-3</v>
      </c>
      <c r="I372" s="20">
        <f t="shared" si="28"/>
        <v>2.5000000000000001E-3</v>
      </c>
      <c r="J372" s="20">
        <f t="shared" si="28"/>
        <v>2.5000000000000001E-3</v>
      </c>
      <c r="K372" s="20">
        <f t="shared" si="28"/>
        <v>2.5000000000000001E-3</v>
      </c>
      <c r="L372" s="20">
        <f t="shared" si="28"/>
        <v>2.5000000000000001E-3</v>
      </c>
      <c r="M372" s="20">
        <f t="shared" si="28"/>
        <v>2.5000000000000001E-3</v>
      </c>
      <c r="N372" s="20">
        <f t="shared" si="28"/>
        <v>2.5000000000000001E-3</v>
      </c>
      <c r="O372" s="20">
        <f t="shared" si="28"/>
        <v>2.5000000000000001E-3</v>
      </c>
      <c r="P372" s="20">
        <f t="shared" si="28"/>
        <v>2.5000000000000001E-3</v>
      </c>
    </row>
    <row r="373" spans="1:16" ht="14.4" x14ac:dyDescent="0.3">
      <c r="A373" s="18" t="s">
        <v>111</v>
      </c>
      <c r="B373" s="18"/>
      <c r="C373" s="16" t="s">
        <v>19</v>
      </c>
      <c r="D373" s="20">
        <f t="shared" si="28"/>
        <v>0.1938</v>
      </c>
      <c r="E373" s="20">
        <f t="shared" si="28"/>
        <v>0.1938</v>
      </c>
      <c r="F373" s="20">
        <f t="shared" si="28"/>
        <v>0.1938</v>
      </c>
      <c r="G373" s="20">
        <f t="shared" si="28"/>
        <v>0.1938</v>
      </c>
      <c r="H373" s="20">
        <f t="shared" si="28"/>
        <v>0.1938</v>
      </c>
      <c r="I373" s="20">
        <f t="shared" si="28"/>
        <v>0.1938</v>
      </c>
      <c r="J373" s="20">
        <f t="shared" si="28"/>
        <v>0.1938</v>
      </c>
      <c r="K373" s="20">
        <f t="shared" si="28"/>
        <v>0.1938</v>
      </c>
      <c r="L373" s="20">
        <f t="shared" si="28"/>
        <v>0.1938</v>
      </c>
      <c r="M373" s="20">
        <f t="shared" si="28"/>
        <v>0.1938</v>
      </c>
      <c r="N373" s="20">
        <f t="shared" si="28"/>
        <v>0.1938</v>
      </c>
      <c r="O373" s="20">
        <f t="shared" si="28"/>
        <v>0.1938</v>
      </c>
      <c r="P373" s="20">
        <f t="shared" si="28"/>
        <v>0.1938</v>
      </c>
    </row>
    <row r="374" spans="1:16" ht="14.4" x14ac:dyDescent="0.3">
      <c r="A374" s="18" t="s">
        <v>112</v>
      </c>
      <c r="B374" s="18"/>
      <c r="C374" s="16" t="s">
        <v>19</v>
      </c>
      <c r="D374" s="20">
        <f t="shared" si="28"/>
        <v>2.6499999999999999E-2</v>
      </c>
      <c r="E374" s="20">
        <f t="shared" si="28"/>
        <v>2.6499999999999999E-2</v>
      </c>
      <c r="F374" s="20">
        <f t="shared" si="28"/>
        <v>2.6499999999999999E-2</v>
      </c>
      <c r="G374" s="20">
        <f t="shared" si="28"/>
        <v>2.6499999999999999E-2</v>
      </c>
      <c r="H374" s="20">
        <f t="shared" si="28"/>
        <v>2.6499999999999999E-2</v>
      </c>
      <c r="I374" s="20">
        <f t="shared" si="28"/>
        <v>2.6499999999999999E-2</v>
      </c>
      <c r="J374" s="20">
        <f t="shared" si="28"/>
        <v>2.6499999999999999E-2</v>
      </c>
      <c r="K374" s="20">
        <f t="shared" si="28"/>
        <v>2.6499999999999999E-2</v>
      </c>
      <c r="L374" s="20">
        <f t="shared" si="28"/>
        <v>2.6499999999999999E-2</v>
      </c>
      <c r="M374" s="20">
        <f t="shared" si="28"/>
        <v>2.6499999999999999E-2</v>
      </c>
      <c r="N374" s="20">
        <f t="shared" si="28"/>
        <v>2.6499999999999999E-2</v>
      </c>
      <c r="O374" s="20">
        <f t="shared" si="28"/>
        <v>2.6499999999999999E-2</v>
      </c>
      <c r="P374" s="20">
        <f t="shared" si="28"/>
        <v>2.6499999999999999E-2</v>
      </c>
    </row>
    <row r="375" spans="1:16" ht="14.4" x14ac:dyDescent="0.3">
      <c r="A375" s="14" t="s">
        <v>51</v>
      </c>
      <c r="B375" s="14"/>
      <c r="C375" s="16" t="s">
        <v>19</v>
      </c>
      <c r="D375" s="20">
        <f>D333</f>
        <v>0.183</v>
      </c>
      <c r="E375" s="20">
        <f t="shared" si="28"/>
        <v>0.183</v>
      </c>
      <c r="F375" s="20">
        <f t="shared" si="28"/>
        <v>0.183</v>
      </c>
      <c r="G375" s="20">
        <f t="shared" si="28"/>
        <v>0.183</v>
      </c>
      <c r="H375" s="20">
        <f t="shared" si="28"/>
        <v>0.183</v>
      </c>
      <c r="I375" s="20">
        <f t="shared" si="28"/>
        <v>0.25629999999999997</v>
      </c>
      <c r="J375" s="20">
        <f t="shared" si="28"/>
        <v>0.25629999999999997</v>
      </c>
      <c r="K375" s="20">
        <f t="shared" si="28"/>
        <v>0.25629999999999997</v>
      </c>
      <c r="L375" s="20">
        <f t="shared" si="28"/>
        <v>0.25629999999999997</v>
      </c>
      <c r="M375" s="20">
        <f t="shared" si="28"/>
        <v>0.25629999999999997</v>
      </c>
      <c r="N375" s="20">
        <f t="shared" si="28"/>
        <v>0.25629999999999997</v>
      </c>
      <c r="O375" s="20">
        <f t="shared" si="28"/>
        <v>0.25629999999999997</v>
      </c>
      <c r="P375" s="20">
        <f t="shared" si="28"/>
        <v>0.25629999999999997</v>
      </c>
    </row>
    <row r="376" spans="1:16" ht="14.4" x14ac:dyDescent="0.3">
      <c r="A376" s="14" t="s">
        <v>52</v>
      </c>
      <c r="B376" s="14"/>
      <c r="C376" s="29"/>
      <c r="D376" s="22"/>
      <c r="E376" s="22"/>
      <c r="F376" s="22"/>
      <c r="G376" s="22"/>
      <c r="H376" s="22"/>
      <c r="I376" s="22"/>
      <c r="J376" s="22"/>
      <c r="K376" s="22"/>
      <c r="L376" s="22"/>
      <c r="M376" s="22"/>
      <c r="N376" s="22"/>
      <c r="O376" s="22"/>
      <c r="P376" s="22"/>
    </row>
    <row r="377" spans="1:16" ht="14.4" x14ac:dyDescent="0.3">
      <c r="A377" s="18" t="s">
        <v>53</v>
      </c>
      <c r="B377" s="18"/>
      <c r="C377" s="16" t="s">
        <v>44</v>
      </c>
      <c r="D377" s="30">
        <f>'[46]DU VAT'!D16</f>
        <v>0.1082</v>
      </c>
      <c r="E377" s="30">
        <f>'[46]DU VAT'!E16</f>
        <v>0.1134</v>
      </c>
      <c r="F377" s="30">
        <f>'[46]DU VAT'!F16</f>
        <v>0.111</v>
      </c>
      <c r="G377" s="30">
        <f>'[46]DU VAT'!G16</f>
        <v>0.11070000000000001</v>
      </c>
      <c r="H377" s="30">
        <f>'[46]DU VAT'!H16</f>
        <v>0.10920000000000001</v>
      </c>
      <c r="I377" s="30">
        <f>'[46]DU VAT'!I16</f>
        <v>0.1129</v>
      </c>
      <c r="J377" s="30">
        <f>'[46]DU VAT'!J16</f>
        <v>0.1123</v>
      </c>
      <c r="K377" s="30">
        <f>'[46]DU VAT'!K16</f>
        <v>0.1137</v>
      </c>
      <c r="L377" s="30">
        <f>'[46]DU VAT'!L16</f>
        <v>0.1116</v>
      </c>
      <c r="M377" s="30">
        <f>'[46]DU VAT'!M16</f>
        <v>0.10979999999999999</v>
      </c>
      <c r="N377" s="30">
        <f>'[46]DU VAT'!N16</f>
        <v>0.1111</v>
      </c>
      <c r="O377" s="30">
        <f>'[46]DU VAT'!O16</f>
        <v>0.1119</v>
      </c>
      <c r="P377" s="30" t="e">
        <f>'[46]DU VAT'!P16</f>
        <v>#DIV/0!</v>
      </c>
    </row>
    <row r="378" spans="1:16" ht="14.4" x14ac:dyDescent="0.3">
      <c r="A378" s="18" t="s">
        <v>54</v>
      </c>
      <c r="B378" s="18"/>
      <c r="C378" s="16" t="s">
        <v>44</v>
      </c>
      <c r="D378" s="30">
        <f>'[46]DU VAT'!D20</f>
        <v>2.24E-2</v>
      </c>
      <c r="E378" s="30">
        <f>'[46]DU VAT'!E20</f>
        <v>8.6099999999999996E-2</v>
      </c>
      <c r="F378" s="30">
        <f>'[46]DU VAT'!F20</f>
        <v>0.1036</v>
      </c>
      <c r="G378" s="30">
        <f>'[46]DU VAT'!G20</f>
        <v>0.10589999999999999</v>
      </c>
      <c r="H378" s="30">
        <f>'[46]DU VAT'!H20</f>
        <v>0.10730000000000001</v>
      </c>
      <c r="I378" s="30">
        <f>'[46]DU VAT'!I20</f>
        <v>0.1052</v>
      </c>
      <c r="J378" s="30">
        <f>'[46]DU VAT'!J20</f>
        <v>0.1056</v>
      </c>
      <c r="K378" s="30">
        <f>'[46]DU VAT'!K20</f>
        <v>0.106</v>
      </c>
      <c r="L378" s="30">
        <f>'[46]DU VAT'!L20</f>
        <v>0.10340000000000001</v>
      </c>
      <c r="M378" s="30">
        <f>'[46]DU VAT'!M20</f>
        <v>0.1046</v>
      </c>
      <c r="N378" s="30">
        <f>'[46]DU VAT'!N20</f>
        <v>0.1004</v>
      </c>
      <c r="O378" s="30">
        <f>'[46]DU VAT'!O20</f>
        <v>9.8500000000000004E-2</v>
      </c>
      <c r="P378" s="30" t="e">
        <f>'[46]DU VAT'!P20</f>
        <v>#DIV/0!</v>
      </c>
    </row>
    <row r="379" spans="1:16" ht="14.4" x14ac:dyDescent="0.3">
      <c r="A379" s="18" t="s">
        <v>55</v>
      </c>
      <c r="B379" s="18"/>
      <c r="C379" s="16" t="s">
        <v>44</v>
      </c>
      <c r="D379" s="30">
        <f>'[46]DU VAT'!D26</f>
        <v>9.3100000000000002E-2</v>
      </c>
      <c r="E379" s="30">
        <f>'[46]DU VAT'!E26</f>
        <v>0.10929999999999999</v>
      </c>
      <c r="F379" s="30">
        <f>'[46]DU VAT'!F26</f>
        <v>0.11</v>
      </c>
      <c r="G379" s="30">
        <f>'[46]DU VAT'!G26</f>
        <v>0.11</v>
      </c>
      <c r="H379" s="30">
        <f>'[46]DU VAT'!H26</f>
        <v>0.1089</v>
      </c>
      <c r="I379" s="30">
        <f>'[46]DU VAT'!I26</f>
        <v>0.1119</v>
      </c>
      <c r="J379" s="30">
        <f>'[46]DU VAT'!J26</f>
        <v>0.1115</v>
      </c>
      <c r="K379" s="30">
        <f>'[46]DU VAT'!K26</f>
        <v>0.1129</v>
      </c>
      <c r="L379" s="30">
        <f>'[46]DU VAT'!L26</f>
        <v>0.11070000000000001</v>
      </c>
      <c r="M379" s="30">
        <f>'[46]DU VAT'!M26</f>
        <v>0.10920000000000001</v>
      </c>
      <c r="N379" s="30">
        <f>'[46]DU VAT'!N26</f>
        <v>0.1099</v>
      </c>
      <c r="O379" s="30">
        <f>'[46]DU VAT'!O26</f>
        <v>0.1103</v>
      </c>
      <c r="P379" s="30" t="e">
        <f>'[46]DU VAT'!P26</f>
        <v>#DIV/0!</v>
      </c>
    </row>
    <row r="380" spans="1:16" ht="14.4" x14ac:dyDescent="0.3">
      <c r="A380" s="18" t="s">
        <v>56</v>
      </c>
      <c r="B380" s="18"/>
      <c r="C380" s="16" t="s">
        <v>44</v>
      </c>
      <c r="D380" s="30">
        <f>D338</f>
        <v>0.12</v>
      </c>
      <c r="E380" s="30">
        <f t="shared" ref="E380:P381" si="29">E338</f>
        <v>0.12</v>
      </c>
      <c r="F380" s="30">
        <f t="shared" si="29"/>
        <v>0.12</v>
      </c>
      <c r="G380" s="30">
        <f t="shared" si="29"/>
        <v>0.12</v>
      </c>
      <c r="H380" s="30">
        <f t="shared" si="29"/>
        <v>0.12</v>
      </c>
      <c r="I380" s="30">
        <f t="shared" si="29"/>
        <v>0.12</v>
      </c>
      <c r="J380" s="30">
        <f t="shared" si="29"/>
        <v>0.12</v>
      </c>
      <c r="K380" s="30">
        <f t="shared" si="29"/>
        <v>0.12</v>
      </c>
      <c r="L380" s="30">
        <f t="shared" si="29"/>
        <v>0.12</v>
      </c>
      <c r="M380" s="30">
        <f t="shared" si="29"/>
        <v>0.12</v>
      </c>
      <c r="N380" s="30">
        <f t="shared" si="29"/>
        <v>0.12</v>
      </c>
      <c r="O380" s="30">
        <f t="shared" si="29"/>
        <v>0.12</v>
      </c>
      <c r="P380" s="30">
        <f t="shared" si="29"/>
        <v>0.12</v>
      </c>
    </row>
    <row r="381" spans="1:16" ht="14.4" x14ac:dyDescent="0.3">
      <c r="A381" s="18" t="s">
        <v>57</v>
      </c>
      <c r="B381" s="18"/>
      <c r="C381" s="16" t="s">
        <v>44</v>
      </c>
      <c r="D381" s="30">
        <f>D339</f>
        <v>0.12</v>
      </c>
      <c r="E381" s="30">
        <f t="shared" si="29"/>
        <v>0.12</v>
      </c>
      <c r="F381" s="30">
        <f t="shared" si="29"/>
        <v>0.12</v>
      </c>
      <c r="G381" s="30">
        <f t="shared" si="29"/>
        <v>0.12</v>
      </c>
      <c r="H381" s="30">
        <f t="shared" si="29"/>
        <v>0.12</v>
      </c>
      <c r="I381" s="30">
        <f t="shared" si="29"/>
        <v>0.12</v>
      </c>
      <c r="J381" s="30">
        <f t="shared" si="29"/>
        <v>0.12</v>
      </c>
      <c r="K381" s="30">
        <f t="shared" si="29"/>
        <v>0.12</v>
      </c>
      <c r="L381" s="30">
        <f t="shared" si="29"/>
        <v>0.12</v>
      </c>
      <c r="M381" s="30">
        <f t="shared" si="29"/>
        <v>0.12</v>
      </c>
      <c r="N381" s="30">
        <f t="shared" si="29"/>
        <v>0.12</v>
      </c>
      <c r="O381" s="30">
        <f t="shared" si="29"/>
        <v>0.12</v>
      </c>
      <c r="P381" s="30">
        <f t="shared" si="29"/>
        <v>0.12</v>
      </c>
    </row>
    <row r="383" spans="1:16" hidden="1" x14ac:dyDescent="0.3"/>
    <row r="384" spans="1:16" hidden="1" x14ac:dyDescent="0.3"/>
    <row r="385" spans="1:18" x14ac:dyDescent="0.3">
      <c r="A385" s="3" t="s">
        <v>58</v>
      </c>
    </row>
    <row r="387" spans="1:18" s="13" customFormat="1" ht="14.4" hidden="1" x14ac:dyDescent="0.3">
      <c r="A387" s="11" t="s">
        <v>3</v>
      </c>
      <c r="B387" s="11"/>
      <c r="C387" s="11" t="s">
        <v>4</v>
      </c>
      <c r="D387" s="12">
        <f t="shared" ref="D387:P387" si="30">D344</f>
        <v>43101</v>
      </c>
      <c r="E387" s="12">
        <f t="shared" si="30"/>
        <v>43132</v>
      </c>
      <c r="F387" s="12">
        <f t="shared" si="30"/>
        <v>43160</v>
      </c>
      <c r="G387" s="12">
        <f t="shared" si="30"/>
        <v>43191</v>
      </c>
      <c r="H387" s="12">
        <f t="shared" si="30"/>
        <v>43221</v>
      </c>
      <c r="I387" s="12">
        <f t="shared" si="30"/>
        <v>43252</v>
      </c>
      <c r="J387" s="12">
        <f t="shared" si="30"/>
        <v>43282</v>
      </c>
      <c r="K387" s="12">
        <f t="shared" si="30"/>
        <v>43313</v>
      </c>
      <c r="L387" s="12">
        <f t="shared" si="30"/>
        <v>43344</v>
      </c>
      <c r="M387" s="12">
        <f t="shared" si="30"/>
        <v>43374</v>
      </c>
      <c r="N387" s="12">
        <f t="shared" si="30"/>
        <v>43405</v>
      </c>
      <c r="O387" s="12">
        <f t="shared" si="30"/>
        <v>43435</v>
      </c>
      <c r="P387" s="12">
        <f t="shared" si="30"/>
        <v>43466</v>
      </c>
    </row>
    <row r="388" spans="1:18" ht="14.4" x14ac:dyDescent="0.3">
      <c r="A388" s="61" t="s">
        <v>67</v>
      </c>
      <c r="B388" s="62"/>
      <c r="C388" s="63"/>
      <c r="D388" s="73">
        <f>D344</f>
        <v>43101</v>
      </c>
      <c r="E388" s="73">
        <f t="shared" ref="E388:P388" si="31">E344</f>
        <v>43132</v>
      </c>
      <c r="F388" s="73">
        <f t="shared" si="31"/>
        <v>43160</v>
      </c>
      <c r="G388" s="73">
        <f t="shared" si="31"/>
        <v>43191</v>
      </c>
      <c r="H388" s="73">
        <f t="shared" si="31"/>
        <v>43221</v>
      </c>
      <c r="I388" s="73">
        <f t="shared" si="31"/>
        <v>43252</v>
      </c>
      <c r="J388" s="73">
        <f t="shared" si="31"/>
        <v>43282</v>
      </c>
      <c r="K388" s="73">
        <f t="shared" si="31"/>
        <v>43313</v>
      </c>
      <c r="L388" s="73">
        <f t="shared" si="31"/>
        <v>43344</v>
      </c>
      <c r="M388" s="73">
        <f t="shared" si="31"/>
        <v>43374</v>
      </c>
      <c r="N388" s="73">
        <f t="shared" si="31"/>
        <v>43405</v>
      </c>
      <c r="O388" s="73">
        <f t="shared" si="31"/>
        <v>43435</v>
      </c>
      <c r="P388" s="73">
        <f t="shared" si="31"/>
        <v>43466</v>
      </c>
    </row>
    <row r="389" spans="1:18" ht="14.4" x14ac:dyDescent="0.3">
      <c r="A389" s="25" t="s">
        <v>68</v>
      </c>
      <c r="B389" s="25"/>
      <c r="C389" s="16" t="s">
        <v>19</v>
      </c>
      <c r="D389" s="20">
        <f>[46]GR!D23</f>
        <v>4.0768000000000004</v>
      </c>
      <c r="E389" s="20">
        <f>[46]GR!E23</f>
        <v>4.6547999999999998</v>
      </c>
      <c r="F389" s="20">
        <f>[46]GR!F23</f>
        <v>5.2961999999999998</v>
      </c>
      <c r="G389" s="20">
        <f>[46]GR!G23</f>
        <v>5.4734999999999996</v>
      </c>
      <c r="H389" s="20">
        <f>[46]GR!H23</f>
        <v>5.0522999999999998</v>
      </c>
      <c r="I389" s="20">
        <f>[46]GR!I23</f>
        <v>4.9828000000000001</v>
      </c>
      <c r="J389" s="20">
        <f>[46]GR!J23</f>
        <v>5.2651000000000003</v>
      </c>
      <c r="K389" s="20">
        <f>[46]GR!K23</f>
        <v>5.3491</v>
      </c>
      <c r="L389" s="20">
        <f>[46]GR!L23</f>
        <v>5.2718999999999996</v>
      </c>
      <c r="M389" s="20">
        <f>[46]GR!M23</f>
        <v>5.1908000000000003</v>
      </c>
      <c r="N389" s="20">
        <f>[46]GR!N23</f>
        <v>5.2725</v>
      </c>
      <c r="O389" s="20">
        <f>[46]GR!O23</f>
        <v>5.3303000000000003</v>
      </c>
      <c r="P389" s="20" t="e">
        <f>[46]GR!P23</f>
        <v>#DIV/0!</v>
      </c>
    </row>
    <row r="390" spans="1:18" ht="14.4" x14ac:dyDescent="0.3">
      <c r="A390" s="25" t="s">
        <v>69</v>
      </c>
      <c r="B390" s="25"/>
      <c r="C390" s="16"/>
      <c r="D390" s="24"/>
      <c r="E390" s="24"/>
      <c r="F390" s="24"/>
      <c r="G390" s="24"/>
      <c r="H390" s="24"/>
      <c r="I390" s="24"/>
      <c r="J390" s="24"/>
      <c r="K390" s="24"/>
      <c r="L390" s="24"/>
      <c r="M390" s="24"/>
      <c r="N390" s="24"/>
      <c r="O390" s="24"/>
      <c r="P390" s="24"/>
    </row>
    <row r="391" spans="1:18" ht="14.4" x14ac:dyDescent="0.3">
      <c r="A391" s="25" t="s">
        <v>113</v>
      </c>
      <c r="B391" s="25"/>
      <c r="C391" s="16" t="s">
        <v>19</v>
      </c>
      <c r="D391" s="20">
        <f>7.4854</f>
        <v>7.4854000000000003</v>
      </c>
      <c r="E391" s="20">
        <v>7.4854000000000003</v>
      </c>
      <c r="F391" s="20">
        <v>7.4854000000000003</v>
      </c>
      <c r="G391" s="20">
        <v>7.4854000000000003</v>
      </c>
      <c r="H391" s="20">
        <v>7.4854000000000003</v>
      </c>
      <c r="I391" s="20">
        <v>7.4854000000000003</v>
      </c>
      <c r="J391" s="20">
        <v>7.2778999999999998</v>
      </c>
      <c r="K391" s="20">
        <v>7.2778999999999998</v>
      </c>
      <c r="L391" s="20">
        <v>7.2778999999999998</v>
      </c>
      <c r="M391" s="20">
        <v>7.2778999999999998</v>
      </c>
      <c r="N391" s="20">
        <v>7.2778999999999998</v>
      </c>
      <c r="O391" s="20">
        <v>7.2778999999999998</v>
      </c>
      <c r="P391" s="20">
        <v>7.4854000000000003</v>
      </c>
    </row>
    <row r="392" spans="1:18" ht="14.4" x14ac:dyDescent="0.3">
      <c r="A392" s="25" t="s">
        <v>114</v>
      </c>
      <c r="B392" s="25"/>
      <c r="C392" s="16" t="s">
        <v>19</v>
      </c>
      <c r="D392" s="20">
        <f>3.5461</f>
        <v>3.5461</v>
      </c>
      <c r="E392" s="20">
        <f>3.5461</f>
        <v>3.5461</v>
      </c>
      <c r="F392" s="20">
        <f>3.5461</f>
        <v>3.5461</v>
      </c>
      <c r="G392" s="20">
        <f t="shared" ref="G392:P392" si="32">3.5461</f>
        <v>3.5461</v>
      </c>
      <c r="H392" s="20">
        <f t="shared" si="32"/>
        <v>3.5461</v>
      </c>
      <c r="I392" s="20">
        <f t="shared" si="32"/>
        <v>3.5461</v>
      </c>
      <c r="J392" s="20">
        <f t="shared" si="32"/>
        <v>3.5461</v>
      </c>
      <c r="K392" s="20">
        <f t="shared" si="32"/>
        <v>3.5461</v>
      </c>
      <c r="L392" s="20">
        <f t="shared" si="32"/>
        <v>3.5461</v>
      </c>
      <c r="M392" s="20">
        <f t="shared" si="32"/>
        <v>3.5461</v>
      </c>
      <c r="N392" s="20">
        <f t="shared" si="32"/>
        <v>3.5461</v>
      </c>
      <c r="O392" s="20">
        <f t="shared" si="32"/>
        <v>3.5461</v>
      </c>
      <c r="P392" s="20">
        <f t="shared" si="32"/>
        <v>3.5461</v>
      </c>
    </row>
    <row r="393" spans="1:18" ht="14.4" x14ac:dyDescent="0.3">
      <c r="A393" s="25" t="s">
        <v>115</v>
      </c>
      <c r="B393" s="25"/>
      <c r="C393" s="16" t="s">
        <v>19</v>
      </c>
      <c r="D393" s="20">
        <v>-1.6377999999999999</v>
      </c>
      <c r="E393" s="20">
        <v>-1.0513999999999999</v>
      </c>
      <c r="F393" s="20">
        <v>-0.41260000000000002</v>
      </c>
      <c r="G393" s="20">
        <v>-0.23519999999999999</v>
      </c>
      <c r="H393" s="20">
        <v>-0.65490000000000004</v>
      </c>
      <c r="I393" s="20">
        <v>-0.72309999999999997</v>
      </c>
      <c r="J393" s="20">
        <v>-0.31219999999999998</v>
      </c>
      <c r="K393" s="20">
        <v>-0.2329</v>
      </c>
      <c r="L393" s="20">
        <v>-0.31080000000000002</v>
      </c>
      <c r="M393" s="20">
        <v>-0.39190000000000003</v>
      </c>
      <c r="N393" s="20">
        <v>-0.30909999999999999</v>
      </c>
      <c r="O393" s="20">
        <v>-0.25240000000000001</v>
      </c>
      <c r="P393" s="20"/>
    </row>
    <row r="394" spans="1:18" x14ac:dyDescent="0.3">
      <c r="A394" s="62"/>
      <c r="B394" s="62"/>
      <c r="C394" s="63"/>
      <c r="D394" s="62"/>
      <c r="E394" s="62"/>
      <c r="F394" s="62"/>
      <c r="G394" s="62"/>
      <c r="H394" s="62"/>
      <c r="I394" s="62"/>
      <c r="J394" s="62"/>
      <c r="K394" s="62"/>
      <c r="L394" s="62"/>
      <c r="M394" s="62"/>
      <c r="N394" s="62"/>
      <c r="O394" s="62"/>
      <c r="P394" s="62"/>
    </row>
    <row r="395" spans="1:18" ht="14.4" x14ac:dyDescent="0.3">
      <c r="A395" s="64" t="s">
        <v>72</v>
      </c>
      <c r="B395" s="64"/>
      <c r="C395" s="65"/>
      <c r="D395" s="66"/>
      <c r="E395" s="66"/>
      <c r="F395" s="66"/>
      <c r="G395" s="66"/>
      <c r="H395" s="66"/>
      <c r="I395" s="66"/>
      <c r="J395" s="66"/>
      <c r="K395" s="66"/>
      <c r="L395" s="66"/>
      <c r="M395" s="66"/>
      <c r="N395" s="66"/>
      <c r="O395" s="66"/>
      <c r="P395" s="66"/>
    </row>
    <row r="396" spans="1:18" ht="14.4" x14ac:dyDescent="0.3">
      <c r="A396" s="64" t="s">
        <v>73</v>
      </c>
      <c r="B396" s="64"/>
      <c r="C396" s="65" t="s">
        <v>19</v>
      </c>
      <c r="D396" s="67">
        <v>3.6415000000000002</v>
      </c>
      <c r="E396" s="67">
        <v>4.2526000000000002</v>
      </c>
      <c r="F396" s="67">
        <v>4.7994000000000003</v>
      </c>
      <c r="G396" s="67">
        <v>5.0128000000000004</v>
      </c>
      <c r="H396" s="67">
        <v>4.5476000000000001</v>
      </c>
      <c r="I396" s="67">
        <v>4.5060000000000002</v>
      </c>
      <c r="J396" s="67">
        <v>4.8364000000000003</v>
      </c>
      <c r="K396" s="67">
        <v>4.9032</v>
      </c>
      <c r="L396" s="67">
        <v>4.8418999999999999</v>
      </c>
      <c r="M396" s="67">
        <v>4.7503000000000002</v>
      </c>
      <c r="N396" s="67">
        <v>4.8371000000000004</v>
      </c>
      <c r="O396" s="67"/>
      <c r="P396" s="67"/>
      <c r="Q396" s="68"/>
      <c r="R396" s="68"/>
    </row>
    <row r="397" spans="1:18" ht="14.4" x14ac:dyDescent="0.3">
      <c r="A397" s="64" t="s">
        <v>75</v>
      </c>
      <c r="B397" s="64"/>
      <c r="C397" s="65" t="s">
        <v>19</v>
      </c>
      <c r="D397" s="67">
        <v>3.8679999999999999</v>
      </c>
      <c r="E397" s="67">
        <v>4.4688999999999997</v>
      </c>
      <c r="F397" s="67">
        <v>5.0885999999999996</v>
      </c>
      <c r="G397" s="67">
        <v>5.2781000000000002</v>
      </c>
      <c r="H397" s="67">
        <v>4.8521000000000001</v>
      </c>
      <c r="I397" s="67">
        <v>4.7778999999999998</v>
      </c>
      <c r="J397" s="67">
        <v>5.0904999999999996</v>
      </c>
      <c r="K397" s="67">
        <v>5.1642000000000001</v>
      </c>
      <c r="L397" s="67">
        <v>5.0929000000000002</v>
      </c>
      <c r="M397" s="67">
        <v>5.0187999999999997</v>
      </c>
      <c r="N397" s="67">
        <v>5.0895999999999999</v>
      </c>
      <c r="O397" s="67"/>
      <c r="P397" s="67"/>
      <c r="Q397" s="68"/>
      <c r="R397" s="68"/>
    </row>
    <row r="398" spans="1:18" ht="14.4" x14ac:dyDescent="0.3">
      <c r="A398" s="64" t="s">
        <v>76</v>
      </c>
      <c r="B398" s="64"/>
      <c r="C398" s="65" t="s">
        <v>19</v>
      </c>
      <c r="D398" s="67">
        <v>3.7953999999999999</v>
      </c>
      <c r="E398" s="67">
        <v>4.3636999999999997</v>
      </c>
      <c r="F398" s="67">
        <v>4.9964000000000004</v>
      </c>
      <c r="G398" s="67">
        <v>5.1863999999999999</v>
      </c>
      <c r="H398" s="67">
        <v>4.7750000000000004</v>
      </c>
      <c r="I398" s="67">
        <v>4.6978</v>
      </c>
      <c r="J398" s="67">
        <v>5.0110000000000001</v>
      </c>
      <c r="K398" s="67">
        <v>5.0753000000000004</v>
      </c>
      <c r="L398" s="67">
        <v>5.0057999999999998</v>
      </c>
      <c r="M398" s="67">
        <v>4.9287000000000001</v>
      </c>
      <c r="N398" s="67">
        <v>4.9991000000000003</v>
      </c>
      <c r="O398" s="67"/>
      <c r="P398" s="67"/>
      <c r="Q398" s="68"/>
      <c r="R398" s="68"/>
    </row>
    <row r="399" spans="1:18" ht="14.4" x14ac:dyDescent="0.3">
      <c r="A399" s="64" t="s">
        <v>77</v>
      </c>
      <c r="B399" s="64"/>
      <c r="C399" s="65" t="s">
        <v>19</v>
      </c>
      <c r="D399" s="67">
        <v>3.7568000000000001</v>
      </c>
      <c r="E399" s="67">
        <v>4.2394999999999996</v>
      </c>
      <c r="F399" s="67">
        <v>4.8681000000000001</v>
      </c>
      <c r="G399" s="67">
        <v>5.0103</v>
      </c>
      <c r="H399" s="67">
        <v>4.5964</v>
      </c>
      <c r="I399" s="67">
        <v>4.3205999999999998</v>
      </c>
      <c r="J399" s="67">
        <v>4.6473000000000004</v>
      </c>
      <c r="K399" s="67">
        <v>4.7647000000000004</v>
      </c>
      <c r="L399" s="67">
        <v>4.6520999999999999</v>
      </c>
      <c r="M399" s="67">
        <v>4.6059000000000001</v>
      </c>
      <c r="N399" s="67">
        <v>4.7522000000000002</v>
      </c>
      <c r="O399" s="67"/>
      <c r="P399" s="67"/>
      <c r="Q399" s="68"/>
      <c r="R399" s="68"/>
    </row>
    <row r="400" spans="1:18" ht="14.4" x14ac:dyDescent="0.3">
      <c r="A400" s="64" t="s">
        <v>78</v>
      </c>
      <c r="B400" s="64"/>
      <c r="C400" s="65" t="s">
        <v>19</v>
      </c>
      <c r="D400" s="67">
        <v>3.8685</v>
      </c>
      <c r="E400" s="67">
        <v>4.3954000000000004</v>
      </c>
      <c r="F400" s="67">
        <v>5.0323000000000002</v>
      </c>
      <c r="G400" s="67">
        <v>5.2622999999999998</v>
      </c>
      <c r="H400" s="67">
        <v>4.8297999999999996</v>
      </c>
      <c r="I400" s="67">
        <v>4.7218999999999998</v>
      </c>
      <c r="J400" s="67">
        <v>5.0776000000000003</v>
      </c>
      <c r="K400" s="67">
        <v>5.1543999999999999</v>
      </c>
      <c r="L400" s="67">
        <v>5.0355999999999996</v>
      </c>
      <c r="M400" s="67">
        <v>4.9977999999999998</v>
      </c>
      <c r="N400" s="67">
        <v>5.048</v>
      </c>
      <c r="O400" s="67"/>
      <c r="P400" s="67"/>
      <c r="Q400" s="68"/>
      <c r="R400" s="68"/>
    </row>
    <row r="401" spans="1:16" x14ac:dyDescent="0.3">
      <c r="A401" s="62"/>
      <c r="B401" s="62"/>
      <c r="C401" s="63"/>
      <c r="D401" s="62"/>
      <c r="E401" s="62"/>
      <c r="F401" s="62"/>
      <c r="G401" s="62"/>
      <c r="H401" s="62"/>
      <c r="I401" s="62"/>
      <c r="J401" s="62"/>
      <c r="K401" s="62"/>
      <c r="L401" s="62"/>
      <c r="M401" s="62"/>
      <c r="N401" s="62"/>
      <c r="O401" s="62"/>
      <c r="P401" s="62"/>
    </row>
    <row r="402" spans="1:16" s="33" customFormat="1" x14ac:dyDescent="0.3">
      <c r="A402" s="74" t="s">
        <v>116</v>
      </c>
      <c r="B402" s="74"/>
      <c r="C402" s="75"/>
      <c r="D402" s="74"/>
      <c r="E402" s="74"/>
      <c r="F402" s="74"/>
      <c r="G402" s="74"/>
      <c r="H402" s="74"/>
      <c r="I402" s="74"/>
      <c r="J402" s="74"/>
      <c r="K402" s="74"/>
      <c r="L402" s="74"/>
      <c r="M402" s="74"/>
      <c r="N402" s="74"/>
      <c r="O402" s="74"/>
      <c r="P402" s="74"/>
    </row>
    <row r="403" spans="1:16" x14ac:dyDescent="0.3">
      <c r="A403" s="62"/>
      <c r="B403" s="62"/>
      <c r="C403" s="63"/>
      <c r="D403" s="62"/>
      <c r="E403" s="62"/>
      <c r="F403" s="62"/>
      <c r="G403" s="62"/>
      <c r="H403" s="62"/>
      <c r="I403" s="62"/>
      <c r="J403" s="62"/>
      <c r="K403" s="62"/>
      <c r="L403" s="62"/>
      <c r="M403" s="62"/>
      <c r="N403" s="62"/>
      <c r="O403" s="62"/>
      <c r="P403" s="62"/>
    </row>
    <row r="404" spans="1:16" ht="14.4" x14ac:dyDescent="0.3">
      <c r="A404" s="61" t="s">
        <v>82</v>
      </c>
      <c r="B404" s="62"/>
      <c r="C404" s="63"/>
      <c r="D404" s="62"/>
      <c r="E404" s="62"/>
      <c r="F404" s="62"/>
      <c r="G404" s="62"/>
      <c r="H404" s="62"/>
      <c r="I404" s="62"/>
      <c r="J404" s="62"/>
      <c r="K404" s="62"/>
      <c r="L404" s="62"/>
      <c r="M404" s="62"/>
      <c r="N404" s="62"/>
      <c r="O404" s="62"/>
      <c r="P404" s="62"/>
    </row>
    <row r="405" spans="1:16" ht="14.4" x14ac:dyDescent="0.3">
      <c r="A405" s="25" t="s">
        <v>83</v>
      </c>
      <c r="B405" s="25"/>
      <c r="C405" s="16" t="s">
        <v>19</v>
      </c>
      <c r="D405" s="20">
        <v>1.0012000000000001</v>
      </c>
      <c r="E405" s="20">
        <v>1.0012000000000001</v>
      </c>
      <c r="F405" s="20">
        <v>1.0012000000000001</v>
      </c>
      <c r="G405" s="20">
        <v>1.0012000000000001</v>
      </c>
      <c r="H405" s="20">
        <v>1.0012000000000001</v>
      </c>
      <c r="I405" s="20">
        <v>1.0012000000000001</v>
      </c>
      <c r="J405" s="20">
        <v>1.0012000000000001</v>
      </c>
      <c r="K405" s="20">
        <v>1.0012000000000001</v>
      </c>
      <c r="L405" s="20">
        <v>1.0012000000000001</v>
      </c>
      <c r="M405" s="20">
        <v>1.0012000000000001</v>
      </c>
      <c r="N405" s="20">
        <v>1.0012000000000001</v>
      </c>
      <c r="O405" s="20">
        <v>1.0012000000000001</v>
      </c>
      <c r="P405" s="20">
        <v>1.0012000000000001</v>
      </c>
    </row>
    <row r="406" spans="1:16" ht="14.4" x14ac:dyDescent="0.3">
      <c r="A406" s="25" t="s">
        <v>84</v>
      </c>
      <c r="B406" s="25"/>
      <c r="C406" s="16" t="s">
        <v>19</v>
      </c>
      <c r="D406" s="20">
        <v>1.3183</v>
      </c>
      <c r="E406" s="20">
        <v>1.3183</v>
      </c>
      <c r="F406" s="20">
        <v>1.3183</v>
      </c>
      <c r="G406" s="20">
        <v>1.3183</v>
      </c>
      <c r="H406" s="20">
        <v>1.3183</v>
      </c>
      <c r="I406" s="20">
        <v>1.3183</v>
      </c>
      <c r="J406" s="20">
        <v>1.3183</v>
      </c>
      <c r="K406" s="20">
        <v>1.3183</v>
      </c>
      <c r="L406" s="20">
        <v>1.3183</v>
      </c>
      <c r="M406" s="20">
        <v>1.3183</v>
      </c>
      <c r="N406" s="20">
        <v>1.3183</v>
      </c>
      <c r="O406" s="20">
        <v>1.3183</v>
      </c>
      <c r="P406" s="20">
        <v>1.3183</v>
      </c>
    </row>
    <row r="407" spans="1:16" ht="14.4" x14ac:dyDescent="0.3">
      <c r="A407" s="25" t="s">
        <v>85</v>
      </c>
      <c r="B407" s="25"/>
      <c r="C407" s="16" t="s">
        <v>19</v>
      </c>
      <c r="D407" s="20">
        <v>1.6174999999999999</v>
      </c>
      <c r="E407" s="20">
        <v>1.6174999999999999</v>
      </c>
      <c r="F407" s="20">
        <v>1.6174999999999999</v>
      </c>
      <c r="G407" s="20">
        <v>1.6174999999999999</v>
      </c>
      <c r="H407" s="20">
        <v>1.6174999999999999</v>
      </c>
      <c r="I407" s="20">
        <v>1.6174999999999999</v>
      </c>
      <c r="J407" s="20">
        <v>1.6174999999999999</v>
      </c>
      <c r="K407" s="20">
        <v>1.6174999999999999</v>
      </c>
      <c r="L407" s="20">
        <v>1.6174999999999999</v>
      </c>
      <c r="M407" s="20">
        <v>1.6174999999999999</v>
      </c>
      <c r="N407" s="20">
        <v>1.6174999999999999</v>
      </c>
      <c r="O407" s="20">
        <v>1.6174999999999999</v>
      </c>
      <c r="P407" s="20">
        <v>1.6174999999999999</v>
      </c>
    </row>
    <row r="408" spans="1:16" ht="14.4" x14ac:dyDescent="0.3">
      <c r="A408" s="25" t="s">
        <v>86</v>
      </c>
      <c r="B408" s="25"/>
      <c r="C408" s="16" t="s">
        <v>19</v>
      </c>
      <c r="D408" s="20">
        <v>2.1387</v>
      </c>
      <c r="E408" s="20">
        <v>2.1387</v>
      </c>
      <c r="F408" s="20">
        <v>2.1387</v>
      </c>
      <c r="G408" s="20">
        <v>2.1387</v>
      </c>
      <c r="H408" s="20">
        <v>2.1387</v>
      </c>
      <c r="I408" s="20">
        <v>2.1387</v>
      </c>
      <c r="J408" s="20">
        <v>2.1387</v>
      </c>
      <c r="K408" s="20">
        <v>2.1387</v>
      </c>
      <c r="L408" s="20">
        <v>2.1387</v>
      </c>
      <c r="M408" s="20">
        <v>2.1387</v>
      </c>
      <c r="N408" s="20">
        <v>2.1387</v>
      </c>
      <c r="O408" s="20">
        <v>2.1387</v>
      </c>
      <c r="P408" s="20">
        <v>2.1387</v>
      </c>
    </row>
    <row r="409" spans="1:16" x14ac:dyDescent="0.3">
      <c r="A409" s="62"/>
      <c r="B409" s="62"/>
      <c r="C409" s="63"/>
      <c r="D409" s="62"/>
      <c r="E409" s="62"/>
      <c r="F409" s="62"/>
      <c r="G409" s="62"/>
      <c r="H409" s="62"/>
      <c r="I409" s="62"/>
      <c r="J409" s="62"/>
      <c r="K409" s="62"/>
      <c r="L409" s="62"/>
      <c r="M409" s="62"/>
      <c r="N409" s="62"/>
      <c r="O409" s="62"/>
      <c r="P409" s="62"/>
    </row>
    <row r="410" spans="1:16" ht="14.4" x14ac:dyDescent="0.3">
      <c r="A410" s="61" t="s">
        <v>87</v>
      </c>
      <c r="B410" s="62"/>
      <c r="C410" s="63"/>
      <c r="D410" s="62"/>
      <c r="E410" s="62"/>
      <c r="F410" s="62"/>
      <c r="G410" s="62"/>
      <c r="H410" s="62"/>
      <c r="I410" s="62"/>
      <c r="J410" s="62"/>
      <c r="K410" s="62"/>
      <c r="L410" s="62"/>
      <c r="M410" s="62"/>
      <c r="N410" s="62"/>
      <c r="O410" s="62"/>
      <c r="P410" s="62"/>
    </row>
    <row r="411" spans="1:16" ht="14.4" x14ac:dyDescent="0.3">
      <c r="A411" s="25" t="s">
        <v>68</v>
      </c>
      <c r="B411" s="25"/>
      <c r="C411" s="16"/>
      <c r="D411" s="24"/>
      <c r="E411" s="24"/>
      <c r="F411" s="24"/>
      <c r="G411" s="24"/>
      <c r="H411" s="24"/>
      <c r="I411" s="24"/>
      <c r="J411" s="24"/>
      <c r="K411" s="24"/>
      <c r="L411" s="24"/>
      <c r="M411" s="24"/>
      <c r="N411" s="24"/>
      <c r="O411" s="24"/>
      <c r="P411" s="24"/>
    </row>
    <row r="412" spans="1:16" ht="14.4" x14ac:dyDescent="0.3">
      <c r="A412" s="25" t="s">
        <v>88</v>
      </c>
      <c r="B412" s="25"/>
      <c r="C412" s="16" t="s">
        <v>19</v>
      </c>
      <c r="D412" s="20">
        <v>0.50849999999999995</v>
      </c>
      <c r="E412" s="20">
        <v>0.50849999999999995</v>
      </c>
      <c r="F412" s="20">
        <v>0.50849999999999995</v>
      </c>
      <c r="G412" s="20">
        <v>0.50849999999999995</v>
      </c>
      <c r="H412" s="20">
        <v>0.50849999999999995</v>
      </c>
      <c r="I412" s="20">
        <v>0.50849999999999995</v>
      </c>
      <c r="J412" s="20">
        <v>0.50849999999999995</v>
      </c>
      <c r="K412" s="20">
        <v>0.50849999999999995</v>
      </c>
      <c r="L412" s="20">
        <v>0.50849999999999995</v>
      </c>
      <c r="M412" s="20">
        <v>0.50849999999999995</v>
      </c>
      <c r="N412" s="20">
        <v>0.50849999999999995</v>
      </c>
      <c r="O412" s="20">
        <v>0.50849999999999995</v>
      </c>
      <c r="P412" s="20">
        <v>0.50849999999999995</v>
      </c>
    </row>
    <row r="413" spans="1:16" ht="14.4" x14ac:dyDescent="0.3">
      <c r="A413" s="25" t="s">
        <v>89</v>
      </c>
      <c r="B413" s="25"/>
      <c r="C413" s="16" t="s">
        <v>19</v>
      </c>
      <c r="D413" s="20">
        <v>0</v>
      </c>
      <c r="E413" s="20">
        <v>0</v>
      </c>
      <c r="F413" s="20">
        <v>0</v>
      </c>
      <c r="G413" s="20">
        <v>0</v>
      </c>
      <c r="H413" s="20">
        <v>0</v>
      </c>
      <c r="I413" s="20">
        <v>0</v>
      </c>
      <c r="J413" s="20">
        <v>0</v>
      </c>
      <c r="K413" s="20">
        <v>0</v>
      </c>
      <c r="L413" s="20">
        <v>0</v>
      </c>
      <c r="M413" s="20">
        <v>0</v>
      </c>
      <c r="N413" s="20">
        <v>0</v>
      </c>
      <c r="O413" s="20">
        <v>0</v>
      </c>
      <c r="P413" s="20">
        <v>0</v>
      </c>
    </row>
    <row r="414" spans="1:16" ht="14.4" x14ac:dyDescent="0.3">
      <c r="A414" s="25" t="s">
        <v>69</v>
      </c>
      <c r="B414" s="25"/>
      <c r="C414" s="16"/>
      <c r="D414" s="24"/>
      <c r="E414" s="24"/>
      <c r="F414" s="24"/>
      <c r="G414" s="24"/>
      <c r="H414" s="24"/>
      <c r="I414" s="24"/>
      <c r="J414" s="24"/>
      <c r="K414" s="24"/>
      <c r="L414" s="24"/>
      <c r="M414" s="24"/>
      <c r="N414" s="24"/>
      <c r="O414" s="24"/>
      <c r="P414" s="24"/>
    </row>
    <row r="415" spans="1:16" ht="14.4" x14ac:dyDescent="0.3">
      <c r="A415" s="25" t="s">
        <v>88</v>
      </c>
      <c r="B415" s="25"/>
      <c r="C415" s="16" t="s">
        <v>19</v>
      </c>
      <c r="D415" s="20">
        <f t="shared" ref="D415:G415" si="33">D412+0.01</f>
        <v>0.51849999999999996</v>
      </c>
      <c r="E415" s="20">
        <f t="shared" si="33"/>
        <v>0.51849999999999996</v>
      </c>
      <c r="F415" s="20">
        <f t="shared" si="33"/>
        <v>0.51849999999999996</v>
      </c>
      <c r="G415" s="20">
        <f t="shared" si="33"/>
        <v>0.51849999999999996</v>
      </c>
      <c r="H415" s="20">
        <v>0.51849999999999996</v>
      </c>
      <c r="I415" s="20">
        <v>0.51849999999999996</v>
      </c>
      <c r="J415" s="20">
        <v>0.51849999999999996</v>
      </c>
      <c r="K415" s="20">
        <v>0.51849999999999996</v>
      </c>
      <c r="L415" s="20">
        <v>0.51849999999999996</v>
      </c>
      <c r="M415" s="20">
        <v>0.51849999999999996</v>
      </c>
      <c r="N415" s="20">
        <v>0.51849999999999996</v>
      </c>
      <c r="O415" s="20">
        <v>0.51849999999999996</v>
      </c>
      <c r="P415" s="20">
        <v>0.51849999999999996</v>
      </c>
    </row>
    <row r="416" spans="1:16" ht="14.4" x14ac:dyDescent="0.3">
      <c r="A416" s="25" t="s">
        <v>89</v>
      </c>
      <c r="B416" s="25"/>
      <c r="C416" s="16" t="s">
        <v>19</v>
      </c>
      <c r="D416" s="20">
        <f t="shared" ref="D416:G416" si="34">D414+0.01</f>
        <v>0.01</v>
      </c>
      <c r="E416" s="20">
        <f t="shared" si="34"/>
        <v>0.01</v>
      </c>
      <c r="F416" s="20">
        <f t="shared" si="34"/>
        <v>0.01</v>
      </c>
      <c r="G416" s="20">
        <f t="shared" si="34"/>
        <v>0.01</v>
      </c>
      <c r="H416" s="20">
        <v>0.01</v>
      </c>
      <c r="I416" s="20">
        <v>0.01</v>
      </c>
      <c r="J416" s="20">
        <v>0.01</v>
      </c>
      <c r="K416" s="20">
        <v>0.01</v>
      </c>
      <c r="L416" s="20">
        <v>0.01</v>
      </c>
      <c r="M416" s="20">
        <v>0.01</v>
      </c>
      <c r="N416" s="20">
        <v>0.01</v>
      </c>
      <c r="O416" s="20">
        <v>0.01</v>
      </c>
      <c r="P416" s="20">
        <v>0.01</v>
      </c>
    </row>
    <row r="417" spans="1:16" x14ac:dyDescent="0.3">
      <c r="A417" s="62"/>
      <c r="B417" s="62"/>
      <c r="C417" s="63"/>
      <c r="D417" s="62"/>
      <c r="E417" s="62"/>
      <c r="F417" s="62"/>
      <c r="G417" s="62"/>
      <c r="H417" s="62"/>
      <c r="I417" s="62"/>
      <c r="J417" s="62"/>
      <c r="K417" s="62"/>
      <c r="L417" s="62"/>
      <c r="M417" s="62"/>
      <c r="N417" s="62"/>
      <c r="O417" s="62"/>
      <c r="P417" s="62"/>
    </row>
    <row r="418" spans="1:16" ht="14.4" x14ac:dyDescent="0.3">
      <c r="A418" s="61" t="s">
        <v>90</v>
      </c>
      <c r="B418" s="62"/>
      <c r="C418" s="63"/>
      <c r="D418" s="62"/>
      <c r="E418" s="62"/>
      <c r="F418" s="62"/>
      <c r="G418" s="62"/>
      <c r="H418" s="62"/>
      <c r="I418" s="62"/>
      <c r="J418" s="62"/>
      <c r="K418" s="62"/>
      <c r="L418" s="62"/>
      <c r="M418" s="62"/>
      <c r="N418" s="62"/>
      <c r="O418" s="62"/>
      <c r="P418" s="62"/>
    </row>
    <row r="419" spans="1:16" ht="14.4" x14ac:dyDescent="0.3">
      <c r="A419" s="25" t="s">
        <v>68</v>
      </c>
      <c r="B419" s="25"/>
      <c r="C419" s="16"/>
      <c r="D419" s="24"/>
      <c r="E419" s="24"/>
      <c r="F419" s="24"/>
      <c r="G419" s="24"/>
      <c r="H419" s="24"/>
      <c r="I419" s="24"/>
      <c r="J419" s="24"/>
      <c r="K419" s="24"/>
      <c r="L419" s="24"/>
      <c r="M419" s="24"/>
      <c r="N419" s="24"/>
      <c r="O419" s="24"/>
      <c r="P419" s="24"/>
    </row>
    <row r="420" spans="1:16" ht="14.4" x14ac:dyDescent="0.3">
      <c r="A420" s="25" t="s">
        <v>88</v>
      </c>
      <c r="B420" s="25"/>
      <c r="C420" s="16" t="s">
        <v>32</v>
      </c>
      <c r="D420" s="69">
        <v>16.73</v>
      </c>
      <c r="E420" s="69">
        <v>16.73</v>
      </c>
      <c r="F420" s="69">
        <v>16.73</v>
      </c>
      <c r="G420" s="69">
        <v>16.73</v>
      </c>
      <c r="H420" s="69">
        <v>16.73</v>
      </c>
      <c r="I420" s="69">
        <v>16.73</v>
      </c>
      <c r="J420" s="69">
        <v>16.73</v>
      </c>
      <c r="K420" s="69">
        <v>16.73</v>
      </c>
      <c r="L420" s="69">
        <v>16.73</v>
      </c>
      <c r="M420" s="69">
        <v>16.73</v>
      </c>
      <c r="N420" s="69">
        <v>16.73</v>
      </c>
      <c r="O420" s="69">
        <v>16.73</v>
      </c>
      <c r="P420" s="69">
        <v>16.73</v>
      </c>
    </row>
    <row r="421" spans="1:16" ht="14.4" x14ac:dyDescent="0.3">
      <c r="A421" s="25" t="s">
        <v>92</v>
      </c>
      <c r="B421" s="25"/>
      <c r="C421" s="16" t="s">
        <v>32</v>
      </c>
      <c r="D421" s="69">
        <v>371.48</v>
      </c>
      <c r="E421" s="69">
        <v>371.48</v>
      </c>
      <c r="F421" s="69">
        <v>371.48</v>
      </c>
      <c r="G421" s="69">
        <v>371.48</v>
      </c>
      <c r="H421" s="69">
        <v>371.48</v>
      </c>
      <c r="I421" s="69">
        <v>371.48</v>
      </c>
      <c r="J421" s="69">
        <v>371.48</v>
      </c>
      <c r="K421" s="69">
        <v>371.48</v>
      </c>
      <c r="L421" s="69">
        <v>371.48</v>
      </c>
      <c r="M421" s="69">
        <v>371.48</v>
      </c>
      <c r="N421" s="69">
        <v>371.48</v>
      </c>
      <c r="O421" s="69">
        <v>371.48</v>
      </c>
      <c r="P421" s="69">
        <v>371.48</v>
      </c>
    </row>
    <row r="422" spans="1:16" ht="14.4" x14ac:dyDescent="0.3">
      <c r="A422" s="25" t="s">
        <v>93</v>
      </c>
      <c r="B422" s="25"/>
      <c r="C422" s="16" t="s">
        <v>32</v>
      </c>
      <c r="D422" s="69">
        <v>845.17</v>
      </c>
      <c r="E422" s="69">
        <v>845.17</v>
      </c>
      <c r="F422" s="69">
        <v>845.17</v>
      </c>
      <c r="G422" s="69">
        <v>845.17</v>
      </c>
      <c r="H422" s="69">
        <v>845.17</v>
      </c>
      <c r="I422" s="69">
        <v>845.17</v>
      </c>
      <c r="J422" s="69">
        <v>845.17</v>
      </c>
      <c r="K422" s="69">
        <v>845.17</v>
      </c>
      <c r="L422" s="69">
        <v>845.17</v>
      </c>
      <c r="M422" s="69">
        <v>845.17</v>
      </c>
      <c r="N422" s="69">
        <v>845.17</v>
      </c>
      <c r="O422" s="69">
        <v>845.17</v>
      </c>
      <c r="P422" s="69">
        <v>845.17</v>
      </c>
    </row>
    <row r="423" spans="1:16" ht="14.4" x14ac:dyDescent="0.3">
      <c r="A423" s="25" t="s">
        <v>94</v>
      </c>
      <c r="B423" s="25"/>
      <c r="C423" s="16" t="s">
        <v>32</v>
      </c>
      <c r="D423" s="69">
        <v>3505.46</v>
      </c>
      <c r="E423" s="69">
        <v>3505.46</v>
      </c>
      <c r="F423" s="69">
        <v>3505.46</v>
      </c>
      <c r="G423" s="69">
        <v>3505.46</v>
      </c>
      <c r="H423" s="69">
        <v>3505.46</v>
      </c>
      <c r="I423" s="69">
        <v>3505.46</v>
      </c>
      <c r="J423" s="69">
        <v>3505.46</v>
      </c>
      <c r="K423" s="69">
        <v>3505.46</v>
      </c>
      <c r="L423" s="69">
        <v>3505.46</v>
      </c>
      <c r="M423" s="69">
        <v>3505.46</v>
      </c>
      <c r="N423" s="69">
        <v>3505.46</v>
      </c>
      <c r="O423" s="69">
        <v>3505.46</v>
      </c>
      <c r="P423" s="69">
        <v>3505.46</v>
      </c>
    </row>
    <row r="424" spans="1:16" ht="14.4" x14ac:dyDescent="0.3">
      <c r="A424" s="25" t="s">
        <v>95</v>
      </c>
      <c r="B424" s="25"/>
      <c r="C424" s="16" t="s">
        <v>32</v>
      </c>
      <c r="D424" s="69">
        <v>12726.3</v>
      </c>
      <c r="E424" s="69">
        <v>12726.3</v>
      </c>
      <c r="F424" s="69">
        <v>12726.3</v>
      </c>
      <c r="G424" s="69">
        <v>12726.3</v>
      </c>
      <c r="H424" s="69">
        <v>12726.3</v>
      </c>
      <c r="I424" s="69">
        <v>12726.3</v>
      </c>
      <c r="J424" s="69">
        <v>12726.3</v>
      </c>
      <c r="K424" s="69">
        <v>12726.3</v>
      </c>
      <c r="L424" s="69">
        <v>12726.3</v>
      </c>
      <c r="M424" s="69">
        <v>12726.3</v>
      </c>
      <c r="N424" s="69">
        <v>12726.3</v>
      </c>
      <c r="O424" s="69">
        <v>12726.3</v>
      </c>
      <c r="P424" s="69">
        <v>12726.3</v>
      </c>
    </row>
    <row r="425" spans="1:16" ht="14.4" x14ac:dyDescent="0.3">
      <c r="A425" s="25" t="s">
        <v>69</v>
      </c>
      <c r="B425" s="25"/>
      <c r="C425" s="16"/>
      <c r="D425" s="24"/>
      <c r="E425" s="24"/>
      <c r="F425" s="24"/>
      <c r="G425" s="24"/>
      <c r="H425" s="24"/>
      <c r="I425" s="24"/>
      <c r="J425" s="24"/>
      <c r="K425" s="24"/>
      <c r="L425" s="24"/>
      <c r="M425" s="24"/>
      <c r="N425" s="24"/>
      <c r="O425" s="24"/>
      <c r="P425" s="24"/>
    </row>
    <row r="426" spans="1:16" ht="14.4" x14ac:dyDescent="0.3">
      <c r="A426" s="25" t="s">
        <v>88</v>
      </c>
      <c r="B426" s="25"/>
      <c r="C426" s="16" t="s">
        <v>32</v>
      </c>
      <c r="D426" s="69">
        <f t="shared" ref="D426:G430" si="35">D420*110%</f>
        <v>18.403000000000002</v>
      </c>
      <c r="E426" s="69">
        <f t="shared" si="35"/>
        <v>18.403000000000002</v>
      </c>
      <c r="F426" s="69">
        <f t="shared" si="35"/>
        <v>18.403000000000002</v>
      </c>
      <c r="G426" s="69">
        <f t="shared" si="35"/>
        <v>18.403000000000002</v>
      </c>
      <c r="H426" s="69">
        <v>18.403000000000002</v>
      </c>
      <c r="I426" s="69">
        <v>18.403000000000002</v>
      </c>
      <c r="J426" s="69">
        <v>18.403000000000002</v>
      </c>
      <c r="K426" s="69">
        <v>18.403000000000002</v>
      </c>
      <c r="L426" s="69">
        <v>18.403000000000002</v>
      </c>
      <c r="M426" s="69">
        <v>18.403000000000002</v>
      </c>
      <c r="N426" s="69">
        <v>18.403000000000002</v>
      </c>
      <c r="O426" s="69">
        <v>18.403000000000002</v>
      </c>
      <c r="P426" s="69">
        <v>18.403000000000002</v>
      </c>
    </row>
    <row r="427" spans="1:16" ht="14.4" x14ac:dyDescent="0.3">
      <c r="A427" s="25" t="s">
        <v>92</v>
      </c>
      <c r="B427" s="25"/>
      <c r="C427" s="16" t="s">
        <v>32</v>
      </c>
      <c r="D427" s="69">
        <f t="shared" si="35"/>
        <v>408.62800000000004</v>
      </c>
      <c r="E427" s="69">
        <f t="shared" si="35"/>
        <v>408.62800000000004</v>
      </c>
      <c r="F427" s="69">
        <f t="shared" si="35"/>
        <v>408.62800000000004</v>
      </c>
      <c r="G427" s="69">
        <f t="shared" si="35"/>
        <v>408.62800000000004</v>
      </c>
      <c r="H427" s="69">
        <v>408.62800000000004</v>
      </c>
      <c r="I427" s="69">
        <v>408.62800000000004</v>
      </c>
      <c r="J427" s="69">
        <v>408.62800000000004</v>
      </c>
      <c r="K427" s="69">
        <v>408.62800000000004</v>
      </c>
      <c r="L427" s="69">
        <v>408.62800000000004</v>
      </c>
      <c r="M427" s="69">
        <v>408.62800000000004</v>
      </c>
      <c r="N427" s="69">
        <v>408.62800000000004</v>
      </c>
      <c r="O427" s="69">
        <v>408.62800000000004</v>
      </c>
      <c r="P427" s="69">
        <v>408.62800000000004</v>
      </c>
    </row>
    <row r="428" spans="1:16" ht="14.4" x14ac:dyDescent="0.3">
      <c r="A428" s="25" t="s">
        <v>93</v>
      </c>
      <c r="B428" s="25"/>
      <c r="C428" s="16" t="s">
        <v>32</v>
      </c>
      <c r="D428" s="69">
        <f t="shared" si="35"/>
        <v>929.68700000000001</v>
      </c>
      <c r="E428" s="69">
        <f t="shared" si="35"/>
        <v>929.68700000000001</v>
      </c>
      <c r="F428" s="69">
        <f t="shared" si="35"/>
        <v>929.68700000000001</v>
      </c>
      <c r="G428" s="69">
        <f t="shared" si="35"/>
        <v>929.68700000000001</v>
      </c>
      <c r="H428" s="69">
        <v>929.68700000000001</v>
      </c>
      <c r="I428" s="69">
        <v>929.68700000000001</v>
      </c>
      <c r="J428" s="69">
        <v>929.68700000000001</v>
      </c>
      <c r="K428" s="69">
        <v>929.68700000000001</v>
      </c>
      <c r="L428" s="69">
        <v>929.68700000000001</v>
      </c>
      <c r="M428" s="69">
        <v>929.68700000000001</v>
      </c>
      <c r="N428" s="69">
        <v>929.68700000000001</v>
      </c>
      <c r="O428" s="69">
        <v>929.68700000000001</v>
      </c>
      <c r="P428" s="69">
        <v>929.68700000000001</v>
      </c>
    </row>
    <row r="429" spans="1:16" ht="14.4" x14ac:dyDescent="0.3">
      <c r="A429" s="25" t="s">
        <v>94</v>
      </c>
      <c r="B429" s="25"/>
      <c r="C429" s="16" t="s">
        <v>32</v>
      </c>
      <c r="D429" s="69">
        <f t="shared" si="35"/>
        <v>3856.0060000000003</v>
      </c>
      <c r="E429" s="69">
        <f t="shared" si="35"/>
        <v>3856.0060000000003</v>
      </c>
      <c r="F429" s="69">
        <f t="shared" si="35"/>
        <v>3856.0060000000003</v>
      </c>
      <c r="G429" s="69">
        <f t="shared" si="35"/>
        <v>3856.0060000000003</v>
      </c>
      <c r="H429" s="69">
        <v>3856.0060000000003</v>
      </c>
      <c r="I429" s="69">
        <v>3856.0060000000003</v>
      </c>
      <c r="J429" s="69">
        <v>3856.0060000000003</v>
      </c>
      <c r="K429" s="69">
        <v>3856.0060000000003</v>
      </c>
      <c r="L429" s="69">
        <v>3856.0060000000003</v>
      </c>
      <c r="M429" s="69">
        <v>3856.0060000000003</v>
      </c>
      <c r="N429" s="69">
        <v>3856.0060000000003</v>
      </c>
      <c r="O429" s="69">
        <v>3856.0060000000003</v>
      </c>
      <c r="P429" s="69">
        <v>3856.0060000000003</v>
      </c>
    </row>
    <row r="430" spans="1:16" ht="14.4" x14ac:dyDescent="0.3">
      <c r="A430" s="25" t="s">
        <v>95</v>
      </c>
      <c r="B430" s="25"/>
      <c r="C430" s="16" t="s">
        <v>32</v>
      </c>
      <c r="D430" s="69">
        <f t="shared" si="35"/>
        <v>13998.93</v>
      </c>
      <c r="E430" s="69">
        <f t="shared" si="35"/>
        <v>13998.93</v>
      </c>
      <c r="F430" s="69">
        <f t="shared" si="35"/>
        <v>13998.93</v>
      </c>
      <c r="G430" s="69">
        <f t="shared" si="35"/>
        <v>13998.93</v>
      </c>
      <c r="H430" s="69">
        <v>13998.93</v>
      </c>
      <c r="I430" s="69">
        <v>13998.93</v>
      </c>
      <c r="J430" s="69">
        <v>13998.93</v>
      </c>
      <c r="K430" s="69">
        <v>13998.93</v>
      </c>
      <c r="L430" s="69">
        <v>13998.93</v>
      </c>
      <c r="M430" s="69">
        <v>13998.93</v>
      </c>
      <c r="N430" s="69">
        <v>13998.93</v>
      </c>
      <c r="O430" s="69">
        <v>13998.93</v>
      </c>
      <c r="P430" s="69">
        <v>13998.93</v>
      </c>
    </row>
    <row r="432" spans="1:16" ht="14.4" x14ac:dyDescent="0.3">
      <c r="A432" s="61" t="s">
        <v>96</v>
      </c>
      <c r="B432" s="62"/>
      <c r="C432" s="63"/>
      <c r="D432" s="73">
        <f>D388</f>
        <v>43101</v>
      </c>
      <c r="E432" s="73">
        <f t="shared" ref="E432:O432" si="36">E388</f>
        <v>43132</v>
      </c>
      <c r="F432" s="73">
        <f t="shared" si="36"/>
        <v>43160</v>
      </c>
      <c r="G432" s="73">
        <f t="shared" si="36"/>
        <v>43191</v>
      </c>
      <c r="H432" s="73">
        <f t="shared" si="36"/>
        <v>43221</v>
      </c>
      <c r="I432" s="73">
        <f t="shared" si="36"/>
        <v>43252</v>
      </c>
      <c r="J432" s="73">
        <f t="shared" si="36"/>
        <v>43282</v>
      </c>
      <c r="K432" s="73">
        <f t="shared" si="36"/>
        <v>43313</v>
      </c>
      <c r="L432" s="73">
        <f t="shared" si="36"/>
        <v>43344</v>
      </c>
      <c r="M432" s="73">
        <f t="shared" si="36"/>
        <v>43374</v>
      </c>
      <c r="N432" s="73">
        <f t="shared" si="36"/>
        <v>43405</v>
      </c>
      <c r="O432" s="73">
        <f t="shared" si="36"/>
        <v>43435</v>
      </c>
      <c r="P432" s="73"/>
    </row>
    <row r="433" spans="1:16" ht="14.4" x14ac:dyDescent="0.3">
      <c r="A433" s="25" t="s">
        <v>68</v>
      </c>
      <c r="B433" s="25"/>
      <c r="C433" s="16"/>
      <c r="D433" s="24"/>
      <c r="E433" s="24"/>
      <c r="F433" s="24"/>
      <c r="G433" s="24"/>
      <c r="H433" s="24"/>
      <c r="I433" s="24"/>
      <c r="J433" s="24"/>
      <c r="K433" s="24"/>
      <c r="L433" s="24"/>
      <c r="M433" s="24"/>
      <c r="N433" s="24"/>
      <c r="O433" s="24"/>
      <c r="P433" s="24"/>
    </row>
    <row r="434" spans="1:16" ht="14.4" x14ac:dyDescent="0.3">
      <c r="A434" s="25" t="s">
        <v>88</v>
      </c>
      <c r="B434" s="25"/>
      <c r="C434" s="16" t="s">
        <v>32</v>
      </c>
      <c r="D434" s="69">
        <v>5</v>
      </c>
      <c r="E434" s="69">
        <v>5</v>
      </c>
      <c r="F434" s="69">
        <v>5</v>
      </c>
      <c r="G434" s="69">
        <v>5</v>
      </c>
      <c r="H434" s="69">
        <v>5</v>
      </c>
      <c r="I434" s="69">
        <v>5</v>
      </c>
      <c r="J434" s="69">
        <v>5</v>
      </c>
      <c r="K434" s="69">
        <v>5</v>
      </c>
      <c r="L434" s="69">
        <v>5</v>
      </c>
      <c r="M434" s="69">
        <v>5</v>
      </c>
      <c r="N434" s="69">
        <v>5</v>
      </c>
      <c r="O434" s="69">
        <v>5</v>
      </c>
      <c r="P434" s="69">
        <v>5</v>
      </c>
    </row>
    <row r="435" spans="1:16" ht="14.4" x14ac:dyDescent="0.3">
      <c r="A435" s="25" t="s">
        <v>92</v>
      </c>
      <c r="B435" s="25"/>
      <c r="C435" s="16" t="s">
        <v>32</v>
      </c>
      <c r="D435" s="69">
        <v>362.34</v>
      </c>
      <c r="E435" s="69">
        <v>362.34</v>
      </c>
      <c r="F435" s="69">
        <v>362.34</v>
      </c>
      <c r="G435" s="69">
        <v>362.34</v>
      </c>
      <c r="H435" s="69">
        <v>362.34</v>
      </c>
      <c r="I435" s="69">
        <v>362.34</v>
      </c>
      <c r="J435" s="69">
        <v>362.34</v>
      </c>
      <c r="K435" s="69">
        <v>362.34</v>
      </c>
      <c r="L435" s="69">
        <v>362.34</v>
      </c>
      <c r="M435" s="69">
        <v>362.34</v>
      </c>
      <c r="N435" s="69">
        <v>362.34</v>
      </c>
      <c r="O435" s="69">
        <v>362.34</v>
      </c>
      <c r="P435" s="69">
        <v>362.34</v>
      </c>
    </row>
    <row r="436" spans="1:16" ht="14.4" x14ac:dyDescent="0.3">
      <c r="A436" s="25" t="s">
        <v>93</v>
      </c>
      <c r="B436" s="25"/>
      <c r="C436" s="16" t="s">
        <v>32</v>
      </c>
      <c r="D436" s="69">
        <v>849.44</v>
      </c>
      <c r="E436" s="69">
        <v>849.44</v>
      </c>
      <c r="F436" s="69">
        <v>849.44</v>
      </c>
      <c r="G436" s="69">
        <v>849.44</v>
      </c>
      <c r="H436" s="69">
        <v>849.44</v>
      </c>
      <c r="I436" s="69">
        <v>849.44</v>
      </c>
      <c r="J436" s="69">
        <v>849.44</v>
      </c>
      <c r="K436" s="69">
        <v>849.44</v>
      </c>
      <c r="L436" s="69">
        <v>849.44</v>
      </c>
      <c r="M436" s="69">
        <v>849.44</v>
      </c>
      <c r="N436" s="69">
        <v>849.44</v>
      </c>
      <c r="O436" s="69">
        <v>849.44</v>
      </c>
      <c r="P436" s="69">
        <v>849.44</v>
      </c>
    </row>
    <row r="437" spans="1:16" ht="14.4" x14ac:dyDescent="0.3">
      <c r="A437" s="25" t="s">
        <v>94</v>
      </c>
      <c r="B437" s="25"/>
      <c r="C437" s="16" t="s">
        <v>32</v>
      </c>
      <c r="D437" s="69">
        <v>3525.12</v>
      </c>
      <c r="E437" s="69">
        <v>3525.12</v>
      </c>
      <c r="F437" s="69">
        <v>3525.12</v>
      </c>
      <c r="G437" s="69">
        <v>3525.12</v>
      </c>
      <c r="H437" s="69">
        <v>3525.12</v>
      </c>
      <c r="I437" s="69">
        <v>3525.12</v>
      </c>
      <c r="J437" s="69">
        <v>3525.12</v>
      </c>
      <c r="K437" s="69">
        <v>3525.12</v>
      </c>
      <c r="L437" s="69">
        <v>3525.12</v>
      </c>
      <c r="M437" s="69">
        <v>3525.12</v>
      </c>
      <c r="N437" s="69">
        <v>3525.12</v>
      </c>
      <c r="O437" s="69">
        <v>3525.12</v>
      </c>
      <c r="P437" s="69">
        <v>3525.12</v>
      </c>
    </row>
    <row r="438" spans="1:16" ht="14.4" x14ac:dyDescent="0.3">
      <c r="A438" s="25" t="s">
        <v>95</v>
      </c>
      <c r="B438" s="25"/>
      <c r="C438" s="16" t="s">
        <v>32</v>
      </c>
      <c r="D438" s="69">
        <v>12075.11</v>
      </c>
      <c r="E438" s="69">
        <v>12075.11</v>
      </c>
      <c r="F438" s="69">
        <v>12075.11</v>
      </c>
      <c r="G438" s="69">
        <v>12075.11</v>
      </c>
      <c r="H438" s="69">
        <v>12075.11</v>
      </c>
      <c r="I438" s="69">
        <v>12075.11</v>
      </c>
      <c r="J438" s="69">
        <v>12075.11</v>
      </c>
      <c r="K438" s="69">
        <v>12075.11</v>
      </c>
      <c r="L438" s="69">
        <v>12075.11</v>
      </c>
      <c r="M438" s="69">
        <v>12075.11</v>
      </c>
      <c r="N438" s="69">
        <v>12075.11</v>
      </c>
      <c r="O438" s="69">
        <v>12075.11</v>
      </c>
      <c r="P438" s="69">
        <v>12075.11</v>
      </c>
    </row>
    <row r="439" spans="1:16" ht="14.4" x14ac:dyDescent="0.3">
      <c r="A439" s="25" t="s">
        <v>69</v>
      </c>
      <c r="B439" s="25"/>
      <c r="C439" s="16"/>
      <c r="D439" s="24"/>
      <c r="E439" s="24"/>
      <c r="F439" s="24"/>
      <c r="G439" s="24"/>
      <c r="H439" s="24"/>
      <c r="I439" s="24"/>
      <c r="J439" s="24"/>
      <c r="K439" s="24"/>
      <c r="L439" s="24"/>
      <c r="M439" s="24"/>
      <c r="N439" s="24"/>
      <c r="O439" s="24"/>
      <c r="P439" s="24"/>
    </row>
    <row r="440" spans="1:16" ht="14.4" x14ac:dyDescent="0.3">
      <c r="A440" s="25" t="s">
        <v>88</v>
      </c>
      <c r="B440" s="25"/>
      <c r="C440" s="16" t="s">
        <v>32</v>
      </c>
      <c r="D440" s="69">
        <f t="shared" ref="D440:G444" si="37">D434*110%</f>
        <v>5.5</v>
      </c>
      <c r="E440" s="69">
        <f t="shared" si="37"/>
        <v>5.5</v>
      </c>
      <c r="F440" s="69">
        <f t="shared" si="37"/>
        <v>5.5</v>
      </c>
      <c r="G440" s="69">
        <f t="shared" si="37"/>
        <v>5.5</v>
      </c>
      <c r="H440" s="69">
        <v>5.5</v>
      </c>
      <c r="I440" s="69">
        <v>5.5</v>
      </c>
      <c r="J440" s="69">
        <v>5.5</v>
      </c>
      <c r="K440" s="69">
        <v>5.5</v>
      </c>
      <c r="L440" s="69">
        <v>5.5</v>
      </c>
      <c r="M440" s="69">
        <v>5.5</v>
      </c>
      <c r="N440" s="69">
        <v>5.5</v>
      </c>
      <c r="O440" s="69">
        <v>5.5</v>
      </c>
      <c r="P440" s="69">
        <v>5.5</v>
      </c>
    </row>
    <row r="441" spans="1:16" ht="14.4" x14ac:dyDescent="0.3">
      <c r="A441" s="25" t="s">
        <v>92</v>
      </c>
      <c r="B441" s="25"/>
      <c r="C441" s="16" t="s">
        <v>32</v>
      </c>
      <c r="D441" s="69">
        <f t="shared" si="37"/>
        <v>398.57400000000001</v>
      </c>
      <c r="E441" s="69">
        <f t="shared" si="37"/>
        <v>398.57400000000001</v>
      </c>
      <c r="F441" s="69">
        <f t="shared" si="37"/>
        <v>398.57400000000001</v>
      </c>
      <c r="G441" s="69">
        <f t="shared" si="37"/>
        <v>398.57400000000001</v>
      </c>
      <c r="H441" s="69">
        <v>398.57400000000001</v>
      </c>
      <c r="I441" s="69">
        <v>398.57400000000001</v>
      </c>
      <c r="J441" s="69">
        <v>398.57400000000001</v>
      </c>
      <c r="K441" s="69">
        <v>398.57400000000001</v>
      </c>
      <c r="L441" s="69">
        <v>398.57400000000001</v>
      </c>
      <c r="M441" s="69">
        <v>398.57400000000001</v>
      </c>
      <c r="N441" s="69">
        <v>398.57400000000001</v>
      </c>
      <c r="O441" s="69">
        <v>398.57400000000001</v>
      </c>
      <c r="P441" s="69">
        <v>398.57400000000001</v>
      </c>
    </row>
    <row r="442" spans="1:16" ht="14.4" x14ac:dyDescent="0.3">
      <c r="A442" s="25" t="s">
        <v>93</v>
      </c>
      <c r="B442" s="25"/>
      <c r="C442" s="16" t="s">
        <v>32</v>
      </c>
      <c r="D442" s="69">
        <f t="shared" si="37"/>
        <v>934.38400000000013</v>
      </c>
      <c r="E442" s="69">
        <f t="shared" si="37"/>
        <v>934.38400000000013</v>
      </c>
      <c r="F442" s="69">
        <f t="shared" si="37"/>
        <v>934.38400000000013</v>
      </c>
      <c r="G442" s="69">
        <f t="shared" si="37"/>
        <v>934.38400000000013</v>
      </c>
      <c r="H442" s="69">
        <v>934.38400000000013</v>
      </c>
      <c r="I442" s="69">
        <v>934.38400000000013</v>
      </c>
      <c r="J442" s="69">
        <v>934.38400000000013</v>
      </c>
      <c r="K442" s="69">
        <v>934.38400000000013</v>
      </c>
      <c r="L442" s="69">
        <v>934.38400000000013</v>
      </c>
      <c r="M442" s="69">
        <v>934.38400000000013</v>
      </c>
      <c r="N442" s="69">
        <v>934.38400000000013</v>
      </c>
      <c r="O442" s="69">
        <v>934.38400000000013</v>
      </c>
      <c r="P442" s="69">
        <v>934.38400000000013</v>
      </c>
    </row>
    <row r="443" spans="1:16" ht="14.4" x14ac:dyDescent="0.3">
      <c r="A443" s="25" t="s">
        <v>94</v>
      </c>
      <c r="B443" s="25"/>
      <c r="C443" s="16" t="s">
        <v>32</v>
      </c>
      <c r="D443" s="69">
        <f t="shared" si="37"/>
        <v>3877.6320000000001</v>
      </c>
      <c r="E443" s="69">
        <f t="shared" si="37"/>
        <v>3877.6320000000001</v>
      </c>
      <c r="F443" s="69">
        <f t="shared" si="37"/>
        <v>3877.6320000000001</v>
      </c>
      <c r="G443" s="69">
        <f t="shared" si="37"/>
        <v>3877.6320000000001</v>
      </c>
      <c r="H443" s="69">
        <v>3877.6320000000001</v>
      </c>
      <c r="I443" s="69">
        <v>3877.6320000000001</v>
      </c>
      <c r="J443" s="69">
        <v>3877.6320000000001</v>
      </c>
      <c r="K443" s="69">
        <v>3877.6320000000001</v>
      </c>
      <c r="L443" s="69">
        <v>3877.6320000000001</v>
      </c>
      <c r="M443" s="69">
        <v>3877.6320000000001</v>
      </c>
      <c r="N443" s="69">
        <v>3877.6320000000001</v>
      </c>
      <c r="O443" s="69">
        <v>3877.6320000000001</v>
      </c>
      <c r="P443" s="69">
        <v>3877.6320000000001</v>
      </c>
    </row>
    <row r="444" spans="1:16" ht="14.4" x14ac:dyDescent="0.3">
      <c r="A444" s="25" t="s">
        <v>95</v>
      </c>
      <c r="B444" s="25"/>
      <c r="C444" s="16" t="s">
        <v>32</v>
      </c>
      <c r="D444" s="69">
        <f t="shared" si="37"/>
        <v>13282.621000000001</v>
      </c>
      <c r="E444" s="69">
        <f t="shared" si="37"/>
        <v>13282.621000000001</v>
      </c>
      <c r="F444" s="69">
        <f t="shared" si="37"/>
        <v>13282.621000000001</v>
      </c>
      <c r="G444" s="69">
        <f t="shared" si="37"/>
        <v>13282.621000000001</v>
      </c>
      <c r="H444" s="69">
        <v>13282.621000000001</v>
      </c>
      <c r="I444" s="69">
        <v>13282.621000000001</v>
      </c>
      <c r="J444" s="69">
        <v>13282.621000000001</v>
      </c>
      <c r="K444" s="69">
        <v>13282.621000000001</v>
      </c>
      <c r="L444" s="69">
        <v>13282.621000000001</v>
      </c>
      <c r="M444" s="69">
        <v>13282.621000000001</v>
      </c>
      <c r="N444" s="69">
        <v>13282.621000000001</v>
      </c>
      <c r="O444" s="69">
        <v>13282.621000000001</v>
      </c>
      <c r="P444" s="69">
        <v>13282.621000000001</v>
      </c>
    </row>
    <row r="445" spans="1:16" ht="14.4" x14ac:dyDescent="0.3">
      <c r="A445" s="25"/>
      <c r="B445" s="25"/>
      <c r="C445" s="16"/>
      <c r="D445" s="24"/>
      <c r="E445" s="24"/>
      <c r="F445" s="24"/>
      <c r="G445" s="24"/>
      <c r="H445" s="24"/>
      <c r="I445" s="24"/>
      <c r="J445" s="24"/>
      <c r="K445" s="24"/>
      <c r="L445" s="24"/>
      <c r="M445" s="24"/>
      <c r="N445" s="24"/>
      <c r="O445" s="24"/>
      <c r="P445" s="24"/>
    </row>
    <row r="446" spans="1:16" ht="14.4" x14ac:dyDescent="0.3">
      <c r="A446" s="61" t="s">
        <v>97</v>
      </c>
      <c r="B446" s="62"/>
      <c r="C446" s="63"/>
      <c r="D446" s="73"/>
      <c r="E446" s="73"/>
      <c r="F446" s="73"/>
      <c r="G446" s="73"/>
      <c r="H446" s="73"/>
      <c r="I446" s="73"/>
      <c r="J446" s="73"/>
      <c r="K446" s="73"/>
      <c r="L446" s="73"/>
      <c r="M446" s="73"/>
      <c r="N446" s="73"/>
      <c r="O446" s="73"/>
      <c r="P446" s="73"/>
    </row>
    <row r="447" spans="1:16" ht="14.4" x14ac:dyDescent="0.3">
      <c r="A447" s="25" t="s">
        <v>98</v>
      </c>
      <c r="B447" s="25"/>
      <c r="C447" s="16" t="s">
        <v>44</v>
      </c>
      <c r="D447" s="70">
        <v>1</v>
      </c>
      <c r="E447" s="70">
        <v>1</v>
      </c>
      <c r="F447" s="70">
        <v>1</v>
      </c>
      <c r="G447" s="70">
        <v>1</v>
      </c>
      <c r="H447" s="70">
        <v>1</v>
      </c>
      <c r="I447" s="70">
        <v>1</v>
      </c>
      <c r="J447" s="70">
        <v>1</v>
      </c>
      <c r="K447" s="70">
        <v>1</v>
      </c>
      <c r="L447" s="70">
        <v>1</v>
      </c>
      <c r="M447" s="70">
        <v>1</v>
      </c>
      <c r="N447" s="70">
        <v>1</v>
      </c>
      <c r="O447" s="70">
        <v>1</v>
      </c>
      <c r="P447" s="70">
        <v>1</v>
      </c>
    </row>
    <row r="448" spans="1:16" ht="14.4" x14ac:dyDescent="0.3">
      <c r="A448" s="25" t="s">
        <v>99</v>
      </c>
      <c r="B448" s="25"/>
      <c r="C448" s="16" t="s">
        <v>44</v>
      </c>
      <c r="D448" s="70">
        <v>0.5</v>
      </c>
      <c r="E448" s="70">
        <v>0.5</v>
      </c>
      <c r="F448" s="70">
        <v>0.5</v>
      </c>
      <c r="G448" s="70">
        <v>0.5</v>
      </c>
      <c r="H448" s="70">
        <v>0.5</v>
      </c>
      <c r="I448" s="70">
        <v>0.5</v>
      </c>
      <c r="J448" s="70">
        <v>0.5</v>
      </c>
      <c r="K448" s="70">
        <v>0.5</v>
      </c>
      <c r="L448" s="70">
        <v>0.5</v>
      </c>
      <c r="M448" s="70">
        <v>0.5</v>
      </c>
      <c r="N448" s="70">
        <v>0.5</v>
      </c>
      <c r="O448" s="70">
        <v>0.5</v>
      </c>
      <c r="P448" s="70">
        <v>0.5</v>
      </c>
    </row>
    <row r="449" spans="1:16" ht="14.4" x14ac:dyDescent="0.3">
      <c r="A449" s="25" t="s">
        <v>100</v>
      </c>
      <c r="B449" s="25"/>
      <c r="C449" s="16" t="s">
        <v>44</v>
      </c>
      <c r="D449" s="70">
        <v>0.35</v>
      </c>
      <c r="E449" s="70">
        <v>0.35</v>
      </c>
      <c r="F449" s="70">
        <v>0.35</v>
      </c>
      <c r="G449" s="70">
        <v>0.35</v>
      </c>
      <c r="H449" s="70">
        <v>0.35</v>
      </c>
      <c r="I449" s="70">
        <v>0.35</v>
      </c>
      <c r="J449" s="70">
        <v>0.35</v>
      </c>
      <c r="K449" s="70">
        <v>0.35</v>
      </c>
      <c r="L449" s="70">
        <v>0.35</v>
      </c>
      <c r="M449" s="70">
        <v>0.35</v>
      </c>
      <c r="N449" s="70">
        <v>0.35</v>
      </c>
      <c r="O449" s="70">
        <v>0.35</v>
      </c>
      <c r="P449" s="70">
        <v>0.35</v>
      </c>
    </row>
    <row r="450" spans="1:16" ht="14.4" x14ac:dyDescent="0.3">
      <c r="A450" s="25" t="s">
        <v>101</v>
      </c>
      <c r="B450" s="25"/>
      <c r="C450" s="16" t="s">
        <v>44</v>
      </c>
      <c r="D450" s="70">
        <v>0.2</v>
      </c>
      <c r="E450" s="70">
        <v>0.2</v>
      </c>
      <c r="F450" s="70">
        <v>0.2</v>
      </c>
      <c r="G450" s="70">
        <v>0.2</v>
      </c>
      <c r="H450" s="70">
        <v>0.2</v>
      </c>
      <c r="I450" s="70">
        <v>0.2</v>
      </c>
      <c r="J450" s="70">
        <v>0.2</v>
      </c>
      <c r="K450" s="70">
        <v>0.2</v>
      </c>
      <c r="L450" s="70">
        <v>0.2</v>
      </c>
      <c r="M450" s="70">
        <v>0.2</v>
      </c>
      <c r="N450" s="70">
        <v>0.2</v>
      </c>
      <c r="O450" s="70">
        <v>0.2</v>
      </c>
      <c r="P450" s="70">
        <v>0.2</v>
      </c>
    </row>
    <row r="451" spans="1:16" x14ac:dyDescent="0.3">
      <c r="A451" s="62"/>
      <c r="B451" s="62"/>
      <c r="C451" s="63"/>
      <c r="D451" s="62"/>
      <c r="E451" s="62"/>
      <c r="F451" s="62"/>
      <c r="G451" s="62"/>
      <c r="H451" s="62"/>
      <c r="I451" s="62"/>
      <c r="J451" s="62"/>
      <c r="K451" s="62"/>
      <c r="L451" s="62"/>
      <c r="M451" s="62"/>
      <c r="N451" s="62"/>
      <c r="O451" s="62"/>
      <c r="P451" s="62"/>
    </row>
    <row r="452" spans="1:16" ht="14.4" x14ac:dyDescent="0.3">
      <c r="A452" s="61" t="s">
        <v>102</v>
      </c>
      <c r="B452" s="62"/>
      <c r="C452" s="63"/>
      <c r="D452" s="62"/>
      <c r="E452" s="62"/>
      <c r="F452" s="62"/>
      <c r="G452" s="62"/>
      <c r="H452" s="62"/>
      <c r="I452" s="62"/>
      <c r="J452" s="62"/>
      <c r="K452" s="62"/>
      <c r="L452" s="62"/>
      <c r="M452" s="62"/>
      <c r="N452" s="62"/>
      <c r="O452" s="62"/>
      <c r="P452" s="62"/>
    </row>
    <row r="453" spans="1:16" ht="14.4" x14ac:dyDescent="0.3">
      <c r="A453" s="25" t="s">
        <v>103</v>
      </c>
      <c r="B453" s="25" t="s">
        <v>104</v>
      </c>
      <c r="C453" s="16" t="s">
        <v>19</v>
      </c>
      <c r="D453" s="20" t="s">
        <v>104</v>
      </c>
      <c r="E453" s="20" t="s">
        <v>104</v>
      </c>
      <c r="F453" s="20" t="s">
        <v>104</v>
      </c>
      <c r="G453" s="20" t="s">
        <v>104</v>
      </c>
      <c r="H453" s="20" t="s">
        <v>104</v>
      </c>
      <c r="I453" s="20" t="s">
        <v>104</v>
      </c>
      <c r="J453" s="20" t="s">
        <v>104</v>
      </c>
      <c r="K453" s="20" t="s">
        <v>104</v>
      </c>
      <c r="L453" s="20" t="s">
        <v>104</v>
      </c>
      <c r="M453" s="20" t="s">
        <v>104</v>
      </c>
      <c r="N453" s="20" t="s">
        <v>104</v>
      </c>
      <c r="O453" s="20" t="s">
        <v>104</v>
      </c>
      <c r="P453" s="20" t="s">
        <v>104</v>
      </c>
    </row>
    <row r="454" spans="1:16" ht="14.4" x14ac:dyDescent="0.3">
      <c r="A454" s="25" t="s">
        <v>105</v>
      </c>
      <c r="B454" s="25" t="s">
        <v>106</v>
      </c>
      <c r="C454" s="16" t="s">
        <v>19</v>
      </c>
      <c r="D454" s="20">
        <v>0.1</v>
      </c>
      <c r="E454" s="20">
        <v>0.1</v>
      </c>
      <c r="F454" s="20">
        <v>0.1</v>
      </c>
      <c r="G454" s="20">
        <v>0.1</v>
      </c>
      <c r="H454" s="20">
        <v>0.1</v>
      </c>
      <c r="I454" s="20">
        <v>0.1</v>
      </c>
      <c r="J454" s="20">
        <v>0.1</v>
      </c>
      <c r="K454" s="20">
        <v>0.1</v>
      </c>
      <c r="L454" s="20">
        <v>0.1</v>
      </c>
      <c r="M454" s="20">
        <v>0.1</v>
      </c>
      <c r="N454" s="20">
        <v>0.1</v>
      </c>
      <c r="O454" s="20">
        <v>0.1</v>
      </c>
      <c r="P454" s="20">
        <v>0.1</v>
      </c>
    </row>
    <row r="455" spans="1:16" ht="14.4" x14ac:dyDescent="0.3">
      <c r="A455" s="25" t="s">
        <v>107</v>
      </c>
      <c r="B455" s="25" t="s">
        <v>108</v>
      </c>
      <c r="C455" s="16" t="s">
        <v>19</v>
      </c>
      <c r="D455" s="20">
        <v>0.2</v>
      </c>
      <c r="E455" s="20">
        <v>0.2</v>
      </c>
      <c r="F455" s="20">
        <v>0.2</v>
      </c>
      <c r="G455" s="20">
        <v>0.2</v>
      </c>
      <c r="H455" s="20">
        <v>0.2</v>
      </c>
      <c r="I455" s="20">
        <v>0.2</v>
      </c>
      <c r="J455" s="20">
        <v>0.2</v>
      </c>
      <c r="K455" s="20">
        <v>0.2</v>
      </c>
      <c r="L455" s="20">
        <v>0.2</v>
      </c>
      <c r="M455" s="20">
        <v>0.2</v>
      </c>
      <c r="N455" s="20">
        <v>0.2</v>
      </c>
      <c r="O455" s="20">
        <v>0.2</v>
      </c>
      <c r="P455" s="20">
        <v>0.2</v>
      </c>
    </row>
    <row r="456" spans="1:16" ht="14.4" x14ac:dyDescent="0.3">
      <c r="A456" s="25" t="s">
        <v>109</v>
      </c>
      <c r="B456" s="25" t="s">
        <v>110</v>
      </c>
      <c r="C456" s="16" t="s">
        <v>19</v>
      </c>
      <c r="D456" s="20">
        <v>0.35</v>
      </c>
      <c r="E456" s="20">
        <v>0.35</v>
      </c>
      <c r="F456" s="20">
        <v>0.35</v>
      </c>
      <c r="G456" s="20">
        <v>0.35</v>
      </c>
      <c r="H456" s="20">
        <v>0.35</v>
      </c>
      <c r="I456" s="20">
        <v>0.35</v>
      </c>
      <c r="J456" s="20">
        <v>0.35</v>
      </c>
      <c r="K456" s="20">
        <v>0.35</v>
      </c>
      <c r="L456" s="20">
        <v>0.35</v>
      </c>
      <c r="M456" s="20">
        <v>0.35</v>
      </c>
      <c r="N456" s="20">
        <v>0.35</v>
      </c>
      <c r="O456" s="20">
        <v>0.35</v>
      </c>
      <c r="P456" s="20">
        <v>0.35</v>
      </c>
    </row>
    <row r="457" spans="1:16" x14ac:dyDescent="0.3">
      <c r="A457" s="71"/>
      <c r="B457" s="71"/>
      <c r="C457" s="72"/>
      <c r="D457" s="71"/>
      <c r="E457" s="71"/>
      <c r="F457" s="71"/>
      <c r="G457" s="71"/>
      <c r="H457" s="71"/>
      <c r="I457" s="71"/>
      <c r="J457" s="71"/>
      <c r="K457" s="71"/>
      <c r="L457" s="71"/>
      <c r="M457" s="71"/>
      <c r="N457" s="71"/>
      <c r="O457" s="71"/>
      <c r="P457" s="71"/>
    </row>
    <row r="458" spans="1:16" x14ac:dyDescent="0.3">
      <c r="A458" s="33"/>
      <c r="B458" s="71"/>
      <c r="C458" s="72"/>
      <c r="D458" s="71"/>
      <c r="E458" s="71"/>
      <c r="F458" s="71"/>
      <c r="G458" s="71"/>
      <c r="H458" s="71"/>
      <c r="I458" s="71"/>
      <c r="J458" s="71"/>
      <c r="K458" s="71"/>
      <c r="L458" s="71"/>
      <c r="M458" s="71"/>
      <c r="N458" s="71"/>
      <c r="O458" s="71"/>
      <c r="P458" s="71"/>
    </row>
    <row r="460" spans="1:16" x14ac:dyDescent="0.3">
      <c r="A460" s="33"/>
    </row>
  </sheetData>
  <sheetProtection algorithmName="SHA-512" hashValue="0yGXtvOOQMmr+USpVDlwVrXZLlKoKKXxUbzH90C2VtwTakAJXGtgCItGaM2J46eQBx8cpap4YAeUr9ju2OxIRA==" saltValue="4pKpKzRJWFpWeJQduGgbZg==" spinCount="100000" sheet="1" objects="1" scenarios="1" selectLockedCells="1" selectUnlockedCells="1"/>
  <printOptions horizontalCentered="1"/>
  <pageMargins left="0.2" right="0.2" top="0.2" bottom="0.4" header="0.5" footer="0.1"/>
  <pageSetup paperSize="14" scale="69" orientation="landscape" r:id="rId1"/>
  <headerFooter scaleWithDoc="0" alignWithMargins="0">
    <oddFooter>&amp;L&amp;"Calibri,Regular"GENERAL NOTE: All data used in the actual implemented rates were based on available information as of the time rates were computed.&amp;R&amp;"Calibri,Italic"&amp;8
Actual Implemented Rates Page &amp;P of &amp;N</oddFooter>
  </headerFooter>
  <rowBreaks count="10" manualBreakCount="10">
    <brk id="46" max="14" man="1"/>
    <brk id="88" max="14" man="1"/>
    <brk id="130" max="14" man="1"/>
    <brk id="172" max="14" man="1"/>
    <brk id="214" max="14" man="1"/>
    <brk id="256" max="14" man="1"/>
    <brk id="298" max="14" man="1"/>
    <brk id="341" max="14" man="1"/>
    <brk id="385" max="14" man="1"/>
    <brk id="431" max="14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R469"/>
  <sheetViews>
    <sheetView view="pageBreakPreview" topLeftCell="A421" zoomScale="85" zoomScaleNormal="85" zoomScaleSheetLayoutView="85" workbookViewId="0">
      <pane xSplit="1" topLeftCell="E1" activePane="topRight" state="frozen"/>
      <selection activeCell="A106" sqref="A106"/>
      <selection pane="topRight" activeCell="O402" sqref="O402"/>
    </sheetView>
  </sheetViews>
  <sheetFormatPr defaultColWidth="9.109375" defaultRowHeight="13.8" x14ac:dyDescent="0.3"/>
  <cols>
    <col min="1" max="1" width="39.109375" style="3" customWidth="1"/>
    <col min="2" max="2" width="1.109375" style="3" customWidth="1"/>
    <col min="3" max="3" width="14.5546875" style="32" customWidth="1"/>
    <col min="4" max="5" width="14.33203125" style="3" bestFit="1" customWidth="1"/>
    <col min="6" max="15" width="14.33203125" style="3" customWidth="1"/>
    <col min="16" max="16" width="15.88671875" style="3" hidden="1" customWidth="1"/>
    <col min="17" max="16384" width="9.109375" style="3"/>
  </cols>
  <sheetData>
    <row r="1" spans="1:16" ht="21" x14ac:dyDescent="0.4">
      <c r="A1" s="1" t="s">
        <v>0</v>
      </c>
      <c r="B1" s="1"/>
      <c r="C1" s="2"/>
    </row>
    <row r="2" spans="1:16" ht="21" x14ac:dyDescent="0.4">
      <c r="A2" s="4" t="s">
        <v>1</v>
      </c>
      <c r="B2" s="4"/>
      <c r="C2" s="5"/>
    </row>
    <row r="3" spans="1:16" ht="21" x14ac:dyDescent="0.4">
      <c r="A3" s="6" t="str">
        <f>'[47]Supplier &amp; Trans Data'!A3</f>
        <v>For January - December 2019 Billing</v>
      </c>
      <c r="B3" s="6"/>
      <c r="C3" s="7"/>
    </row>
    <row r="4" spans="1:16" ht="21" x14ac:dyDescent="0.4">
      <c r="A4" s="4"/>
      <c r="B4" s="4"/>
      <c r="C4" s="5"/>
    </row>
    <row r="5" spans="1:16" ht="21" x14ac:dyDescent="0.4">
      <c r="A5" s="8"/>
      <c r="B5" s="4"/>
      <c r="C5" s="5"/>
    </row>
    <row r="6" spans="1:16" ht="18" x14ac:dyDescent="0.35">
      <c r="A6" s="9" t="s">
        <v>2</v>
      </c>
      <c r="B6" s="9"/>
      <c r="C6" s="5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</row>
    <row r="7" spans="1:16" s="13" customFormat="1" ht="14.4" x14ac:dyDescent="0.3">
      <c r="A7" s="11" t="s">
        <v>3</v>
      </c>
      <c r="B7" s="11"/>
      <c r="C7" s="11" t="s">
        <v>4</v>
      </c>
      <c r="D7" s="73">
        <v>43466</v>
      </c>
      <c r="E7" s="73">
        <v>43497</v>
      </c>
      <c r="F7" s="73">
        <v>43525</v>
      </c>
      <c r="G7" s="73">
        <v>43556</v>
      </c>
      <c r="H7" s="73">
        <v>43586</v>
      </c>
      <c r="I7" s="73">
        <v>43617</v>
      </c>
      <c r="J7" s="73">
        <v>43647</v>
      </c>
      <c r="K7" s="73">
        <v>43678</v>
      </c>
      <c r="L7" s="73">
        <v>43709</v>
      </c>
      <c r="M7" s="73">
        <v>43739</v>
      </c>
      <c r="N7" s="73">
        <v>43770</v>
      </c>
      <c r="O7" s="73">
        <v>43800</v>
      </c>
      <c r="P7" s="73">
        <v>43831</v>
      </c>
    </row>
    <row r="8" spans="1:16" ht="14.4" x14ac:dyDescent="0.3">
      <c r="A8" s="14" t="s">
        <v>17</v>
      </c>
      <c r="B8" s="15"/>
      <c r="C8" s="16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</row>
    <row r="9" spans="1:16" ht="14.4" x14ac:dyDescent="0.3">
      <c r="A9" s="18" t="s">
        <v>18</v>
      </c>
      <c r="B9" s="19"/>
      <c r="C9" s="16" t="s">
        <v>19</v>
      </c>
      <c r="D9" s="20">
        <f>D398</f>
        <v>4.9119000000000002</v>
      </c>
      <c r="E9" s="20">
        <f>E398</f>
        <v>5.8939000000000004</v>
      </c>
      <c r="F9" s="20">
        <f t="shared" ref="F9:P9" si="0">F398</f>
        <v>5.5972999999999997</v>
      </c>
      <c r="G9" s="20">
        <f t="shared" si="0"/>
        <v>5.6322000000000001</v>
      </c>
      <c r="H9" s="20">
        <f t="shared" si="0"/>
        <v>5.5507999999999997</v>
      </c>
      <c r="I9" s="20">
        <f t="shared" si="0"/>
        <v>5.4157999999999999</v>
      </c>
      <c r="J9" s="20">
        <f t="shared" si="0"/>
        <v>5.4226999999999999</v>
      </c>
      <c r="K9" s="20">
        <f t="shared" si="0"/>
        <v>4.9619999999999997</v>
      </c>
      <c r="L9" s="20">
        <f t="shared" si="0"/>
        <v>4.5190999999999999</v>
      </c>
      <c r="M9" s="20">
        <f t="shared" si="0"/>
        <v>4.5406000000000004</v>
      </c>
      <c r="N9" s="20">
        <f t="shared" si="0"/>
        <v>5.0316999999999998</v>
      </c>
      <c r="O9" s="20">
        <f t="shared" si="0"/>
        <v>5.1966999999999999</v>
      </c>
      <c r="P9" s="20" t="e">
        <f t="shared" si="0"/>
        <v>#DIV/0!</v>
      </c>
    </row>
    <row r="10" spans="1:16" ht="14.4" x14ac:dyDescent="0.3">
      <c r="A10" s="14" t="s">
        <v>20</v>
      </c>
      <c r="B10" s="15"/>
      <c r="C10" s="16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</row>
    <row r="11" spans="1:16" ht="14.4" x14ac:dyDescent="0.3">
      <c r="A11" s="18" t="s">
        <v>21</v>
      </c>
      <c r="B11" s="19"/>
      <c r="C11" s="16" t="s">
        <v>19</v>
      </c>
      <c r="D11" s="20">
        <f>[47]TR!D30</f>
        <v>0.83220000000000005</v>
      </c>
      <c r="E11" s="20">
        <f>[47]TR!E30</f>
        <v>0.81740000000000002</v>
      </c>
      <c r="F11" s="20">
        <f>[47]TR!F30</f>
        <v>0.85050000000000003</v>
      </c>
      <c r="G11" s="20">
        <f>[47]TR!G30</f>
        <v>0.8649</v>
      </c>
      <c r="H11" s="20">
        <f>[47]TR!H30</f>
        <v>0.79020000000000001</v>
      </c>
      <c r="I11" s="20">
        <f>[47]TR!I30</f>
        <v>0.74619999999999997</v>
      </c>
      <c r="J11" s="20">
        <f>[47]TR!J30</f>
        <v>0.66659999999999997</v>
      </c>
      <c r="K11" s="20">
        <f>[47]TR!K30</f>
        <v>0.69650000000000001</v>
      </c>
      <c r="L11" s="20">
        <f>[47]TR!L30</f>
        <v>0.70550000000000002</v>
      </c>
      <c r="M11" s="20">
        <f>[47]TR!M30</f>
        <v>0.73040000000000005</v>
      </c>
      <c r="N11" s="20">
        <f>[47]TR!N30</f>
        <v>0.65190000000000003</v>
      </c>
      <c r="O11" s="20">
        <f>[47]TR!O30</f>
        <v>0.72929999999999995</v>
      </c>
      <c r="P11" s="20">
        <f>[47]TR!P30</f>
        <v>0</v>
      </c>
    </row>
    <row r="12" spans="1:16" ht="14.4" x14ac:dyDescent="0.3">
      <c r="A12" s="18" t="s">
        <v>22</v>
      </c>
      <c r="B12" s="19"/>
      <c r="C12" s="16" t="s">
        <v>23</v>
      </c>
      <c r="D12" s="20">
        <v>0</v>
      </c>
      <c r="E12" s="20">
        <v>0</v>
      </c>
      <c r="F12" s="20">
        <v>0</v>
      </c>
      <c r="G12" s="20">
        <v>0</v>
      </c>
      <c r="H12" s="20">
        <v>0</v>
      </c>
      <c r="I12" s="20">
        <v>0</v>
      </c>
      <c r="J12" s="20">
        <v>0</v>
      </c>
      <c r="K12" s="20">
        <v>0</v>
      </c>
      <c r="L12" s="20">
        <v>0</v>
      </c>
      <c r="M12" s="20">
        <v>0</v>
      </c>
      <c r="N12" s="20">
        <v>0</v>
      </c>
      <c r="O12" s="20">
        <v>0</v>
      </c>
      <c r="P12" s="20">
        <v>0</v>
      </c>
    </row>
    <row r="13" spans="1:16" ht="14.4" x14ac:dyDescent="0.3">
      <c r="A13" s="14" t="s">
        <v>24</v>
      </c>
      <c r="B13" s="15"/>
      <c r="C13" s="16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</row>
    <row r="14" spans="1:16" ht="14.4" x14ac:dyDescent="0.3">
      <c r="A14" s="18" t="s">
        <v>25</v>
      </c>
      <c r="B14" s="19"/>
      <c r="C14" s="16" t="s">
        <v>19</v>
      </c>
      <c r="D14" s="20">
        <f>[47]SLR!D63</f>
        <v>0.43730000000000002</v>
      </c>
      <c r="E14" s="20">
        <f>[47]SLR!E63</f>
        <v>0.50519999999999998</v>
      </c>
      <c r="F14" s="20">
        <f>[47]SLR!F63</f>
        <v>0.47049999999999997</v>
      </c>
      <c r="G14" s="20">
        <f>[47]SLR!G63</f>
        <v>0.48530000000000001</v>
      </c>
      <c r="H14" s="20">
        <f>[47]SLR!H63</f>
        <v>0.46889999999999998</v>
      </c>
      <c r="I14" s="20">
        <f>[47]SLR!I63</f>
        <v>0.45939999999999998</v>
      </c>
      <c r="J14" s="20">
        <f>[47]SLR!J63</f>
        <v>0.47739999999999999</v>
      </c>
      <c r="K14" s="20">
        <f>[47]SLR!K63</f>
        <v>0.4395</v>
      </c>
      <c r="L14" s="20">
        <f>[47]SLR!L63</f>
        <v>0.39689999999999998</v>
      </c>
      <c r="M14" s="20">
        <f>[47]SLR!M63</f>
        <v>0.39079999999999998</v>
      </c>
      <c r="N14" s="20">
        <f>[47]SLR!N63</f>
        <v>0.42249999999999999</v>
      </c>
      <c r="O14" s="20">
        <f>[47]SLR!O63</f>
        <v>0.4395</v>
      </c>
      <c r="P14" s="20">
        <f>[47]SLR!P63</f>
        <v>0</v>
      </c>
    </row>
    <row r="15" spans="1:16" ht="14.4" x14ac:dyDescent="0.3">
      <c r="A15" s="14" t="s">
        <v>26</v>
      </c>
      <c r="B15" s="14"/>
      <c r="C15" s="16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</row>
    <row r="16" spans="1:16" ht="14.4" x14ac:dyDescent="0.3">
      <c r="A16" s="18" t="s">
        <v>27</v>
      </c>
      <c r="B16" s="18"/>
      <c r="C16" s="16" t="s">
        <v>19</v>
      </c>
      <c r="D16" s="20">
        <v>2.0082</v>
      </c>
      <c r="E16" s="20">
        <v>2.0082</v>
      </c>
      <c r="F16" s="20">
        <v>2.0082</v>
      </c>
      <c r="G16" s="20">
        <v>2.0082</v>
      </c>
      <c r="H16" s="20">
        <v>2.0082</v>
      </c>
      <c r="I16" s="20">
        <v>2.0082</v>
      </c>
      <c r="J16" s="20">
        <v>2.0082</v>
      </c>
      <c r="K16" s="20">
        <v>2.0082</v>
      </c>
      <c r="L16" s="20">
        <v>2.0082</v>
      </c>
      <c r="M16" s="20">
        <v>2.0082</v>
      </c>
      <c r="N16" s="20">
        <v>2.0082</v>
      </c>
      <c r="O16" s="20">
        <v>2.0082</v>
      </c>
      <c r="P16" s="20">
        <v>2.0082</v>
      </c>
    </row>
    <row r="17" spans="1:16" ht="14.4" x14ac:dyDescent="0.3">
      <c r="A17" s="18" t="s">
        <v>28</v>
      </c>
      <c r="B17" s="18"/>
      <c r="C17" s="16" t="s">
        <v>23</v>
      </c>
      <c r="D17" s="23">
        <v>0</v>
      </c>
      <c r="E17" s="23">
        <v>0</v>
      </c>
      <c r="F17" s="23">
        <v>0</v>
      </c>
      <c r="G17" s="23">
        <v>0</v>
      </c>
      <c r="H17" s="23">
        <v>0</v>
      </c>
      <c r="I17" s="23">
        <v>0</v>
      </c>
      <c r="J17" s="23">
        <v>0</v>
      </c>
      <c r="K17" s="23">
        <v>0</v>
      </c>
      <c r="L17" s="23">
        <v>0</v>
      </c>
      <c r="M17" s="23">
        <v>0</v>
      </c>
      <c r="N17" s="23">
        <v>0</v>
      </c>
      <c r="O17" s="23">
        <v>0</v>
      </c>
      <c r="P17" s="23">
        <v>0</v>
      </c>
    </row>
    <row r="18" spans="1:16" s="5" customFormat="1" ht="14.4" x14ac:dyDescent="0.3">
      <c r="A18" s="14" t="s">
        <v>29</v>
      </c>
      <c r="B18" s="14"/>
      <c r="C18" s="16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</row>
    <row r="19" spans="1:16" ht="14.4" x14ac:dyDescent="0.3">
      <c r="A19" s="18" t="s">
        <v>30</v>
      </c>
      <c r="B19" s="18"/>
      <c r="C19" s="16" t="s">
        <v>19</v>
      </c>
      <c r="D19" s="20">
        <v>0.64949999999999997</v>
      </c>
      <c r="E19" s="20">
        <v>0.64949999999999997</v>
      </c>
      <c r="F19" s="20">
        <v>0.64949999999999997</v>
      </c>
      <c r="G19" s="20">
        <v>0.64949999999999997</v>
      </c>
      <c r="H19" s="20">
        <v>0.64949999999999997</v>
      </c>
      <c r="I19" s="20">
        <v>0.64949999999999997</v>
      </c>
      <c r="J19" s="20">
        <v>0.64949999999999997</v>
      </c>
      <c r="K19" s="20">
        <v>0.64949999999999997</v>
      </c>
      <c r="L19" s="20">
        <v>0.64949999999999997</v>
      </c>
      <c r="M19" s="20">
        <v>0.64949999999999997</v>
      </c>
      <c r="N19" s="20">
        <v>0.64949999999999997</v>
      </c>
      <c r="O19" s="20">
        <v>0.64949999999999997</v>
      </c>
      <c r="P19" s="20">
        <v>0.64949999999999997</v>
      </c>
    </row>
    <row r="20" spans="1:16" ht="14.4" x14ac:dyDescent="0.3">
      <c r="A20" s="18" t="s">
        <v>31</v>
      </c>
      <c r="B20" s="18"/>
      <c r="C20" s="16" t="s">
        <v>32</v>
      </c>
      <c r="D20" s="23">
        <v>0</v>
      </c>
      <c r="E20" s="23">
        <v>0</v>
      </c>
      <c r="F20" s="23">
        <v>0</v>
      </c>
      <c r="G20" s="23">
        <v>0</v>
      </c>
      <c r="H20" s="23">
        <v>0</v>
      </c>
      <c r="I20" s="23">
        <v>0</v>
      </c>
      <c r="J20" s="23">
        <v>0</v>
      </c>
      <c r="K20" s="23">
        <v>0</v>
      </c>
      <c r="L20" s="23">
        <v>0</v>
      </c>
      <c r="M20" s="23">
        <v>0</v>
      </c>
      <c r="N20" s="23">
        <v>0</v>
      </c>
      <c r="O20" s="23">
        <v>0</v>
      </c>
      <c r="P20" s="23">
        <v>0</v>
      </c>
    </row>
    <row r="21" spans="1:16" ht="14.4" x14ac:dyDescent="0.3">
      <c r="A21" s="14" t="s">
        <v>33</v>
      </c>
      <c r="B21" s="14"/>
      <c r="C21" s="16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</row>
    <row r="22" spans="1:16" ht="14.4" x14ac:dyDescent="0.3">
      <c r="A22" s="18" t="s">
        <v>34</v>
      </c>
      <c r="B22" s="18"/>
      <c r="C22" s="16" t="s">
        <v>19</v>
      </c>
      <c r="D22" s="20">
        <v>0</v>
      </c>
      <c r="E22" s="20">
        <v>0</v>
      </c>
      <c r="F22" s="20">
        <v>0</v>
      </c>
      <c r="G22" s="20">
        <v>0</v>
      </c>
      <c r="H22" s="20">
        <v>0</v>
      </c>
      <c r="I22" s="20">
        <v>0</v>
      </c>
      <c r="J22" s="20">
        <v>0</v>
      </c>
      <c r="K22" s="20">
        <v>0</v>
      </c>
      <c r="L22" s="20">
        <v>0</v>
      </c>
      <c r="M22" s="20">
        <v>0</v>
      </c>
      <c r="N22" s="20">
        <v>0</v>
      </c>
      <c r="O22" s="20">
        <v>0</v>
      </c>
      <c r="P22" s="20">
        <v>0</v>
      </c>
    </row>
    <row r="23" spans="1:16" ht="14.4" x14ac:dyDescent="0.3">
      <c r="A23" s="18" t="s">
        <v>35</v>
      </c>
      <c r="B23" s="18"/>
      <c r="C23" s="16" t="s">
        <v>36</v>
      </c>
      <c r="D23" s="23">
        <v>0</v>
      </c>
      <c r="E23" s="23">
        <v>0</v>
      </c>
      <c r="F23" s="23">
        <v>0</v>
      </c>
      <c r="G23" s="23">
        <v>0</v>
      </c>
      <c r="H23" s="23">
        <v>0</v>
      </c>
      <c r="I23" s="23">
        <v>0</v>
      </c>
      <c r="J23" s="23">
        <v>0</v>
      </c>
      <c r="K23" s="23">
        <v>0</v>
      </c>
      <c r="L23" s="23">
        <v>0</v>
      </c>
      <c r="M23" s="23">
        <v>0</v>
      </c>
      <c r="N23" s="23">
        <v>0</v>
      </c>
      <c r="O23" s="23">
        <v>0</v>
      </c>
      <c r="P23" s="23">
        <v>0</v>
      </c>
    </row>
    <row r="24" spans="1:16" ht="14.4" x14ac:dyDescent="0.3">
      <c r="A24" s="14" t="s">
        <v>37</v>
      </c>
      <c r="B24" s="14"/>
      <c r="C24" s="16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</row>
    <row r="25" spans="1:16" ht="14.4" x14ac:dyDescent="0.3">
      <c r="A25" s="25" t="s">
        <v>138</v>
      </c>
      <c r="B25" s="18"/>
      <c r="C25" s="16" t="s">
        <v>19</v>
      </c>
      <c r="D25" s="20"/>
      <c r="E25" s="20"/>
      <c r="F25" s="20"/>
      <c r="G25" s="20"/>
      <c r="H25" s="20"/>
      <c r="I25" s="20"/>
      <c r="J25" s="20">
        <v>-7.3099999999999998E-2</v>
      </c>
      <c r="K25" s="20"/>
      <c r="L25" s="20"/>
      <c r="M25" s="20"/>
      <c r="N25" s="20"/>
      <c r="O25" s="20"/>
      <c r="P25" s="20"/>
    </row>
    <row r="26" spans="1:16" ht="14.4" x14ac:dyDescent="0.3">
      <c r="A26" s="25" t="s">
        <v>38</v>
      </c>
      <c r="B26" s="18"/>
      <c r="C26" s="16" t="s">
        <v>19</v>
      </c>
      <c r="D26" s="20">
        <f>[47]LD!D28</f>
        <v>9.7600000000000006E-2</v>
      </c>
      <c r="E26" s="20">
        <f>[47]LD!E28</f>
        <v>0.1077</v>
      </c>
      <c r="F26" s="20">
        <f>[47]LD!F28</f>
        <v>0.1234</v>
      </c>
      <c r="G26" s="20">
        <f>[47]LD!G28</f>
        <v>0.124</v>
      </c>
      <c r="H26" s="20">
        <f>[47]LD!H28</f>
        <v>8.2000000000000003E-2</v>
      </c>
      <c r="I26" s="20">
        <f>[47]LD!I28</f>
        <v>7.5499999999999998E-2</v>
      </c>
      <c r="J26" s="20">
        <f>[47]LD!J28</f>
        <v>6.4899999999999999E-2</v>
      </c>
      <c r="K26" s="20">
        <f>[47]LD!K28</f>
        <v>7.5600000000000001E-2</v>
      </c>
      <c r="L26" s="20">
        <f>[47]LD!L28</f>
        <v>7.85E-2</v>
      </c>
      <c r="M26" s="20">
        <f>[47]LD!M28</f>
        <v>7.5399999999999995E-2</v>
      </c>
      <c r="N26" s="20">
        <f>[47]LD!N28</f>
        <v>7.5700000000000003E-2</v>
      </c>
      <c r="O26" s="20">
        <f>[47]LD!O28</f>
        <v>7.8299999999999995E-2</v>
      </c>
      <c r="P26" s="20">
        <f>[47]LD!P28</f>
        <v>0</v>
      </c>
    </row>
    <row r="27" spans="1:16" ht="14.4" x14ac:dyDescent="0.3">
      <c r="A27" s="25" t="s">
        <v>39</v>
      </c>
      <c r="B27" s="18"/>
      <c r="C27" s="16" t="s">
        <v>19</v>
      </c>
      <c r="D27" s="20">
        <v>0</v>
      </c>
      <c r="E27" s="20">
        <v>0</v>
      </c>
      <c r="F27" s="20">
        <v>0</v>
      </c>
      <c r="G27" s="20">
        <v>0</v>
      </c>
      <c r="H27" s="20">
        <v>0</v>
      </c>
      <c r="I27" s="20">
        <v>0</v>
      </c>
      <c r="J27" s="20">
        <v>0</v>
      </c>
      <c r="K27" s="20">
        <v>0</v>
      </c>
      <c r="L27" s="20">
        <v>0</v>
      </c>
      <c r="M27" s="20">
        <v>0</v>
      </c>
      <c r="N27" s="20">
        <v>0</v>
      </c>
      <c r="O27" s="20">
        <v>0</v>
      </c>
      <c r="P27" s="20">
        <v>0</v>
      </c>
    </row>
    <row r="28" spans="1:16" ht="14.4" x14ac:dyDescent="0.3">
      <c r="A28" s="26" t="s">
        <v>40</v>
      </c>
      <c r="B28" s="18"/>
      <c r="C28" s="16" t="s">
        <v>19</v>
      </c>
      <c r="D28" s="20">
        <f>'[47]SR CIT. SUBSIDY'!D134</f>
        <v>8.1671193651487679E-5</v>
      </c>
      <c r="E28" s="20">
        <f>'[47]SR CIT. SUBSIDY'!E134</f>
        <v>7.9496172853225534E-5</v>
      </c>
      <c r="F28" s="20">
        <f>'[47]SR CIT. SUBSIDY'!F134</f>
        <v>9.1117198287407098E-5</v>
      </c>
      <c r="G28" s="20">
        <f>'[47]SR CIT. SUBSIDY'!G134</f>
        <v>9.2294258932552585E-5</v>
      </c>
      <c r="H28" s="20">
        <f>'[47]SR CIT. SUBSIDY'!H134</f>
        <v>8.664510925241928E-5</v>
      </c>
      <c r="I28" s="20">
        <f>'[47]SR CIT. SUBSIDY'!I134</f>
        <v>8.4286320439276092E-5</v>
      </c>
      <c r="J28" s="20">
        <f>'[47]SR CIT. SUBSIDY'!J134</f>
        <v>7.5057505029560973E-5</v>
      </c>
      <c r="K28" s="20">
        <f>'[47]SR CIT. SUBSIDY'!K134</f>
        <v>7.5699329562342512E-5</v>
      </c>
      <c r="L28" s="20">
        <f>'[47]SR CIT. SUBSIDY'!L134</f>
        <v>7.3950804174552343E-5</v>
      </c>
      <c r="M28" s="20">
        <f>'[47]SR CIT. SUBSIDY'!M134</f>
        <v>6.9724330278463729E-5</v>
      </c>
      <c r="N28" s="20">
        <f>'[47]SR CIT. SUBSIDY'!N134</f>
        <v>7.1523365693916283E-5</v>
      </c>
      <c r="O28" s="20">
        <f>'[47]SR CIT. SUBSIDY'!O134</f>
        <v>7.2222317373892914E-5</v>
      </c>
      <c r="P28" s="20">
        <f>'[47]SR CIT. SUBSIDY'!P134</f>
        <v>0</v>
      </c>
    </row>
    <row r="29" spans="1:16" ht="14.4" x14ac:dyDescent="0.3">
      <c r="A29" s="26" t="s">
        <v>41</v>
      </c>
      <c r="B29" s="18"/>
      <c r="C29" s="16" t="s">
        <v>19</v>
      </c>
      <c r="D29" s="20">
        <v>0</v>
      </c>
      <c r="E29" s="20">
        <v>0</v>
      </c>
      <c r="F29" s="20">
        <v>0</v>
      </c>
      <c r="G29" s="20">
        <v>0</v>
      </c>
      <c r="H29" s="20">
        <v>0</v>
      </c>
      <c r="I29" s="20">
        <v>0</v>
      </c>
      <c r="J29" s="20">
        <v>0</v>
      </c>
      <c r="K29" s="20">
        <v>0</v>
      </c>
      <c r="L29" s="20">
        <v>0</v>
      </c>
      <c r="M29" s="20">
        <v>0</v>
      </c>
      <c r="N29" s="20">
        <v>0</v>
      </c>
      <c r="O29" s="20">
        <v>0</v>
      </c>
      <c r="P29" s="20">
        <v>0</v>
      </c>
    </row>
    <row r="30" spans="1:16" ht="14.4" x14ac:dyDescent="0.3">
      <c r="A30" s="14" t="s">
        <v>42</v>
      </c>
      <c r="B30" s="14"/>
      <c r="C30" s="16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</row>
    <row r="31" spans="1:16" ht="14.4" x14ac:dyDescent="0.3">
      <c r="A31" s="14" t="s">
        <v>43</v>
      </c>
      <c r="B31" s="14"/>
      <c r="C31" s="16" t="s">
        <v>44</v>
      </c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</row>
    <row r="32" spans="1:16" ht="14.4" x14ac:dyDescent="0.3">
      <c r="A32" s="14" t="s">
        <v>45</v>
      </c>
      <c r="B32" s="14"/>
      <c r="C32" s="16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</row>
    <row r="33" spans="1:16" ht="14.4" x14ac:dyDescent="0.3">
      <c r="A33" s="14" t="s">
        <v>46</v>
      </c>
      <c r="B33" s="14"/>
      <c r="C33" s="16" t="s">
        <v>19</v>
      </c>
      <c r="D33" s="20">
        <v>0</v>
      </c>
      <c r="E33" s="20">
        <v>0</v>
      </c>
      <c r="F33" s="20">
        <v>0</v>
      </c>
      <c r="G33" s="20">
        <v>0</v>
      </c>
      <c r="H33" s="20">
        <v>0</v>
      </c>
      <c r="I33" s="20">
        <v>0</v>
      </c>
      <c r="J33" s="20">
        <v>0</v>
      </c>
      <c r="K33" s="20">
        <v>0</v>
      </c>
      <c r="L33" s="20">
        <v>0</v>
      </c>
      <c r="M33" s="20">
        <v>0</v>
      </c>
      <c r="N33" s="20">
        <v>0</v>
      </c>
      <c r="O33" s="20">
        <v>0</v>
      </c>
      <c r="P33" s="20">
        <v>0</v>
      </c>
    </row>
    <row r="34" spans="1:16" ht="14.4" x14ac:dyDescent="0.3">
      <c r="A34" s="14" t="s">
        <v>47</v>
      </c>
      <c r="B34" s="14"/>
      <c r="C34" s="16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</row>
    <row r="35" spans="1:16" ht="14.4" x14ac:dyDescent="0.3">
      <c r="A35" s="18" t="s">
        <v>48</v>
      </c>
      <c r="B35" s="18"/>
      <c r="C35" s="16" t="s">
        <v>19</v>
      </c>
      <c r="D35" s="20">
        <v>0.15609999999999999</v>
      </c>
      <c r="E35" s="20">
        <v>0.15609999999999999</v>
      </c>
      <c r="F35" s="20">
        <v>0.15609999999999999</v>
      </c>
      <c r="G35" s="20">
        <v>0.15609999999999999</v>
      </c>
      <c r="H35" s="20">
        <v>0.15609999999999999</v>
      </c>
      <c r="I35" s="20">
        <v>0.15609999999999999</v>
      </c>
      <c r="J35" s="20">
        <v>0.15609999999999999</v>
      </c>
      <c r="K35" s="20">
        <v>0.15609999999999999</v>
      </c>
      <c r="L35" s="20">
        <v>0.15609999999999999</v>
      </c>
      <c r="M35" s="20">
        <v>0.15609999999999999</v>
      </c>
      <c r="N35" s="20">
        <v>0.15609999999999999</v>
      </c>
      <c r="O35" s="20">
        <v>0.15609999999999999</v>
      </c>
      <c r="P35" s="20">
        <v>0.15609999999999999</v>
      </c>
    </row>
    <row r="36" spans="1:16" ht="14.4" x14ac:dyDescent="0.3">
      <c r="A36" s="18" t="s">
        <v>49</v>
      </c>
      <c r="B36" s="18"/>
      <c r="C36" s="16" t="s">
        <v>19</v>
      </c>
      <c r="D36" s="20">
        <v>2.5000000000000001E-3</v>
      </c>
      <c r="E36" s="20">
        <v>2.5000000000000001E-3</v>
      </c>
      <c r="F36" s="20">
        <v>2.5000000000000001E-3</v>
      </c>
      <c r="G36" s="20">
        <v>2.5000000000000001E-3</v>
      </c>
      <c r="H36" s="20">
        <v>2.5000000000000001E-3</v>
      </c>
      <c r="I36" s="20">
        <v>2.5000000000000001E-3</v>
      </c>
      <c r="J36" s="20">
        <v>2.5000000000000001E-3</v>
      </c>
      <c r="K36" s="20">
        <v>2.5000000000000001E-3</v>
      </c>
      <c r="L36" s="20">
        <v>2.5000000000000001E-3</v>
      </c>
      <c r="M36" s="20">
        <v>2.5000000000000001E-3</v>
      </c>
      <c r="N36" s="20">
        <v>2.5000000000000001E-3</v>
      </c>
      <c r="O36" s="20">
        <v>2.5000000000000001E-3</v>
      </c>
      <c r="P36" s="20">
        <v>2.5000000000000001E-3</v>
      </c>
    </row>
    <row r="37" spans="1:16" ht="14.4" x14ac:dyDescent="0.3">
      <c r="A37" s="18" t="s">
        <v>111</v>
      </c>
      <c r="B37" s="18"/>
      <c r="C37" s="16" t="s">
        <v>19</v>
      </c>
      <c r="D37" s="20">
        <v>0.1938</v>
      </c>
      <c r="E37" s="20">
        <v>-0.3876</v>
      </c>
      <c r="F37" s="20">
        <v>0</v>
      </c>
      <c r="G37" s="20">
        <v>0</v>
      </c>
      <c r="H37" s="20">
        <v>0</v>
      </c>
      <c r="I37" s="20">
        <v>0</v>
      </c>
      <c r="J37" s="20">
        <v>0</v>
      </c>
      <c r="K37" s="20">
        <v>0</v>
      </c>
      <c r="L37" s="20">
        <v>0</v>
      </c>
      <c r="M37" s="20">
        <v>0</v>
      </c>
      <c r="N37" s="20">
        <v>0</v>
      </c>
      <c r="O37" s="20">
        <v>0</v>
      </c>
      <c r="P37" s="20">
        <v>0</v>
      </c>
    </row>
    <row r="38" spans="1:16" ht="14.4" x14ac:dyDescent="0.3">
      <c r="A38" s="18" t="s">
        <v>112</v>
      </c>
      <c r="B38" s="18"/>
      <c r="C38" s="16" t="s">
        <v>19</v>
      </c>
      <c r="D38" s="20">
        <v>2.6499999999999999E-2</v>
      </c>
      <c r="E38" s="20">
        <v>2.6499999999999999E-2</v>
      </c>
      <c r="F38" s="20">
        <v>2.6499999999999999E-2</v>
      </c>
      <c r="G38" s="20">
        <v>4.2799999999999998E-2</v>
      </c>
      <c r="H38" s="20">
        <v>4.2799999999999998E-2</v>
      </c>
      <c r="I38" s="20">
        <v>4.2799999999999998E-2</v>
      </c>
      <c r="J38" s="20">
        <v>4.2799999999999998E-2</v>
      </c>
      <c r="K38" s="20">
        <v>4.2799999999999998E-2</v>
      </c>
      <c r="L38" s="20">
        <v>4.2799999999999998E-2</v>
      </c>
      <c r="M38" s="20">
        <v>4.2799999999999998E-2</v>
      </c>
      <c r="N38" s="20">
        <v>4.2799999999999998E-2</v>
      </c>
      <c r="O38" s="20">
        <v>4.2799999999999998E-2</v>
      </c>
      <c r="P38" s="20">
        <v>4.2799999999999998E-2</v>
      </c>
    </row>
    <row r="39" spans="1:16" ht="14.4" x14ac:dyDescent="0.3">
      <c r="A39" s="14" t="s">
        <v>51</v>
      </c>
      <c r="B39" s="14"/>
      <c r="C39" s="16" t="s">
        <v>19</v>
      </c>
      <c r="D39" s="20">
        <v>0.25629999999999997</v>
      </c>
      <c r="E39" s="20">
        <v>0.25629999999999997</v>
      </c>
      <c r="F39" s="20">
        <v>0.25629999999999997</v>
      </c>
      <c r="G39" s="20">
        <v>0.22259999999999999</v>
      </c>
      <c r="H39" s="20">
        <v>0.22259999999999999</v>
      </c>
      <c r="I39" s="20">
        <v>0.22259999999999999</v>
      </c>
      <c r="J39" s="20">
        <v>0.22259999999999999</v>
      </c>
      <c r="K39" s="20">
        <v>0.22259999999999999</v>
      </c>
      <c r="L39" s="20">
        <v>0.22259999999999999</v>
      </c>
      <c r="M39" s="20">
        <v>0.22259999999999999</v>
      </c>
      <c r="N39" s="20">
        <v>0.22259999999999999</v>
      </c>
      <c r="O39" s="20">
        <v>0.22259999999999999</v>
      </c>
      <c r="P39" s="20">
        <v>0.22259999999999999</v>
      </c>
    </row>
    <row r="40" spans="1:16" ht="14.4" x14ac:dyDescent="0.3">
      <c r="A40" s="14" t="s">
        <v>52</v>
      </c>
      <c r="B40" s="14"/>
      <c r="C40" s="29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</row>
    <row r="41" spans="1:16" ht="14.4" x14ac:dyDescent="0.3">
      <c r="A41" s="18" t="s">
        <v>53</v>
      </c>
      <c r="B41" s="18"/>
      <c r="C41" s="16" t="s">
        <v>44</v>
      </c>
      <c r="D41" s="30">
        <f>'[47]DU VAT'!D15</f>
        <v>0.1129</v>
      </c>
      <c r="E41" s="30">
        <f>'[47]DU VAT'!E15</f>
        <v>0.1091</v>
      </c>
      <c r="F41" s="30">
        <f>'[47]DU VAT'!F15</f>
        <v>0.1124</v>
      </c>
      <c r="G41" s="30">
        <f>'[47]DU VAT'!G15</f>
        <v>0.1123</v>
      </c>
      <c r="H41" s="30">
        <f>'[47]DU VAT'!H15</f>
        <v>0.10780000000000001</v>
      </c>
      <c r="I41" s="30">
        <f>'[47]DU VAT'!I15</f>
        <v>0.1113</v>
      </c>
      <c r="J41" s="30">
        <f>'[47]DU VAT'!J15</f>
        <v>0.111</v>
      </c>
      <c r="K41" s="30">
        <f>'[47]DU VAT'!K15</f>
        <v>0.11260000000000001</v>
      </c>
      <c r="L41" s="30">
        <f>'[47]DU VAT'!L15</f>
        <v>0.1143</v>
      </c>
      <c r="M41" s="30">
        <f>'[47]DU VAT'!M15</f>
        <v>0.1157</v>
      </c>
      <c r="N41" s="30">
        <f>'[47]DU VAT'!N15</f>
        <v>0.11</v>
      </c>
      <c r="O41" s="30">
        <f>'[47]DU VAT'!O15</f>
        <v>0.112</v>
      </c>
      <c r="P41" s="30" t="e">
        <f>'[47]DU VAT'!P15</f>
        <v>#DIV/0!</v>
      </c>
    </row>
    <row r="42" spans="1:16" ht="14.4" x14ac:dyDescent="0.3">
      <c r="A42" s="18" t="s">
        <v>54</v>
      </c>
      <c r="B42" s="18"/>
      <c r="C42" s="16" t="s">
        <v>44</v>
      </c>
      <c r="D42" s="30">
        <f>'[47]DU VAT'!D19</f>
        <v>0.1028</v>
      </c>
      <c r="E42" s="30">
        <f>'[47]DU VAT'!E19</f>
        <v>0.1026</v>
      </c>
      <c r="F42" s="30">
        <f>'[47]DU VAT'!F19</f>
        <v>0.1045</v>
      </c>
      <c r="G42" s="30">
        <f>'[47]DU VAT'!G19</f>
        <v>0.109</v>
      </c>
      <c r="H42" s="30">
        <f>'[47]DU VAT'!H19</f>
        <v>0.1099</v>
      </c>
      <c r="I42" s="30">
        <f>'[47]DU VAT'!I19</f>
        <v>0.11070000000000001</v>
      </c>
      <c r="J42" s="30">
        <f>'[47]DU VAT'!J19</f>
        <v>0.1036</v>
      </c>
      <c r="K42" s="30">
        <f>'[47]DU VAT'!K19</f>
        <v>0.1027</v>
      </c>
      <c r="L42" s="30">
        <f>'[47]DU VAT'!L19</f>
        <v>0.10150000000000001</v>
      </c>
      <c r="M42" s="30">
        <f>'[47]DU VAT'!M19</f>
        <v>9.7199999999999995E-2</v>
      </c>
      <c r="N42" s="30">
        <f>'[47]DU VAT'!N19</f>
        <v>9.7900000000000001E-2</v>
      </c>
      <c r="O42" s="30">
        <f>'[47]DU VAT'!O19</f>
        <v>0.10340000000000001</v>
      </c>
      <c r="P42" s="30" t="e">
        <f>'[47]DU VAT'!P19</f>
        <v>#DIV/0!</v>
      </c>
    </row>
    <row r="43" spans="1:16" ht="14.4" x14ac:dyDescent="0.3">
      <c r="A43" s="18" t="s">
        <v>55</v>
      </c>
      <c r="B43" s="18"/>
      <c r="C43" s="16" t="s">
        <v>44</v>
      </c>
      <c r="D43" s="30">
        <f>'[47]DU VAT'!D25</f>
        <v>0.1114</v>
      </c>
      <c r="E43" s="30">
        <f>'[47]DU VAT'!E25</f>
        <v>0.10829999999999999</v>
      </c>
      <c r="F43" s="30">
        <f>'[47]DU VAT'!F25</f>
        <v>0.1114</v>
      </c>
      <c r="G43" s="30">
        <f>'[47]DU VAT'!G25</f>
        <v>0.112</v>
      </c>
      <c r="H43" s="30">
        <f>'[47]DU VAT'!H25</f>
        <v>0.1081</v>
      </c>
      <c r="I43" s="30">
        <f>'[47]DU VAT'!I25</f>
        <v>0.1113</v>
      </c>
      <c r="J43" s="30">
        <f>'[47]DU VAT'!J25</f>
        <v>0.1103</v>
      </c>
      <c r="K43" s="30">
        <f>'[47]DU VAT'!K25</f>
        <v>0.1114</v>
      </c>
      <c r="L43" s="30">
        <f>'[47]DU VAT'!L25</f>
        <v>0.11269999999999999</v>
      </c>
      <c r="M43" s="30">
        <f>'[47]DU VAT'!M25</f>
        <v>0.1133</v>
      </c>
      <c r="N43" s="30">
        <f>'[47]DU VAT'!N25</f>
        <v>0.1087</v>
      </c>
      <c r="O43" s="30">
        <f>'[47]DU VAT'!O25</f>
        <v>0.111</v>
      </c>
      <c r="P43" s="30" t="e">
        <f>'[47]DU VAT'!P25</f>
        <v>#DIV/0!</v>
      </c>
    </row>
    <row r="44" spans="1:16" ht="14.4" x14ac:dyDescent="0.3">
      <c r="A44" s="18" t="s">
        <v>56</v>
      </c>
      <c r="B44" s="18"/>
      <c r="C44" s="16" t="s">
        <v>44</v>
      </c>
      <c r="D44" s="30">
        <v>0.12</v>
      </c>
      <c r="E44" s="30">
        <v>0.12</v>
      </c>
      <c r="F44" s="30">
        <v>0.12</v>
      </c>
      <c r="G44" s="30">
        <v>0.12</v>
      </c>
      <c r="H44" s="30">
        <v>0.12</v>
      </c>
      <c r="I44" s="30">
        <v>0.12</v>
      </c>
      <c r="J44" s="30">
        <v>0.12</v>
      </c>
      <c r="K44" s="30">
        <v>0.12</v>
      </c>
      <c r="L44" s="30">
        <v>0.12</v>
      </c>
      <c r="M44" s="30">
        <v>0.12</v>
      </c>
      <c r="N44" s="30">
        <v>0.12</v>
      </c>
      <c r="O44" s="30">
        <v>0.12</v>
      </c>
      <c r="P44" s="30">
        <v>0.12</v>
      </c>
    </row>
    <row r="45" spans="1:16" ht="14.4" x14ac:dyDescent="0.3">
      <c r="A45" s="18" t="s">
        <v>57</v>
      </c>
      <c r="B45" s="18"/>
      <c r="C45" s="16" t="s">
        <v>44</v>
      </c>
      <c r="D45" s="30">
        <v>0.12</v>
      </c>
      <c r="E45" s="30">
        <v>0.12</v>
      </c>
      <c r="F45" s="30">
        <v>0.12</v>
      </c>
      <c r="G45" s="30">
        <v>0.12</v>
      </c>
      <c r="H45" s="30">
        <v>0.12</v>
      </c>
      <c r="I45" s="30">
        <v>0.12</v>
      </c>
      <c r="J45" s="30">
        <v>0.12</v>
      </c>
      <c r="K45" s="30">
        <v>0.12</v>
      </c>
      <c r="L45" s="30">
        <v>0.12</v>
      </c>
      <c r="M45" s="30">
        <v>0.12</v>
      </c>
      <c r="N45" s="30">
        <v>0.12</v>
      </c>
      <c r="O45" s="30">
        <v>0.12</v>
      </c>
      <c r="P45" s="30">
        <v>0.12</v>
      </c>
    </row>
    <row r="46" spans="1:16" s="5" customFormat="1" x14ac:dyDescent="0.3">
      <c r="A46" s="31"/>
      <c r="B46" s="31"/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</row>
    <row r="47" spans="1:16" x14ac:dyDescent="0.3">
      <c r="A47" s="3" t="s">
        <v>58</v>
      </c>
    </row>
    <row r="48" spans="1:16" x14ac:dyDescent="0.3">
      <c r="A48" s="33"/>
    </row>
    <row r="49" spans="1:16" ht="18" x14ac:dyDescent="0.35">
      <c r="A49" s="123" t="str">
        <f>'[47]Statistical data'!A147</f>
        <v xml:space="preserve">   Residential </v>
      </c>
      <c r="B49" s="9"/>
      <c r="C49" s="5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</row>
    <row r="50" spans="1:16" s="13" customFormat="1" ht="14.4" x14ac:dyDescent="0.3">
      <c r="A50" s="11" t="s">
        <v>3</v>
      </c>
      <c r="B50" s="11"/>
      <c r="C50" s="11" t="s">
        <v>4</v>
      </c>
      <c r="D50" s="73">
        <f t="shared" ref="D50:P50" si="1">D7</f>
        <v>43466</v>
      </c>
      <c r="E50" s="73">
        <f t="shared" si="1"/>
        <v>43497</v>
      </c>
      <c r="F50" s="73">
        <f t="shared" si="1"/>
        <v>43525</v>
      </c>
      <c r="G50" s="73">
        <f t="shared" si="1"/>
        <v>43556</v>
      </c>
      <c r="H50" s="73">
        <f t="shared" si="1"/>
        <v>43586</v>
      </c>
      <c r="I50" s="73">
        <f t="shared" si="1"/>
        <v>43617</v>
      </c>
      <c r="J50" s="73">
        <f t="shared" si="1"/>
        <v>43647</v>
      </c>
      <c r="K50" s="73">
        <f t="shared" si="1"/>
        <v>43678</v>
      </c>
      <c r="L50" s="73">
        <f t="shared" si="1"/>
        <v>43709</v>
      </c>
      <c r="M50" s="73">
        <f t="shared" si="1"/>
        <v>43739</v>
      </c>
      <c r="N50" s="73">
        <f t="shared" si="1"/>
        <v>43770</v>
      </c>
      <c r="O50" s="73">
        <f t="shared" si="1"/>
        <v>43800</v>
      </c>
      <c r="P50" s="73">
        <f t="shared" si="1"/>
        <v>43831</v>
      </c>
    </row>
    <row r="51" spans="1:16" ht="14.4" x14ac:dyDescent="0.3">
      <c r="A51" s="34" t="s">
        <v>17</v>
      </c>
      <c r="B51" s="35"/>
      <c r="C51" s="36"/>
      <c r="D51" s="37"/>
      <c r="E51" s="37"/>
      <c r="F51" s="37"/>
      <c r="G51" s="37"/>
      <c r="H51" s="37"/>
      <c r="I51" s="37"/>
      <c r="J51" s="37"/>
      <c r="K51" s="37"/>
      <c r="L51" s="37"/>
      <c r="M51" s="37"/>
      <c r="N51" s="37"/>
      <c r="O51" s="37"/>
      <c r="P51" s="37"/>
    </row>
    <row r="52" spans="1:16" ht="14.4" x14ac:dyDescent="0.3">
      <c r="A52" s="38" t="s">
        <v>18</v>
      </c>
      <c r="B52" s="39"/>
      <c r="C52" s="36" t="s">
        <v>19</v>
      </c>
      <c r="D52" s="40" t="s">
        <v>59</v>
      </c>
      <c r="E52" s="40" t="s">
        <v>59</v>
      </c>
      <c r="F52" s="40" t="s">
        <v>59</v>
      </c>
      <c r="G52" s="40" t="s">
        <v>59</v>
      </c>
      <c r="H52" s="40" t="s">
        <v>59</v>
      </c>
      <c r="I52" s="40" t="s">
        <v>59</v>
      </c>
      <c r="J52" s="40" t="s">
        <v>59</v>
      </c>
      <c r="K52" s="40" t="s">
        <v>59</v>
      </c>
      <c r="L52" s="40" t="s">
        <v>59</v>
      </c>
      <c r="M52" s="40" t="s">
        <v>59</v>
      </c>
      <c r="N52" s="40" t="s">
        <v>59</v>
      </c>
      <c r="O52" s="40" t="s">
        <v>59</v>
      </c>
      <c r="P52" s="40" t="s">
        <v>59</v>
      </c>
    </row>
    <row r="53" spans="1:16" ht="14.4" x14ac:dyDescent="0.3">
      <c r="A53" s="34" t="s">
        <v>20</v>
      </c>
      <c r="B53" s="35"/>
      <c r="C53" s="36"/>
      <c r="D53" s="41"/>
      <c r="E53" s="41"/>
      <c r="F53" s="41"/>
      <c r="G53" s="41"/>
      <c r="H53" s="41"/>
      <c r="I53" s="41"/>
      <c r="J53" s="41"/>
      <c r="K53" s="41"/>
      <c r="L53" s="41"/>
      <c r="M53" s="41"/>
      <c r="N53" s="41"/>
      <c r="O53" s="41"/>
      <c r="P53" s="41"/>
    </row>
    <row r="54" spans="1:16" ht="14.4" x14ac:dyDescent="0.3">
      <c r="A54" s="38" t="s">
        <v>21</v>
      </c>
      <c r="B54" s="39"/>
      <c r="C54" s="36" t="s">
        <v>19</v>
      </c>
      <c r="D54" s="42">
        <f>[47]TR!D31</f>
        <v>0.82020000000000004</v>
      </c>
      <c r="E54" s="42">
        <f>[47]TR!E31</f>
        <v>0.8095</v>
      </c>
      <c r="F54" s="42">
        <f>[47]TR!F31</f>
        <v>0.83830000000000005</v>
      </c>
      <c r="G54" s="42">
        <f>[47]TR!G31</f>
        <v>0.85709999999999997</v>
      </c>
      <c r="H54" s="42">
        <f>[47]TR!H31</f>
        <v>0.77629999999999999</v>
      </c>
      <c r="I54" s="42">
        <f>[47]TR!I31</f>
        <v>0.73360000000000003</v>
      </c>
      <c r="J54" s="42">
        <f>[47]TR!J31</f>
        <v>0.65480000000000005</v>
      </c>
      <c r="K54" s="42">
        <f>[47]TR!K31</f>
        <v>0.68820000000000003</v>
      </c>
      <c r="L54" s="42">
        <f>[47]TR!L31</f>
        <v>0.69379999999999997</v>
      </c>
      <c r="M54" s="42">
        <f>[47]TR!M31</f>
        <v>0.71870000000000001</v>
      </c>
      <c r="N54" s="42">
        <f>[47]TR!N31</f>
        <v>0.64200000000000002</v>
      </c>
      <c r="O54" s="42">
        <f>[47]TR!O31</f>
        <v>0.71730000000000005</v>
      </c>
      <c r="P54" s="42">
        <f>[47]TR!P31</f>
        <v>0</v>
      </c>
    </row>
    <row r="55" spans="1:16" ht="14.4" x14ac:dyDescent="0.3">
      <c r="A55" s="38" t="s">
        <v>22</v>
      </c>
      <c r="B55" s="39"/>
      <c r="C55" s="36" t="s">
        <v>23</v>
      </c>
      <c r="D55" s="43">
        <v>0</v>
      </c>
      <c r="E55" s="43">
        <v>0</v>
      </c>
      <c r="F55" s="43">
        <v>0</v>
      </c>
      <c r="G55" s="43">
        <v>0</v>
      </c>
      <c r="H55" s="43">
        <v>0</v>
      </c>
      <c r="I55" s="43">
        <v>0</v>
      </c>
      <c r="J55" s="43">
        <v>0</v>
      </c>
      <c r="K55" s="43">
        <v>0</v>
      </c>
      <c r="L55" s="43">
        <v>0</v>
      </c>
      <c r="M55" s="43">
        <v>0</v>
      </c>
      <c r="N55" s="43">
        <v>0</v>
      </c>
      <c r="O55" s="43">
        <v>0</v>
      </c>
      <c r="P55" s="43">
        <v>0</v>
      </c>
    </row>
    <row r="56" spans="1:16" ht="14.4" x14ac:dyDescent="0.3">
      <c r="A56" s="34" t="s">
        <v>24</v>
      </c>
      <c r="B56" s="35"/>
      <c r="C56" s="36"/>
      <c r="D56" s="41"/>
      <c r="E56" s="41"/>
      <c r="F56" s="41"/>
      <c r="G56" s="41"/>
      <c r="H56" s="41"/>
      <c r="I56" s="41"/>
      <c r="J56" s="41"/>
      <c r="K56" s="41"/>
      <c r="L56" s="41"/>
      <c r="M56" s="41"/>
      <c r="N56" s="41"/>
      <c r="O56" s="41"/>
      <c r="P56" s="41"/>
    </row>
    <row r="57" spans="1:16" ht="14.4" x14ac:dyDescent="0.3">
      <c r="A57" s="38" t="s">
        <v>25</v>
      </c>
      <c r="B57" s="39"/>
      <c r="C57" s="36" t="s">
        <v>19</v>
      </c>
      <c r="D57" s="42">
        <f>[47]SLR!D64</f>
        <v>0.43730000000000002</v>
      </c>
      <c r="E57" s="42">
        <f>[47]SLR!E64</f>
        <v>0.50519999999999998</v>
      </c>
      <c r="F57" s="42">
        <f>[47]SLR!F64</f>
        <v>0.47049999999999997</v>
      </c>
      <c r="G57" s="42">
        <f>[47]SLR!G64</f>
        <v>0.48530000000000001</v>
      </c>
      <c r="H57" s="42">
        <f>[47]SLR!H64</f>
        <v>0.46889999999999998</v>
      </c>
      <c r="I57" s="42">
        <f>[47]SLR!I64</f>
        <v>0.45939999999999998</v>
      </c>
      <c r="J57" s="42">
        <f>[47]SLR!J64</f>
        <v>0.47739999999999999</v>
      </c>
      <c r="K57" s="42">
        <f>[47]SLR!K64</f>
        <v>0.4395</v>
      </c>
      <c r="L57" s="42">
        <f>[47]SLR!L64</f>
        <v>0.39689999999999998</v>
      </c>
      <c r="M57" s="42">
        <f>[47]SLR!M64</f>
        <v>0.39079999999999998</v>
      </c>
      <c r="N57" s="42">
        <f>[47]SLR!N64</f>
        <v>0.42249999999999999</v>
      </c>
      <c r="O57" s="42">
        <f>[47]SLR!O64</f>
        <v>0.4395</v>
      </c>
      <c r="P57" s="42">
        <f>[47]SLR!P64</f>
        <v>0</v>
      </c>
    </row>
    <row r="58" spans="1:16" ht="14.4" x14ac:dyDescent="0.3">
      <c r="A58" s="34" t="s">
        <v>26</v>
      </c>
      <c r="B58" s="34"/>
      <c r="C58" s="36"/>
      <c r="D58" s="44"/>
      <c r="E58" s="44"/>
      <c r="F58" s="44"/>
      <c r="G58" s="44"/>
      <c r="H58" s="44"/>
      <c r="I58" s="44"/>
      <c r="J58" s="44"/>
      <c r="K58" s="44"/>
      <c r="L58" s="44"/>
      <c r="M58" s="44"/>
      <c r="N58" s="44"/>
      <c r="O58" s="44"/>
      <c r="P58" s="44"/>
    </row>
    <row r="59" spans="1:16" ht="14.4" x14ac:dyDescent="0.3">
      <c r="A59" s="38" t="s">
        <v>27</v>
      </c>
      <c r="B59" s="38"/>
      <c r="C59" s="36" t="s">
        <v>19</v>
      </c>
      <c r="D59" s="40" t="s">
        <v>60</v>
      </c>
      <c r="E59" s="40" t="s">
        <v>60</v>
      </c>
      <c r="F59" s="40" t="s">
        <v>60</v>
      </c>
      <c r="G59" s="40" t="s">
        <v>60</v>
      </c>
      <c r="H59" s="40" t="s">
        <v>60</v>
      </c>
      <c r="I59" s="40" t="s">
        <v>60</v>
      </c>
      <c r="J59" s="40" t="s">
        <v>60</v>
      </c>
      <c r="K59" s="40" t="s">
        <v>60</v>
      </c>
      <c r="L59" s="40" t="s">
        <v>60</v>
      </c>
      <c r="M59" s="40" t="s">
        <v>60</v>
      </c>
      <c r="N59" s="40" t="s">
        <v>60</v>
      </c>
      <c r="O59" s="40" t="s">
        <v>60</v>
      </c>
      <c r="P59" s="40" t="s">
        <v>60</v>
      </c>
    </row>
    <row r="60" spans="1:16" ht="14.4" x14ac:dyDescent="0.3">
      <c r="A60" s="38" t="s">
        <v>28</v>
      </c>
      <c r="B60" s="38"/>
      <c r="C60" s="36" t="s">
        <v>23</v>
      </c>
      <c r="D60" s="43">
        <v>0</v>
      </c>
      <c r="E60" s="43">
        <v>0</v>
      </c>
      <c r="F60" s="43">
        <v>0</v>
      </c>
      <c r="G60" s="43">
        <v>0</v>
      </c>
      <c r="H60" s="43">
        <v>0</v>
      </c>
      <c r="I60" s="43">
        <v>0</v>
      </c>
      <c r="J60" s="43">
        <v>0</v>
      </c>
      <c r="K60" s="43">
        <v>0</v>
      </c>
      <c r="L60" s="43">
        <v>0</v>
      </c>
      <c r="M60" s="43">
        <v>0</v>
      </c>
      <c r="N60" s="43">
        <v>0</v>
      </c>
      <c r="O60" s="43">
        <v>0</v>
      </c>
      <c r="P60" s="43">
        <v>0</v>
      </c>
    </row>
    <row r="61" spans="1:16" ht="14.4" x14ac:dyDescent="0.3">
      <c r="A61" s="34" t="s">
        <v>29</v>
      </c>
      <c r="B61" s="34"/>
      <c r="C61" s="36"/>
      <c r="D61" s="45"/>
      <c r="E61" s="45"/>
      <c r="F61" s="45"/>
      <c r="G61" s="45"/>
      <c r="H61" s="45"/>
      <c r="I61" s="45"/>
      <c r="J61" s="45"/>
      <c r="K61" s="45"/>
      <c r="L61" s="45"/>
      <c r="M61" s="45"/>
      <c r="N61" s="45"/>
      <c r="O61" s="45"/>
      <c r="P61" s="45"/>
    </row>
    <row r="62" spans="1:16" ht="14.4" x14ac:dyDescent="0.3">
      <c r="A62" s="38" t="s">
        <v>30</v>
      </c>
      <c r="B62" s="38"/>
      <c r="C62" s="36" t="s">
        <v>19</v>
      </c>
      <c r="D62" s="40" t="s">
        <v>61</v>
      </c>
      <c r="E62" s="40" t="s">
        <v>61</v>
      </c>
      <c r="F62" s="40" t="s">
        <v>61</v>
      </c>
      <c r="G62" s="40" t="s">
        <v>61</v>
      </c>
      <c r="H62" s="40" t="s">
        <v>61</v>
      </c>
      <c r="I62" s="40" t="s">
        <v>61</v>
      </c>
      <c r="J62" s="40" t="s">
        <v>61</v>
      </c>
      <c r="K62" s="40" t="s">
        <v>61</v>
      </c>
      <c r="L62" s="40" t="s">
        <v>61</v>
      </c>
      <c r="M62" s="40" t="s">
        <v>61</v>
      </c>
      <c r="N62" s="40" t="s">
        <v>61</v>
      </c>
      <c r="O62" s="40" t="s">
        <v>61</v>
      </c>
      <c r="P62" s="40" t="s">
        <v>61</v>
      </c>
    </row>
    <row r="63" spans="1:16" ht="14.4" x14ac:dyDescent="0.3">
      <c r="A63" s="38" t="s">
        <v>31</v>
      </c>
      <c r="B63" s="38"/>
      <c r="C63" s="36" t="s">
        <v>32</v>
      </c>
      <c r="D63" s="40" t="s">
        <v>62</v>
      </c>
      <c r="E63" s="40" t="s">
        <v>62</v>
      </c>
      <c r="F63" s="40" t="s">
        <v>62</v>
      </c>
      <c r="G63" s="40" t="s">
        <v>62</v>
      </c>
      <c r="H63" s="40" t="s">
        <v>62</v>
      </c>
      <c r="I63" s="40" t="s">
        <v>62</v>
      </c>
      <c r="J63" s="40" t="s">
        <v>62</v>
      </c>
      <c r="K63" s="40" t="s">
        <v>62</v>
      </c>
      <c r="L63" s="40" t="s">
        <v>62</v>
      </c>
      <c r="M63" s="40" t="s">
        <v>62</v>
      </c>
      <c r="N63" s="40" t="s">
        <v>62</v>
      </c>
      <c r="O63" s="40" t="s">
        <v>62</v>
      </c>
      <c r="P63" s="40" t="s">
        <v>62</v>
      </c>
    </row>
    <row r="64" spans="1:16" ht="14.4" x14ac:dyDescent="0.3">
      <c r="A64" s="34" t="s">
        <v>33</v>
      </c>
      <c r="B64" s="34"/>
      <c r="C64" s="36"/>
      <c r="D64" s="45"/>
      <c r="E64" s="45"/>
      <c r="F64" s="45"/>
      <c r="G64" s="45"/>
      <c r="H64" s="45"/>
      <c r="I64" s="45"/>
      <c r="J64" s="45"/>
      <c r="K64" s="45"/>
      <c r="L64" s="45"/>
      <c r="M64" s="45"/>
      <c r="N64" s="45"/>
      <c r="O64" s="45"/>
      <c r="P64" s="45"/>
    </row>
    <row r="65" spans="1:16" ht="14.4" x14ac:dyDescent="0.3">
      <c r="A65" s="38" t="s">
        <v>34</v>
      </c>
      <c r="B65" s="38"/>
      <c r="C65" s="36" t="s">
        <v>19</v>
      </c>
      <c r="D65" s="42">
        <v>0.3377</v>
      </c>
      <c r="E65" s="42">
        <v>0.3377</v>
      </c>
      <c r="F65" s="42">
        <v>0.3377</v>
      </c>
      <c r="G65" s="42">
        <v>0.3377</v>
      </c>
      <c r="H65" s="42">
        <v>0.3377</v>
      </c>
      <c r="I65" s="42">
        <v>0.3377</v>
      </c>
      <c r="J65" s="42">
        <v>0.3377</v>
      </c>
      <c r="K65" s="42">
        <v>0.3377</v>
      </c>
      <c r="L65" s="42">
        <v>0.3377</v>
      </c>
      <c r="M65" s="42">
        <v>0.3377</v>
      </c>
      <c r="N65" s="42">
        <v>0.3377</v>
      </c>
      <c r="O65" s="42">
        <v>0.3377</v>
      </c>
      <c r="P65" s="42">
        <v>0.3377</v>
      </c>
    </row>
    <row r="66" spans="1:16" ht="14.4" x14ac:dyDescent="0.3">
      <c r="A66" s="38" t="s">
        <v>35</v>
      </c>
      <c r="B66" s="38"/>
      <c r="C66" s="36" t="s">
        <v>36</v>
      </c>
      <c r="D66" s="40" t="s">
        <v>63</v>
      </c>
      <c r="E66" s="40" t="s">
        <v>63</v>
      </c>
      <c r="F66" s="40" t="s">
        <v>63</v>
      </c>
      <c r="G66" s="40" t="s">
        <v>63</v>
      </c>
      <c r="H66" s="40" t="s">
        <v>63</v>
      </c>
      <c r="I66" s="40" t="s">
        <v>63</v>
      </c>
      <c r="J66" s="40" t="s">
        <v>63</v>
      </c>
      <c r="K66" s="40" t="s">
        <v>63</v>
      </c>
      <c r="L66" s="40" t="s">
        <v>63</v>
      </c>
      <c r="M66" s="40" t="s">
        <v>63</v>
      </c>
      <c r="N66" s="40" t="s">
        <v>63</v>
      </c>
      <c r="O66" s="40" t="s">
        <v>63</v>
      </c>
      <c r="P66" s="40" t="s">
        <v>63</v>
      </c>
    </row>
    <row r="67" spans="1:16" ht="14.4" x14ac:dyDescent="0.3">
      <c r="A67" s="34" t="s">
        <v>37</v>
      </c>
      <c r="B67" s="34"/>
      <c r="C67" s="36"/>
      <c r="D67" s="45"/>
      <c r="E67" s="45"/>
      <c r="F67" s="45"/>
      <c r="G67" s="45"/>
      <c r="H67" s="45"/>
      <c r="I67" s="45"/>
      <c r="J67" s="45"/>
      <c r="K67" s="45"/>
      <c r="L67" s="45"/>
      <c r="M67" s="45"/>
      <c r="N67" s="45"/>
      <c r="O67" s="45"/>
      <c r="P67" s="45"/>
    </row>
    <row r="68" spans="1:16" ht="14.4" x14ac:dyDescent="0.3">
      <c r="A68" s="25" t="s">
        <v>138</v>
      </c>
      <c r="B68" s="18"/>
      <c r="C68" s="16" t="s">
        <v>19</v>
      </c>
      <c r="D68" s="20"/>
      <c r="E68" s="20"/>
      <c r="F68" s="20"/>
      <c r="G68" s="20"/>
      <c r="H68" s="20"/>
      <c r="I68" s="20"/>
      <c r="J68" s="20">
        <v>-7.3099999999999998E-2</v>
      </c>
      <c r="K68" s="20"/>
      <c r="L68" s="20"/>
      <c r="M68" s="20"/>
      <c r="N68" s="20"/>
      <c r="O68" s="20"/>
      <c r="P68" s="20"/>
    </row>
    <row r="69" spans="1:16" ht="14.4" x14ac:dyDescent="0.3">
      <c r="A69" s="46" t="s">
        <v>38</v>
      </c>
      <c r="B69" s="38"/>
      <c r="C69" s="36" t="s">
        <v>19</v>
      </c>
      <c r="D69" s="42">
        <f>[47]LD!D28</f>
        <v>9.7600000000000006E-2</v>
      </c>
      <c r="E69" s="42">
        <f>[47]LD!E28</f>
        <v>0.1077</v>
      </c>
      <c r="F69" s="42">
        <f>[47]LD!F28</f>
        <v>0.1234</v>
      </c>
      <c r="G69" s="42">
        <f>[47]LD!G28</f>
        <v>0.124</v>
      </c>
      <c r="H69" s="42">
        <f>[47]LD!H28</f>
        <v>8.2000000000000003E-2</v>
      </c>
      <c r="I69" s="42">
        <f>[47]LD!I28</f>
        <v>7.5499999999999998E-2</v>
      </c>
      <c r="J69" s="42">
        <f>[47]LD!J28</f>
        <v>6.4899999999999999E-2</v>
      </c>
      <c r="K69" s="42">
        <f>[47]LD!K28</f>
        <v>7.5600000000000001E-2</v>
      </c>
      <c r="L69" s="42">
        <f>[47]LD!L28</f>
        <v>7.85E-2</v>
      </c>
      <c r="M69" s="42">
        <f>[47]LD!M28</f>
        <v>7.5399999999999995E-2</v>
      </c>
      <c r="N69" s="42">
        <f>[47]LD!N28</f>
        <v>7.5700000000000003E-2</v>
      </c>
      <c r="O69" s="42">
        <f>[47]LD!O28</f>
        <v>7.8299999999999995E-2</v>
      </c>
      <c r="P69" s="42">
        <f>[47]LD!P28</f>
        <v>0</v>
      </c>
    </row>
    <row r="70" spans="1:16" ht="14.4" x14ac:dyDescent="0.3">
      <c r="A70" s="46" t="s">
        <v>39</v>
      </c>
      <c r="B70" s="38"/>
      <c r="C70" s="36" t="s">
        <v>19</v>
      </c>
      <c r="D70" s="40" t="s">
        <v>64</v>
      </c>
      <c r="E70" s="40" t="s">
        <v>64</v>
      </c>
      <c r="F70" s="40" t="s">
        <v>64</v>
      </c>
      <c r="G70" s="40" t="s">
        <v>64</v>
      </c>
      <c r="H70" s="40" t="s">
        <v>64</v>
      </c>
      <c r="I70" s="40" t="s">
        <v>64</v>
      </c>
      <c r="J70" s="40" t="s">
        <v>64</v>
      </c>
      <c r="K70" s="40" t="s">
        <v>64</v>
      </c>
      <c r="L70" s="40" t="s">
        <v>64</v>
      </c>
      <c r="M70" s="40" t="s">
        <v>64</v>
      </c>
      <c r="N70" s="40" t="s">
        <v>64</v>
      </c>
      <c r="O70" s="40" t="s">
        <v>64</v>
      </c>
      <c r="P70" s="40" t="s">
        <v>64</v>
      </c>
    </row>
    <row r="71" spans="1:16" ht="14.4" x14ac:dyDescent="0.3">
      <c r="A71" s="47" t="s">
        <v>40</v>
      </c>
      <c r="B71" s="38"/>
      <c r="C71" s="36" t="s">
        <v>19</v>
      </c>
      <c r="D71" s="42">
        <f>'[47]SR CIT. SUBSIDY'!D134</f>
        <v>8.1671193651487679E-5</v>
      </c>
      <c r="E71" s="42">
        <f>'[47]SR CIT. SUBSIDY'!E134</f>
        <v>7.9496172853225534E-5</v>
      </c>
      <c r="F71" s="42">
        <f>'[47]SR CIT. SUBSIDY'!F134</f>
        <v>9.1117198287407098E-5</v>
      </c>
      <c r="G71" s="42">
        <f>'[47]SR CIT. SUBSIDY'!G134</f>
        <v>9.2294258932552585E-5</v>
      </c>
      <c r="H71" s="42">
        <f>'[47]SR CIT. SUBSIDY'!H134</f>
        <v>8.664510925241928E-5</v>
      </c>
      <c r="I71" s="42">
        <f>'[47]SR CIT. SUBSIDY'!I134</f>
        <v>8.4286320439276092E-5</v>
      </c>
      <c r="J71" s="42">
        <f>'[47]SR CIT. SUBSIDY'!J134</f>
        <v>7.5057505029560973E-5</v>
      </c>
      <c r="K71" s="42">
        <f>'[47]SR CIT. SUBSIDY'!K134</f>
        <v>7.5699329562342512E-5</v>
      </c>
      <c r="L71" s="42">
        <f>'[47]SR CIT. SUBSIDY'!L134</f>
        <v>7.3950804174552343E-5</v>
      </c>
      <c r="M71" s="42">
        <f>'[47]SR CIT. SUBSIDY'!M134</f>
        <v>6.9724330278463729E-5</v>
      </c>
      <c r="N71" s="42">
        <f>'[47]SR CIT. SUBSIDY'!N134</f>
        <v>7.1523365693916283E-5</v>
      </c>
      <c r="O71" s="42">
        <f>'[47]SR CIT. SUBSIDY'!O134</f>
        <v>7.2222317373892914E-5</v>
      </c>
      <c r="P71" s="42">
        <f>'[47]SR CIT. SUBSIDY'!P134</f>
        <v>0</v>
      </c>
    </row>
    <row r="72" spans="1:16" ht="14.4" x14ac:dyDescent="0.3">
      <c r="A72" s="47" t="s">
        <v>41</v>
      </c>
      <c r="B72" s="38"/>
      <c r="C72" s="36" t="s">
        <v>19</v>
      </c>
      <c r="D72" s="42">
        <f t="shared" ref="D72:P72" si="2">D29</f>
        <v>0</v>
      </c>
      <c r="E72" s="42">
        <f t="shared" si="2"/>
        <v>0</v>
      </c>
      <c r="F72" s="42">
        <f t="shared" si="2"/>
        <v>0</v>
      </c>
      <c r="G72" s="42">
        <f t="shared" si="2"/>
        <v>0</v>
      </c>
      <c r="H72" s="42">
        <f t="shared" si="2"/>
        <v>0</v>
      </c>
      <c r="I72" s="42">
        <f t="shared" si="2"/>
        <v>0</v>
      </c>
      <c r="J72" s="42">
        <f t="shared" si="2"/>
        <v>0</v>
      </c>
      <c r="K72" s="42">
        <f t="shared" si="2"/>
        <v>0</v>
      </c>
      <c r="L72" s="42">
        <f t="shared" si="2"/>
        <v>0</v>
      </c>
      <c r="M72" s="42">
        <f t="shared" si="2"/>
        <v>0</v>
      </c>
      <c r="N72" s="42">
        <f t="shared" si="2"/>
        <v>0</v>
      </c>
      <c r="O72" s="42">
        <f t="shared" si="2"/>
        <v>0</v>
      </c>
      <c r="P72" s="42">
        <f t="shared" si="2"/>
        <v>0</v>
      </c>
    </row>
    <row r="73" spans="1:16" ht="14.4" x14ac:dyDescent="0.3">
      <c r="A73" s="34" t="s">
        <v>42</v>
      </c>
      <c r="B73" s="34"/>
      <c r="C73" s="36"/>
      <c r="D73" s="45"/>
      <c r="E73" s="45"/>
      <c r="F73" s="45"/>
      <c r="G73" s="45"/>
      <c r="H73" s="45"/>
      <c r="I73" s="45"/>
      <c r="J73" s="45"/>
      <c r="K73" s="45"/>
      <c r="L73" s="45"/>
      <c r="M73" s="45"/>
      <c r="N73" s="45"/>
      <c r="O73" s="45"/>
      <c r="P73" s="45"/>
    </row>
    <row r="74" spans="1:16" ht="14.4" x14ac:dyDescent="0.3">
      <c r="A74" s="34" t="s">
        <v>43</v>
      </c>
      <c r="B74" s="34"/>
      <c r="C74" s="36" t="s">
        <v>44</v>
      </c>
      <c r="D74" s="48"/>
      <c r="E74" s="48"/>
      <c r="F74" s="48"/>
      <c r="G74" s="48"/>
      <c r="H74" s="48"/>
      <c r="I74" s="48"/>
      <c r="J74" s="48"/>
      <c r="K74" s="48"/>
      <c r="L74" s="48"/>
      <c r="M74" s="48"/>
      <c r="N74" s="48"/>
      <c r="O74" s="48"/>
      <c r="P74" s="48"/>
    </row>
    <row r="75" spans="1:16" ht="14.4" x14ac:dyDescent="0.3">
      <c r="A75" s="34" t="s">
        <v>45</v>
      </c>
      <c r="B75" s="34"/>
      <c r="C75" s="36"/>
      <c r="D75" s="49"/>
      <c r="E75" s="49"/>
      <c r="F75" s="49"/>
      <c r="G75" s="49"/>
      <c r="H75" s="49"/>
      <c r="I75" s="49"/>
      <c r="J75" s="49"/>
      <c r="K75" s="49"/>
      <c r="L75" s="49"/>
      <c r="M75" s="49"/>
      <c r="N75" s="49"/>
      <c r="O75" s="49"/>
      <c r="P75" s="49"/>
    </row>
    <row r="76" spans="1:16" ht="14.4" x14ac:dyDescent="0.3">
      <c r="A76" s="34" t="s">
        <v>46</v>
      </c>
      <c r="B76" s="34"/>
      <c r="C76" s="36" t="s">
        <v>19</v>
      </c>
      <c r="D76" s="40" t="s">
        <v>65</v>
      </c>
      <c r="E76" s="40" t="s">
        <v>65</v>
      </c>
      <c r="F76" s="40" t="s">
        <v>65</v>
      </c>
      <c r="G76" s="40" t="s">
        <v>65</v>
      </c>
      <c r="H76" s="40" t="s">
        <v>65</v>
      </c>
      <c r="I76" s="40" t="s">
        <v>65</v>
      </c>
      <c r="J76" s="40" t="s">
        <v>65</v>
      </c>
      <c r="K76" s="40" t="s">
        <v>65</v>
      </c>
      <c r="L76" s="40" t="s">
        <v>65</v>
      </c>
      <c r="M76" s="40" t="s">
        <v>65</v>
      </c>
      <c r="N76" s="40" t="s">
        <v>65</v>
      </c>
      <c r="O76" s="40" t="s">
        <v>65</v>
      </c>
      <c r="P76" s="40" t="s">
        <v>65</v>
      </c>
    </row>
    <row r="77" spans="1:16" ht="14.4" x14ac:dyDescent="0.3">
      <c r="A77" s="34" t="s">
        <v>47</v>
      </c>
      <c r="B77" s="34"/>
      <c r="C77" s="36"/>
      <c r="D77" s="45"/>
      <c r="E77" s="45"/>
      <c r="F77" s="45"/>
      <c r="G77" s="45"/>
      <c r="H77" s="45"/>
      <c r="I77" s="45"/>
      <c r="J77" s="45"/>
      <c r="K77" s="45"/>
      <c r="L77" s="45"/>
      <c r="M77" s="45"/>
      <c r="N77" s="45"/>
      <c r="O77" s="45"/>
      <c r="P77" s="45"/>
    </row>
    <row r="78" spans="1:16" ht="14.4" x14ac:dyDescent="0.3">
      <c r="A78" s="38" t="s">
        <v>48</v>
      </c>
      <c r="B78" s="38"/>
      <c r="C78" s="36" t="s">
        <v>19</v>
      </c>
      <c r="D78" s="42">
        <f>D35</f>
        <v>0.15609999999999999</v>
      </c>
      <c r="E78" s="42">
        <f t="shared" ref="E78:P82" si="3">E35</f>
        <v>0.15609999999999999</v>
      </c>
      <c r="F78" s="42">
        <f t="shared" si="3"/>
        <v>0.15609999999999999</v>
      </c>
      <c r="G78" s="42">
        <f t="shared" si="3"/>
        <v>0.15609999999999999</v>
      </c>
      <c r="H78" s="42">
        <f t="shared" si="3"/>
        <v>0.15609999999999999</v>
      </c>
      <c r="I78" s="42">
        <f t="shared" si="3"/>
        <v>0.15609999999999999</v>
      </c>
      <c r="J78" s="42">
        <f t="shared" si="3"/>
        <v>0.15609999999999999</v>
      </c>
      <c r="K78" s="42">
        <f t="shared" si="3"/>
        <v>0.15609999999999999</v>
      </c>
      <c r="L78" s="42">
        <f t="shared" si="3"/>
        <v>0.15609999999999999</v>
      </c>
      <c r="M78" s="42">
        <f t="shared" si="3"/>
        <v>0.15609999999999999</v>
      </c>
      <c r="N78" s="42">
        <f t="shared" si="3"/>
        <v>0.15609999999999999</v>
      </c>
      <c r="O78" s="42">
        <f t="shared" si="3"/>
        <v>0.15609999999999999</v>
      </c>
      <c r="P78" s="42">
        <f t="shared" si="3"/>
        <v>0.15609999999999999</v>
      </c>
    </row>
    <row r="79" spans="1:16" ht="14.4" x14ac:dyDescent="0.3">
      <c r="A79" s="38" t="s">
        <v>49</v>
      </c>
      <c r="B79" s="38"/>
      <c r="C79" s="36" t="s">
        <v>19</v>
      </c>
      <c r="D79" s="42">
        <f>D36</f>
        <v>2.5000000000000001E-3</v>
      </c>
      <c r="E79" s="42">
        <f t="shared" si="3"/>
        <v>2.5000000000000001E-3</v>
      </c>
      <c r="F79" s="42">
        <f t="shared" si="3"/>
        <v>2.5000000000000001E-3</v>
      </c>
      <c r="G79" s="42">
        <f t="shared" si="3"/>
        <v>2.5000000000000001E-3</v>
      </c>
      <c r="H79" s="42">
        <f t="shared" si="3"/>
        <v>2.5000000000000001E-3</v>
      </c>
      <c r="I79" s="42">
        <f t="shared" si="3"/>
        <v>2.5000000000000001E-3</v>
      </c>
      <c r="J79" s="42">
        <f t="shared" si="3"/>
        <v>2.5000000000000001E-3</v>
      </c>
      <c r="K79" s="42">
        <f t="shared" si="3"/>
        <v>2.5000000000000001E-3</v>
      </c>
      <c r="L79" s="42">
        <f t="shared" si="3"/>
        <v>2.5000000000000001E-3</v>
      </c>
      <c r="M79" s="42">
        <f t="shared" si="3"/>
        <v>2.5000000000000001E-3</v>
      </c>
      <c r="N79" s="42">
        <f t="shared" si="3"/>
        <v>2.5000000000000001E-3</v>
      </c>
      <c r="O79" s="42">
        <f t="shared" si="3"/>
        <v>2.5000000000000001E-3</v>
      </c>
      <c r="P79" s="42">
        <f t="shared" si="3"/>
        <v>2.5000000000000001E-3</v>
      </c>
    </row>
    <row r="80" spans="1:16" ht="14.4" x14ac:dyDescent="0.3">
      <c r="A80" s="18" t="s">
        <v>111</v>
      </c>
      <c r="B80" s="18"/>
      <c r="C80" s="36" t="s">
        <v>19</v>
      </c>
      <c r="D80" s="42">
        <f>D37</f>
        <v>0.1938</v>
      </c>
      <c r="E80" s="42">
        <f t="shared" si="3"/>
        <v>-0.3876</v>
      </c>
      <c r="F80" s="42">
        <f t="shared" si="3"/>
        <v>0</v>
      </c>
      <c r="G80" s="42">
        <f t="shared" si="3"/>
        <v>0</v>
      </c>
      <c r="H80" s="42">
        <f t="shared" si="3"/>
        <v>0</v>
      </c>
      <c r="I80" s="42">
        <f t="shared" si="3"/>
        <v>0</v>
      </c>
      <c r="J80" s="42">
        <f t="shared" si="3"/>
        <v>0</v>
      </c>
      <c r="K80" s="42">
        <f t="shared" si="3"/>
        <v>0</v>
      </c>
      <c r="L80" s="42">
        <f t="shared" si="3"/>
        <v>0</v>
      </c>
      <c r="M80" s="42">
        <f t="shared" si="3"/>
        <v>0</v>
      </c>
      <c r="N80" s="42">
        <f t="shared" si="3"/>
        <v>0</v>
      </c>
      <c r="O80" s="42">
        <f t="shared" si="3"/>
        <v>0</v>
      </c>
      <c r="P80" s="42">
        <f t="shared" si="3"/>
        <v>0</v>
      </c>
    </row>
    <row r="81" spans="1:16" ht="14.4" x14ac:dyDescent="0.3">
      <c r="A81" s="18" t="s">
        <v>112</v>
      </c>
      <c r="B81" s="18"/>
      <c r="C81" s="16" t="s">
        <v>19</v>
      </c>
      <c r="D81" s="42">
        <f>D38</f>
        <v>2.6499999999999999E-2</v>
      </c>
      <c r="E81" s="42">
        <f t="shared" si="3"/>
        <v>2.6499999999999999E-2</v>
      </c>
      <c r="F81" s="42">
        <f t="shared" si="3"/>
        <v>2.6499999999999999E-2</v>
      </c>
      <c r="G81" s="42">
        <f t="shared" si="3"/>
        <v>4.2799999999999998E-2</v>
      </c>
      <c r="H81" s="42">
        <f t="shared" si="3"/>
        <v>4.2799999999999998E-2</v>
      </c>
      <c r="I81" s="42">
        <f t="shared" si="3"/>
        <v>4.2799999999999998E-2</v>
      </c>
      <c r="J81" s="42">
        <f t="shared" si="3"/>
        <v>4.2799999999999998E-2</v>
      </c>
      <c r="K81" s="42">
        <f t="shared" si="3"/>
        <v>4.2799999999999998E-2</v>
      </c>
      <c r="L81" s="42">
        <f t="shared" si="3"/>
        <v>4.2799999999999998E-2</v>
      </c>
      <c r="M81" s="42">
        <f t="shared" si="3"/>
        <v>4.2799999999999998E-2</v>
      </c>
      <c r="N81" s="42">
        <f t="shared" si="3"/>
        <v>4.2799999999999998E-2</v>
      </c>
      <c r="O81" s="42">
        <f t="shared" si="3"/>
        <v>4.2799999999999998E-2</v>
      </c>
      <c r="P81" s="42">
        <f t="shared" si="3"/>
        <v>4.2799999999999998E-2</v>
      </c>
    </row>
    <row r="82" spans="1:16" ht="14.4" x14ac:dyDescent="0.3">
      <c r="A82" s="14" t="s">
        <v>51</v>
      </c>
      <c r="B82" s="14"/>
      <c r="C82" s="16" t="s">
        <v>19</v>
      </c>
      <c r="D82" s="20">
        <f>D39</f>
        <v>0.25629999999999997</v>
      </c>
      <c r="E82" s="20">
        <f t="shared" si="3"/>
        <v>0.25629999999999997</v>
      </c>
      <c r="F82" s="20">
        <f t="shared" si="3"/>
        <v>0.25629999999999997</v>
      </c>
      <c r="G82" s="20">
        <f t="shared" si="3"/>
        <v>0.22259999999999999</v>
      </c>
      <c r="H82" s="20">
        <f t="shared" si="3"/>
        <v>0.22259999999999999</v>
      </c>
      <c r="I82" s="20">
        <f t="shared" si="3"/>
        <v>0.22259999999999999</v>
      </c>
      <c r="J82" s="20">
        <f t="shared" si="3"/>
        <v>0.22259999999999999</v>
      </c>
      <c r="K82" s="20">
        <f t="shared" si="3"/>
        <v>0.22259999999999999</v>
      </c>
      <c r="L82" s="20">
        <f t="shared" si="3"/>
        <v>0.22259999999999999</v>
      </c>
      <c r="M82" s="20">
        <f t="shared" si="3"/>
        <v>0.22259999999999999</v>
      </c>
      <c r="N82" s="20">
        <f t="shared" si="3"/>
        <v>0.22259999999999999</v>
      </c>
      <c r="O82" s="20">
        <f t="shared" si="3"/>
        <v>0.22259999999999999</v>
      </c>
      <c r="P82" s="20">
        <f t="shared" si="3"/>
        <v>0.22259999999999999</v>
      </c>
    </row>
    <row r="83" spans="1:16" ht="14.4" x14ac:dyDescent="0.3">
      <c r="A83" s="34" t="s">
        <v>52</v>
      </c>
      <c r="B83" s="34"/>
      <c r="C83" s="50"/>
      <c r="D83" s="44"/>
      <c r="E83" s="44"/>
      <c r="F83" s="44"/>
      <c r="G83" s="44"/>
      <c r="H83" s="44"/>
      <c r="I83" s="44"/>
      <c r="J83" s="44"/>
      <c r="K83" s="44"/>
      <c r="L83" s="44"/>
      <c r="M83" s="44"/>
      <c r="N83" s="44"/>
      <c r="O83" s="44"/>
      <c r="P83" s="44"/>
    </row>
    <row r="84" spans="1:16" ht="14.4" x14ac:dyDescent="0.3">
      <c r="A84" s="38" t="s">
        <v>53</v>
      </c>
      <c r="B84" s="38"/>
      <c r="C84" s="36" t="s">
        <v>44</v>
      </c>
      <c r="D84" s="51">
        <f>'[47]DU VAT'!D15</f>
        <v>0.1129</v>
      </c>
      <c r="E84" s="51">
        <f>'[47]DU VAT'!E15</f>
        <v>0.1091</v>
      </c>
      <c r="F84" s="51">
        <f>'[47]DU VAT'!F15</f>
        <v>0.1124</v>
      </c>
      <c r="G84" s="51">
        <f>'[47]DU VAT'!G15</f>
        <v>0.1123</v>
      </c>
      <c r="H84" s="51">
        <f>'[47]DU VAT'!H15</f>
        <v>0.10780000000000001</v>
      </c>
      <c r="I84" s="51">
        <f>'[47]DU VAT'!I15</f>
        <v>0.1113</v>
      </c>
      <c r="J84" s="51">
        <f>'[47]DU VAT'!J15</f>
        <v>0.111</v>
      </c>
      <c r="K84" s="51">
        <f>'[47]DU VAT'!K15</f>
        <v>0.11260000000000001</v>
      </c>
      <c r="L84" s="51">
        <f>'[47]DU VAT'!L15</f>
        <v>0.1143</v>
      </c>
      <c r="M84" s="51">
        <f>'[47]DU VAT'!M15</f>
        <v>0.1157</v>
      </c>
      <c r="N84" s="51">
        <f>'[47]DU VAT'!N15</f>
        <v>0.11</v>
      </c>
      <c r="O84" s="51">
        <f>'[47]DU VAT'!O15</f>
        <v>0.112</v>
      </c>
      <c r="P84" s="51" t="e">
        <f>'[47]DU VAT'!P15</f>
        <v>#DIV/0!</v>
      </c>
    </row>
    <row r="85" spans="1:16" ht="14.4" x14ac:dyDescent="0.3">
      <c r="A85" s="38" t="s">
        <v>54</v>
      </c>
      <c r="B85" s="38"/>
      <c r="C85" s="36" t="s">
        <v>44</v>
      </c>
      <c r="D85" s="51">
        <f>'[47]DU VAT'!D19</f>
        <v>0.1028</v>
      </c>
      <c r="E85" s="51">
        <f>'[47]DU VAT'!E19</f>
        <v>0.1026</v>
      </c>
      <c r="F85" s="51">
        <f>'[47]DU VAT'!F19</f>
        <v>0.1045</v>
      </c>
      <c r="G85" s="51">
        <f>'[47]DU VAT'!G19</f>
        <v>0.109</v>
      </c>
      <c r="H85" s="51">
        <f>'[47]DU VAT'!H19</f>
        <v>0.1099</v>
      </c>
      <c r="I85" s="51">
        <f>'[47]DU VAT'!I19</f>
        <v>0.11070000000000001</v>
      </c>
      <c r="J85" s="51">
        <f>'[47]DU VAT'!J19</f>
        <v>0.1036</v>
      </c>
      <c r="K85" s="51">
        <f>'[47]DU VAT'!K19</f>
        <v>0.1027</v>
      </c>
      <c r="L85" s="51">
        <f>'[47]DU VAT'!L19</f>
        <v>0.10150000000000001</v>
      </c>
      <c r="M85" s="51">
        <f>'[47]DU VAT'!M19</f>
        <v>9.7199999999999995E-2</v>
      </c>
      <c r="N85" s="51">
        <f>'[47]DU VAT'!N19</f>
        <v>9.7900000000000001E-2</v>
      </c>
      <c r="O85" s="51">
        <f>'[47]DU VAT'!O19</f>
        <v>0.10340000000000001</v>
      </c>
      <c r="P85" s="51" t="e">
        <f>'[47]DU VAT'!P19</f>
        <v>#DIV/0!</v>
      </c>
    </row>
    <row r="86" spans="1:16" ht="14.4" x14ac:dyDescent="0.3">
      <c r="A86" s="38" t="s">
        <v>55</v>
      </c>
      <c r="B86" s="38"/>
      <c r="C86" s="36" t="s">
        <v>44</v>
      </c>
      <c r="D86" s="51">
        <f>'[47]DU VAT'!D25</f>
        <v>0.1114</v>
      </c>
      <c r="E86" s="51">
        <f>'[47]DU VAT'!E25</f>
        <v>0.10829999999999999</v>
      </c>
      <c r="F86" s="51">
        <f>'[47]DU VAT'!F25</f>
        <v>0.1114</v>
      </c>
      <c r="G86" s="51">
        <f>'[47]DU VAT'!G25</f>
        <v>0.112</v>
      </c>
      <c r="H86" s="51">
        <f>'[47]DU VAT'!H25</f>
        <v>0.1081</v>
      </c>
      <c r="I86" s="51">
        <f>'[47]DU VAT'!I25</f>
        <v>0.1113</v>
      </c>
      <c r="J86" s="51">
        <f>'[47]DU VAT'!J25</f>
        <v>0.1103</v>
      </c>
      <c r="K86" s="51">
        <f>'[47]DU VAT'!K25</f>
        <v>0.1114</v>
      </c>
      <c r="L86" s="51">
        <f>'[47]DU VAT'!L25</f>
        <v>0.11269999999999999</v>
      </c>
      <c r="M86" s="51">
        <f>'[47]DU VAT'!M25</f>
        <v>0.1133</v>
      </c>
      <c r="N86" s="51">
        <f>'[47]DU VAT'!N25</f>
        <v>0.1087</v>
      </c>
      <c r="O86" s="51">
        <f>'[47]DU VAT'!O25</f>
        <v>0.111</v>
      </c>
      <c r="P86" s="51" t="e">
        <f>'[47]DU VAT'!P25</f>
        <v>#DIV/0!</v>
      </c>
    </row>
    <row r="87" spans="1:16" ht="14.4" x14ac:dyDescent="0.3">
      <c r="A87" s="38" t="s">
        <v>56</v>
      </c>
      <c r="B87" s="38"/>
      <c r="C87" s="36" t="s">
        <v>44</v>
      </c>
      <c r="D87" s="51">
        <f>D44</f>
        <v>0.12</v>
      </c>
      <c r="E87" s="51">
        <f t="shared" ref="E87:P88" si="4">E44</f>
        <v>0.12</v>
      </c>
      <c r="F87" s="51">
        <f t="shared" si="4"/>
        <v>0.12</v>
      </c>
      <c r="G87" s="51">
        <f t="shared" si="4"/>
        <v>0.12</v>
      </c>
      <c r="H87" s="51">
        <f t="shared" si="4"/>
        <v>0.12</v>
      </c>
      <c r="I87" s="51">
        <f t="shared" si="4"/>
        <v>0.12</v>
      </c>
      <c r="J87" s="51">
        <f t="shared" si="4"/>
        <v>0.12</v>
      </c>
      <c r="K87" s="51">
        <f t="shared" si="4"/>
        <v>0.12</v>
      </c>
      <c r="L87" s="51">
        <f t="shared" si="4"/>
        <v>0.12</v>
      </c>
      <c r="M87" s="51">
        <f t="shared" si="4"/>
        <v>0.12</v>
      </c>
      <c r="N87" s="51">
        <f t="shared" si="4"/>
        <v>0.12</v>
      </c>
      <c r="O87" s="51">
        <f t="shared" si="4"/>
        <v>0.12</v>
      </c>
      <c r="P87" s="51">
        <f t="shared" si="4"/>
        <v>0.12</v>
      </c>
    </row>
    <row r="88" spans="1:16" ht="14.4" x14ac:dyDescent="0.3">
      <c r="A88" s="38" t="s">
        <v>57</v>
      </c>
      <c r="B88" s="38"/>
      <c r="C88" s="36" t="s">
        <v>44</v>
      </c>
      <c r="D88" s="51">
        <f>D45</f>
        <v>0.12</v>
      </c>
      <c r="E88" s="51">
        <f t="shared" si="4"/>
        <v>0.12</v>
      </c>
      <c r="F88" s="51">
        <f t="shared" si="4"/>
        <v>0.12</v>
      </c>
      <c r="G88" s="51">
        <f t="shared" si="4"/>
        <v>0.12</v>
      </c>
      <c r="H88" s="51">
        <f t="shared" si="4"/>
        <v>0.12</v>
      </c>
      <c r="I88" s="51">
        <f t="shared" si="4"/>
        <v>0.12</v>
      </c>
      <c r="J88" s="51">
        <f t="shared" si="4"/>
        <v>0.12</v>
      </c>
      <c r="K88" s="51">
        <f t="shared" si="4"/>
        <v>0.12</v>
      </c>
      <c r="L88" s="51">
        <f t="shared" si="4"/>
        <v>0.12</v>
      </c>
      <c r="M88" s="51">
        <f t="shared" si="4"/>
        <v>0.12</v>
      </c>
      <c r="N88" s="51">
        <f t="shared" si="4"/>
        <v>0.12</v>
      </c>
      <c r="O88" s="51">
        <f t="shared" si="4"/>
        <v>0.12</v>
      </c>
      <c r="P88" s="51">
        <f t="shared" si="4"/>
        <v>0.12</v>
      </c>
    </row>
    <row r="90" spans="1:16" x14ac:dyDescent="0.3">
      <c r="A90" s="3" t="s">
        <v>58</v>
      </c>
    </row>
    <row r="91" spans="1:16" x14ac:dyDescent="0.3">
      <c r="A91" s="33"/>
    </row>
    <row r="92" spans="1:16" ht="18" x14ac:dyDescent="0.35">
      <c r="A92" s="9" t="str">
        <f>'[47]Statistical data'!A150</f>
        <v xml:space="preserve">  General Service A</v>
      </c>
      <c r="B92" s="9"/>
      <c r="C92" s="5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</row>
    <row r="93" spans="1:16" s="13" customFormat="1" ht="14.4" x14ac:dyDescent="0.3">
      <c r="A93" s="11" t="s">
        <v>3</v>
      </c>
      <c r="B93" s="11"/>
      <c r="C93" s="11" t="s">
        <v>4</v>
      </c>
      <c r="D93" s="73">
        <f>D50</f>
        <v>43466</v>
      </c>
      <c r="E93" s="73">
        <f t="shared" ref="E93:P93" si="5">E50</f>
        <v>43497</v>
      </c>
      <c r="F93" s="73">
        <f t="shared" si="5"/>
        <v>43525</v>
      </c>
      <c r="G93" s="73">
        <f t="shared" si="5"/>
        <v>43556</v>
      </c>
      <c r="H93" s="73">
        <f t="shared" si="5"/>
        <v>43586</v>
      </c>
      <c r="I93" s="73">
        <f t="shared" si="5"/>
        <v>43617</v>
      </c>
      <c r="J93" s="73">
        <f t="shared" si="5"/>
        <v>43647</v>
      </c>
      <c r="K93" s="73">
        <f t="shared" si="5"/>
        <v>43678</v>
      </c>
      <c r="L93" s="73">
        <f t="shared" si="5"/>
        <v>43709</v>
      </c>
      <c r="M93" s="73">
        <f t="shared" si="5"/>
        <v>43739</v>
      </c>
      <c r="N93" s="73">
        <f t="shared" si="5"/>
        <v>43770</v>
      </c>
      <c r="O93" s="73">
        <f t="shared" si="5"/>
        <v>43800</v>
      </c>
      <c r="P93" s="73">
        <f t="shared" si="5"/>
        <v>43831</v>
      </c>
    </row>
    <row r="94" spans="1:16" ht="14.4" x14ac:dyDescent="0.3">
      <c r="A94" s="14" t="s">
        <v>17</v>
      </c>
      <c r="B94" s="15"/>
      <c r="C94" s="16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</row>
    <row r="95" spans="1:16" ht="14.4" x14ac:dyDescent="0.3">
      <c r="A95" s="18" t="s">
        <v>18</v>
      </c>
      <c r="B95" s="19"/>
      <c r="C95" s="16" t="s">
        <v>19</v>
      </c>
      <c r="D95" s="42">
        <f>[47]GR!D22</f>
        <v>4.9119000000000002</v>
      </c>
      <c r="E95" s="42">
        <f>[47]GR!E22</f>
        <v>5.8939000000000004</v>
      </c>
      <c r="F95" s="42">
        <f>[47]GR!F22</f>
        <v>5.5972999999999997</v>
      </c>
      <c r="G95" s="42">
        <f>[47]GR!G22</f>
        <v>5.6322000000000001</v>
      </c>
      <c r="H95" s="42">
        <f>[47]GR!H22</f>
        <v>5.5507999999999997</v>
      </c>
      <c r="I95" s="42">
        <f>[47]GR!I22</f>
        <v>5.4157999999999999</v>
      </c>
      <c r="J95" s="42">
        <f>[47]GR!J22</f>
        <v>5.4226999999999999</v>
      </c>
      <c r="K95" s="42">
        <f>[47]GR!K22</f>
        <v>4.9619999999999997</v>
      </c>
      <c r="L95" s="42">
        <f>[47]GR!L22</f>
        <v>4.5190999999999999</v>
      </c>
      <c r="M95" s="42">
        <f>[47]GR!M22</f>
        <v>4.5406000000000004</v>
      </c>
      <c r="N95" s="42">
        <f>[47]GR!N22</f>
        <v>5.0316999999999998</v>
      </c>
      <c r="O95" s="42">
        <f>[47]GR!O22</f>
        <v>5.1966999999999999</v>
      </c>
      <c r="P95" s="42" t="e">
        <f>[47]GR!P22</f>
        <v>#DIV/0!</v>
      </c>
    </row>
    <row r="96" spans="1:16" ht="14.4" x14ac:dyDescent="0.3">
      <c r="A96" s="14" t="s">
        <v>20</v>
      </c>
      <c r="B96" s="15"/>
      <c r="C96" s="16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</row>
    <row r="97" spans="1:16" ht="14.4" x14ac:dyDescent="0.3">
      <c r="A97" s="18" t="s">
        <v>21</v>
      </c>
      <c r="B97" s="19"/>
      <c r="C97" s="16" t="s">
        <v>19</v>
      </c>
      <c r="D97" s="20">
        <f>[47]TR!D32</f>
        <v>0.82020000000000004</v>
      </c>
      <c r="E97" s="20">
        <f>[47]TR!E32</f>
        <v>0.8095</v>
      </c>
      <c r="F97" s="20">
        <f>[47]TR!F32</f>
        <v>0.83830000000000005</v>
      </c>
      <c r="G97" s="20">
        <f>[47]TR!G32</f>
        <v>0.85709999999999997</v>
      </c>
      <c r="H97" s="20">
        <f>[47]TR!H32</f>
        <v>0.77629999999999999</v>
      </c>
      <c r="I97" s="20">
        <f>[47]TR!I32</f>
        <v>0.73360000000000003</v>
      </c>
      <c r="J97" s="20">
        <f>[47]TR!J32</f>
        <v>0.65480000000000005</v>
      </c>
      <c r="K97" s="20">
        <f>[47]TR!K32</f>
        <v>0.68820000000000003</v>
      </c>
      <c r="L97" s="20">
        <f>[47]TR!L32</f>
        <v>0.69379999999999997</v>
      </c>
      <c r="M97" s="20">
        <f>[47]TR!M32</f>
        <v>0.71870000000000001</v>
      </c>
      <c r="N97" s="20">
        <f>[47]TR!N32</f>
        <v>0.64200000000000002</v>
      </c>
      <c r="O97" s="20">
        <f>[47]TR!O32</f>
        <v>0.71730000000000005</v>
      </c>
      <c r="P97" s="20">
        <f>[47]TR!P32</f>
        <v>0</v>
      </c>
    </row>
    <row r="98" spans="1:16" ht="14.4" x14ac:dyDescent="0.3">
      <c r="A98" s="18" t="s">
        <v>22</v>
      </c>
      <c r="B98" s="19"/>
      <c r="C98" s="16" t="s">
        <v>23</v>
      </c>
      <c r="D98" s="23">
        <f>D55</f>
        <v>0</v>
      </c>
      <c r="E98" s="23">
        <f t="shared" ref="E98:P98" si="6">E55</f>
        <v>0</v>
      </c>
      <c r="F98" s="23">
        <f t="shared" si="6"/>
        <v>0</v>
      </c>
      <c r="G98" s="23">
        <f t="shared" si="6"/>
        <v>0</v>
      </c>
      <c r="H98" s="23">
        <f t="shared" si="6"/>
        <v>0</v>
      </c>
      <c r="I98" s="23">
        <f t="shared" si="6"/>
        <v>0</v>
      </c>
      <c r="J98" s="23">
        <f t="shared" si="6"/>
        <v>0</v>
      </c>
      <c r="K98" s="23">
        <f t="shared" si="6"/>
        <v>0</v>
      </c>
      <c r="L98" s="23">
        <f t="shared" si="6"/>
        <v>0</v>
      </c>
      <c r="M98" s="23">
        <f t="shared" si="6"/>
        <v>0</v>
      </c>
      <c r="N98" s="23">
        <f t="shared" si="6"/>
        <v>0</v>
      </c>
      <c r="O98" s="23">
        <f t="shared" si="6"/>
        <v>0</v>
      </c>
      <c r="P98" s="23">
        <f t="shared" si="6"/>
        <v>0</v>
      </c>
    </row>
    <row r="99" spans="1:16" ht="14.4" x14ac:dyDescent="0.3">
      <c r="A99" s="14" t="s">
        <v>24</v>
      </c>
      <c r="B99" s="15"/>
      <c r="C99" s="16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</row>
    <row r="100" spans="1:16" ht="14.4" x14ac:dyDescent="0.3">
      <c r="A100" s="18" t="s">
        <v>25</v>
      </c>
      <c r="B100" s="19"/>
      <c r="C100" s="16" t="s">
        <v>19</v>
      </c>
      <c r="D100" s="20">
        <f>[47]SLR!D65</f>
        <v>0.43730000000000002</v>
      </c>
      <c r="E100" s="20">
        <f>[47]SLR!E65</f>
        <v>0.50519999999999998</v>
      </c>
      <c r="F100" s="20">
        <f>[47]SLR!F65</f>
        <v>0.47049999999999997</v>
      </c>
      <c r="G100" s="20">
        <f>[47]SLR!G65</f>
        <v>0.48530000000000001</v>
      </c>
      <c r="H100" s="20">
        <f>[47]SLR!H65</f>
        <v>0.46889999999999998</v>
      </c>
      <c r="I100" s="20">
        <f>[47]SLR!I65</f>
        <v>0.45939999999999998</v>
      </c>
      <c r="J100" s="20">
        <f>[47]SLR!J65</f>
        <v>0.47739999999999999</v>
      </c>
      <c r="K100" s="20">
        <f>[47]SLR!K65</f>
        <v>0.4395</v>
      </c>
      <c r="L100" s="20">
        <f>[47]SLR!L65</f>
        <v>0.39689999999999998</v>
      </c>
      <c r="M100" s="20">
        <f>[47]SLR!M65</f>
        <v>0.39079999999999998</v>
      </c>
      <c r="N100" s="20">
        <f>[47]SLR!N65</f>
        <v>0.42249999999999999</v>
      </c>
      <c r="O100" s="20">
        <f>[47]SLR!O65</f>
        <v>0.4395</v>
      </c>
      <c r="P100" s="20">
        <f>[47]SLR!P65</f>
        <v>0</v>
      </c>
    </row>
    <row r="101" spans="1:16" ht="14.4" x14ac:dyDescent="0.3">
      <c r="A101" s="14" t="s">
        <v>26</v>
      </c>
      <c r="B101" s="14"/>
      <c r="C101" s="16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</row>
    <row r="102" spans="1:16" ht="14.4" x14ac:dyDescent="0.3">
      <c r="A102" s="18" t="s">
        <v>27</v>
      </c>
      <c r="B102" s="18"/>
      <c r="C102" s="16" t="s">
        <v>19</v>
      </c>
      <c r="D102" s="52" t="str">
        <f>D59</f>
        <v>See Schedule 2</v>
      </c>
      <c r="E102" s="52" t="str">
        <f t="shared" ref="E102:P102" si="7">E59</f>
        <v>See Schedule 2</v>
      </c>
      <c r="F102" s="52" t="str">
        <f t="shared" si="7"/>
        <v>See Schedule 2</v>
      </c>
      <c r="G102" s="52" t="str">
        <f t="shared" si="7"/>
        <v>See Schedule 2</v>
      </c>
      <c r="H102" s="52" t="str">
        <f t="shared" si="7"/>
        <v>See Schedule 2</v>
      </c>
      <c r="I102" s="52" t="str">
        <f t="shared" si="7"/>
        <v>See Schedule 2</v>
      </c>
      <c r="J102" s="52" t="str">
        <f t="shared" si="7"/>
        <v>See Schedule 2</v>
      </c>
      <c r="K102" s="52" t="str">
        <f t="shared" si="7"/>
        <v>See Schedule 2</v>
      </c>
      <c r="L102" s="52" t="str">
        <f t="shared" si="7"/>
        <v>See Schedule 2</v>
      </c>
      <c r="M102" s="52" t="str">
        <f t="shared" si="7"/>
        <v>See Schedule 2</v>
      </c>
      <c r="N102" s="52" t="str">
        <f t="shared" si="7"/>
        <v>See Schedule 2</v>
      </c>
      <c r="O102" s="52" t="str">
        <f t="shared" si="7"/>
        <v>See Schedule 2</v>
      </c>
      <c r="P102" s="52" t="str">
        <f t="shared" si="7"/>
        <v>See Schedule 2</v>
      </c>
    </row>
    <row r="103" spans="1:16" ht="14.4" x14ac:dyDescent="0.3">
      <c r="A103" s="18" t="s">
        <v>28</v>
      </c>
      <c r="B103" s="18"/>
      <c r="C103" s="16" t="s">
        <v>23</v>
      </c>
      <c r="D103" s="23">
        <v>0</v>
      </c>
      <c r="E103" s="23">
        <v>0</v>
      </c>
      <c r="F103" s="23">
        <v>0</v>
      </c>
      <c r="G103" s="23">
        <v>0</v>
      </c>
      <c r="H103" s="23">
        <v>0</v>
      </c>
      <c r="I103" s="23">
        <v>0</v>
      </c>
      <c r="J103" s="23">
        <v>0</v>
      </c>
      <c r="K103" s="23">
        <v>0</v>
      </c>
      <c r="L103" s="23">
        <v>0</v>
      </c>
      <c r="M103" s="23">
        <v>0</v>
      </c>
      <c r="N103" s="23">
        <v>0</v>
      </c>
      <c r="O103" s="23">
        <v>0</v>
      </c>
      <c r="P103" s="23">
        <v>0</v>
      </c>
    </row>
    <row r="104" spans="1:16" ht="14.4" x14ac:dyDescent="0.3">
      <c r="A104" s="14" t="s">
        <v>29</v>
      </c>
      <c r="B104" s="14"/>
      <c r="C104" s="16"/>
      <c r="D104" s="24"/>
      <c r="E104" s="24"/>
      <c r="F104" s="24"/>
      <c r="G104" s="24"/>
      <c r="H104" s="24"/>
      <c r="I104" s="24"/>
      <c r="J104" s="24"/>
      <c r="K104" s="24"/>
      <c r="L104" s="24"/>
      <c r="M104" s="24"/>
      <c r="N104" s="24"/>
      <c r="O104" s="24"/>
      <c r="P104" s="24"/>
    </row>
    <row r="105" spans="1:16" ht="14.4" x14ac:dyDescent="0.3">
      <c r="A105" s="18" t="s">
        <v>30</v>
      </c>
      <c r="B105" s="18"/>
      <c r="C105" s="16" t="s">
        <v>19</v>
      </c>
      <c r="D105" s="20">
        <v>0.50849999999999995</v>
      </c>
      <c r="E105" s="20">
        <v>0.50849999999999995</v>
      </c>
      <c r="F105" s="20">
        <v>0.50849999999999995</v>
      </c>
      <c r="G105" s="20">
        <v>0.50849999999999995</v>
      </c>
      <c r="H105" s="20">
        <v>0.50849999999999995</v>
      </c>
      <c r="I105" s="20">
        <v>0.50849999999999995</v>
      </c>
      <c r="J105" s="20">
        <v>0.50849999999999995</v>
      </c>
      <c r="K105" s="20">
        <v>0.50849999999999995</v>
      </c>
      <c r="L105" s="20">
        <v>0.50849999999999995</v>
      </c>
      <c r="M105" s="20">
        <v>0.50849999999999995</v>
      </c>
      <c r="N105" s="20">
        <v>0.50849999999999995</v>
      </c>
      <c r="O105" s="20">
        <v>0.50849999999999995</v>
      </c>
      <c r="P105" s="20">
        <v>0.50849999999999995</v>
      </c>
    </row>
    <row r="106" spans="1:16" ht="14.4" x14ac:dyDescent="0.3">
      <c r="A106" s="18" t="s">
        <v>31</v>
      </c>
      <c r="B106" s="18"/>
      <c r="C106" s="16" t="s">
        <v>32</v>
      </c>
      <c r="D106" s="23">
        <v>16.73</v>
      </c>
      <c r="E106" s="23">
        <v>16.73</v>
      </c>
      <c r="F106" s="23">
        <v>16.73</v>
      </c>
      <c r="G106" s="23">
        <v>16.73</v>
      </c>
      <c r="H106" s="23">
        <v>16.73</v>
      </c>
      <c r="I106" s="23">
        <v>16.73</v>
      </c>
      <c r="J106" s="23">
        <v>16.73</v>
      </c>
      <c r="K106" s="23">
        <v>16.73</v>
      </c>
      <c r="L106" s="23">
        <v>16.73</v>
      </c>
      <c r="M106" s="23">
        <v>16.73</v>
      </c>
      <c r="N106" s="23">
        <v>16.73</v>
      </c>
      <c r="O106" s="23">
        <v>16.73</v>
      </c>
      <c r="P106" s="23">
        <v>16.73</v>
      </c>
    </row>
    <row r="107" spans="1:16" ht="14.4" x14ac:dyDescent="0.3">
      <c r="A107" s="14" t="s">
        <v>33</v>
      </c>
      <c r="B107" s="14"/>
      <c r="C107" s="16"/>
      <c r="D107" s="24"/>
      <c r="E107" s="24"/>
      <c r="F107" s="24"/>
      <c r="G107" s="24"/>
      <c r="H107" s="24"/>
      <c r="I107" s="24"/>
      <c r="J107" s="24"/>
      <c r="K107" s="24"/>
      <c r="L107" s="24"/>
      <c r="M107" s="24"/>
      <c r="N107" s="24"/>
      <c r="O107" s="24"/>
      <c r="P107" s="24"/>
    </row>
    <row r="108" spans="1:16" ht="14.4" x14ac:dyDescent="0.3">
      <c r="A108" s="18" t="s">
        <v>34</v>
      </c>
      <c r="B108" s="18"/>
      <c r="C108" s="16" t="s">
        <v>19</v>
      </c>
      <c r="D108" s="20">
        <v>0.3377</v>
      </c>
      <c r="E108" s="20">
        <v>0.3377</v>
      </c>
      <c r="F108" s="20">
        <v>0.3377</v>
      </c>
      <c r="G108" s="20">
        <v>0.3377</v>
      </c>
      <c r="H108" s="20">
        <v>0.3377</v>
      </c>
      <c r="I108" s="20">
        <v>0.3377</v>
      </c>
      <c r="J108" s="20">
        <v>0.3377</v>
      </c>
      <c r="K108" s="20">
        <v>0.3377</v>
      </c>
      <c r="L108" s="20">
        <v>0.3377</v>
      </c>
      <c r="M108" s="20">
        <v>0.3377</v>
      </c>
      <c r="N108" s="20">
        <v>0.3377</v>
      </c>
      <c r="O108" s="20">
        <v>0.3377</v>
      </c>
      <c r="P108" s="20">
        <v>0.3377</v>
      </c>
    </row>
    <row r="109" spans="1:16" ht="14.4" x14ac:dyDescent="0.3">
      <c r="A109" s="18" t="s">
        <v>35</v>
      </c>
      <c r="B109" s="18"/>
      <c r="C109" s="16" t="s">
        <v>36</v>
      </c>
      <c r="D109" s="23">
        <v>5</v>
      </c>
      <c r="E109" s="23">
        <v>5</v>
      </c>
      <c r="F109" s="23">
        <v>5</v>
      </c>
      <c r="G109" s="23">
        <v>5</v>
      </c>
      <c r="H109" s="23">
        <v>5</v>
      </c>
      <c r="I109" s="23">
        <v>5</v>
      </c>
      <c r="J109" s="23">
        <v>5</v>
      </c>
      <c r="K109" s="23">
        <v>5</v>
      </c>
      <c r="L109" s="23">
        <v>5</v>
      </c>
      <c r="M109" s="23">
        <v>5</v>
      </c>
      <c r="N109" s="23">
        <v>5</v>
      </c>
      <c r="O109" s="23">
        <v>5</v>
      </c>
      <c r="P109" s="23">
        <v>5</v>
      </c>
    </row>
    <row r="110" spans="1:16" ht="14.4" x14ac:dyDescent="0.3">
      <c r="A110" s="14" t="s">
        <v>37</v>
      </c>
      <c r="B110" s="14"/>
      <c r="C110" s="16"/>
      <c r="D110" s="24"/>
      <c r="E110" s="24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</row>
    <row r="111" spans="1:16" ht="14.4" x14ac:dyDescent="0.3">
      <c r="A111" s="25" t="s">
        <v>138</v>
      </c>
      <c r="B111" s="18"/>
      <c r="C111" s="16" t="s">
        <v>19</v>
      </c>
      <c r="D111" s="20"/>
      <c r="E111" s="20"/>
      <c r="F111" s="20"/>
      <c r="G111" s="20"/>
      <c r="H111" s="20"/>
      <c r="I111" s="20"/>
      <c r="J111" s="20">
        <v>-7.3099999999999998E-2</v>
      </c>
      <c r="K111" s="20"/>
      <c r="L111" s="20"/>
      <c r="M111" s="20"/>
      <c r="N111" s="20"/>
      <c r="O111" s="20"/>
      <c r="P111" s="20"/>
    </row>
    <row r="112" spans="1:16" ht="14.4" x14ac:dyDescent="0.3">
      <c r="A112" s="25" t="s">
        <v>38</v>
      </c>
      <c r="B112" s="18"/>
      <c r="C112" s="16" t="s">
        <v>19</v>
      </c>
      <c r="D112" s="20">
        <f>[47]LD!D28</f>
        <v>9.7600000000000006E-2</v>
      </c>
      <c r="E112" s="20">
        <f>[47]LD!E28</f>
        <v>0.1077</v>
      </c>
      <c r="F112" s="20">
        <f>[47]LD!F28</f>
        <v>0.1234</v>
      </c>
      <c r="G112" s="20">
        <f>[47]LD!G28</f>
        <v>0.124</v>
      </c>
      <c r="H112" s="20">
        <f>[47]LD!H28</f>
        <v>8.2000000000000003E-2</v>
      </c>
      <c r="I112" s="20">
        <f>[47]LD!I28</f>
        <v>7.5499999999999998E-2</v>
      </c>
      <c r="J112" s="20">
        <f>[47]LD!J28</f>
        <v>6.4899999999999999E-2</v>
      </c>
      <c r="K112" s="20">
        <f>[47]LD!K28</f>
        <v>7.5600000000000001E-2</v>
      </c>
      <c r="L112" s="20">
        <f>[47]LD!L28</f>
        <v>7.85E-2</v>
      </c>
      <c r="M112" s="20">
        <f>[47]LD!M28</f>
        <v>7.5399999999999995E-2</v>
      </c>
      <c r="N112" s="20">
        <f>[47]LD!N28</f>
        <v>7.5700000000000003E-2</v>
      </c>
      <c r="O112" s="20">
        <f>[47]LD!O28</f>
        <v>7.8299999999999995E-2</v>
      </c>
      <c r="P112" s="20">
        <f>[47]LD!P28</f>
        <v>0</v>
      </c>
    </row>
    <row r="113" spans="1:16" ht="14.4" x14ac:dyDescent="0.3">
      <c r="A113" s="25" t="s">
        <v>39</v>
      </c>
      <c r="B113" s="18"/>
      <c r="C113" s="16" t="s">
        <v>19</v>
      </c>
      <c r="D113" s="20">
        <v>0</v>
      </c>
      <c r="E113" s="20">
        <v>0</v>
      </c>
      <c r="F113" s="20">
        <v>0</v>
      </c>
      <c r="G113" s="20">
        <v>0</v>
      </c>
      <c r="H113" s="20">
        <v>0</v>
      </c>
      <c r="I113" s="20">
        <v>0</v>
      </c>
      <c r="J113" s="20">
        <v>0</v>
      </c>
      <c r="K113" s="20">
        <v>0</v>
      </c>
      <c r="L113" s="20">
        <v>0</v>
      </c>
      <c r="M113" s="20">
        <v>0</v>
      </c>
      <c r="N113" s="20">
        <v>0</v>
      </c>
      <c r="O113" s="20">
        <v>0</v>
      </c>
      <c r="P113" s="20">
        <v>0</v>
      </c>
    </row>
    <row r="114" spans="1:16" ht="14.4" x14ac:dyDescent="0.3">
      <c r="A114" s="26" t="s">
        <v>40</v>
      </c>
      <c r="B114" s="18"/>
      <c r="C114" s="16" t="s">
        <v>19</v>
      </c>
      <c r="D114" s="20">
        <f>'[47]SR CIT. SUBSIDY'!D134</f>
        <v>8.1671193651487679E-5</v>
      </c>
      <c r="E114" s="20">
        <f>'[47]SR CIT. SUBSIDY'!E134</f>
        <v>7.9496172853225534E-5</v>
      </c>
      <c r="F114" s="20">
        <f>'[47]SR CIT. SUBSIDY'!F134</f>
        <v>9.1117198287407098E-5</v>
      </c>
      <c r="G114" s="20">
        <f>'[47]SR CIT. SUBSIDY'!G134</f>
        <v>9.2294258932552585E-5</v>
      </c>
      <c r="H114" s="20">
        <f>'[47]SR CIT. SUBSIDY'!H134</f>
        <v>8.664510925241928E-5</v>
      </c>
      <c r="I114" s="20">
        <f>'[47]SR CIT. SUBSIDY'!I134</f>
        <v>8.4286320439276092E-5</v>
      </c>
      <c r="J114" s="20">
        <f>'[47]SR CIT. SUBSIDY'!J134</f>
        <v>7.5057505029560973E-5</v>
      </c>
      <c r="K114" s="20">
        <f>'[47]SR CIT. SUBSIDY'!K134</f>
        <v>7.5699329562342512E-5</v>
      </c>
      <c r="L114" s="20">
        <f>'[47]SR CIT. SUBSIDY'!L134</f>
        <v>7.3950804174552343E-5</v>
      </c>
      <c r="M114" s="20">
        <f>'[47]SR CIT. SUBSIDY'!M134</f>
        <v>6.9724330278463729E-5</v>
      </c>
      <c r="N114" s="20">
        <f>'[47]SR CIT. SUBSIDY'!N134</f>
        <v>7.1523365693916283E-5</v>
      </c>
      <c r="O114" s="20">
        <f>'[47]SR CIT. SUBSIDY'!O134</f>
        <v>7.2222317373892914E-5</v>
      </c>
      <c r="P114" s="20">
        <f>'[47]SR CIT. SUBSIDY'!P134</f>
        <v>0</v>
      </c>
    </row>
    <row r="115" spans="1:16" ht="14.4" x14ac:dyDescent="0.3">
      <c r="A115" s="26" t="s">
        <v>41</v>
      </c>
      <c r="B115" s="18"/>
      <c r="C115" s="16" t="s">
        <v>19</v>
      </c>
      <c r="D115" s="20">
        <v>0</v>
      </c>
      <c r="E115" s="20">
        <v>0</v>
      </c>
      <c r="F115" s="20">
        <v>0</v>
      </c>
      <c r="G115" s="20">
        <v>0</v>
      </c>
      <c r="H115" s="20">
        <v>0</v>
      </c>
      <c r="I115" s="20">
        <v>0</v>
      </c>
      <c r="J115" s="20">
        <v>0</v>
      </c>
      <c r="K115" s="20">
        <v>0</v>
      </c>
      <c r="L115" s="20">
        <v>0</v>
      </c>
      <c r="M115" s="20">
        <v>0</v>
      </c>
      <c r="N115" s="20">
        <v>0</v>
      </c>
      <c r="O115" s="20">
        <v>0</v>
      </c>
      <c r="P115" s="20">
        <v>0</v>
      </c>
    </row>
    <row r="116" spans="1:16" ht="14.4" x14ac:dyDescent="0.3">
      <c r="A116" s="14" t="s">
        <v>42</v>
      </c>
      <c r="B116" s="14"/>
      <c r="C116" s="16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</row>
    <row r="117" spans="1:16" ht="14.4" x14ac:dyDescent="0.3">
      <c r="A117" s="14" t="s">
        <v>43</v>
      </c>
      <c r="B117" s="14"/>
      <c r="C117" s="16" t="s">
        <v>44</v>
      </c>
      <c r="D117" s="27"/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</row>
    <row r="118" spans="1:16" ht="14.4" x14ac:dyDescent="0.3">
      <c r="A118" s="14" t="s">
        <v>45</v>
      </c>
      <c r="B118" s="14"/>
      <c r="C118" s="16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</row>
    <row r="119" spans="1:16" ht="14.4" x14ac:dyDescent="0.3">
      <c r="A119" s="14" t="s">
        <v>46</v>
      </c>
      <c r="B119" s="14"/>
      <c r="C119" s="16" t="s">
        <v>19</v>
      </c>
      <c r="D119" s="20">
        <v>0</v>
      </c>
      <c r="E119" s="20">
        <v>0</v>
      </c>
      <c r="F119" s="20">
        <v>0</v>
      </c>
      <c r="G119" s="20">
        <v>0</v>
      </c>
      <c r="H119" s="20">
        <v>0</v>
      </c>
      <c r="I119" s="20">
        <v>0</v>
      </c>
      <c r="J119" s="20">
        <v>0</v>
      </c>
      <c r="K119" s="20">
        <v>0</v>
      </c>
      <c r="L119" s="20">
        <v>0</v>
      </c>
      <c r="M119" s="20">
        <v>0</v>
      </c>
      <c r="N119" s="20">
        <v>0</v>
      </c>
      <c r="O119" s="20">
        <v>0</v>
      </c>
      <c r="P119" s="20">
        <v>0</v>
      </c>
    </row>
    <row r="120" spans="1:16" ht="14.4" x14ac:dyDescent="0.3">
      <c r="A120" s="14" t="s">
        <v>47</v>
      </c>
      <c r="B120" s="14"/>
      <c r="C120" s="16"/>
      <c r="D120" s="24"/>
      <c r="E120" s="24"/>
      <c r="F120" s="24"/>
      <c r="G120" s="24"/>
      <c r="H120" s="24"/>
      <c r="I120" s="24"/>
      <c r="J120" s="24"/>
      <c r="K120" s="24"/>
      <c r="L120" s="24"/>
      <c r="M120" s="24"/>
      <c r="N120" s="24"/>
      <c r="O120" s="24"/>
      <c r="P120" s="24"/>
    </row>
    <row r="121" spans="1:16" ht="14.4" x14ac:dyDescent="0.3">
      <c r="A121" s="18" t="s">
        <v>48</v>
      </c>
      <c r="B121" s="18"/>
      <c r="C121" s="16" t="s">
        <v>19</v>
      </c>
      <c r="D121" s="20">
        <f>D78</f>
        <v>0.15609999999999999</v>
      </c>
      <c r="E121" s="20">
        <f t="shared" ref="E121:P125" si="8">E78</f>
        <v>0.15609999999999999</v>
      </c>
      <c r="F121" s="20">
        <f t="shared" si="8"/>
        <v>0.15609999999999999</v>
      </c>
      <c r="G121" s="20">
        <f t="shared" si="8"/>
        <v>0.15609999999999999</v>
      </c>
      <c r="H121" s="20">
        <f t="shared" si="8"/>
        <v>0.15609999999999999</v>
      </c>
      <c r="I121" s="20">
        <f t="shared" si="8"/>
        <v>0.15609999999999999</v>
      </c>
      <c r="J121" s="20">
        <f t="shared" si="8"/>
        <v>0.15609999999999999</v>
      </c>
      <c r="K121" s="20">
        <f t="shared" si="8"/>
        <v>0.15609999999999999</v>
      </c>
      <c r="L121" s="20">
        <f t="shared" si="8"/>
        <v>0.15609999999999999</v>
      </c>
      <c r="M121" s="20">
        <f t="shared" si="8"/>
        <v>0.15609999999999999</v>
      </c>
      <c r="N121" s="20">
        <f t="shared" si="8"/>
        <v>0.15609999999999999</v>
      </c>
      <c r="O121" s="20">
        <f t="shared" si="8"/>
        <v>0.15609999999999999</v>
      </c>
      <c r="P121" s="20">
        <f t="shared" si="8"/>
        <v>0.15609999999999999</v>
      </c>
    </row>
    <row r="122" spans="1:16" ht="14.4" x14ac:dyDescent="0.3">
      <c r="A122" s="18" t="s">
        <v>49</v>
      </c>
      <c r="B122" s="18"/>
      <c r="C122" s="16" t="s">
        <v>19</v>
      </c>
      <c r="D122" s="20">
        <f>D79</f>
        <v>2.5000000000000001E-3</v>
      </c>
      <c r="E122" s="20">
        <f t="shared" si="8"/>
        <v>2.5000000000000001E-3</v>
      </c>
      <c r="F122" s="20">
        <f t="shared" si="8"/>
        <v>2.5000000000000001E-3</v>
      </c>
      <c r="G122" s="20">
        <f t="shared" si="8"/>
        <v>2.5000000000000001E-3</v>
      </c>
      <c r="H122" s="20">
        <f t="shared" si="8"/>
        <v>2.5000000000000001E-3</v>
      </c>
      <c r="I122" s="20">
        <f t="shared" si="8"/>
        <v>2.5000000000000001E-3</v>
      </c>
      <c r="J122" s="20">
        <f t="shared" si="8"/>
        <v>2.5000000000000001E-3</v>
      </c>
      <c r="K122" s="20">
        <f t="shared" si="8"/>
        <v>2.5000000000000001E-3</v>
      </c>
      <c r="L122" s="20">
        <f t="shared" si="8"/>
        <v>2.5000000000000001E-3</v>
      </c>
      <c r="M122" s="20">
        <f t="shared" si="8"/>
        <v>2.5000000000000001E-3</v>
      </c>
      <c r="N122" s="20">
        <f t="shared" si="8"/>
        <v>2.5000000000000001E-3</v>
      </c>
      <c r="O122" s="20">
        <f t="shared" si="8"/>
        <v>2.5000000000000001E-3</v>
      </c>
      <c r="P122" s="20">
        <f t="shared" si="8"/>
        <v>2.5000000000000001E-3</v>
      </c>
    </row>
    <row r="123" spans="1:16" ht="14.4" x14ac:dyDescent="0.3">
      <c r="A123" s="18" t="s">
        <v>111</v>
      </c>
      <c r="B123" s="18"/>
      <c r="C123" s="16" t="s">
        <v>19</v>
      </c>
      <c r="D123" s="20">
        <f>D80</f>
        <v>0.1938</v>
      </c>
      <c r="E123" s="20">
        <f t="shared" si="8"/>
        <v>-0.3876</v>
      </c>
      <c r="F123" s="20">
        <f t="shared" si="8"/>
        <v>0</v>
      </c>
      <c r="G123" s="20">
        <f t="shared" si="8"/>
        <v>0</v>
      </c>
      <c r="H123" s="20">
        <f t="shared" si="8"/>
        <v>0</v>
      </c>
      <c r="I123" s="20">
        <f t="shared" si="8"/>
        <v>0</v>
      </c>
      <c r="J123" s="20">
        <f t="shared" si="8"/>
        <v>0</v>
      </c>
      <c r="K123" s="20">
        <f t="shared" si="8"/>
        <v>0</v>
      </c>
      <c r="L123" s="20">
        <f t="shared" si="8"/>
        <v>0</v>
      </c>
      <c r="M123" s="20">
        <f t="shared" si="8"/>
        <v>0</v>
      </c>
      <c r="N123" s="20">
        <f t="shared" si="8"/>
        <v>0</v>
      </c>
      <c r="O123" s="20">
        <f t="shared" si="8"/>
        <v>0</v>
      </c>
      <c r="P123" s="20">
        <f t="shared" si="8"/>
        <v>0</v>
      </c>
    </row>
    <row r="124" spans="1:16" ht="14.4" x14ac:dyDescent="0.3">
      <c r="A124" s="18" t="s">
        <v>112</v>
      </c>
      <c r="B124" s="18"/>
      <c r="C124" s="16" t="s">
        <v>19</v>
      </c>
      <c r="D124" s="42">
        <f>D81</f>
        <v>2.6499999999999999E-2</v>
      </c>
      <c r="E124" s="42">
        <f t="shared" si="8"/>
        <v>2.6499999999999999E-2</v>
      </c>
      <c r="F124" s="42">
        <f t="shared" si="8"/>
        <v>2.6499999999999999E-2</v>
      </c>
      <c r="G124" s="42">
        <f t="shared" si="8"/>
        <v>4.2799999999999998E-2</v>
      </c>
      <c r="H124" s="42">
        <f t="shared" si="8"/>
        <v>4.2799999999999998E-2</v>
      </c>
      <c r="I124" s="42">
        <f t="shared" si="8"/>
        <v>4.2799999999999998E-2</v>
      </c>
      <c r="J124" s="42">
        <f t="shared" si="8"/>
        <v>4.2799999999999998E-2</v>
      </c>
      <c r="K124" s="42">
        <f t="shared" si="8"/>
        <v>4.2799999999999998E-2</v>
      </c>
      <c r="L124" s="42">
        <f t="shared" si="8"/>
        <v>4.2799999999999998E-2</v>
      </c>
      <c r="M124" s="42">
        <f t="shared" si="8"/>
        <v>4.2799999999999998E-2</v>
      </c>
      <c r="N124" s="42">
        <f t="shared" si="8"/>
        <v>4.2799999999999998E-2</v>
      </c>
      <c r="O124" s="42">
        <f t="shared" si="8"/>
        <v>4.2799999999999998E-2</v>
      </c>
      <c r="P124" s="42">
        <f t="shared" si="8"/>
        <v>4.2799999999999998E-2</v>
      </c>
    </row>
    <row r="125" spans="1:16" ht="14.4" x14ac:dyDescent="0.3">
      <c r="A125" s="14" t="s">
        <v>51</v>
      </c>
      <c r="B125" s="14"/>
      <c r="C125" s="16" t="s">
        <v>19</v>
      </c>
      <c r="D125" s="20">
        <f>D82</f>
        <v>0.25629999999999997</v>
      </c>
      <c r="E125" s="20">
        <f t="shared" si="8"/>
        <v>0.25629999999999997</v>
      </c>
      <c r="F125" s="20">
        <f t="shared" si="8"/>
        <v>0.25629999999999997</v>
      </c>
      <c r="G125" s="20">
        <f t="shared" si="8"/>
        <v>0.22259999999999999</v>
      </c>
      <c r="H125" s="20">
        <f t="shared" si="8"/>
        <v>0.22259999999999999</v>
      </c>
      <c r="I125" s="20">
        <f t="shared" si="8"/>
        <v>0.22259999999999999</v>
      </c>
      <c r="J125" s="20">
        <f t="shared" si="8"/>
        <v>0.22259999999999999</v>
      </c>
      <c r="K125" s="20">
        <f t="shared" si="8"/>
        <v>0.22259999999999999</v>
      </c>
      <c r="L125" s="20">
        <f t="shared" si="8"/>
        <v>0.22259999999999999</v>
      </c>
      <c r="M125" s="20">
        <f t="shared" si="8"/>
        <v>0.22259999999999999</v>
      </c>
      <c r="N125" s="20">
        <f t="shared" si="8"/>
        <v>0.22259999999999999</v>
      </c>
      <c r="O125" s="20">
        <f t="shared" si="8"/>
        <v>0.22259999999999999</v>
      </c>
      <c r="P125" s="20">
        <f t="shared" si="8"/>
        <v>0.22259999999999999</v>
      </c>
    </row>
    <row r="126" spans="1:16" ht="14.4" x14ac:dyDescent="0.3">
      <c r="A126" s="14" t="s">
        <v>52</v>
      </c>
      <c r="B126" s="14"/>
      <c r="C126" s="29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</row>
    <row r="127" spans="1:16" ht="14.4" x14ac:dyDescent="0.3">
      <c r="A127" s="18" t="s">
        <v>53</v>
      </c>
      <c r="B127" s="18"/>
      <c r="C127" s="16" t="s">
        <v>44</v>
      </c>
      <c r="D127" s="27">
        <f>'[47]DU VAT'!D15</f>
        <v>0.1129</v>
      </c>
      <c r="E127" s="27">
        <f>'[47]DU VAT'!E15</f>
        <v>0.1091</v>
      </c>
      <c r="F127" s="27">
        <f>'[47]DU VAT'!F15</f>
        <v>0.1124</v>
      </c>
      <c r="G127" s="27">
        <f>'[47]DU VAT'!G15</f>
        <v>0.1123</v>
      </c>
      <c r="H127" s="27">
        <f>'[47]DU VAT'!H15</f>
        <v>0.10780000000000001</v>
      </c>
      <c r="I127" s="27">
        <f>'[47]DU VAT'!I15</f>
        <v>0.1113</v>
      </c>
      <c r="J127" s="27">
        <f>'[47]DU VAT'!J15</f>
        <v>0.111</v>
      </c>
      <c r="K127" s="27">
        <f>'[47]DU VAT'!K15</f>
        <v>0.11260000000000001</v>
      </c>
      <c r="L127" s="27">
        <f>'[47]DU VAT'!L15</f>
        <v>0.1143</v>
      </c>
      <c r="M127" s="27">
        <f>'[47]DU VAT'!M15</f>
        <v>0.1157</v>
      </c>
      <c r="N127" s="27">
        <f>'[47]DU VAT'!N15</f>
        <v>0.11</v>
      </c>
      <c r="O127" s="27">
        <f>'[47]DU VAT'!O15</f>
        <v>0.112</v>
      </c>
      <c r="P127" s="27" t="e">
        <f>'[47]DU VAT'!P15</f>
        <v>#DIV/0!</v>
      </c>
    </row>
    <row r="128" spans="1:16" ht="14.4" x14ac:dyDescent="0.3">
      <c r="A128" s="18" t="s">
        <v>54</v>
      </c>
      <c r="B128" s="18"/>
      <c r="C128" s="16" t="s">
        <v>44</v>
      </c>
      <c r="D128" s="27">
        <f>'[47]DU VAT'!D19</f>
        <v>0.1028</v>
      </c>
      <c r="E128" s="27">
        <f>'[47]DU VAT'!E19</f>
        <v>0.1026</v>
      </c>
      <c r="F128" s="27">
        <f>'[47]DU VAT'!F19</f>
        <v>0.1045</v>
      </c>
      <c r="G128" s="27">
        <f>'[47]DU VAT'!G19</f>
        <v>0.109</v>
      </c>
      <c r="H128" s="27">
        <f>'[47]DU VAT'!H19</f>
        <v>0.1099</v>
      </c>
      <c r="I128" s="27">
        <f>'[47]DU VAT'!I19</f>
        <v>0.11070000000000001</v>
      </c>
      <c r="J128" s="27">
        <f>'[47]DU VAT'!J19</f>
        <v>0.1036</v>
      </c>
      <c r="K128" s="27">
        <f>'[47]DU VAT'!K19</f>
        <v>0.1027</v>
      </c>
      <c r="L128" s="27">
        <f>'[47]DU VAT'!L19</f>
        <v>0.10150000000000001</v>
      </c>
      <c r="M128" s="27">
        <f>'[47]DU VAT'!M19</f>
        <v>9.7199999999999995E-2</v>
      </c>
      <c r="N128" s="27">
        <f>'[47]DU VAT'!N19</f>
        <v>9.7900000000000001E-2</v>
      </c>
      <c r="O128" s="27">
        <f>'[47]DU VAT'!O19</f>
        <v>0.10340000000000001</v>
      </c>
      <c r="P128" s="27" t="e">
        <f>'[47]DU VAT'!P19</f>
        <v>#DIV/0!</v>
      </c>
    </row>
    <row r="129" spans="1:16" ht="14.4" x14ac:dyDescent="0.3">
      <c r="A129" s="18" t="s">
        <v>55</v>
      </c>
      <c r="B129" s="18"/>
      <c r="C129" s="16" t="s">
        <v>44</v>
      </c>
      <c r="D129" s="27">
        <f>'[47]DU VAT'!D25</f>
        <v>0.1114</v>
      </c>
      <c r="E129" s="27">
        <f>'[47]DU VAT'!E25</f>
        <v>0.10829999999999999</v>
      </c>
      <c r="F129" s="27">
        <f>'[47]DU VAT'!F25</f>
        <v>0.1114</v>
      </c>
      <c r="G129" s="27">
        <f>'[47]DU VAT'!G25</f>
        <v>0.112</v>
      </c>
      <c r="H129" s="27">
        <f>'[47]DU VAT'!H25</f>
        <v>0.1081</v>
      </c>
      <c r="I129" s="27">
        <f>'[47]DU VAT'!I25</f>
        <v>0.1113</v>
      </c>
      <c r="J129" s="27">
        <f>'[47]DU VAT'!J25</f>
        <v>0.1103</v>
      </c>
      <c r="K129" s="27">
        <f>'[47]DU VAT'!K25</f>
        <v>0.1114</v>
      </c>
      <c r="L129" s="27">
        <f>'[47]DU VAT'!L25</f>
        <v>0.11269999999999999</v>
      </c>
      <c r="M129" s="27">
        <f>'[47]DU VAT'!M25</f>
        <v>0.1133</v>
      </c>
      <c r="N129" s="27">
        <f>'[47]DU VAT'!N25</f>
        <v>0.1087</v>
      </c>
      <c r="O129" s="27">
        <f>'[47]DU VAT'!O25</f>
        <v>0.111</v>
      </c>
      <c r="P129" s="27" t="e">
        <f>'[47]DU VAT'!P25</f>
        <v>#DIV/0!</v>
      </c>
    </row>
    <row r="130" spans="1:16" ht="14.4" x14ac:dyDescent="0.3">
      <c r="A130" s="18" t="s">
        <v>56</v>
      </c>
      <c r="B130" s="18"/>
      <c r="C130" s="16" t="s">
        <v>44</v>
      </c>
      <c r="D130" s="27">
        <f>D87</f>
        <v>0.12</v>
      </c>
      <c r="E130" s="27">
        <f t="shared" ref="E130:P131" si="9">E87</f>
        <v>0.12</v>
      </c>
      <c r="F130" s="27">
        <f t="shared" si="9"/>
        <v>0.12</v>
      </c>
      <c r="G130" s="27">
        <f t="shared" si="9"/>
        <v>0.12</v>
      </c>
      <c r="H130" s="27">
        <f t="shared" si="9"/>
        <v>0.12</v>
      </c>
      <c r="I130" s="27">
        <f t="shared" si="9"/>
        <v>0.12</v>
      </c>
      <c r="J130" s="27">
        <f t="shared" si="9"/>
        <v>0.12</v>
      </c>
      <c r="K130" s="27">
        <f t="shared" si="9"/>
        <v>0.12</v>
      </c>
      <c r="L130" s="27">
        <f t="shared" si="9"/>
        <v>0.12</v>
      </c>
      <c r="M130" s="27">
        <f t="shared" si="9"/>
        <v>0.12</v>
      </c>
      <c r="N130" s="27">
        <f t="shared" si="9"/>
        <v>0.12</v>
      </c>
      <c r="O130" s="27">
        <f t="shared" si="9"/>
        <v>0.12</v>
      </c>
      <c r="P130" s="27">
        <f t="shared" si="9"/>
        <v>0.12</v>
      </c>
    </row>
    <row r="131" spans="1:16" ht="14.4" x14ac:dyDescent="0.3">
      <c r="A131" s="18" t="s">
        <v>57</v>
      </c>
      <c r="B131" s="18"/>
      <c r="C131" s="16" t="s">
        <v>44</v>
      </c>
      <c r="D131" s="27">
        <f>D88</f>
        <v>0.12</v>
      </c>
      <c r="E131" s="27">
        <f t="shared" si="9"/>
        <v>0.12</v>
      </c>
      <c r="F131" s="27">
        <f t="shared" si="9"/>
        <v>0.12</v>
      </c>
      <c r="G131" s="27">
        <f t="shared" si="9"/>
        <v>0.12</v>
      </c>
      <c r="H131" s="27">
        <f t="shared" si="9"/>
        <v>0.12</v>
      </c>
      <c r="I131" s="27">
        <f t="shared" si="9"/>
        <v>0.12</v>
      </c>
      <c r="J131" s="27">
        <f t="shared" si="9"/>
        <v>0.12</v>
      </c>
      <c r="K131" s="27">
        <f t="shared" si="9"/>
        <v>0.12</v>
      </c>
      <c r="L131" s="27">
        <f t="shared" si="9"/>
        <v>0.12</v>
      </c>
      <c r="M131" s="27">
        <f t="shared" si="9"/>
        <v>0.12</v>
      </c>
      <c r="N131" s="27">
        <f t="shared" si="9"/>
        <v>0.12</v>
      </c>
      <c r="O131" s="27">
        <f t="shared" si="9"/>
        <v>0.12</v>
      </c>
      <c r="P131" s="27">
        <f t="shared" si="9"/>
        <v>0.12</v>
      </c>
    </row>
    <row r="133" spans="1:16" x14ac:dyDescent="0.3">
      <c r="A133" s="3" t="s">
        <v>58</v>
      </c>
    </row>
    <row r="134" spans="1:16" x14ac:dyDescent="0.3">
      <c r="A134" s="33"/>
    </row>
    <row r="135" spans="1:16" ht="18" x14ac:dyDescent="0.35">
      <c r="A135" s="9" t="str">
        <f>'[47]Statistical data'!A151</f>
        <v xml:space="preserve">  GHMSCI</v>
      </c>
      <c r="B135" s="9"/>
      <c r="C135" s="5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</row>
    <row r="136" spans="1:16" s="13" customFormat="1" ht="14.4" x14ac:dyDescent="0.3">
      <c r="A136" s="11" t="s">
        <v>3</v>
      </c>
      <c r="B136" s="11"/>
      <c r="C136" s="11" t="s">
        <v>4</v>
      </c>
      <c r="D136" s="73">
        <f>D93</f>
        <v>43466</v>
      </c>
      <c r="E136" s="73">
        <f t="shared" ref="E136:P136" si="10">E93</f>
        <v>43497</v>
      </c>
      <c r="F136" s="73">
        <f t="shared" si="10"/>
        <v>43525</v>
      </c>
      <c r="G136" s="73">
        <f t="shared" si="10"/>
        <v>43556</v>
      </c>
      <c r="H136" s="73">
        <f t="shared" si="10"/>
        <v>43586</v>
      </c>
      <c r="I136" s="73">
        <f t="shared" si="10"/>
        <v>43617</v>
      </c>
      <c r="J136" s="73">
        <f t="shared" si="10"/>
        <v>43647</v>
      </c>
      <c r="K136" s="73">
        <f t="shared" si="10"/>
        <v>43678</v>
      </c>
      <c r="L136" s="73">
        <f t="shared" si="10"/>
        <v>43709</v>
      </c>
      <c r="M136" s="73">
        <f t="shared" si="10"/>
        <v>43739</v>
      </c>
      <c r="N136" s="73">
        <f t="shared" si="10"/>
        <v>43770</v>
      </c>
      <c r="O136" s="73">
        <f t="shared" si="10"/>
        <v>43800</v>
      </c>
      <c r="P136" s="73">
        <f t="shared" si="10"/>
        <v>43831</v>
      </c>
    </row>
    <row r="137" spans="1:16" ht="14.4" x14ac:dyDescent="0.3">
      <c r="A137" s="14" t="s">
        <v>17</v>
      </c>
      <c r="B137" s="15"/>
      <c r="C137" s="16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</row>
    <row r="138" spans="1:16" ht="14.4" x14ac:dyDescent="0.3">
      <c r="A138" s="18" t="s">
        <v>18</v>
      </c>
      <c r="B138" s="19"/>
      <c r="C138" s="16" t="s">
        <v>19</v>
      </c>
      <c r="D138" s="20">
        <f>[47]GR!D22</f>
        <v>4.9119000000000002</v>
      </c>
      <c r="E138" s="20">
        <f>[47]GR!E22</f>
        <v>5.8939000000000004</v>
      </c>
      <c r="F138" s="20">
        <f>[47]GR!F22</f>
        <v>5.5972999999999997</v>
      </c>
      <c r="G138" s="20">
        <f>[47]GR!G22</f>
        <v>5.6322000000000001</v>
      </c>
      <c r="H138" s="20">
        <f>[47]GR!H22</f>
        <v>5.5507999999999997</v>
      </c>
      <c r="I138" s="20">
        <f>[47]GR!I22</f>
        <v>5.4157999999999999</v>
      </c>
      <c r="J138" s="20">
        <f>[47]GR!J22</f>
        <v>5.4226999999999999</v>
      </c>
      <c r="K138" s="20">
        <f>[47]GR!K22</f>
        <v>4.9619999999999997</v>
      </c>
      <c r="L138" s="20">
        <f>[47]GR!L22</f>
        <v>4.5190999999999999</v>
      </c>
      <c r="M138" s="20">
        <f>[47]GR!M22</f>
        <v>4.5406000000000004</v>
      </c>
      <c r="N138" s="20">
        <f>[47]GR!N22</f>
        <v>5.0316999999999998</v>
      </c>
      <c r="O138" s="20">
        <f>[47]GR!O22</f>
        <v>5.1966999999999999</v>
      </c>
      <c r="P138" s="20" t="e">
        <f>[47]GR!P22</f>
        <v>#DIV/0!</v>
      </c>
    </row>
    <row r="139" spans="1:16" ht="14.4" x14ac:dyDescent="0.3">
      <c r="A139" s="14" t="s">
        <v>20</v>
      </c>
      <c r="B139" s="15"/>
      <c r="C139" s="16"/>
      <c r="D139" s="53"/>
      <c r="E139" s="53"/>
      <c r="F139" s="53"/>
      <c r="G139" s="53"/>
      <c r="H139" s="53"/>
      <c r="I139" s="53"/>
      <c r="J139" s="53"/>
      <c r="K139" s="53"/>
      <c r="L139" s="53"/>
      <c r="M139" s="53"/>
      <c r="N139" s="53"/>
      <c r="O139" s="53"/>
      <c r="P139" s="53"/>
    </row>
    <row r="140" spans="1:16" ht="14.4" x14ac:dyDescent="0.3">
      <c r="A140" s="18" t="s">
        <v>21</v>
      </c>
      <c r="B140" s="19"/>
      <c r="C140" s="16" t="s">
        <v>19</v>
      </c>
      <c r="D140" s="20">
        <f>[47]TR!D33</f>
        <v>0.93020000000000003</v>
      </c>
      <c r="E140" s="20">
        <f>[47]TR!E33</f>
        <v>0.93610000000000004</v>
      </c>
      <c r="F140" s="20">
        <f>[47]TR!F33</f>
        <v>0.88439999999999996</v>
      </c>
      <c r="G140" s="20">
        <f>[47]TR!G33</f>
        <v>1.0222</v>
      </c>
      <c r="H140" s="20">
        <f>[47]TR!H33</f>
        <v>0.85429999999999995</v>
      </c>
      <c r="I140" s="20">
        <f>[47]TR!I33</f>
        <v>0.82940000000000003</v>
      </c>
      <c r="J140" s="20">
        <f>[47]TR!J33</f>
        <v>0.7107</v>
      </c>
      <c r="K140" s="20">
        <f>[47]TR!K33</f>
        <v>0.75119999999999998</v>
      </c>
      <c r="L140" s="20">
        <f>[47]TR!L33</f>
        <v>0.78800000000000003</v>
      </c>
      <c r="M140" s="20">
        <f>[47]TR!M33</f>
        <v>0.79139999999999999</v>
      </c>
      <c r="N140" s="20">
        <f>[47]TR!N33</f>
        <v>0.72099999999999997</v>
      </c>
      <c r="O140" s="20">
        <f>[47]TR!O33</f>
        <v>0.78820000000000001</v>
      </c>
      <c r="P140" s="20">
        <f>[47]TR!P33</f>
        <v>0</v>
      </c>
    </row>
    <row r="141" spans="1:16" ht="14.4" x14ac:dyDescent="0.3">
      <c r="A141" s="18" t="s">
        <v>22</v>
      </c>
      <c r="B141" s="19"/>
      <c r="C141" s="16" t="s">
        <v>23</v>
      </c>
      <c r="D141" s="23">
        <v>0</v>
      </c>
      <c r="E141" s="23">
        <v>0</v>
      </c>
      <c r="F141" s="23">
        <v>0</v>
      </c>
      <c r="G141" s="23">
        <v>0</v>
      </c>
      <c r="H141" s="23">
        <v>0</v>
      </c>
      <c r="I141" s="23">
        <v>0</v>
      </c>
      <c r="J141" s="23">
        <v>0</v>
      </c>
      <c r="K141" s="23">
        <v>0</v>
      </c>
      <c r="L141" s="23">
        <v>0</v>
      </c>
      <c r="M141" s="23">
        <v>0</v>
      </c>
      <c r="N141" s="23">
        <v>0</v>
      </c>
      <c r="O141" s="23">
        <v>0</v>
      </c>
      <c r="P141" s="23">
        <v>0</v>
      </c>
    </row>
    <row r="142" spans="1:16" ht="14.4" x14ac:dyDescent="0.3">
      <c r="A142" s="14" t="s">
        <v>24</v>
      </c>
      <c r="B142" s="15"/>
      <c r="C142" s="16"/>
      <c r="D142" s="53"/>
      <c r="E142" s="53"/>
      <c r="F142" s="53"/>
      <c r="G142" s="53"/>
      <c r="H142" s="53"/>
      <c r="I142" s="53"/>
      <c r="J142" s="53"/>
      <c r="K142" s="53"/>
      <c r="L142" s="53"/>
      <c r="M142" s="53"/>
      <c r="N142" s="53"/>
      <c r="O142" s="53"/>
      <c r="P142" s="53"/>
    </row>
    <row r="143" spans="1:16" ht="14.4" x14ac:dyDescent="0.3">
      <c r="A143" s="18" t="s">
        <v>25</v>
      </c>
      <c r="B143" s="19"/>
      <c r="C143" s="16" t="s">
        <v>19</v>
      </c>
      <c r="D143" s="20">
        <f>[47]SLR!D66</f>
        <v>0.43730000000000002</v>
      </c>
      <c r="E143" s="20">
        <f>[47]SLR!E66</f>
        <v>0.50519999999999998</v>
      </c>
      <c r="F143" s="20">
        <f>[47]SLR!F66</f>
        <v>0.47049999999999997</v>
      </c>
      <c r="G143" s="20">
        <f>[47]SLR!G66</f>
        <v>0.48530000000000001</v>
      </c>
      <c r="H143" s="20">
        <f>[47]SLR!H66</f>
        <v>0.46889999999999998</v>
      </c>
      <c r="I143" s="20">
        <f>[47]SLR!I66</f>
        <v>0.45939999999999998</v>
      </c>
      <c r="J143" s="20">
        <f>[47]SLR!J66</f>
        <v>0.47739999999999999</v>
      </c>
      <c r="K143" s="20">
        <f>[47]SLR!K66</f>
        <v>0.4395</v>
      </c>
      <c r="L143" s="20">
        <f>[47]SLR!L66</f>
        <v>0.39689999999999998</v>
      </c>
      <c r="M143" s="20">
        <f>[47]SLR!M66</f>
        <v>0.39079999999999998</v>
      </c>
      <c r="N143" s="20">
        <f>[47]SLR!N66</f>
        <v>0.42249999999999999</v>
      </c>
      <c r="O143" s="20">
        <f>[47]SLR!O66</f>
        <v>0.4395</v>
      </c>
      <c r="P143" s="20">
        <f>[47]SLR!P66</f>
        <v>0</v>
      </c>
    </row>
    <row r="144" spans="1:16" ht="14.4" x14ac:dyDescent="0.3">
      <c r="A144" s="14" t="s">
        <v>26</v>
      </c>
      <c r="B144" s="14"/>
      <c r="C144" s="16"/>
      <c r="D144" s="54"/>
      <c r="E144" s="54"/>
      <c r="F144" s="54"/>
      <c r="G144" s="54"/>
      <c r="H144" s="54"/>
      <c r="I144" s="54"/>
      <c r="J144" s="54"/>
      <c r="K144" s="54"/>
      <c r="L144" s="54"/>
      <c r="M144" s="54"/>
      <c r="N144" s="54"/>
      <c r="O144" s="54"/>
      <c r="P144" s="54"/>
    </row>
    <row r="145" spans="1:16" ht="14.4" x14ac:dyDescent="0.3">
      <c r="A145" s="18" t="s">
        <v>27</v>
      </c>
      <c r="B145" s="18"/>
      <c r="C145" s="16" t="s">
        <v>19</v>
      </c>
      <c r="D145" s="20">
        <v>0.86670000000000003</v>
      </c>
      <c r="E145" s="20">
        <v>0.86670000000000003</v>
      </c>
      <c r="F145" s="20">
        <v>0.86670000000000003</v>
      </c>
      <c r="G145" s="20">
        <v>0.86670000000000003</v>
      </c>
      <c r="H145" s="20">
        <v>0.86670000000000003</v>
      </c>
      <c r="I145" s="20">
        <v>0.86670000000000003</v>
      </c>
      <c r="J145" s="20">
        <v>0.86670000000000003</v>
      </c>
      <c r="K145" s="20">
        <v>0.86670000000000003</v>
      </c>
      <c r="L145" s="20">
        <v>0.86670000000000003</v>
      </c>
      <c r="M145" s="20">
        <v>0.86670000000000003</v>
      </c>
      <c r="N145" s="20">
        <v>0.86670000000000003</v>
      </c>
      <c r="O145" s="20">
        <v>0.86670000000000003</v>
      </c>
      <c r="P145" s="20">
        <v>0.86670000000000003</v>
      </c>
    </row>
    <row r="146" spans="1:16" ht="14.4" x14ac:dyDescent="0.3">
      <c r="A146" s="18" t="s">
        <v>28</v>
      </c>
      <c r="B146" s="18"/>
      <c r="C146" s="16" t="s">
        <v>23</v>
      </c>
      <c r="D146" s="23">
        <v>0</v>
      </c>
      <c r="E146" s="23">
        <v>0</v>
      </c>
      <c r="F146" s="23">
        <v>0</v>
      </c>
      <c r="G146" s="23">
        <v>0</v>
      </c>
      <c r="H146" s="23">
        <v>0</v>
      </c>
      <c r="I146" s="23">
        <v>0</v>
      </c>
      <c r="J146" s="23">
        <v>0</v>
      </c>
      <c r="K146" s="23">
        <v>0</v>
      </c>
      <c r="L146" s="23">
        <v>0</v>
      </c>
      <c r="M146" s="23">
        <v>0</v>
      </c>
      <c r="N146" s="23">
        <v>0</v>
      </c>
      <c r="O146" s="23">
        <v>0</v>
      </c>
      <c r="P146" s="23">
        <v>0</v>
      </c>
    </row>
    <row r="147" spans="1:16" ht="14.4" x14ac:dyDescent="0.3">
      <c r="A147" s="14" t="s">
        <v>29</v>
      </c>
      <c r="B147" s="14"/>
      <c r="C147" s="16"/>
      <c r="D147" s="24"/>
      <c r="E147" s="24"/>
      <c r="F147" s="24"/>
      <c r="G147" s="24"/>
      <c r="H147" s="24"/>
      <c r="I147" s="24"/>
      <c r="J147" s="24"/>
      <c r="K147" s="24"/>
      <c r="L147" s="24"/>
      <c r="M147" s="24"/>
      <c r="N147" s="24"/>
      <c r="O147" s="24"/>
      <c r="P147" s="24"/>
    </row>
    <row r="148" spans="1:16" ht="14.4" x14ac:dyDescent="0.3">
      <c r="A148" s="18" t="s">
        <v>30</v>
      </c>
      <c r="B148" s="18"/>
      <c r="C148" s="16" t="s">
        <v>19</v>
      </c>
      <c r="D148" s="20">
        <v>0</v>
      </c>
      <c r="E148" s="20">
        <v>0</v>
      </c>
      <c r="F148" s="20">
        <v>0</v>
      </c>
      <c r="G148" s="20">
        <v>0</v>
      </c>
      <c r="H148" s="20">
        <v>0</v>
      </c>
      <c r="I148" s="20">
        <v>0</v>
      </c>
      <c r="J148" s="20">
        <v>0</v>
      </c>
      <c r="K148" s="20">
        <v>0</v>
      </c>
      <c r="L148" s="20">
        <v>0</v>
      </c>
      <c r="M148" s="20">
        <v>0</v>
      </c>
      <c r="N148" s="20">
        <v>0</v>
      </c>
      <c r="O148" s="20">
        <v>0</v>
      </c>
      <c r="P148" s="20">
        <v>0</v>
      </c>
    </row>
    <row r="149" spans="1:16" ht="14.4" x14ac:dyDescent="0.3">
      <c r="A149" s="18" t="s">
        <v>31</v>
      </c>
      <c r="B149" s="18"/>
      <c r="C149" s="16" t="s">
        <v>32</v>
      </c>
      <c r="D149" s="23">
        <v>278.58999999999997</v>
      </c>
      <c r="E149" s="23">
        <v>278.58999999999997</v>
      </c>
      <c r="F149" s="23">
        <v>278.58999999999997</v>
      </c>
      <c r="G149" s="23">
        <v>278.58999999999997</v>
      </c>
      <c r="H149" s="23">
        <v>278.58999999999997</v>
      </c>
      <c r="I149" s="23">
        <v>278.58999999999997</v>
      </c>
      <c r="J149" s="23">
        <v>278.58999999999997</v>
      </c>
      <c r="K149" s="23">
        <v>278.58999999999997</v>
      </c>
      <c r="L149" s="23">
        <v>278.58999999999997</v>
      </c>
      <c r="M149" s="23">
        <v>278.58999999999997</v>
      </c>
      <c r="N149" s="23">
        <v>278.58999999999997</v>
      </c>
      <c r="O149" s="23">
        <v>278.58999999999997</v>
      </c>
      <c r="P149" s="23">
        <v>278.58999999999997</v>
      </c>
    </row>
    <row r="150" spans="1:16" ht="14.4" x14ac:dyDescent="0.3">
      <c r="A150" s="14" t="s">
        <v>33</v>
      </c>
      <c r="B150" s="14"/>
      <c r="C150" s="16"/>
      <c r="D150" s="24"/>
      <c r="E150" s="24"/>
      <c r="F150" s="24"/>
      <c r="G150" s="24"/>
      <c r="H150" s="24"/>
      <c r="I150" s="24"/>
      <c r="J150" s="24"/>
      <c r="K150" s="24"/>
      <c r="L150" s="24"/>
      <c r="M150" s="24"/>
      <c r="N150" s="24"/>
      <c r="O150" s="24"/>
      <c r="P150" s="24"/>
    </row>
    <row r="151" spans="1:16" ht="14.4" x14ac:dyDescent="0.3">
      <c r="A151" s="18" t="s">
        <v>34</v>
      </c>
      <c r="B151" s="18"/>
      <c r="C151" s="16" t="s">
        <v>19</v>
      </c>
      <c r="D151" s="20">
        <v>0</v>
      </c>
      <c r="E151" s="20">
        <v>0</v>
      </c>
      <c r="F151" s="20">
        <v>0</v>
      </c>
      <c r="G151" s="20">
        <v>0</v>
      </c>
      <c r="H151" s="20">
        <v>0</v>
      </c>
      <c r="I151" s="20">
        <v>0</v>
      </c>
      <c r="J151" s="20">
        <v>0</v>
      </c>
      <c r="K151" s="20">
        <v>0</v>
      </c>
      <c r="L151" s="20">
        <v>0</v>
      </c>
      <c r="M151" s="20">
        <v>0</v>
      </c>
      <c r="N151" s="20">
        <v>0</v>
      </c>
      <c r="O151" s="20">
        <v>0</v>
      </c>
      <c r="P151" s="20">
        <v>0</v>
      </c>
    </row>
    <row r="152" spans="1:16" ht="14.4" x14ac:dyDescent="0.3">
      <c r="A152" s="18" t="s">
        <v>35</v>
      </c>
      <c r="B152" s="18"/>
      <c r="C152" s="16" t="s">
        <v>36</v>
      </c>
      <c r="D152" s="23">
        <v>278.45999999999998</v>
      </c>
      <c r="E152" s="23">
        <v>278.45999999999998</v>
      </c>
      <c r="F152" s="23">
        <v>278.45999999999998</v>
      </c>
      <c r="G152" s="23">
        <v>278.45999999999998</v>
      </c>
      <c r="H152" s="23">
        <v>278.45999999999998</v>
      </c>
      <c r="I152" s="23">
        <v>278.45999999999998</v>
      </c>
      <c r="J152" s="23">
        <v>278.45999999999998</v>
      </c>
      <c r="K152" s="23">
        <v>278.45999999999998</v>
      </c>
      <c r="L152" s="23">
        <v>278.45999999999998</v>
      </c>
      <c r="M152" s="23">
        <v>278.45999999999998</v>
      </c>
      <c r="N152" s="23">
        <v>278.45999999999998</v>
      </c>
      <c r="O152" s="23">
        <v>278.45999999999998</v>
      </c>
      <c r="P152" s="23">
        <v>278.45999999999998</v>
      </c>
    </row>
    <row r="153" spans="1:16" ht="14.4" x14ac:dyDescent="0.3">
      <c r="A153" s="14" t="s">
        <v>37</v>
      </c>
      <c r="B153" s="14"/>
      <c r="C153" s="16"/>
      <c r="D153" s="24"/>
      <c r="E153" s="24"/>
      <c r="F153" s="24"/>
      <c r="G153" s="24"/>
      <c r="H153" s="24"/>
      <c r="I153" s="24"/>
      <c r="J153" s="24"/>
      <c r="K153" s="24"/>
      <c r="L153" s="24"/>
      <c r="M153" s="24"/>
      <c r="N153" s="24"/>
      <c r="O153" s="24"/>
      <c r="P153" s="24"/>
    </row>
    <row r="154" spans="1:16" ht="14.4" x14ac:dyDescent="0.3">
      <c r="A154" s="25" t="s">
        <v>138</v>
      </c>
      <c r="B154" s="18"/>
      <c r="C154" s="16" t="s">
        <v>19</v>
      </c>
      <c r="D154" s="20"/>
      <c r="E154" s="20"/>
      <c r="F154" s="20"/>
      <c r="G154" s="20"/>
      <c r="H154" s="20"/>
      <c r="I154" s="20"/>
      <c r="J154" s="20">
        <v>-7.3099999999999998E-2</v>
      </c>
      <c r="K154" s="20"/>
      <c r="L154" s="20"/>
      <c r="M154" s="20"/>
      <c r="N154" s="20"/>
      <c r="O154" s="20"/>
      <c r="P154" s="20"/>
    </row>
    <row r="155" spans="1:16" ht="14.4" x14ac:dyDescent="0.3">
      <c r="A155" s="25" t="s">
        <v>38</v>
      </c>
      <c r="B155" s="18"/>
      <c r="C155" s="16" t="s">
        <v>19</v>
      </c>
      <c r="D155" s="20">
        <f>[47]LD!D28</f>
        <v>9.7600000000000006E-2</v>
      </c>
      <c r="E155" s="20">
        <f>[47]LD!E28</f>
        <v>0.1077</v>
      </c>
      <c r="F155" s="20">
        <f>[47]LD!F28</f>
        <v>0.1234</v>
      </c>
      <c r="G155" s="20">
        <f>[47]LD!G28</f>
        <v>0.124</v>
      </c>
      <c r="H155" s="20">
        <f>[47]LD!H28</f>
        <v>8.2000000000000003E-2</v>
      </c>
      <c r="I155" s="20">
        <f>[47]LD!I28</f>
        <v>7.5499999999999998E-2</v>
      </c>
      <c r="J155" s="20">
        <f>[47]LD!J28</f>
        <v>6.4899999999999999E-2</v>
      </c>
      <c r="K155" s="20">
        <f>[47]LD!K28</f>
        <v>7.5600000000000001E-2</v>
      </c>
      <c r="L155" s="20">
        <f>[47]LD!L28</f>
        <v>7.85E-2</v>
      </c>
      <c r="M155" s="20">
        <f>[47]LD!M28</f>
        <v>7.5399999999999995E-2</v>
      </c>
      <c r="N155" s="20">
        <f>[47]LD!N28</f>
        <v>7.5700000000000003E-2</v>
      </c>
      <c r="O155" s="20">
        <f>[47]LD!O28</f>
        <v>7.8299999999999995E-2</v>
      </c>
      <c r="P155" s="20">
        <f>[47]LD!P28</f>
        <v>0</v>
      </c>
    </row>
    <row r="156" spans="1:16" ht="14.4" x14ac:dyDescent="0.3">
      <c r="A156" s="25" t="s">
        <v>39</v>
      </c>
      <c r="B156" s="18"/>
      <c r="C156" s="16" t="s">
        <v>19</v>
      </c>
      <c r="D156" s="20">
        <v>0</v>
      </c>
      <c r="E156" s="20">
        <v>0</v>
      </c>
      <c r="F156" s="20">
        <v>0</v>
      </c>
      <c r="G156" s="20">
        <v>0</v>
      </c>
      <c r="H156" s="20">
        <v>0</v>
      </c>
      <c r="I156" s="20">
        <v>0</v>
      </c>
      <c r="J156" s="20">
        <v>0</v>
      </c>
      <c r="K156" s="20">
        <v>0</v>
      </c>
      <c r="L156" s="20">
        <v>0</v>
      </c>
      <c r="M156" s="20">
        <v>0</v>
      </c>
      <c r="N156" s="20">
        <v>0</v>
      </c>
      <c r="O156" s="20">
        <v>0</v>
      </c>
      <c r="P156" s="20">
        <v>0</v>
      </c>
    </row>
    <row r="157" spans="1:16" ht="14.4" x14ac:dyDescent="0.3">
      <c r="A157" s="26" t="s">
        <v>40</v>
      </c>
      <c r="B157" s="18"/>
      <c r="C157" s="16" t="s">
        <v>19</v>
      </c>
      <c r="D157" s="20">
        <f>'[47]SR CIT. SUBSIDY'!D134</f>
        <v>8.1671193651487679E-5</v>
      </c>
      <c r="E157" s="20">
        <f>'[47]SR CIT. SUBSIDY'!E134</f>
        <v>7.9496172853225534E-5</v>
      </c>
      <c r="F157" s="20">
        <f>'[47]SR CIT. SUBSIDY'!F134</f>
        <v>9.1117198287407098E-5</v>
      </c>
      <c r="G157" s="20">
        <f>'[47]SR CIT. SUBSIDY'!G134</f>
        <v>9.2294258932552585E-5</v>
      </c>
      <c r="H157" s="20">
        <f>'[47]SR CIT. SUBSIDY'!H134</f>
        <v>8.664510925241928E-5</v>
      </c>
      <c r="I157" s="20">
        <f>'[47]SR CIT. SUBSIDY'!I134</f>
        <v>8.4286320439276092E-5</v>
      </c>
      <c r="J157" s="20">
        <f>'[47]SR CIT. SUBSIDY'!J134</f>
        <v>7.5057505029560973E-5</v>
      </c>
      <c r="K157" s="20">
        <f>'[47]SR CIT. SUBSIDY'!K134</f>
        <v>7.5699329562342512E-5</v>
      </c>
      <c r="L157" s="20">
        <f>'[47]SR CIT. SUBSIDY'!L134</f>
        <v>7.3950804174552343E-5</v>
      </c>
      <c r="M157" s="20">
        <f>'[47]SR CIT. SUBSIDY'!M134</f>
        <v>6.9724330278463729E-5</v>
      </c>
      <c r="N157" s="20">
        <f>'[47]SR CIT. SUBSIDY'!N134</f>
        <v>7.1523365693916283E-5</v>
      </c>
      <c r="O157" s="20">
        <f>'[47]SR CIT. SUBSIDY'!O134</f>
        <v>7.2222317373892914E-5</v>
      </c>
      <c r="P157" s="20">
        <f>'[47]SR CIT. SUBSIDY'!P134</f>
        <v>0</v>
      </c>
    </row>
    <row r="158" spans="1:16" ht="14.4" x14ac:dyDescent="0.3">
      <c r="A158" s="26" t="s">
        <v>41</v>
      </c>
      <c r="B158" s="18"/>
      <c r="C158" s="16" t="s">
        <v>19</v>
      </c>
      <c r="D158" s="20">
        <v>0</v>
      </c>
      <c r="E158" s="20">
        <v>0</v>
      </c>
      <c r="F158" s="20">
        <v>0</v>
      </c>
      <c r="G158" s="20">
        <v>0</v>
      </c>
      <c r="H158" s="20">
        <v>0</v>
      </c>
      <c r="I158" s="20">
        <v>0</v>
      </c>
      <c r="J158" s="20">
        <v>0</v>
      </c>
      <c r="K158" s="20">
        <v>0</v>
      </c>
      <c r="L158" s="20">
        <v>0</v>
      </c>
      <c r="M158" s="20">
        <v>0</v>
      </c>
      <c r="N158" s="20">
        <v>0</v>
      </c>
      <c r="O158" s="20">
        <v>0</v>
      </c>
      <c r="P158" s="20">
        <v>0</v>
      </c>
    </row>
    <row r="159" spans="1:16" ht="14.4" x14ac:dyDescent="0.3">
      <c r="A159" s="14" t="s">
        <v>42</v>
      </c>
      <c r="B159" s="14"/>
      <c r="C159" s="16"/>
      <c r="D159" s="24"/>
      <c r="E159" s="24"/>
      <c r="F159" s="24"/>
      <c r="G159" s="24"/>
      <c r="H159" s="24"/>
      <c r="I159" s="24"/>
      <c r="J159" s="24"/>
      <c r="K159" s="24"/>
      <c r="L159" s="24"/>
      <c r="M159" s="24"/>
      <c r="N159" s="24"/>
      <c r="O159" s="24"/>
      <c r="P159" s="24"/>
    </row>
    <row r="160" spans="1:16" ht="14.4" x14ac:dyDescent="0.3">
      <c r="A160" s="14" t="s">
        <v>43</v>
      </c>
      <c r="B160" s="14"/>
      <c r="C160" s="16" t="s">
        <v>44</v>
      </c>
      <c r="D160" s="27"/>
      <c r="E160" s="27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</row>
    <row r="161" spans="1:16" ht="14.4" x14ac:dyDescent="0.3">
      <c r="A161" s="14" t="s">
        <v>45</v>
      </c>
      <c r="B161" s="14"/>
      <c r="C161" s="16"/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</row>
    <row r="162" spans="1:16" ht="14.4" x14ac:dyDescent="0.3">
      <c r="A162" s="14" t="s">
        <v>46</v>
      </c>
      <c r="B162" s="14"/>
      <c r="C162" s="16" t="s">
        <v>19</v>
      </c>
      <c r="D162" s="20">
        <v>0</v>
      </c>
      <c r="E162" s="20">
        <v>0</v>
      </c>
      <c r="F162" s="20">
        <v>0</v>
      </c>
      <c r="G162" s="20">
        <v>0</v>
      </c>
      <c r="H162" s="20">
        <v>0</v>
      </c>
      <c r="I162" s="20">
        <v>0</v>
      </c>
      <c r="J162" s="20">
        <v>0</v>
      </c>
      <c r="K162" s="20">
        <v>0</v>
      </c>
      <c r="L162" s="20">
        <v>0</v>
      </c>
      <c r="M162" s="20">
        <v>0</v>
      </c>
      <c r="N162" s="20">
        <v>0</v>
      </c>
      <c r="O162" s="20">
        <v>0</v>
      </c>
      <c r="P162" s="20">
        <v>0</v>
      </c>
    </row>
    <row r="163" spans="1:16" ht="14.4" x14ac:dyDescent="0.3">
      <c r="A163" s="14" t="s">
        <v>47</v>
      </c>
      <c r="B163" s="14"/>
      <c r="C163" s="16"/>
      <c r="D163" s="24"/>
      <c r="E163" s="24"/>
      <c r="F163" s="24"/>
      <c r="G163" s="24"/>
      <c r="H163" s="24"/>
      <c r="I163" s="24"/>
      <c r="J163" s="24"/>
      <c r="K163" s="24"/>
      <c r="L163" s="24"/>
      <c r="M163" s="24"/>
      <c r="N163" s="24"/>
      <c r="O163" s="24"/>
      <c r="P163" s="24"/>
    </row>
    <row r="164" spans="1:16" ht="14.4" x14ac:dyDescent="0.3">
      <c r="A164" s="18" t="s">
        <v>48</v>
      </c>
      <c r="B164" s="18"/>
      <c r="C164" s="16" t="s">
        <v>19</v>
      </c>
      <c r="D164" s="20">
        <f t="shared" ref="D164:P168" si="11">D121</f>
        <v>0.15609999999999999</v>
      </c>
      <c r="E164" s="20">
        <f t="shared" si="11"/>
        <v>0.15609999999999999</v>
      </c>
      <c r="F164" s="20">
        <f t="shared" si="11"/>
        <v>0.15609999999999999</v>
      </c>
      <c r="G164" s="20">
        <f t="shared" si="11"/>
        <v>0.15609999999999999</v>
      </c>
      <c r="H164" s="20">
        <f t="shared" si="11"/>
        <v>0.15609999999999999</v>
      </c>
      <c r="I164" s="20">
        <f t="shared" si="11"/>
        <v>0.15609999999999999</v>
      </c>
      <c r="J164" s="20">
        <f t="shared" si="11"/>
        <v>0.15609999999999999</v>
      </c>
      <c r="K164" s="20">
        <f t="shared" si="11"/>
        <v>0.15609999999999999</v>
      </c>
      <c r="L164" s="20">
        <f t="shared" si="11"/>
        <v>0.15609999999999999</v>
      </c>
      <c r="M164" s="20">
        <f t="shared" si="11"/>
        <v>0.15609999999999999</v>
      </c>
      <c r="N164" s="20">
        <f t="shared" si="11"/>
        <v>0.15609999999999999</v>
      </c>
      <c r="O164" s="20">
        <f t="shared" si="11"/>
        <v>0.15609999999999999</v>
      </c>
      <c r="P164" s="20">
        <f t="shared" si="11"/>
        <v>0.15609999999999999</v>
      </c>
    </row>
    <row r="165" spans="1:16" ht="14.4" x14ac:dyDescent="0.3">
      <c r="A165" s="18" t="s">
        <v>49</v>
      </c>
      <c r="B165" s="18"/>
      <c r="C165" s="16" t="s">
        <v>19</v>
      </c>
      <c r="D165" s="20">
        <f t="shared" si="11"/>
        <v>2.5000000000000001E-3</v>
      </c>
      <c r="E165" s="20">
        <f t="shared" si="11"/>
        <v>2.5000000000000001E-3</v>
      </c>
      <c r="F165" s="20">
        <f t="shared" si="11"/>
        <v>2.5000000000000001E-3</v>
      </c>
      <c r="G165" s="20">
        <f t="shared" si="11"/>
        <v>2.5000000000000001E-3</v>
      </c>
      <c r="H165" s="20">
        <f t="shared" si="11"/>
        <v>2.5000000000000001E-3</v>
      </c>
      <c r="I165" s="20">
        <f t="shared" si="11"/>
        <v>2.5000000000000001E-3</v>
      </c>
      <c r="J165" s="20">
        <f t="shared" si="11"/>
        <v>2.5000000000000001E-3</v>
      </c>
      <c r="K165" s="20">
        <f t="shared" si="11"/>
        <v>2.5000000000000001E-3</v>
      </c>
      <c r="L165" s="20">
        <f t="shared" si="11"/>
        <v>2.5000000000000001E-3</v>
      </c>
      <c r="M165" s="20">
        <f t="shared" si="11"/>
        <v>2.5000000000000001E-3</v>
      </c>
      <c r="N165" s="20">
        <f t="shared" si="11"/>
        <v>2.5000000000000001E-3</v>
      </c>
      <c r="O165" s="20">
        <f t="shared" si="11"/>
        <v>2.5000000000000001E-3</v>
      </c>
      <c r="P165" s="20">
        <f t="shared" si="11"/>
        <v>2.5000000000000001E-3</v>
      </c>
    </row>
    <row r="166" spans="1:16" ht="14.4" x14ac:dyDescent="0.3">
      <c r="A166" s="18" t="s">
        <v>111</v>
      </c>
      <c r="B166" s="18"/>
      <c r="C166" s="16" t="s">
        <v>19</v>
      </c>
      <c r="D166" s="20">
        <f t="shared" si="11"/>
        <v>0.1938</v>
      </c>
      <c r="E166" s="20">
        <f t="shared" si="11"/>
        <v>-0.3876</v>
      </c>
      <c r="F166" s="20">
        <f t="shared" si="11"/>
        <v>0</v>
      </c>
      <c r="G166" s="20">
        <f t="shared" si="11"/>
        <v>0</v>
      </c>
      <c r="H166" s="20">
        <f t="shared" si="11"/>
        <v>0</v>
      </c>
      <c r="I166" s="20">
        <f t="shared" si="11"/>
        <v>0</v>
      </c>
      <c r="J166" s="20">
        <f t="shared" si="11"/>
        <v>0</v>
      </c>
      <c r="K166" s="20">
        <f t="shared" si="11"/>
        <v>0</v>
      </c>
      <c r="L166" s="20">
        <f t="shared" si="11"/>
        <v>0</v>
      </c>
      <c r="M166" s="20">
        <f t="shared" si="11"/>
        <v>0</v>
      </c>
      <c r="N166" s="20">
        <f t="shared" si="11"/>
        <v>0</v>
      </c>
      <c r="O166" s="20">
        <f t="shared" si="11"/>
        <v>0</v>
      </c>
      <c r="P166" s="20">
        <f t="shared" si="11"/>
        <v>0</v>
      </c>
    </row>
    <row r="167" spans="1:16" ht="14.4" x14ac:dyDescent="0.3">
      <c r="A167" s="18" t="s">
        <v>112</v>
      </c>
      <c r="B167" s="18"/>
      <c r="C167" s="16" t="s">
        <v>19</v>
      </c>
      <c r="D167" s="42">
        <f>D124</f>
        <v>2.6499999999999999E-2</v>
      </c>
      <c r="E167" s="42">
        <f t="shared" si="11"/>
        <v>2.6499999999999999E-2</v>
      </c>
      <c r="F167" s="42">
        <f t="shared" si="11"/>
        <v>2.6499999999999999E-2</v>
      </c>
      <c r="G167" s="42">
        <f t="shared" si="11"/>
        <v>4.2799999999999998E-2</v>
      </c>
      <c r="H167" s="42">
        <f t="shared" si="11"/>
        <v>4.2799999999999998E-2</v>
      </c>
      <c r="I167" s="42">
        <f t="shared" si="11"/>
        <v>4.2799999999999998E-2</v>
      </c>
      <c r="J167" s="42">
        <f t="shared" si="11"/>
        <v>4.2799999999999998E-2</v>
      </c>
      <c r="K167" s="42">
        <f t="shared" si="11"/>
        <v>4.2799999999999998E-2</v>
      </c>
      <c r="L167" s="42">
        <f t="shared" si="11"/>
        <v>4.2799999999999998E-2</v>
      </c>
      <c r="M167" s="42">
        <f t="shared" si="11"/>
        <v>4.2799999999999998E-2</v>
      </c>
      <c r="N167" s="42">
        <f t="shared" si="11"/>
        <v>4.2799999999999998E-2</v>
      </c>
      <c r="O167" s="42">
        <f t="shared" si="11"/>
        <v>4.2799999999999998E-2</v>
      </c>
      <c r="P167" s="42">
        <f t="shared" si="11"/>
        <v>4.2799999999999998E-2</v>
      </c>
    </row>
    <row r="168" spans="1:16" ht="14.4" x14ac:dyDescent="0.3">
      <c r="A168" s="14" t="s">
        <v>51</v>
      </c>
      <c r="B168" s="14"/>
      <c r="C168" s="16" t="s">
        <v>19</v>
      </c>
      <c r="D168" s="20">
        <f>D125</f>
        <v>0.25629999999999997</v>
      </c>
      <c r="E168" s="20">
        <f t="shared" si="11"/>
        <v>0.25629999999999997</v>
      </c>
      <c r="F168" s="20">
        <f t="shared" si="11"/>
        <v>0.25629999999999997</v>
      </c>
      <c r="G168" s="20">
        <f t="shared" si="11"/>
        <v>0.22259999999999999</v>
      </c>
      <c r="H168" s="20">
        <f t="shared" si="11"/>
        <v>0.22259999999999999</v>
      </c>
      <c r="I168" s="20">
        <f t="shared" si="11"/>
        <v>0.22259999999999999</v>
      </c>
      <c r="J168" s="20">
        <f t="shared" si="11"/>
        <v>0.22259999999999999</v>
      </c>
      <c r="K168" s="20">
        <f t="shared" si="11"/>
        <v>0.22259999999999999</v>
      </c>
      <c r="L168" s="20">
        <f t="shared" si="11"/>
        <v>0.22259999999999999</v>
      </c>
      <c r="M168" s="20">
        <f t="shared" si="11"/>
        <v>0.22259999999999999</v>
      </c>
      <c r="N168" s="20">
        <f t="shared" si="11"/>
        <v>0.22259999999999999</v>
      </c>
      <c r="O168" s="20">
        <f t="shared" si="11"/>
        <v>0.22259999999999999</v>
      </c>
      <c r="P168" s="20">
        <f t="shared" si="11"/>
        <v>0.22259999999999999</v>
      </c>
    </row>
    <row r="169" spans="1:16" ht="14.4" x14ac:dyDescent="0.3">
      <c r="A169" s="14" t="s">
        <v>52</v>
      </c>
      <c r="B169" s="14"/>
      <c r="C169" s="29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</row>
    <row r="170" spans="1:16" ht="14.4" x14ac:dyDescent="0.3">
      <c r="A170" s="18" t="s">
        <v>53</v>
      </c>
      <c r="B170" s="18"/>
      <c r="C170" s="16" t="s">
        <v>44</v>
      </c>
      <c r="D170" s="30">
        <f t="shared" ref="D170:P174" si="12">D127</f>
        <v>0.1129</v>
      </c>
      <c r="E170" s="30">
        <f t="shared" si="12"/>
        <v>0.1091</v>
      </c>
      <c r="F170" s="30">
        <f t="shared" si="12"/>
        <v>0.1124</v>
      </c>
      <c r="G170" s="30">
        <f t="shared" si="12"/>
        <v>0.1123</v>
      </c>
      <c r="H170" s="30">
        <f t="shared" si="12"/>
        <v>0.10780000000000001</v>
      </c>
      <c r="I170" s="30">
        <f t="shared" si="12"/>
        <v>0.1113</v>
      </c>
      <c r="J170" s="30">
        <f t="shared" si="12"/>
        <v>0.111</v>
      </c>
      <c r="K170" s="30">
        <f t="shared" si="12"/>
        <v>0.11260000000000001</v>
      </c>
      <c r="L170" s="30">
        <f t="shared" si="12"/>
        <v>0.1143</v>
      </c>
      <c r="M170" s="30">
        <f t="shared" si="12"/>
        <v>0.1157</v>
      </c>
      <c r="N170" s="30">
        <f t="shared" si="12"/>
        <v>0.11</v>
      </c>
      <c r="O170" s="30">
        <f t="shared" si="12"/>
        <v>0.112</v>
      </c>
      <c r="P170" s="30" t="e">
        <f t="shared" si="12"/>
        <v>#DIV/0!</v>
      </c>
    </row>
    <row r="171" spans="1:16" ht="14.4" x14ac:dyDescent="0.3">
      <c r="A171" s="18" t="s">
        <v>54</v>
      </c>
      <c r="B171" s="18"/>
      <c r="C171" s="16" t="s">
        <v>44</v>
      </c>
      <c r="D171" s="30">
        <f t="shared" si="12"/>
        <v>0.1028</v>
      </c>
      <c r="E171" s="30">
        <f t="shared" si="12"/>
        <v>0.1026</v>
      </c>
      <c r="F171" s="30">
        <f t="shared" si="12"/>
        <v>0.1045</v>
      </c>
      <c r="G171" s="30">
        <f t="shared" si="12"/>
        <v>0.109</v>
      </c>
      <c r="H171" s="30">
        <f t="shared" si="12"/>
        <v>0.1099</v>
      </c>
      <c r="I171" s="30">
        <f t="shared" si="12"/>
        <v>0.11070000000000001</v>
      </c>
      <c r="J171" s="30">
        <f t="shared" si="12"/>
        <v>0.1036</v>
      </c>
      <c r="K171" s="30">
        <f t="shared" si="12"/>
        <v>0.1027</v>
      </c>
      <c r="L171" s="30">
        <f t="shared" si="12"/>
        <v>0.10150000000000001</v>
      </c>
      <c r="M171" s="30">
        <f t="shared" si="12"/>
        <v>9.7199999999999995E-2</v>
      </c>
      <c r="N171" s="30">
        <f t="shared" si="12"/>
        <v>9.7900000000000001E-2</v>
      </c>
      <c r="O171" s="30">
        <f t="shared" si="12"/>
        <v>0.10340000000000001</v>
      </c>
      <c r="P171" s="30" t="e">
        <f t="shared" si="12"/>
        <v>#DIV/0!</v>
      </c>
    </row>
    <row r="172" spans="1:16" ht="14.4" x14ac:dyDescent="0.3">
      <c r="A172" s="18" t="s">
        <v>55</v>
      </c>
      <c r="B172" s="18"/>
      <c r="C172" s="16" t="s">
        <v>44</v>
      </c>
      <c r="D172" s="30">
        <f t="shared" si="12"/>
        <v>0.1114</v>
      </c>
      <c r="E172" s="30">
        <f t="shared" si="12"/>
        <v>0.10829999999999999</v>
      </c>
      <c r="F172" s="30">
        <f t="shared" si="12"/>
        <v>0.1114</v>
      </c>
      <c r="G172" s="30">
        <f t="shared" si="12"/>
        <v>0.112</v>
      </c>
      <c r="H172" s="30">
        <f t="shared" si="12"/>
        <v>0.1081</v>
      </c>
      <c r="I172" s="30">
        <f t="shared" si="12"/>
        <v>0.1113</v>
      </c>
      <c r="J172" s="30">
        <f t="shared" si="12"/>
        <v>0.1103</v>
      </c>
      <c r="K172" s="30">
        <f t="shared" si="12"/>
        <v>0.1114</v>
      </c>
      <c r="L172" s="30">
        <f t="shared" si="12"/>
        <v>0.11269999999999999</v>
      </c>
      <c r="M172" s="30">
        <f t="shared" si="12"/>
        <v>0.1133</v>
      </c>
      <c r="N172" s="30">
        <f t="shared" si="12"/>
        <v>0.1087</v>
      </c>
      <c r="O172" s="30">
        <f t="shared" si="12"/>
        <v>0.111</v>
      </c>
      <c r="P172" s="30" t="e">
        <f t="shared" si="12"/>
        <v>#DIV/0!</v>
      </c>
    </row>
    <row r="173" spans="1:16" ht="14.4" x14ac:dyDescent="0.3">
      <c r="A173" s="18" t="s">
        <v>56</v>
      </c>
      <c r="B173" s="18"/>
      <c r="C173" s="16" t="s">
        <v>44</v>
      </c>
      <c r="D173" s="30">
        <f t="shared" si="12"/>
        <v>0.12</v>
      </c>
      <c r="E173" s="30">
        <f t="shared" si="12"/>
        <v>0.12</v>
      </c>
      <c r="F173" s="30">
        <f t="shared" si="12"/>
        <v>0.12</v>
      </c>
      <c r="G173" s="30">
        <f t="shared" si="12"/>
        <v>0.12</v>
      </c>
      <c r="H173" s="30">
        <f t="shared" si="12"/>
        <v>0.12</v>
      </c>
      <c r="I173" s="30">
        <f t="shared" si="12"/>
        <v>0.12</v>
      </c>
      <c r="J173" s="30">
        <f t="shared" si="12"/>
        <v>0.12</v>
      </c>
      <c r="K173" s="30">
        <f t="shared" si="12"/>
        <v>0.12</v>
      </c>
      <c r="L173" s="30">
        <f t="shared" si="12"/>
        <v>0.12</v>
      </c>
      <c r="M173" s="30">
        <f t="shared" si="12"/>
        <v>0.12</v>
      </c>
      <c r="N173" s="30">
        <f t="shared" si="12"/>
        <v>0.12</v>
      </c>
      <c r="O173" s="30">
        <f t="shared" si="12"/>
        <v>0.12</v>
      </c>
      <c r="P173" s="30">
        <f t="shared" si="12"/>
        <v>0.12</v>
      </c>
    </row>
    <row r="174" spans="1:16" ht="14.4" x14ac:dyDescent="0.3">
      <c r="A174" s="18" t="s">
        <v>57</v>
      </c>
      <c r="B174" s="18"/>
      <c r="C174" s="16" t="s">
        <v>44</v>
      </c>
      <c r="D174" s="30">
        <f t="shared" si="12"/>
        <v>0.12</v>
      </c>
      <c r="E174" s="30">
        <f t="shared" si="12"/>
        <v>0.12</v>
      </c>
      <c r="F174" s="30">
        <f t="shared" si="12"/>
        <v>0.12</v>
      </c>
      <c r="G174" s="30">
        <f t="shared" si="12"/>
        <v>0.12</v>
      </c>
      <c r="H174" s="30">
        <f t="shared" si="12"/>
        <v>0.12</v>
      </c>
      <c r="I174" s="30">
        <f t="shared" si="12"/>
        <v>0.12</v>
      </c>
      <c r="J174" s="30">
        <f t="shared" si="12"/>
        <v>0.12</v>
      </c>
      <c r="K174" s="30">
        <f t="shared" si="12"/>
        <v>0.12</v>
      </c>
      <c r="L174" s="30">
        <f t="shared" si="12"/>
        <v>0.12</v>
      </c>
      <c r="M174" s="30">
        <f t="shared" si="12"/>
        <v>0.12</v>
      </c>
      <c r="N174" s="30">
        <f t="shared" si="12"/>
        <v>0.12</v>
      </c>
      <c r="O174" s="30">
        <f t="shared" si="12"/>
        <v>0.12</v>
      </c>
      <c r="P174" s="30">
        <f t="shared" si="12"/>
        <v>0.12</v>
      </c>
    </row>
    <row r="175" spans="1:16" s="5" customFormat="1" ht="14.4" x14ac:dyDescent="0.3">
      <c r="A175" s="55"/>
      <c r="B175" s="55"/>
      <c r="C175" s="56"/>
      <c r="D175" s="57"/>
      <c r="E175" s="57"/>
      <c r="F175" s="57"/>
      <c r="G175" s="57"/>
      <c r="H175" s="57"/>
      <c r="I175" s="57"/>
      <c r="J175" s="57"/>
      <c r="K175" s="57"/>
      <c r="L175" s="57"/>
      <c r="M175" s="57"/>
      <c r="N175" s="57"/>
      <c r="O175" s="57"/>
      <c r="P175" s="57"/>
    </row>
    <row r="176" spans="1:16" x14ac:dyDescent="0.3">
      <c r="A176" s="3" t="s">
        <v>58</v>
      </c>
    </row>
    <row r="177" spans="1:16" ht="14.4" x14ac:dyDescent="0.3">
      <c r="D177" s="58"/>
      <c r="E177" s="58"/>
      <c r="F177" s="58"/>
      <c r="G177" s="58"/>
      <c r="H177" s="58"/>
      <c r="I177" s="58"/>
      <c r="J177" s="58"/>
      <c r="K177" s="58"/>
      <c r="L177" s="58"/>
      <c r="M177" s="58"/>
      <c r="N177" s="58"/>
      <c r="O177" s="58"/>
      <c r="P177" s="58"/>
    </row>
    <row r="178" spans="1:16" ht="18" x14ac:dyDescent="0.35">
      <c r="A178" s="59" t="str">
        <f>'[47]Statistical data'!A152</f>
        <v xml:space="preserve">  General Service B</v>
      </c>
      <c r="B178" s="59"/>
      <c r="C178" s="5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</row>
    <row r="179" spans="1:16" s="13" customFormat="1" ht="14.4" x14ac:dyDescent="0.3">
      <c r="A179" s="11" t="s">
        <v>3</v>
      </c>
      <c r="B179" s="11"/>
      <c r="C179" s="11" t="s">
        <v>4</v>
      </c>
      <c r="D179" s="73">
        <f t="shared" ref="D179:P179" si="13">D136</f>
        <v>43466</v>
      </c>
      <c r="E179" s="73">
        <f t="shared" si="13"/>
        <v>43497</v>
      </c>
      <c r="F179" s="73">
        <f t="shared" si="13"/>
        <v>43525</v>
      </c>
      <c r="G179" s="73">
        <f t="shared" si="13"/>
        <v>43556</v>
      </c>
      <c r="H179" s="73">
        <f t="shared" si="13"/>
        <v>43586</v>
      </c>
      <c r="I179" s="73">
        <f t="shared" si="13"/>
        <v>43617</v>
      </c>
      <c r="J179" s="73">
        <f t="shared" si="13"/>
        <v>43647</v>
      </c>
      <c r="K179" s="73">
        <f t="shared" si="13"/>
        <v>43678</v>
      </c>
      <c r="L179" s="73">
        <f t="shared" si="13"/>
        <v>43709</v>
      </c>
      <c r="M179" s="73">
        <f t="shared" si="13"/>
        <v>43739</v>
      </c>
      <c r="N179" s="73">
        <f t="shared" si="13"/>
        <v>43770</v>
      </c>
      <c r="O179" s="73">
        <f t="shared" si="13"/>
        <v>43800</v>
      </c>
      <c r="P179" s="73">
        <f t="shared" si="13"/>
        <v>43831</v>
      </c>
    </row>
    <row r="180" spans="1:16" ht="14.4" x14ac:dyDescent="0.3">
      <c r="A180" s="14" t="s">
        <v>17</v>
      </c>
      <c r="B180" s="15"/>
      <c r="C180" s="16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</row>
    <row r="181" spans="1:16" ht="14.4" x14ac:dyDescent="0.3">
      <c r="A181" s="18" t="s">
        <v>18</v>
      </c>
      <c r="B181" s="19"/>
      <c r="C181" s="16" t="s">
        <v>19</v>
      </c>
      <c r="D181" s="52" t="s">
        <v>59</v>
      </c>
      <c r="E181" s="52" t="s">
        <v>59</v>
      </c>
      <c r="F181" s="52" t="s">
        <v>59</v>
      </c>
      <c r="G181" s="52" t="s">
        <v>59</v>
      </c>
      <c r="H181" s="52" t="s">
        <v>59</v>
      </c>
      <c r="I181" s="52" t="s">
        <v>59</v>
      </c>
      <c r="J181" s="52" t="s">
        <v>59</v>
      </c>
      <c r="K181" s="52" t="s">
        <v>59</v>
      </c>
      <c r="L181" s="52" t="s">
        <v>59</v>
      </c>
      <c r="M181" s="52" t="s">
        <v>59</v>
      </c>
      <c r="N181" s="52" t="s">
        <v>59</v>
      </c>
      <c r="O181" s="52" t="s">
        <v>59</v>
      </c>
      <c r="P181" s="52" t="s">
        <v>59</v>
      </c>
    </row>
    <row r="182" spans="1:16" ht="14.4" x14ac:dyDescent="0.3">
      <c r="A182" s="14" t="s">
        <v>20</v>
      </c>
      <c r="B182" s="15"/>
      <c r="C182" s="16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</row>
    <row r="183" spans="1:16" ht="14.4" x14ac:dyDescent="0.3">
      <c r="A183" s="18" t="s">
        <v>21</v>
      </c>
      <c r="B183" s="19"/>
      <c r="C183" s="16" t="s">
        <v>19</v>
      </c>
      <c r="D183" s="20">
        <v>0</v>
      </c>
      <c r="E183" s="20">
        <v>0</v>
      </c>
      <c r="F183" s="20">
        <v>0</v>
      </c>
      <c r="G183" s="20">
        <v>0</v>
      </c>
      <c r="H183" s="20">
        <v>0</v>
      </c>
      <c r="I183" s="20">
        <v>0</v>
      </c>
      <c r="J183" s="20">
        <v>0</v>
      </c>
      <c r="K183" s="20">
        <v>0</v>
      </c>
      <c r="L183" s="20">
        <v>0</v>
      </c>
      <c r="M183" s="20">
        <v>0</v>
      </c>
      <c r="N183" s="20">
        <v>0</v>
      </c>
      <c r="O183" s="20">
        <v>0</v>
      </c>
      <c r="P183" s="20">
        <v>0</v>
      </c>
    </row>
    <row r="184" spans="1:16" ht="14.4" x14ac:dyDescent="0.3">
      <c r="A184" s="18" t="s">
        <v>22</v>
      </c>
      <c r="B184" s="19"/>
      <c r="C184" s="16" t="s">
        <v>23</v>
      </c>
      <c r="D184" s="20">
        <f>[47]TR!D34</f>
        <v>256.77999999999997</v>
      </c>
      <c r="E184" s="20">
        <f>[47]TR!E34</f>
        <v>237.56</v>
      </c>
      <c r="F184" s="20">
        <f>[47]TR!F34</f>
        <v>230.3</v>
      </c>
      <c r="G184" s="20">
        <f>[47]TR!G34</f>
        <v>263.89999999999998</v>
      </c>
      <c r="H184" s="20">
        <f>[47]TR!H34</f>
        <v>232.4</v>
      </c>
      <c r="I184" s="20">
        <f>[47]TR!I34</f>
        <v>225.61</v>
      </c>
      <c r="J184" s="20">
        <f>[47]TR!J34</f>
        <v>194.97</v>
      </c>
      <c r="K184" s="20">
        <f>[47]TR!K34</f>
        <v>199.59</v>
      </c>
      <c r="L184" s="20">
        <f>[47]TR!L34</f>
        <v>216.16</v>
      </c>
      <c r="M184" s="20">
        <f>[47]TR!M34</f>
        <v>213.05</v>
      </c>
      <c r="N184" s="20">
        <f>[47]TR!N34</f>
        <v>196.82</v>
      </c>
      <c r="O184" s="20">
        <f>[47]TR!O34</f>
        <v>213.13</v>
      </c>
      <c r="P184" s="20">
        <f>[47]TR!P34</f>
        <v>0</v>
      </c>
    </row>
    <row r="185" spans="1:16" ht="14.4" x14ac:dyDescent="0.3">
      <c r="A185" s="14" t="s">
        <v>24</v>
      </c>
      <c r="B185" s="15"/>
      <c r="C185" s="16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</row>
    <row r="186" spans="1:16" ht="14.4" x14ac:dyDescent="0.3">
      <c r="A186" s="18" t="s">
        <v>25</v>
      </c>
      <c r="B186" s="19"/>
      <c r="C186" s="16" t="s">
        <v>19</v>
      </c>
      <c r="D186" s="20">
        <f>[47]SLR!D67</f>
        <v>0.43730000000000002</v>
      </c>
      <c r="E186" s="20">
        <f>[47]SLR!E67</f>
        <v>0.50519999999999998</v>
      </c>
      <c r="F186" s="20">
        <f>[47]SLR!F67</f>
        <v>0.47049999999999997</v>
      </c>
      <c r="G186" s="20">
        <f>[47]SLR!G67</f>
        <v>0.48530000000000001</v>
      </c>
      <c r="H186" s="20">
        <f>[47]SLR!H67</f>
        <v>0.46889999999999998</v>
      </c>
      <c r="I186" s="20">
        <f>[47]SLR!I67</f>
        <v>0.45939999999999998</v>
      </c>
      <c r="J186" s="20">
        <f>[47]SLR!J67</f>
        <v>0.47739999999999999</v>
      </c>
      <c r="K186" s="20">
        <f>[47]SLR!K67</f>
        <v>0.4395</v>
      </c>
      <c r="L186" s="20">
        <f>[47]SLR!L67</f>
        <v>0.39689999999999998</v>
      </c>
      <c r="M186" s="20">
        <f>[47]SLR!M67</f>
        <v>0.39079999999999998</v>
      </c>
      <c r="N186" s="20">
        <f>[47]SLR!N67</f>
        <v>0.42249999999999999</v>
      </c>
      <c r="O186" s="20">
        <f>[47]SLR!O67</f>
        <v>0.4395</v>
      </c>
      <c r="P186" s="20">
        <f>[47]SLR!P67</f>
        <v>0</v>
      </c>
    </row>
    <row r="187" spans="1:16" ht="14.4" x14ac:dyDescent="0.3">
      <c r="A187" s="14" t="s">
        <v>26</v>
      </c>
      <c r="B187" s="14"/>
      <c r="C187" s="16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</row>
    <row r="188" spans="1:16" ht="14.4" x14ac:dyDescent="0.3">
      <c r="A188" s="18" t="s">
        <v>27</v>
      </c>
      <c r="B188" s="18"/>
      <c r="C188" s="16" t="s">
        <v>19</v>
      </c>
      <c r="D188" s="20">
        <v>0.1368</v>
      </c>
      <c r="E188" s="20">
        <v>0.1368</v>
      </c>
      <c r="F188" s="20">
        <v>0.1368</v>
      </c>
      <c r="G188" s="20">
        <v>0.1368</v>
      </c>
      <c r="H188" s="20">
        <v>0.1368</v>
      </c>
      <c r="I188" s="20">
        <v>0.1368</v>
      </c>
      <c r="J188" s="20">
        <v>0.1368</v>
      </c>
      <c r="K188" s="20">
        <v>0.1368</v>
      </c>
      <c r="L188" s="20">
        <v>0.1368</v>
      </c>
      <c r="M188" s="20">
        <v>0.1368</v>
      </c>
      <c r="N188" s="20">
        <v>0.1368</v>
      </c>
      <c r="O188" s="20">
        <v>0.1368</v>
      </c>
      <c r="P188" s="20">
        <v>0.1368</v>
      </c>
    </row>
    <row r="189" spans="1:16" ht="14.4" x14ac:dyDescent="0.3">
      <c r="A189" s="18" t="s">
        <v>28</v>
      </c>
      <c r="B189" s="18"/>
      <c r="C189" s="16" t="s">
        <v>23</v>
      </c>
      <c r="D189" s="23">
        <v>237.15</v>
      </c>
      <c r="E189" s="23">
        <v>237.15</v>
      </c>
      <c r="F189" s="23">
        <v>237.15</v>
      </c>
      <c r="G189" s="23">
        <v>237.15</v>
      </c>
      <c r="H189" s="23">
        <v>237.15</v>
      </c>
      <c r="I189" s="23">
        <v>237.15</v>
      </c>
      <c r="J189" s="23">
        <v>237.15</v>
      </c>
      <c r="K189" s="23">
        <v>237.15</v>
      </c>
      <c r="L189" s="23">
        <v>237.15</v>
      </c>
      <c r="M189" s="23">
        <v>237.15</v>
      </c>
      <c r="N189" s="23">
        <v>237.15</v>
      </c>
      <c r="O189" s="23">
        <v>237.15</v>
      </c>
      <c r="P189" s="23">
        <v>237.15</v>
      </c>
    </row>
    <row r="190" spans="1:16" ht="14.4" x14ac:dyDescent="0.3">
      <c r="A190" s="14" t="s">
        <v>29</v>
      </c>
      <c r="B190" s="14"/>
      <c r="C190" s="16"/>
      <c r="D190" s="24"/>
      <c r="E190" s="24"/>
      <c r="F190" s="24"/>
      <c r="G190" s="24"/>
      <c r="H190" s="24"/>
      <c r="I190" s="24"/>
      <c r="J190" s="24"/>
      <c r="K190" s="24"/>
      <c r="L190" s="24"/>
      <c r="M190" s="24"/>
      <c r="N190" s="24"/>
      <c r="O190" s="24"/>
      <c r="P190" s="24"/>
    </row>
    <row r="191" spans="1:16" ht="14.4" x14ac:dyDescent="0.3">
      <c r="A191" s="18" t="s">
        <v>30</v>
      </c>
      <c r="B191" s="18"/>
      <c r="C191" s="16" t="s">
        <v>19</v>
      </c>
      <c r="D191" s="52" t="s">
        <v>61</v>
      </c>
      <c r="E191" s="52" t="s">
        <v>61</v>
      </c>
      <c r="F191" s="52" t="s">
        <v>61</v>
      </c>
      <c r="G191" s="52" t="s">
        <v>61</v>
      </c>
      <c r="H191" s="52" t="s">
        <v>61</v>
      </c>
      <c r="I191" s="52" t="s">
        <v>61</v>
      </c>
      <c r="J191" s="52" t="s">
        <v>61</v>
      </c>
      <c r="K191" s="52" t="s">
        <v>61</v>
      </c>
      <c r="L191" s="52" t="s">
        <v>61</v>
      </c>
      <c r="M191" s="52" t="s">
        <v>61</v>
      </c>
      <c r="N191" s="52" t="s">
        <v>61</v>
      </c>
      <c r="O191" s="52" t="s">
        <v>61</v>
      </c>
      <c r="P191" s="52" t="s">
        <v>61</v>
      </c>
    </row>
    <row r="192" spans="1:16" ht="14.4" x14ac:dyDescent="0.3">
      <c r="A192" s="18" t="s">
        <v>31</v>
      </c>
      <c r="B192" s="18"/>
      <c r="C192" s="16" t="s">
        <v>32</v>
      </c>
      <c r="D192" s="52" t="s">
        <v>62</v>
      </c>
      <c r="E192" s="52" t="s">
        <v>62</v>
      </c>
      <c r="F192" s="52" t="s">
        <v>62</v>
      </c>
      <c r="G192" s="52" t="s">
        <v>62</v>
      </c>
      <c r="H192" s="52" t="s">
        <v>62</v>
      </c>
      <c r="I192" s="52" t="s">
        <v>62</v>
      </c>
      <c r="J192" s="52" t="s">
        <v>62</v>
      </c>
      <c r="K192" s="52" t="s">
        <v>62</v>
      </c>
      <c r="L192" s="52" t="s">
        <v>62</v>
      </c>
      <c r="M192" s="52" t="s">
        <v>62</v>
      </c>
      <c r="N192" s="52" t="s">
        <v>62</v>
      </c>
      <c r="O192" s="52" t="s">
        <v>62</v>
      </c>
      <c r="P192" s="52" t="s">
        <v>62</v>
      </c>
    </row>
    <row r="193" spans="1:16" ht="14.4" x14ac:dyDescent="0.3">
      <c r="A193" s="14" t="s">
        <v>33</v>
      </c>
      <c r="B193" s="14"/>
      <c r="C193" s="16"/>
      <c r="D193" s="24"/>
      <c r="E193" s="24"/>
      <c r="F193" s="24"/>
      <c r="G193" s="24"/>
      <c r="H193" s="24"/>
      <c r="I193" s="24"/>
      <c r="J193" s="24"/>
      <c r="K193" s="24"/>
      <c r="L193" s="24"/>
      <c r="M193" s="24"/>
      <c r="N193" s="24"/>
      <c r="O193" s="24"/>
      <c r="P193" s="24"/>
    </row>
    <row r="194" spans="1:16" ht="14.4" x14ac:dyDescent="0.3">
      <c r="A194" s="18" t="s">
        <v>34</v>
      </c>
      <c r="B194" s="18"/>
      <c r="C194" s="16" t="s">
        <v>19</v>
      </c>
      <c r="D194" s="20">
        <v>0</v>
      </c>
      <c r="E194" s="20">
        <v>0</v>
      </c>
      <c r="F194" s="20">
        <v>0</v>
      </c>
      <c r="G194" s="20">
        <v>0</v>
      </c>
      <c r="H194" s="20">
        <v>0</v>
      </c>
      <c r="I194" s="20">
        <v>0</v>
      </c>
      <c r="J194" s="20">
        <v>0</v>
      </c>
      <c r="K194" s="20">
        <v>0</v>
      </c>
      <c r="L194" s="20">
        <v>0</v>
      </c>
      <c r="M194" s="20">
        <v>0</v>
      </c>
      <c r="N194" s="20">
        <v>0</v>
      </c>
      <c r="O194" s="20">
        <v>0</v>
      </c>
      <c r="P194" s="20">
        <v>0</v>
      </c>
    </row>
    <row r="195" spans="1:16" ht="14.4" x14ac:dyDescent="0.3">
      <c r="A195" s="18" t="s">
        <v>35</v>
      </c>
      <c r="B195" s="18"/>
      <c r="C195" s="16" t="s">
        <v>36</v>
      </c>
      <c r="D195" s="52" t="s">
        <v>63</v>
      </c>
      <c r="E195" s="52" t="s">
        <v>63</v>
      </c>
      <c r="F195" s="52" t="s">
        <v>63</v>
      </c>
      <c r="G195" s="52" t="s">
        <v>63</v>
      </c>
      <c r="H195" s="52" t="s">
        <v>63</v>
      </c>
      <c r="I195" s="52" t="s">
        <v>63</v>
      </c>
      <c r="J195" s="52" t="s">
        <v>63</v>
      </c>
      <c r="K195" s="52" t="s">
        <v>63</v>
      </c>
      <c r="L195" s="52" t="s">
        <v>63</v>
      </c>
      <c r="M195" s="52" t="s">
        <v>63</v>
      </c>
      <c r="N195" s="52" t="s">
        <v>63</v>
      </c>
      <c r="O195" s="52" t="s">
        <v>63</v>
      </c>
      <c r="P195" s="52" t="s">
        <v>63</v>
      </c>
    </row>
    <row r="196" spans="1:16" ht="14.4" x14ac:dyDescent="0.3">
      <c r="A196" s="14" t="s">
        <v>37</v>
      </c>
      <c r="B196" s="14"/>
      <c r="C196" s="16"/>
      <c r="D196" s="24"/>
      <c r="E196" s="24"/>
      <c r="F196" s="24"/>
      <c r="G196" s="24"/>
      <c r="H196" s="24"/>
      <c r="I196" s="24"/>
      <c r="J196" s="24"/>
      <c r="K196" s="24"/>
      <c r="L196" s="24"/>
      <c r="M196" s="24"/>
      <c r="N196" s="24"/>
      <c r="O196" s="24"/>
      <c r="P196" s="24"/>
    </row>
    <row r="197" spans="1:16" ht="14.4" x14ac:dyDescent="0.3">
      <c r="A197" s="25" t="s">
        <v>138</v>
      </c>
      <c r="B197" s="18"/>
      <c r="C197" s="16" t="s">
        <v>19</v>
      </c>
      <c r="D197" s="20"/>
      <c r="E197" s="20"/>
      <c r="F197" s="20"/>
      <c r="G197" s="20"/>
      <c r="H197" s="20"/>
      <c r="I197" s="20"/>
      <c r="J197" s="20">
        <v>-7.3099999999999998E-2</v>
      </c>
      <c r="K197" s="20"/>
      <c r="L197" s="20"/>
      <c r="M197" s="20"/>
      <c r="N197" s="20"/>
      <c r="O197" s="20"/>
      <c r="P197" s="20"/>
    </row>
    <row r="198" spans="1:16" ht="14.4" x14ac:dyDescent="0.3">
      <c r="A198" s="25" t="s">
        <v>38</v>
      </c>
      <c r="B198" s="18"/>
      <c r="C198" s="16" t="s">
        <v>19</v>
      </c>
      <c r="D198" s="20">
        <f>[47]LD!D28</f>
        <v>9.7600000000000006E-2</v>
      </c>
      <c r="E198" s="20">
        <f>[47]LD!E28</f>
        <v>0.1077</v>
      </c>
      <c r="F198" s="20">
        <f>[47]LD!F28</f>
        <v>0.1234</v>
      </c>
      <c r="G198" s="20">
        <f>[47]LD!G28</f>
        <v>0.124</v>
      </c>
      <c r="H198" s="20">
        <f>[47]LD!H28</f>
        <v>8.2000000000000003E-2</v>
      </c>
      <c r="I198" s="20">
        <f>[47]LD!I28</f>
        <v>7.5499999999999998E-2</v>
      </c>
      <c r="J198" s="20">
        <f>[47]LD!J28</f>
        <v>6.4899999999999999E-2</v>
      </c>
      <c r="K198" s="20">
        <f>[47]LD!K28</f>
        <v>7.5600000000000001E-2</v>
      </c>
      <c r="L198" s="20">
        <f>[47]LD!L28</f>
        <v>7.85E-2</v>
      </c>
      <c r="M198" s="20">
        <f>[47]LD!M28</f>
        <v>7.5399999999999995E-2</v>
      </c>
      <c r="N198" s="20">
        <f>[47]LD!N28</f>
        <v>7.5700000000000003E-2</v>
      </c>
      <c r="O198" s="20">
        <f>[47]LD!O28</f>
        <v>7.8299999999999995E-2</v>
      </c>
      <c r="P198" s="20">
        <f>[47]LD!P28</f>
        <v>0</v>
      </c>
    </row>
    <row r="199" spans="1:16" ht="14.4" x14ac:dyDescent="0.3">
      <c r="A199" s="25" t="s">
        <v>39</v>
      </c>
      <c r="B199" s="18"/>
      <c r="C199" s="16" t="s">
        <v>19</v>
      </c>
      <c r="D199" s="20">
        <v>0</v>
      </c>
      <c r="E199" s="20">
        <v>0</v>
      </c>
      <c r="F199" s="20">
        <v>0</v>
      </c>
      <c r="G199" s="20">
        <v>0</v>
      </c>
      <c r="H199" s="20">
        <v>0</v>
      </c>
      <c r="I199" s="20">
        <v>0</v>
      </c>
      <c r="J199" s="20">
        <v>0</v>
      </c>
      <c r="K199" s="20">
        <v>0</v>
      </c>
      <c r="L199" s="20">
        <v>0</v>
      </c>
      <c r="M199" s="20">
        <v>0</v>
      </c>
      <c r="N199" s="20">
        <v>0</v>
      </c>
      <c r="O199" s="20">
        <v>0</v>
      </c>
      <c r="P199" s="20">
        <v>0</v>
      </c>
    </row>
    <row r="200" spans="1:16" ht="14.4" x14ac:dyDescent="0.3">
      <c r="A200" s="26" t="s">
        <v>40</v>
      </c>
      <c r="B200" s="18"/>
      <c r="C200" s="16" t="s">
        <v>19</v>
      </c>
      <c r="D200" s="20">
        <f>'[47]SR CIT. SUBSIDY'!D134</f>
        <v>8.1671193651487679E-5</v>
      </c>
      <c r="E200" s="20">
        <f>'[47]SR CIT. SUBSIDY'!E134</f>
        <v>7.9496172853225534E-5</v>
      </c>
      <c r="F200" s="20">
        <f>'[47]SR CIT. SUBSIDY'!F134</f>
        <v>9.1117198287407098E-5</v>
      </c>
      <c r="G200" s="20">
        <f>'[47]SR CIT. SUBSIDY'!G134</f>
        <v>9.2294258932552585E-5</v>
      </c>
      <c r="H200" s="20">
        <f>'[47]SR CIT. SUBSIDY'!H134</f>
        <v>8.664510925241928E-5</v>
      </c>
      <c r="I200" s="20">
        <f>'[47]SR CIT. SUBSIDY'!I134</f>
        <v>8.4286320439276092E-5</v>
      </c>
      <c r="J200" s="20">
        <f>'[47]SR CIT. SUBSIDY'!J134</f>
        <v>7.5057505029560973E-5</v>
      </c>
      <c r="K200" s="20">
        <f>'[47]SR CIT. SUBSIDY'!K134</f>
        <v>7.5699329562342512E-5</v>
      </c>
      <c r="L200" s="20">
        <f>'[47]SR CIT. SUBSIDY'!L134</f>
        <v>7.3950804174552343E-5</v>
      </c>
      <c r="M200" s="20">
        <f>'[47]SR CIT. SUBSIDY'!M134</f>
        <v>6.9724330278463729E-5</v>
      </c>
      <c r="N200" s="20">
        <f>'[47]SR CIT. SUBSIDY'!N134</f>
        <v>7.1523365693916283E-5</v>
      </c>
      <c r="O200" s="20">
        <f>'[47]SR CIT. SUBSIDY'!O134</f>
        <v>7.2222317373892914E-5</v>
      </c>
      <c r="P200" s="20">
        <f>'[47]SR CIT. SUBSIDY'!P134</f>
        <v>0</v>
      </c>
    </row>
    <row r="201" spans="1:16" ht="14.4" x14ac:dyDescent="0.3">
      <c r="A201" s="26" t="s">
        <v>41</v>
      </c>
      <c r="B201" s="18"/>
      <c r="C201" s="16" t="s">
        <v>19</v>
      </c>
      <c r="D201" s="20">
        <v>0</v>
      </c>
      <c r="E201" s="20">
        <v>0</v>
      </c>
      <c r="F201" s="20">
        <v>0</v>
      </c>
      <c r="G201" s="20">
        <v>0</v>
      </c>
      <c r="H201" s="20">
        <v>0</v>
      </c>
      <c r="I201" s="20">
        <v>0</v>
      </c>
      <c r="J201" s="20">
        <v>0</v>
      </c>
      <c r="K201" s="20">
        <v>0</v>
      </c>
      <c r="L201" s="20">
        <v>0</v>
      </c>
      <c r="M201" s="20">
        <v>0</v>
      </c>
      <c r="N201" s="20">
        <v>0</v>
      </c>
      <c r="O201" s="20">
        <v>0</v>
      </c>
      <c r="P201" s="20">
        <v>0</v>
      </c>
    </row>
    <row r="202" spans="1:16" ht="14.4" x14ac:dyDescent="0.3">
      <c r="A202" s="14" t="s">
        <v>42</v>
      </c>
      <c r="B202" s="14"/>
      <c r="C202" s="16"/>
      <c r="D202" s="24"/>
      <c r="E202" s="24"/>
      <c r="F202" s="24"/>
      <c r="G202" s="24"/>
      <c r="H202" s="24"/>
      <c r="I202" s="24"/>
      <c r="J202" s="24"/>
      <c r="K202" s="24"/>
      <c r="L202" s="24"/>
      <c r="M202" s="24"/>
      <c r="N202" s="24"/>
      <c r="O202" s="24"/>
      <c r="P202" s="24"/>
    </row>
    <row r="203" spans="1:16" ht="14.4" x14ac:dyDescent="0.3">
      <c r="A203" s="14" t="s">
        <v>43</v>
      </c>
      <c r="B203" s="14"/>
      <c r="C203" s="16" t="s">
        <v>44</v>
      </c>
      <c r="D203" s="27"/>
      <c r="E203" s="27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</row>
    <row r="204" spans="1:16" ht="14.4" x14ac:dyDescent="0.3">
      <c r="A204" s="14" t="s">
        <v>45</v>
      </c>
      <c r="B204" s="14"/>
      <c r="C204" s="16"/>
      <c r="D204" s="28"/>
      <c r="E204" s="28"/>
      <c r="F204" s="28"/>
      <c r="G204" s="28"/>
      <c r="H204" s="28"/>
      <c r="I204" s="28"/>
      <c r="J204" s="28"/>
      <c r="K204" s="28"/>
      <c r="L204" s="28"/>
      <c r="M204" s="28"/>
      <c r="N204" s="28"/>
      <c r="O204" s="28"/>
      <c r="P204" s="28"/>
    </row>
    <row r="205" spans="1:16" ht="14.4" x14ac:dyDescent="0.3">
      <c r="A205" s="14" t="s">
        <v>46</v>
      </c>
      <c r="B205" s="14"/>
      <c r="C205" s="16" t="s">
        <v>19</v>
      </c>
      <c r="D205" s="20">
        <v>0</v>
      </c>
      <c r="E205" s="20">
        <v>0</v>
      </c>
      <c r="F205" s="20">
        <v>0</v>
      </c>
      <c r="G205" s="20">
        <v>0</v>
      </c>
      <c r="H205" s="20">
        <v>0</v>
      </c>
      <c r="I205" s="20">
        <v>0</v>
      </c>
      <c r="J205" s="20">
        <v>0</v>
      </c>
      <c r="K205" s="20">
        <v>0</v>
      </c>
      <c r="L205" s="20">
        <v>0</v>
      </c>
      <c r="M205" s="20">
        <v>0</v>
      </c>
      <c r="N205" s="20">
        <v>0</v>
      </c>
      <c r="O205" s="20">
        <v>0</v>
      </c>
      <c r="P205" s="20">
        <v>0</v>
      </c>
    </row>
    <row r="206" spans="1:16" ht="14.4" x14ac:dyDescent="0.3">
      <c r="A206" s="14" t="s">
        <v>47</v>
      </c>
      <c r="B206" s="14"/>
      <c r="C206" s="16"/>
      <c r="D206" s="24"/>
      <c r="E206" s="24"/>
      <c r="F206" s="24"/>
      <c r="G206" s="24"/>
      <c r="H206" s="24"/>
      <c r="I206" s="24"/>
      <c r="J206" s="24"/>
      <c r="K206" s="24"/>
      <c r="L206" s="24"/>
      <c r="M206" s="24"/>
      <c r="N206" s="24"/>
      <c r="O206" s="24"/>
      <c r="P206" s="24"/>
    </row>
    <row r="207" spans="1:16" ht="14.4" x14ac:dyDescent="0.3">
      <c r="A207" s="18" t="s">
        <v>48</v>
      </c>
      <c r="B207" s="18"/>
      <c r="C207" s="16" t="s">
        <v>19</v>
      </c>
      <c r="D207" s="20">
        <f t="shared" ref="D207:P211" si="14">D164</f>
        <v>0.15609999999999999</v>
      </c>
      <c r="E207" s="20">
        <f t="shared" si="14"/>
        <v>0.15609999999999999</v>
      </c>
      <c r="F207" s="20">
        <f t="shared" si="14"/>
        <v>0.15609999999999999</v>
      </c>
      <c r="G207" s="20">
        <f t="shared" si="14"/>
        <v>0.15609999999999999</v>
      </c>
      <c r="H207" s="20">
        <f t="shared" si="14"/>
        <v>0.15609999999999999</v>
      </c>
      <c r="I207" s="20">
        <f t="shared" si="14"/>
        <v>0.15609999999999999</v>
      </c>
      <c r="J207" s="20">
        <f t="shared" si="14"/>
        <v>0.15609999999999999</v>
      </c>
      <c r="K207" s="20">
        <f t="shared" si="14"/>
        <v>0.15609999999999999</v>
      </c>
      <c r="L207" s="20">
        <f t="shared" si="14"/>
        <v>0.15609999999999999</v>
      </c>
      <c r="M207" s="20">
        <f t="shared" si="14"/>
        <v>0.15609999999999999</v>
      </c>
      <c r="N207" s="20">
        <f t="shared" si="14"/>
        <v>0.15609999999999999</v>
      </c>
      <c r="O207" s="20">
        <f t="shared" si="14"/>
        <v>0.15609999999999999</v>
      </c>
      <c r="P207" s="20">
        <f t="shared" si="14"/>
        <v>0.15609999999999999</v>
      </c>
    </row>
    <row r="208" spans="1:16" ht="14.4" x14ac:dyDescent="0.3">
      <c r="A208" s="18" t="s">
        <v>49</v>
      </c>
      <c r="B208" s="18"/>
      <c r="C208" s="16" t="s">
        <v>19</v>
      </c>
      <c r="D208" s="20">
        <f t="shared" si="14"/>
        <v>2.5000000000000001E-3</v>
      </c>
      <c r="E208" s="20">
        <f t="shared" si="14"/>
        <v>2.5000000000000001E-3</v>
      </c>
      <c r="F208" s="20">
        <f t="shared" si="14"/>
        <v>2.5000000000000001E-3</v>
      </c>
      <c r="G208" s="20">
        <f t="shared" si="14"/>
        <v>2.5000000000000001E-3</v>
      </c>
      <c r="H208" s="20">
        <f t="shared" si="14"/>
        <v>2.5000000000000001E-3</v>
      </c>
      <c r="I208" s="20">
        <f t="shared" si="14"/>
        <v>2.5000000000000001E-3</v>
      </c>
      <c r="J208" s="20">
        <f t="shared" si="14"/>
        <v>2.5000000000000001E-3</v>
      </c>
      <c r="K208" s="20">
        <f t="shared" si="14"/>
        <v>2.5000000000000001E-3</v>
      </c>
      <c r="L208" s="20">
        <f t="shared" si="14"/>
        <v>2.5000000000000001E-3</v>
      </c>
      <c r="M208" s="20">
        <f t="shared" si="14"/>
        <v>2.5000000000000001E-3</v>
      </c>
      <c r="N208" s="20">
        <f t="shared" si="14"/>
        <v>2.5000000000000001E-3</v>
      </c>
      <c r="O208" s="20">
        <f t="shared" si="14"/>
        <v>2.5000000000000001E-3</v>
      </c>
      <c r="P208" s="20">
        <f t="shared" si="14"/>
        <v>2.5000000000000001E-3</v>
      </c>
    </row>
    <row r="209" spans="1:16" ht="14.4" x14ac:dyDescent="0.3">
      <c r="A209" s="18" t="s">
        <v>111</v>
      </c>
      <c r="B209" s="18"/>
      <c r="C209" s="16" t="s">
        <v>19</v>
      </c>
      <c r="D209" s="20">
        <f t="shared" si="14"/>
        <v>0.1938</v>
      </c>
      <c r="E209" s="20">
        <f t="shared" si="14"/>
        <v>-0.3876</v>
      </c>
      <c r="F209" s="20">
        <f t="shared" si="14"/>
        <v>0</v>
      </c>
      <c r="G209" s="20">
        <f t="shared" si="14"/>
        <v>0</v>
      </c>
      <c r="H209" s="20">
        <f t="shared" si="14"/>
        <v>0</v>
      </c>
      <c r="I209" s="20">
        <f t="shared" si="14"/>
        <v>0</v>
      </c>
      <c r="J209" s="20">
        <f t="shared" si="14"/>
        <v>0</v>
      </c>
      <c r="K209" s="20">
        <f t="shared" si="14"/>
        <v>0</v>
      </c>
      <c r="L209" s="20">
        <f t="shared" si="14"/>
        <v>0</v>
      </c>
      <c r="M209" s="20">
        <f t="shared" si="14"/>
        <v>0</v>
      </c>
      <c r="N209" s="20">
        <f t="shared" si="14"/>
        <v>0</v>
      </c>
      <c r="O209" s="20">
        <f t="shared" si="14"/>
        <v>0</v>
      </c>
      <c r="P209" s="20">
        <f t="shared" si="14"/>
        <v>0</v>
      </c>
    </row>
    <row r="210" spans="1:16" ht="14.4" x14ac:dyDescent="0.3">
      <c r="A210" s="18" t="s">
        <v>112</v>
      </c>
      <c r="B210" s="18"/>
      <c r="C210" s="16" t="s">
        <v>19</v>
      </c>
      <c r="D210" s="42">
        <f>D167</f>
        <v>2.6499999999999999E-2</v>
      </c>
      <c r="E210" s="42">
        <f t="shared" si="14"/>
        <v>2.6499999999999999E-2</v>
      </c>
      <c r="F210" s="42">
        <f t="shared" si="14"/>
        <v>2.6499999999999999E-2</v>
      </c>
      <c r="G210" s="42">
        <f t="shared" si="14"/>
        <v>4.2799999999999998E-2</v>
      </c>
      <c r="H210" s="42">
        <f t="shared" si="14"/>
        <v>4.2799999999999998E-2</v>
      </c>
      <c r="I210" s="42">
        <f t="shared" si="14"/>
        <v>4.2799999999999998E-2</v>
      </c>
      <c r="J210" s="42">
        <f t="shared" si="14"/>
        <v>4.2799999999999998E-2</v>
      </c>
      <c r="K210" s="42">
        <f t="shared" si="14"/>
        <v>4.2799999999999998E-2</v>
      </c>
      <c r="L210" s="42">
        <f t="shared" si="14"/>
        <v>4.2799999999999998E-2</v>
      </c>
      <c r="M210" s="42">
        <f t="shared" si="14"/>
        <v>4.2799999999999998E-2</v>
      </c>
      <c r="N210" s="42">
        <f t="shared" si="14"/>
        <v>4.2799999999999998E-2</v>
      </c>
      <c r="O210" s="42">
        <f t="shared" si="14"/>
        <v>4.2799999999999998E-2</v>
      </c>
      <c r="P210" s="42">
        <f t="shared" si="14"/>
        <v>4.2799999999999998E-2</v>
      </c>
    </row>
    <row r="211" spans="1:16" ht="14.4" x14ac:dyDescent="0.3">
      <c r="A211" s="14" t="s">
        <v>51</v>
      </c>
      <c r="B211" s="14"/>
      <c r="C211" s="16" t="s">
        <v>19</v>
      </c>
      <c r="D211" s="20">
        <f>D168</f>
        <v>0.25629999999999997</v>
      </c>
      <c r="E211" s="20">
        <f t="shared" si="14"/>
        <v>0.25629999999999997</v>
      </c>
      <c r="F211" s="20">
        <f t="shared" si="14"/>
        <v>0.25629999999999997</v>
      </c>
      <c r="G211" s="20">
        <f t="shared" si="14"/>
        <v>0.22259999999999999</v>
      </c>
      <c r="H211" s="20">
        <f t="shared" si="14"/>
        <v>0.22259999999999999</v>
      </c>
      <c r="I211" s="20">
        <f>I168</f>
        <v>0.22259999999999999</v>
      </c>
      <c r="J211" s="20">
        <f t="shared" si="14"/>
        <v>0.22259999999999999</v>
      </c>
      <c r="K211" s="20">
        <f t="shared" si="14"/>
        <v>0.22259999999999999</v>
      </c>
      <c r="L211" s="20">
        <f t="shared" si="14"/>
        <v>0.22259999999999999</v>
      </c>
      <c r="M211" s="20">
        <f t="shared" si="14"/>
        <v>0.22259999999999999</v>
      </c>
      <c r="N211" s="20">
        <f t="shared" si="14"/>
        <v>0.22259999999999999</v>
      </c>
      <c r="O211" s="20">
        <f t="shared" si="14"/>
        <v>0.22259999999999999</v>
      </c>
      <c r="P211" s="20">
        <f t="shared" si="14"/>
        <v>0.22259999999999999</v>
      </c>
    </row>
    <row r="212" spans="1:16" ht="14.4" x14ac:dyDescent="0.3">
      <c r="A212" s="14" t="s">
        <v>52</v>
      </c>
      <c r="B212" s="14"/>
      <c r="C212" s="29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</row>
    <row r="213" spans="1:16" ht="14.4" x14ac:dyDescent="0.3">
      <c r="A213" s="18" t="s">
        <v>53</v>
      </c>
      <c r="B213" s="18"/>
      <c r="C213" s="16" t="s">
        <v>44</v>
      </c>
      <c r="D213" s="30">
        <f>'[47]DU VAT'!D15</f>
        <v>0.1129</v>
      </c>
      <c r="E213" s="30">
        <f>'[47]DU VAT'!E15</f>
        <v>0.1091</v>
      </c>
      <c r="F213" s="30">
        <f>'[47]DU VAT'!F15</f>
        <v>0.1124</v>
      </c>
      <c r="G213" s="30">
        <f>'[47]DU VAT'!G15</f>
        <v>0.1123</v>
      </c>
      <c r="H213" s="30">
        <f>'[47]DU VAT'!H15</f>
        <v>0.10780000000000001</v>
      </c>
      <c r="I213" s="30">
        <f>'[47]DU VAT'!I15</f>
        <v>0.1113</v>
      </c>
      <c r="J213" s="30">
        <f>'[47]DU VAT'!J15</f>
        <v>0.111</v>
      </c>
      <c r="K213" s="30">
        <f>'[47]DU VAT'!K15</f>
        <v>0.11260000000000001</v>
      </c>
      <c r="L213" s="30">
        <f>'[47]DU VAT'!L15</f>
        <v>0.1143</v>
      </c>
      <c r="M213" s="30">
        <f>'[47]DU VAT'!M15</f>
        <v>0.1157</v>
      </c>
      <c r="N213" s="30">
        <f>'[47]DU VAT'!N15</f>
        <v>0.11</v>
      </c>
      <c r="O213" s="30">
        <f>'[47]DU VAT'!O15</f>
        <v>0.112</v>
      </c>
      <c r="P213" s="30" t="e">
        <f>'[47]DU VAT'!P15</f>
        <v>#DIV/0!</v>
      </c>
    </row>
    <row r="214" spans="1:16" ht="14.4" x14ac:dyDescent="0.3">
      <c r="A214" s="18" t="s">
        <v>54</v>
      </c>
      <c r="B214" s="18"/>
      <c r="C214" s="16" t="s">
        <v>44</v>
      </c>
      <c r="D214" s="30">
        <f>'[47]DU VAT'!D19</f>
        <v>0.1028</v>
      </c>
      <c r="E214" s="30">
        <f>'[47]DU VAT'!E19</f>
        <v>0.1026</v>
      </c>
      <c r="F214" s="30">
        <f>'[47]DU VAT'!F19</f>
        <v>0.1045</v>
      </c>
      <c r="G214" s="30">
        <f>'[47]DU VAT'!G19</f>
        <v>0.109</v>
      </c>
      <c r="H214" s="30">
        <f>'[47]DU VAT'!H19</f>
        <v>0.1099</v>
      </c>
      <c r="I214" s="30">
        <f>'[47]DU VAT'!I19</f>
        <v>0.11070000000000001</v>
      </c>
      <c r="J214" s="30">
        <f>'[47]DU VAT'!J19</f>
        <v>0.1036</v>
      </c>
      <c r="K214" s="30">
        <f>'[47]DU VAT'!K19</f>
        <v>0.1027</v>
      </c>
      <c r="L214" s="30">
        <f>'[47]DU VAT'!L19</f>
        <v>0.10150000000000001</v>
      </c>
      <c r="M214" s="30">
        <f>'[47]DU VAT'!M19</f>
        <v>9.7199999999999995E-2</v>
      </c>
      <c r="N214" s="30">
        <f>'[47]DU VAT'!N19</f>
        <v>9.7900000000000001E-2</v>
      </c>
      <c r="O214" s="30">
        <f>'[47]DU VAT'!O19</f>
        <v>0.10340000000000001</v>
      </c>
      <c r="P214" s="30" t="e">
        <f>'[47]DU VAT'!P19</f>
        <v>#DIV/0!</v>
      </c>
    </row>
    <row r="215" spans="1:16" ht="14.4" x14ac:dyDescent="0.3">
      <c r="A215" s="18" t="s">
        <v>55</v>
      </c>
      <c r="B215" s="18"/>
      <c r="C215" s="16" t="s">
        <v>44</v>
      </c>
      <c r="D215" s="30">
        <f>'[47]DU VAT'!D25</f>
        <v>0.1114</v>
      </c>
      <c r="E215" s="30">
        <f>'[47]DU VAT'!E25</f>
        <v>0.10829999999999999</v>
      </c>
      <c r="F215" s="30">
        <f>'[47]DU VAT'!F25</f>
        <v>0.1114</v>
      </c>
      <c r="G215" s="30">
        <f>'[47]DU VAT'!G25</f>
        <v>0.112</v>
      </c>
      <c r="H215" s="30">
        <f>'[47]DU VAT'!H25</f>
        <v>0.1081</v>
      </c>
      <c r="I215" s="30">
        <f>'[47]DU VAT'!I25</f>
        <v>0.1113</v>
      </c>
      <c r="J215" s="30">
        <f>'[47]DU VAT'!J25</f>
        <v>0.1103</v>
      </c>
      <c r="K215" s="30">
        <f>'[47]DU VAT'!K25</f>
        <v>0.1114</v>
      </c>
      <c r="L215" s="30">
        <f>'[47]DU VAT'!L25</f>
        <v>0.11269999999999999</v>
      </c>
      <c r="M215" s="30">
        <f>'[47]DU VAT'!M25</f>
        <v>0.1133</v>
      </c>
      <c r="N215" s="30">
        <f>'[47]DU VAT'!N25</f>
        <v>0.1087</v>
      </c>
      <c r="O215" s="30">
        <f>'[47]DU VAT'!O25</f>
        <v>0.111</v>
      </c>
      <c r="P215" s="30" t="e">
        <f>'[47]DU VAT'!P25</f>
        <v>#DIV/0!</v>
      </c>
    </row>
    <row r="216" spans="1:16" ht="14.4" x14ac:dyDescent="0.3">
      <c r="A216" s="18" t="s">
        <v>56</v>
      </c>
      <c r="B216" s="18"/>
      <c r="C216" s="16" t="s">
        <v>44</v>
      </c>
      <c r="D216" s="30">
        <f t="shared" ref="D216:P217" si="15">D173</f>
        <v>0.12</v>
      </c>
      <c r="E216" s="30">
        <f t="shared" si="15"/>
        <v>0.12</v>
      </c>
      <c r="F216" s="30">
        <f t="shared" si="15"/>
        <v>0.12</v>
      </c>
      <c r="G216" s="30">
        <f t="shared" si="15"/>
        <v>0.12</v>
      </c>
      <c r="H216" s="30">
        <f t="shared" si="15"/>
        <v>0.12</v>
      </c>
      <c r="I216" s="30">
        <f t="shared" si="15"/>
        <v>0.12</v>
      </c>
      <c r="J216" s="30">
        <f t="shared" si="15"/>
        <v>0.12</v>
      </c>
      <c r="K216" s="30">
        <f t="shared" si="15"/>
        <v>0.12</v>
      </c>
      <c r="L216" s="30">
        <f t="shared" si="15"/>
        <v>0.12</v>
      </c>
      <c r="M216" s="30">
        <f t="shared" si="15"/>
        <v>0.12</v>
      </c>
      <c r="N216" s="30">
        <f t="shared" si="15"/>
        <v>0.12</v>
      </c>
      <c r="O216" s="30">
        <f t="shared" si="15"/>
        <v>0.12</v>
      </c>
      <c r="P216" s="30">
        <f t="shared" si="15"/>
        <v>0.12</v>
      </c>
    </row>
    <row r="217" spans="1:16" ht="14.4" x14ac:dyDescent="0.3">
      <c r="A217" s="18" t="s">
        <v>57</v>
      </c>
      <c r="B217" s="18"/>
      <c r="C217" s="16" t="s">
        <v>44</v>
      </c>
      <c r="D217" s="30">
        <f t="shared" si="15"/>
        <v>0.12</v>
      </c>
      <c r="E217" s="30">
        <f t="shared" si="15"/>
        <v>0.12</v>
      </c>
      <c r="F217" s="30">
        <f t="shared" si="15"/>
        <v>0.12</v>
      </c>
      <c r="G217" s="30">
        <f t="shared" si="15"/>
        <v>0.12</v>
      </c>
      <c r="H217" s="30">
        <f t="shared" si="15"/>
        <v>0.12</v>
      </c>
      <c r="I217" s="30">
        <f t="shared" si="15"/>
        <v>0.12</v>
      </c>
      <c r="J217" s="30">
        <f t="shared" si="15"/>
        <v>0.12</v>
      </c>
      <c r="K217" s="30">
        <f t="shared" si="15"/>
        <v>0.12</v>
      </c>
      <c r="L217" s="30">
        <f t="shared" si="15"/>
        <v>0.12</v>
      </c>
      <c r="M217" s="30">
        <f t="shared" si="15"/>
        <v>0.12</v>
      </c>
      <c r="N217" s="30">
        <f t="shared" si="15"/>
        <v>0.12</v>
      </c>
      <c r="O217" s="30">
        <f t="shared" si="15"/>
        <v>0.12</v>
      </c>
      <c r="P217" s="30">
        <f t="shared" si="15"/>
        <v>0.12</v>
      </c>
    </row>
    <row r="218" spans="1:16" s="5" customFormat="1" ht="14.4" x14ac:dyDescent="0.3">
      <c r="A218" s="55"/>
      <c r="B218" s="55"/>
      <c r="C218" s="56"/>
      <c r="D218" s="57"/>
      <c r="E218" s="57"/>
      <c r="F218" s="57"/>
      <c r="G218" s="57"/>
      <c r="H218" s="57"/>
      <c r="I218" s="57"/>
      <c r="J218" s="57"/>
      <c r="K218" s="57"/>
      <c r="L218" s="57"/>
      <c r="M218" s="57"/>
      <c r="N218" s="57"/>
      <c r="O218" s="57"/>
      <c r="P218" s="57"/>
    </row>
    <row r="219" spans="1:16" x14ac:dyDescent="0.3">
      <c r="A219" s="3" t="s">
        <v>58</v>
      </c>
    </row>
    <row r="221" spans="1:16" ht="18" x14ac:dyDescent="0.35">
      <c r="A221" s="59" t="str">
        <f>'[47]Statistical data'!A153</f>
        <v xml:space="preserve">  General Power- Secondary</v>
      </c>
      <c r="B221" s="59"/>
      <c r="C221" s="5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</row>
    <row r="222" spans="1:16" s="13" customFormat="1" ht="14.4" x14ac:dyDescent="0.3">
      <c r="A222" s="11" t="s">
        <v>3</v>
      </c>
      <c r="B222" s="11"/>
      <c r="C222" s="11" t="s">
        <v>4</v>
      </c>
      <c r="D222" s="73">
        <f t="shared" ref="D222:P222" si="16">D179</f>
        <v>43466</v>
      </c>
      <c r="E222" s="73">
        <f t="shared" si="16"/>
        <v>43497</v>
      </c>
      <c r="F222" s="73">
        <f t="shared" si="16"/>
        <v>43525</v>
      </c>
      <c r="G222" s="73">
        <f t="shared" si="16"/>
        <v>43556</v>
      </c>
      <c r="H222" s="73">
        <f t="shared" si="16"/>
        <v>43586</v>
      </c>
      <c r="I222" s="73">
        <f t="shared" si="16"/>
        <v>43617</v>
      </c>
      <c r="J222" s="73">
        <f t="shared" si="16"/>
        <v>43647</v>
      </c>
      <c r="K222" s="73">
        <f t="shared" si="16"/>
        <v>43678</v>
      </c>
      <c r="L222" s="73">
        <f t="shared" si="16"/>
        <v>43709</v>
      </c>
      <c r="M222" s="73">
        <f t="shared" si="16"/>
        <v>43739</v>
      </c>
      <c r="N222" s="73">
        <f t="shared" si="16"/>
        <v>43770</v>
      </c>
      <c r="O222" s="73">
        <f t="shared" si="16"/>
        <v>43800</v>
      </c>
      <c r="P222" s="73">
        <f t="shared" si="16"/>
        <v>43831</v>
      </c>
    </row>
    <row r="223" spans="1:16" ht="14.4" x14ac:dyDescent="0.3">
      <c r="A223" s="14" t="s">
        <v>17</v>
      </c>
      <c r="B223" s="15"/>
      <c r="C223" s="16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</row>
    <row r="224" spans="1:16" ht="14.4" x14ac:dyDescent="0.3">
      <c r="A224" s="18" t="s">
        <v>18</v>
      </c>
      <c r="B224" s="19"/>
      <c r="C224" s="16" t="s">
        <v>19</v>
      </c>
      <c r="D224" s="52" t="s">
        <v>59</v>
      </c>
      <c r="E224" s="52" t="s">
        <v>59</v>
      </c>
      <c r="F224" s="52" t="s">
        <v>59</v>
      </c>
      <c r="G224" s="52" t="s">
        <v>59</v>
      </c>
      <c r="H224" s="52" t="s">
        <v>59</v>
      </c>
      <c r="I224" s="52" t="s">
        <v>59</v>
      </c>
      <c r="J224" s="52" t="s">
        <v>59</v>
      </c>
      <c r="K224" s="52" t="s">
        <v>59</v>
      </c>
      <c r="L224" s="52" t="s">
        <v>59</v>
      </c>
      <c r="M224" s="52" t="s">
        <v>59</v>
      </c>
      <c r="N224" s="52" t="s">
        <v>59</v>
      </c>
      <c r="O224" s="52" t="s">
        <v>59</v>
      </c>
      <c r="P224" s="52" t="s">
        <v>59</v>
      </c>
    </row>
    <row r="225" spans="1:16" ht="14.4" x14ac:dyDescent="0.3">
      <c r="A225" s="14" t="s">
        <v>20</v>
      </c>
      <c r="B225" s="15"/>
      <c r="C225" s="16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</row>
    <row r="226" spans="1:16" ht="14.4" x14ac:dyDescent="0.3">
      <c r="A226" s="18" t="s">
        <v>21</v>
      </c>
      <c r="B226" s="19"/>
      <c r="C226" s="16" t="s">
        <v>19</v>
      </c>
      <c r="D226" s="20">
        <v>0</v>
      </c>
      <c r="E226" s="20">
        <v>0</v>
      </c>
      <c r="F226" s="20">
        <v>0</v>
      </c>
      <c r="G226" s="20">
        <v>0</v>
      </c>
      <c r="H226" s="20">
        <v>0</v>
      </c>
      <c r="I226" s="20">
        <v>0</v>
      </c>
      <c r="J226" s="20">
        <v>0</v>
      </c>
      <c r="K226" s="20">
        <v>0</v>
      </c>
      <c r="L226" s="20">
        <v>0</v>
      </c>
      <c r="M226" s="20">
        <v>0</v>
      </c>
      <c r="N226" s="20">
        <v>0</v>
      </c>
      <c r="O226" s="20">
        <v>0</v>
      </c>
      <c r="P226" s="20">
        <v>0</v>
      </c>
    </row>
    <row r="227" spans="1:16" ht="14.4" x14ac:dyDescent="0.3">
      <c r="A227" s="18" t="s">
        <v>22</v>
      </c>
      <c r="B227" s="19"/>
      <c r="C227" s="16" t="s">
        <v>23</v>
      </c>
      <c r="D227" s="20">
        <f>[47]TR!D35</f>
        <v>286.13</v>
      </c>
      <c r="E227" s="20">
        <f>[47]TR!E35</f>
        <v>260.95</v>
      </c>
      <c r="F227" s="20">
        <f>[47]TR!F35</f>
        <v>273.02999999999997</v>
      </c>
      <c r="G227" s="20">
        <f>[47]TR!G35</f>
        <v>290.86</v>
      </c>
      <c r="H227" s="20">
        <f>[47]TR!H35</f>
        <v>263.19</v>
      </c>
      <c r="I227" s="20">
        <f>[47]TR!I35</f>
        <v>252.31</v>
      </c>
      <c r="J227" s="20">
        <f>[47]TR!J35</f>
        <v>222.8</v>
      </c>
      <c r="K227" s="20">
        <f>[47]TR!K35</f>
        <v>231.14</v>
      </c>
      <c r="L227" s="20">
        <f>[47]TR!L35</f>
        <v>241.28</v>
      </c>
      <c r="M227" s="20">
        <f>[47]TR!M35</f>
        <v>242.29</v>
      </c>
      <c r="N227" s="20">
        <f>[47]TR!N35</f>
        <v>222</v>
      </c>
      <c r="O227" s="20">
        <f>[47]TR!O35</f>
        <v>241.2</v>
      </c>
      <c r="P227" s="20">
        <f>[47]TR!P35</f>
        <v>0</v>
      </c>
    </row>
    <row r="228" spans="1:16" ht="14.4" x14ac:dyDescent="0.3">
      <c r="A228" s="14" t="s">
        <v>24</v>
      </c>
      <c r="B228" s="15"/>
      <c r="C228" s="16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</row>
    <row r="229" spans="1:16" ht="14.4" x14ac:dyDescent="0.3">
      <c r="A229" s="18" t="s">
        <v>25</v>
      </c>
      <c r="B229" s="19"/>
      <c r="C229" s="16" t="s">
        <v>19</v>
      </c>
      <c r="D229" s="20">
        <f>[47]SLR!D68</f>
        <v>0.43730000000000002</v>
      </c>
      <c r="E229" s="20">
        <f>[47]SLR!E68</f>
        <v>0.50519999999999998</v>
      </c>
      <c r="F229" s="20">
        <f>[47]SLR!F68</f>
        <v>0.47049999999999997</v>
      </c>
      <c r="G229" s="20">
        <f>[47]SLR!G68</f>
        <v>0.48530000000000001</v>
      </c>
      <c r="H229" s="20">
        <f>[47]SLR!H68</f>
        <v>0.46889999999999998</v>
      </c>
      <c r="I229" s="20">
        <f>[47]SLR!I68</f>
        <v>0.45939999999999998</v>
      </c>
      <c r="J229" s="20">
        <f>[47]SLR!J68</f>
        <v>0.47739999999999999</v>
      </c>
      <c r="K229" s="20">
        <f>[47]SLR!K68</f>
        <v>0.4395</v>
      </c>
      <c r="L229" s="20">
        <f>[47]SLR!L68</f>
        <v>0.39689999999999998</v>
      </c>
      <c r="M229" s="20">
        <f>[47]SLR!M68</f>
        <v>0.39079999999999998</v>
      </c>
      <c r="N229" s="20">
        <f>[47]SLR!N68</f>
        <v>0.42249999999999999</v>
      </c>
      <c r="O229" s="20">
        <f>[47]SLR!O68</f>
        <v>0.4395</v>
      </c>
      <c r="P229" s="20">
        <f>[47]SLR!P68</f>
        <v>0</v>
      </c>
    </row>
    <row r="230" spans="1:16" ht="14.4" x14ac:dyDescent="0.3">
      <c r="A230" s="14" t="s">
        <v>26</v>
      </c>
      <c r="B230" s="14"/>
      <c r="C230" s="16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</row>
    <row r="231" spans="1:16" ht="14.4" x14ac:dyDescent="0.3">
      <c r="A231" s="18" t="s">
        <v>27</v>
      </c>
      <c r="B231" s="18"/>
      <c r="C231" s="16" t="s">
        <v>19</v>
      </c>
      <c r="D231" s="20">
        <v>0.1368</v>
      </c>
      <c r="E231" s="20">
        <v>0.1368</v>
      </c>
      <c r="F231" s="20">
        <v>0.1368</v>
      </c>
      <c r="G231" s="20">
        <v>0.1368</v>
      </c>
      <c r="H231" s="20">
        <v>0.1368</v>
      </c>
      <c r="I231" s="20">
        <v>0.1368</v>
      </c>
      <c r="J231" s="20">
        <v>0.1368</v>
      </c>
      <c r="K231" s="20">
        <v>0.1368</v>
      </c>
      <c r="L231" s="20">
        <v>0.1368</v>
      </c>
      <c r="M231" s="20">
        <v>0.1368</v>
      </c>
      <c r="N231" s="20">
        <v>0.1368</v>
      </c>
      <c r="O231" s="20">
        <v>0.1368</v>
      </c>
      <c r="P231" s="20">
        <v>0.1368</v>
      </c>
    </row>
    <row r="232" spans="1:16" ht="14.4" x14ac:dyDescent="0.3">
      <c r="A232" s="18" t="s">
        <v>28</v>
      </c>
      <c r="B232" s="18"/>
      <c r="C232" s="16" t="s">
        <v>23</v>
      </c>
      <c r="D232" s="23">
        <v>237.15</v>
      </c>
      <c r="E232" s="23">
        <v>237.15</v>
      </c>
      <c r="F232" s="23">
        <v>237.15</v>
      </c>
      <c r="G232" s="23">
        <v>237.15</v>
      </c>
      <c r="H232" s="23">
        <v>237.15</v>
      </c>
      <c r="I232" s="23">
        <v>237.15</v>
      </c>
      <c r="J232" s="23">
        <v>237.15</v>
      </c>
      <c r="K232" s="23">
        <v>237.15</v>
      </c>
      <c r="L232" s="23">
        <v>237.15</v>
      </c>
      <c r="M232" s="23">
        <v>237.15</v>
      </c>
      <c r="N232" s="23">
        <v>237.15</v>
      </c>
      <c r="O232" s="23">
        <v>237.15</v>
      </c>
      <c r="P232" s="23">
        <v>237.15</v>
      </c>
    </row>
    <row r="233" spans="1:16" ht="14.4" x14ac:dyDescent="0.3">
      <c r="A233" s="14" t="s">
        <v>29</v>
      </c>
      <c r="B233" s="14"/>
      <c r="C233" s="16"/>
      <c r="D233" s="24"/>
      <c r="E233" s="24"/>
      <c r="F233" s="24"/>
      <c r="G233" s="24"/>
      <c r="H233" s="24"/>
      <c r="I233" s="24"/>
      <c r="J233" s="24"/>
      <c r="K233" s="24"/>
      <c r="L233" s="24"/>
      <c r="M233" s="24"/>
      <c r="N233" s="24"/>
      <c r="O233" s="24"/>
      <c r="P233" s="24"/>
    </row>
    <row r="234" spans="1:16" ht="14.4" x14ac:dyDescent="0.3">
      <c r="A234" s="18" t="s">
        <v>30</v>
      </c>
      <c r="B234" s="18"/>
      <c r="C234" s="16" t="s">
        <v>19</v>
      </c>
      <c r="D234" s="52" t="s">
        <v>61</v>
      </c>
      <c r="E234" s="52" t="s">
        <v>61</v>
      </c>
      <c r="F234" s="52" t="s">
        <v>61</v>
      </c>
      <c r="G234" s="52" t="s">
        <v>61</v>
      </c>
      <c r="H234" s="52" t="s">
        <v>61</v>
      </c>
      <c r="I234" s="52" t="s">
        <v>61</v>
      </c>
      <c r="J234" s="52" t="s">
        <v>61</v>
      </c>
      <c r="K234" s="52" t="s">
        <v>61</v>
      </c>
      <c r="L234" s="52" t="s">
        <v>61</v>
      </c>
      <c r="M234" s="52" t="s">
        <v>61</v>
      </c>
      <c r="N234" s="52" t="s">
        <v>61</v>
      </c>
      <c r="O234" s="52" t="s">
        <v>61</v>
      </c>
      <c r="P234" s="52" t="s">
        <v>61</v>
      </c>
    </row>
    <row r="235" spans="1:16" ht="14.4" x14ac:dyDescent="0.3">
      <c r="A235" s="18" t="s">
        <v>31</v>
      </c>
      <c r="B235" s="18"/>
      <c r="C235" s="16" t="s">
        <v>32</v>
      </c>
      <c r="D235" s="52" t="s">
        <v>62</v>
      </c>
      <c r="E235" s="52" t="s">
        <v>62</v>
      </c>
      <c r="F235" s="52" t="s">
        <v>62</v>
      </c>
      <c r="G235" s="52" t="s">
        <v>62</v>
      </c>
      <c r="H235" s="52" t="s">
        <v>62</v>
      </c>
      <c r="I235" s="52" t="s">
        <v>62</v>
      </c>
      <c r="J235" s="52" t="s">
        <v>62</v>
      </c>
      <c r="K235" s="52" t="s">
        <v>62</v>
      </c>
      <c r="L235" s="52" t="s">
        <v>62</v>
      </c>
      <c r="M235" s="52" t="s">
        <v>62</v>
      </c>
      <c r="N235" s="52" t="s">
        <v>62</v>
      </c>
      <c r="O235" s="52" t="s">
        <v>62</v>
      </c>
      <c r="P235" s="52" t="s">
        <v>62</v>
      </c>
    </row>
    <row r="236" spans="1:16" ht="14.4" x14ac:dyDescent="0.3">
      <c r="A236" s="14" t="s">
        <v>33</v>
      </c>
      <c r="B236" s="14"/>
      <c r="C236" s="16"/>
      <c r="D236" s="24"/>
      <c r="E236" s="24"/>
      <c r="F236" s="24"/>
      <c r="G236" s="24"/>
      <c r="H236" s="24"/>
      <c r="I236" s="24"/>
      <c r="J236" s="24"/>
      <c r="K236" s="24"/>
      <c r="L236" s="24"/>
      <c r="M236" s="24"/>
      <c r="N236" s="24"/>
      <c r="O236" s="24"/>
      <c r="P236" s="24"/>
    </row>
    <row r="237" spans="1:16" ht="14.4" x14ac:dyDescent="0.3">
      <c r="A237" s="18" t="s">
        <v>34</v>
      </c>
      <c r="B237" s="18"/>
      <c r="C237" s="16" t="s">
        <v>19</v>
      </c>
      <c r="D237" s="20">
        <v>0</v>
      </c>
      <c r="E237" s="20">
        <v>0</v>
      </c>
      <c r="F237" s="20">
        <v>0</v>
      </c>
      <c r="G237" s="20">
        <v>0</v>
      </c>
      <c r="H237" s="20">
        <v>0</v>
      </c>
      <c r="I237" s="20">
        <v>0</v>
      </c>
      <c r="J237" s="20">
        <v>0</v>
      </c>
      <c r="K237" s="20">
        <v>0</v>
      </c>
      <c r="L237" s="20">
        <v>0</v>
      </c>
      <c r="M237" s="20">
        <v>0</v>
      </c>
      <c r="N237" s="20">
        <v>0</v>
      </c>
      <c r="O237" s="20">
        <v>0</v>
      </c>
      <c r="P237" s="20">
        <v>0</v>
      </c>
    </row>
    <row r="238" spans="1:16" ht="14.4" x14ac:dyDescent="0.3">
      <c r="A238" s="18" t="s">
        <v>35</v>
      </c>
      <c r="B238" s="18"/>
      <c r="C238" s="16" t="s">
        <v>36</v>
      </c>
      <c r="D238" s="52" t="s">
        <v>63</v>
      </c>
      <c r="E238" s="52" t="s">
        <v>63</v>
      </c>
      <c r="F238" s="52" t="s">
        <v>63</v>
      </c>
      <c r="G238" s="52" t="s">
        <v>63</v>
      </c>
      <c r="H238" s="52" t="s">
        <v>63</v>
      </c>
      <c r="I238" s="52" t="s">
        <v>63</v>
      </c>
      <c r="J238" s="52" t="s">
        <v>63</v>
      </c>
      <c r="K238" s="52" t="s">
        <v>63</v>
      </c>
      <c r="L238" s="52" t="s">
        <v>63</v>
      </c>
      <c r="M238" s="52" t="s">
        <v>63</v>
      </c>
      <c r="N238" s="52" t="s">
        <v>63</v>
      </c>
      <c r="O238" s="52" t="s">
        <v>63</v>
      </c>
      <c r="P238" s="52" t="s">
        <v>63</v>
      </c>
    </row>
    <row r="239" spans="1:16" ht="14.4" x14ac:dyDescent="0.3">
      <c r="A239" s="14" t="s">
        <v>37</v>
      </c>
      <c r="B239" s="14"/>
      <c r="C239" s="16"/>
      <c r="D239" s="24"/>
      <c r="E239" s="24"/>
      <c r="F239" s="24"/>
      <c r="G239" s="24"/>
      <c r="H239" s="24"/>
      <c r="I239" s="24"/>
      <c r="J239" s="24"/>
      <c r="K239" s="24"/>
      <c r="L239" s="24"/>
      <c r="M239" s="24"/>
      <c r="N239" s="24"/>
      <c r="O239" s="24"/>
      <c r="P239" s="24"/>
    </row>
    <row r="240" spans="1:16" ht="14.4" x14ac:dyDescent="0.3">
      <c r="A240" s="25" t="s">
        <v>138</v>
      </c>
      <c r="B240" s="18"/>
      <c r="C240" s="16" t="s">
        <v>19</v>
      </c>
      <c r="D240" s="20"/>
      <c r="E240" s="20"/>
      <c r="F240" s="20"/>
      <c r="G240" s="20"/>
      <c r="H240" s="20"/>
      <c r="I240" s="20"/>
      <c r="J240" s="20">
        <v>-7.3099999999999998E-2</v>
      </c>
      <c r="K240" s="20"/>
      <c r="L240" s="20"/>
      <c r="M240" s="20"/>
      <c r="N240" s="20"/>
      <c r="O240" s="20"/>
      <c r="P240" s="20"/>
    </row>
    <row r="241" spans="1:16" ht="14.4" x14ac:dyDescent="0.3">
      <c r="A241" s="25" t="s">
        <v>38</v>
      </c>
      <c r="B241" s="18"/>
      <c r="C241" s="16" t="s">
        <v>19</v>
      </c>
      <c r="D241" s="20">
        <f>[47]LD!D28</f>
        <v>9.7600000000000006E-2</v>
      </c>
      <c r="E241" s="20">
        <f>[47]LD!E28</f>
        <v>0.1077</v>
      </c>
      <c r="F241" s="20">
        <f>[47]LD!F28</f>
        <v>0.1234</v>
      </c>
      <c r="G241" s="20">
        <f>[47]LD!G28</f>
        <v>0.124</v>
      </c>
      <c r="H241" s="20">
        <f>[47]LD!H28</f>
        <v>8.2000000000000003E-2</v>
      </c>
      <c r="I241" s="20">
        <f>[47]LD!I28</f>
        <v>7.5499999999999998E-2</v>
      </c>
      <c r="J241" s="20">
        <f>[47]LD!J28</f>
        <v>6.4899999999999999E-2</v>
      </c>
      <c r="K241" s="20">
        <f>[47]LD!K28</f>
        <v>7.5600000000000001E-2</v>
      </c>
      <c r="L241" s="20">
        <f>[47]LD!L28</f>
        <v>7.85E-2</v>
      </c>
      <c r="M241" s="20">
        <f>[47]LD!M28</f>
        <v>7.5399999999999995E-2</v>
      </c>
      <c r="N241" s="20">
        <f>[47]LD!N28</f>
        <v>7.5700000000000003E-2</v>
      </c>
      <c r="O241" s="20">
        <f>[47]LD!O28</f>
        <v>7.8299999999999995E-2</v>
      </c>
      <c r="P241" s="20">
        <f>[47]LD!P28</f>
        <v>0</v>
      </c>
    </row>
    <row r="242" spans="1:16" ht="14.4" x14ac:dyDescent="0.3">
      <c r="A242" s="25" t="s">
        <v>39</v>
      </c>
      <c r="B242" s="18"/>
      <c r="C242" s="16" t="s">
        <v>19</v>
      </c>
      <c r="D242" s="20">
        <v>0</v>
      </c>
      <c r="E242" s="20">
        <v>0</v>
      </c>
      <c r="F242" s="20">
        <v>0</v>
      </c>
      <c r="G242" s="20">
        <v>0</v>
      </c>
      <c r="H242" s="20">
        <v>0</v>
      </c>
      <c r="I242" s="20">
        <v>0</v>
      </c>
      <c r="J242" s="20">
        <v>0</v>
      </c>
      <c r="K242" s="20">
        <v>0</v>
      </c>
      <c r="L242" s="20">
        <v>0</v>
      </c>
      <c r="M242" s="20">
        <v>0</v>
      </c>
      <c r="N242" s="20">
        <v>0</v>
      </c>
      <c r="O242" s="20">
        <v>0</v>
      </c>
      <c r="P242" s="20">
        <v>0</v>
      </c>
    </row>
    <row r="243" spans="1:16" ht="14.4" x14ac:dyDescent="0.3">
      <c r="A243" s="26" t="s">
        <v>40</v>
      </c>
      <c r="B243" s="18"/>
      <c r="C243" s="16" t="s">
        <v>19</v>
      </c>
      <c r="D243" s="20">
        <f>'[47]SR CIT. SUBSIDY'!D134</f>
        <v>8.1671193651487679E-5</v>
      </c>
      <c r="E243" s="20">
        <f>'[47]SR CIT. SUBSIDY'!E134</f>
        <v>7.9496172853225534E-5</v>
      </c>
      <c r="F243" s="20">
        <f>'[47]SR CIT. SUBSIDY'!F134</f>
        <v>9.1117198287407098E-5</v>
      </c>
      <c r="G243" s="20">
        <f>'[47]SR CIT. SUBSIDY'!G134</f>
        <v>9.2294258932552585E-5</v>
      </c>
      <c r="H243" s="20">
        <f>'[47]SR CIT. SUBSIDY'!H134</f>
        <v>8.664510925241928E-5</v>
      </c>
      <c r="I243" s="20">
        <f>'[47]SR CIT. SUBSIDY'!I134</f>
        <v>8.4286320439276092E-5</v>
      </c>
      <c r="J243" s="20">
        <f>'[47]SR CIT. SUBSIDY'!J134</f>
        <v>7.5057505029560973E-5</v>
      </c>
      <c r="K243" s="20">
        <f>'[47]SR CIT. SUBSIDY'!K134</f>
        <v>7.5699329562342512E-5</v>
      </c>
      <c r="L243" s="20">
        <f>'[47]SR CIT. SUBSIDY'!L134</f>
        <v>7.3950804174552343E-5</v>
      </c>
      <c r="M243" s="20">
        <f>'[47]SR CIT. SUBSIDY'!M134</f>
        <v>6.9724330278463729E-5</v>
      </c>
      <c r="N243" s="20">
        <f>'[47]SR CIT. SUBSIDY'!N134</f>
        <v>7.1523365693916283E-5</v>
      </c>
      <c r="O243" s="20">
        <f>'[47]SR CIT. SUBSIDY'!O134</f>
        <v>7.2222317373892914E-5</v>
      </c>
      <c r="P243" s="20">
        <f>'[47]SR CIT. SUBSIDY'!P134</f>
        <v>0</v>
      </c>
    </row>
    <row r="244" spans="1:16" ht="14.4" x14ac:dyDescent="0.3">
      <c r="A244" s="26" t="s">
        <v>41</v>
      </c>
      <c r="B244" s="18"/>
      <c r="C244" s="16" t="s">
        <v>19</v>
      </c>
      <c r="D244" s="20">
        <v>0</v>
      </c>
      <c r="E244" s="20">
        <v>0</v>
      </c>
      <c r="F244" s="20">
        <v>0</v>
      </c>
      <c r="G244" s="20">
        <v>0</v>
      </c>
      <c r="H244" s="20">
        <v>0</v>
      </c>
      <c r="I244" s="20">
        <v>0</v>
      </c>
      <c r="J244" s="20">
        <v>0</v>
      </c>
      <c r="K244" s="20">
        <v>0</v>
      </c>
      <c r="L244" s="20">
        <v>0</v>
      </c>
      <c r="M244" s="20">
        <v>0</v>
      </c>
      <c r="N244" s="20">
        <v>0</v>
      </c>
      <c r="O244" s="20">
        <v>0</v>
      </c>
      <c r="P244" s="20">
        <v>0</v>
      </c>
    </row>
    <row r="245" spans="1:16" ht="14.4" x14ac:dyDescent="0.3">
      <c r="A245" s="14" t="s">
        <v>42</v>
      </c>
      <c r="B245" s="14"/>
      <c r="C245" s="16"/>
      <c r="D245" s="24"/>
      <c r="E245" s="24"/>
      <c r="F245" s="24"/>
      <c r="G245" s="24"/>
      <c r="H245" s="24"/>
      <c r="I245" s="24"/>
      <c r="J245" s="24"/>
      <c r="K245" s="24"/>
      <c r="L245" s="24"/>
      <c r="M245" s="24"/>
      <c r="N245" s="24"/>
      <c r="O245" s="24"/>
      <c r="P245" s="24"/>
    </row>
    <row r="246" spans="1:16" ht="14.4" x14ac:dyDescent="0.3">
      <c r="A246" s="14" t="s">
        <v>43</v>
      </c>
      <c r="B246" s="14"/>
      <c r="C246" s="16" t="s">
        <v>44</v>
      </c>
      <c r="D246" s="27"/>
      <c r="E246" s="27"/>
      <c r="F246" s="27"/>
      <c r="G246" s="27"/>
      <c r="H246" s="27"/>
      <c r="I246" s="27"/>
      <c r="J246" s="27"/>
      <c r="K246" s="27"/>
      <c r="L246" s="27"/>
      <c r="M246" s="27"/>
      <c r="N246" s="27"/>
      <c r="O246" s="27"/>
      <c r="P246" s="27"/>
    </row>
    <row r="247" spans="1:16" ht="14.4" x14ac:dyDescent="0.3">
      <c r="A247" s="14" t="s">
        <v>45</v>
      </c>
      <c r="B247" s="14"/>
      <c r="C247" s="16"/>
      <c r="D247" s="28"/>
      <c r="E247" s="28"/>
      <c r="F247" s="28"/>
      <c r="G247" s="28"/>
      <c r="H247" s="28"/>
      <c r="I247" s="28"/>
      <c r="J247" s="28"/>
      <c r="K247" s="28"/>
      <c r="L247" s="28"/>
      <c r="M247" s="28"/>
      <c r="N247" s="28"/>
      <c r="O247" s="28"/>
      <c r="P247" s="28"/>
    </row>
    <row r="248" spans="1:16" ht="14.4" x14ac:dyDescent="0.3">
      <c r="A248" s="14" t="s">
        <v>46</v>
      </c>
      <c r="B248" s="14"/>
      <c r="C248" s="16" t="s">
        <v>19</v>
      </c>
      <c r="D248" s="20">
        <v>0</v>
      </c>
      <c r="E248" s="20">
        <v>0</v>
      </c>
      <c r="F248" s="20">
        <v>0</v>
      </c>
      <c r="G248" s="20">
        <v>0</v>
      </c>
      <c r="H248" s="20">
        <v>0</v>
      </c>
      <c r="I248" s="20">
        <v>0</v>
      </c>
      <c r="J248" s="20">
        <v>0</v>
      </c>
      <c r="K248" s="20">
        <v>0</v>
      </c>
      <c r="L248" s="20">
        <v>0</v>
      </c>
      <c r="M248" s="20">
        <v>0</v>
      </c>
      <c r="N248" s="20">
        <v>0</v>
      </c>
      <c r="O248" s="20">
        <v>0</v>
      </c>
      <c r="P248" s="20">
        <v>0</v>
      </c>
    </row>
    <row r="249" spans="1:16" ht="14.4" x14ac:dyDescent="0.3">
      <c r="A249" s="14" t="s">
        <v>47</v>
      </c>
      <c r="B249" s="14"/>
      <c r="C249" s="16"/>
      <c r="D249" s="24"/>
      <c r="E249" s="24"/>
      <c r="F249" s="24"/>
      <c r="G249" s="24"/>
      <c r="H249" s="24"/>
      <c r="I249" s="24"/>
      <c r="J249" s="24"/>
      <c r="K249" s="24"/>
      <c r="L249" s="24"/>
      <c r="M249" s="24"/>
      <c r="N249" s="24"/>
      <c r="O249" s="24"/>
      <c r="P249" s="24"/>
    </row>
    <row r="250" spans="1:16" ht="14.4" x14ac:dyDescent="0.3">
      <c r="A250" s="18" t="s">
        <v>48</v>
      </c>
      <c r="B250" s="18"/>
      <c r="C250" s="16" t="s">
        <v>19</v>
      </c>
      <c r="D250" s="20">
        <f t="shared" ref="D250:P254" si="17">D207</f>
        <v>0.15609999999999999</v>
      </c>
      <c r="E250" s="20">
        <f t="shared" si="17"/>
        <v>0.15609999999999999</v>
      </c>
      <c r="F250" s="20">
        <f t="shared" si="17"/>
        <v>0.15609999999999999</v>
      </c>
      <c r="G250" s="20">
        <f t="shared" si="17"/>
        <v>0.15609999999999999</v>
      </c>
      <c r="H250" s="20">
        <f t="shared" si="17"/>
        <v>0.15609999999999999</v>
      </c>
      <c r="I250" s="20">
        <f t="shared" si="17"/>
        <v>0.15609999999999999</v>
      </c>
      <c r="J250" s="20">
        <f t="shared" si="17"/>
        <v>0.15609999999999999</v>
      </c>
      <c r="K250" s="20">
        <f t="shared" si="17"/>
        <v>0.15609999999999999</v>
      </c>
      <c r="L250" s="20">
        <f t="shared" si="17"/>
        <v>0.15609999999999999</v>
      </c>
      <c r="M250" s="20">
        <f t="shared" si="17"/>
        <v>0.15609999999999999</v>
      </c>
      <c r="N250" s="20">
        <f t="shared" si="17"/>
        <v>0.15609999999999999</v>
      </c>
      <c r="O250" s="20">
        <f t="shared" si="17"/>
        <v>0.15609999999999999</v>
      </c>
      <c r="P250" s="20">
        <f t="shared" si="17"/>
        <v>0.15609999999999999</v>
      </c>
    </row>
    <row r="251" spans="1:16" ht="14.4" x14ac:dyDescent="0.3">
      <c r="A251" s="18" t="s">
        <v>49</v>
      </c>
      <c r="B251" s="18"/>
      <c r="C251" s="16" t="s">
        <v>19</v>
      </c>
      <c r="D251" s="20">
        <f t="shared" si="17"/>
        <v>2.5000000000000001E-3</v>
      </c>
      <c r="E251" s="20">
        <f t="shared" si="17"/>
        <v>2.5000000000000001E-3</v>
      </c>
      <c r="F251" s="20">
        <f t="shared" si="17"/>
        <v>2.5000000000000001E-3</v>
      </c>
      <c r="G251" s="20">
        <f t="shared" si="17"/>
        <v>2.5000000000000001E-3</v>
      </c>
      <c r="H251" s="20">
        <f t="shared" si="17"/>
        <v>2.5000000000000001E-3</v>
      </c>
      <c r="I251" s="20">
        <f t="shared" si="17"/>
        <v>2.5000000000000001E-3</v>
      </c>
      <c r="J251" s="20">
        <f t="shared" si="17"/>
        <v>2.5000000000000001E-3</v>
      </c>
      <c r="K251" s="20">
        <f t="shared" si="17"/>
        <v>2.5000000000000001E-3</v>
      </c>
      <c r="L251" s="20">
        <f t="shared" si="17"/>
        <v>2.5000000000000001E-3</v>
      </c>
      <c r="M251" s="20">
        <f t="shared" si="17"/>
        <v>2.5000000000000001E-3</v>
      </c>
      <c r="N251" s="20">
        <f t="shared" si="17"/>
        <v>2.5000000000000001E-3</v>
      </c>
      <c r="O251" s="20">
        <f t="shared" si="17"/>
        <v>2.5000000000000001E-3</v>
      </c>
      <c r="P251" s="20">
        <f t="shared" si="17"/>
        <v>2.5000000000000001E-3</v>
      </c>
    </row>
    <row r="252" spans="1:16" ht="14.4" x14ac:dyDescent="0.3">
      <c r="A252" s="18" t="s">
        <v>111</v>
      </c>
      <c r="B252" s="18"/>
      <c r="C252" s="16" t="s">
        <v>19</v>
      </c>
      <c r="D252" s="20">
        <f t="shared" si="17"/>
        <v>0.1938</v>
      </c>
      <c r="E252" s="20">
        <f t="shared" si="17"/>
        <v>-0.3876</v>
      </c>
      <c r="F252" s="20">
        <f t="shared" si="17"/>
        <v>0</v>
      </c>
      <c r="G252" s="20">
        <f t="shared" si="17"/>
        <v>0</v>
      </c>
      <c r="H252" s="20">
        <f t="shared" si="17"/>
        <v>0</v>
      </c>
      <c r="I252" s="20">
        <f t="shared" si="17"/>
        <v>0</v>
      </c>
      <c r="J252" s="20">
        <f t="shared" si="17"/>
        <v>0</v>
      </c>
      <c r="K252" s="20">
        <f t="shared" si="17"/>
        <v>0</v>
      </c>
      <c r="L252" s="20">
        <f t="shared" si="17"/>
        <v>0</v>
      </c>
      <c r="M252" s="20">
        <f t="shared" si="17"/>
        <v>0</v>
      </c>
      <c r="N252" s="20">
        <f t="shared" si="17"/>
        <v>0</v>
      </c>
      <c r="O252" s="20">
        <f t="shared" si="17"/>
        <v>0</v>
      </c>
      <c r="P252" s="20">
        <f t="shared" si="17"/>
        <v>0</v>
      </c>
    </row>
    <row r="253" spans="1:16" ht="14.4" x14ac:dyDescent="0.3">
      <c r="A253" s="18" t="s">
        <v>112</v>
      </c>
      <c r="B253" s="18"/>
      <c r="C253" s="16" t="s">
        <v>19</v>
      </c>
      <c r="D253" s="42">
        <f>D210</f>
        <v>2.6499999999999999E-2</v>
      </c>
      <c r="E253" s="42">
        <f t="shared" si="17"/>
        <v>2.6499999999999999E-2</v>
      </c>
      <c r="F253" s="42">
        <f t="shared" si="17"/>
        <v>2.6499999999999999E-2</v>
      </c>
      <c r="G253" s="42">
        <f t="shared" si="17"/>
        <v>4.2799999999999998E-2</v>
      </c>
      <c r="H253" s="42">
        <f t="shared" si="17"/>
        <v>4.2799999999999998E-2</v>
      </c>
      <c r="I253" s="42">
        <f t="shared" si="17"/>
        <v>4.2799999999999998E-2</v>
      </c>
      <c r="J253" s="42">
        <f t="shared" si="17"/>
        <v>4.2799999999999998E-2</v>
      </c>
      <c r="K253" s="42">
        <f t="shared" si="17"/>
        <v>4.2799999999999998E-2</v>
      </c>
      <c r="L253" s="42">
        <f t="shared" si="17"/>
        <v>4.2799999999999998E-2</v>
      </c>
      <c r="M253" s="42">
        <f t="shared" si="17"/>
        <v>4.2799999999999998E-2</v>
      </c>
      <c r="N253" s="42">
        <f t="shared" si="17"/>
        <v>4.2799999999999998E-2</v>
      </c>
      <c r="O253" s="42">
        <f t="shared" si="17"/>
        <v>4.2799999999999998E-2</v>
      </c>
      <c r="P253" s="42">
        <f t="shared" si="17"/>
        <v>4.2799999999999998E-2</v>
      </c>
    </row>
    <row r="254" spans="1:16" ht="14.4" x14ac:dyDescent="0.3">
      <c r="A254" s="14" t="s">
        <v>51</v>
      </c>
      <c r="B254" s="14"/>
      <c r="C254" s="16" t="s">
        <v>19</v>
      </c>
      <c r="D254" s="20">
        <f>D211</f>
        <v>0.25629999999999997</v>
      </c>
      <c r="E254" s="20">
        <f t="shared" si="17"/>
        <v>0.25629999999999997</v>
      </c>
      <c r="F254" s="20">
        <f t="shared" si="17"/>
        <v>0.25629999999999997</v>
      </c>
      <c r="G254" s="20">
        <f t="shared" si="17"/>
        <v>0.22259999999999999</v>
      </c>
      <c r="H254" s="20">
        <f t="shared" si="17"/>
        <v>0.22259999999999999</v>
      </c>
      <c r="I254" s="20">
        <f t="shared" si="17"/>
        <v>0.22259999999999999</v>
      </c>
      <c r="J254" s="20">
        <f t="shared" si="17"/>
        <v>0.22259999999999999</v>
      </c>
      <c r="K254" s="20">
        <f t="shared" si="17"/>
        <v>0.22259999999999999</v>
      </c>
      <c r="L254" s="20">
        <f t="shared" si="17"/>
        <v>0.22259999999999999</v>
      </c>
      <c r="M254" s="20">
        <f t="shared" si="17"/>
        <v>0.22259999999999999</v>
      </c>
      <c r="N254" s="20">
        <f t="shared" si="17"/>
        <v>0.22259999999999999</v>
      </c>
      <c r="O254" s="20">
        <f t="shared" si="17"/>
        <v>0.22259999999999999</v>
      </c>
      <c r="P254" s="20">
        <f t="shared" si="17"/>
        <v>0.22259999999999999</v>
      </c>
    </row>
    <row r="255" spans="1:16" ht="14.4" x14ac:dyDescent="0.3">
      <c r="A255" s="14" t="s">
        <v>52</v>
      </c>
      <c r="B255" s="14"/>
      <c r="C255" s="29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</row>
    <row r="256" spans="1:16" ht="14.4" x14ac:dyDescent="0.3">
      <c r="A256" s="18" t="s">
        <v>53</v>
      </c>
      <c r="B256" s="18"/>
      <c r="C256" s="16" t="s">
        <v>44</v>
      </c>
      <c r="D256" s="30">
        <f>'[47]DU VAT'!D15</f>
        <v>0.1129</v>
      </c>
      <c r="E256" s="30">
        <f>'[47]DU VAT'!E15</f>
        <v>0.1091</v>
      </c>
      <c r="F256" s="30">
        <f>'[47]DU VAT'!F15</f>
        <v>0.1124</v>
      </c>
      <c r="G256" s="30">
        <f>'[47]DU VAT'!G15</f>
        <v>0.1123</v>
      </c>
      <c r="H256" s="30">
        <f>'[47]DU VAT'!H15</f>
        <v>0.10780000000000001</v>
      </c>
      <c r="I256" s="30">
        <f>'[47]DU VAT'!I15</f>
        <v>0.1113</v>
      </c>
      <c r="J256" s="30">
        <f>'[47]DU VAT'!J15</f>
        <v>0.111</v>
      </c>
      <c r="K256" s="30">
        <f>'[47]DU VAT'!K15</f>
        <v>0.11260000000000001</v>
      </c>
      <c r="L256" s="30">
        <f>'[47]DU VAT'!L15</f>
        <v>0.1143</v>
      </c>
      <c r="M256" s="30">
        <f>'[47]DU VAT'!M15</f>
        <v>0.1157</v>
      </c>
      <c r="N256" s="30">
        <f>'[47]DU VAT'!N15</f>
        <v>0.11</v>
      </c>
      <c r="O256" s="30">
        <f>'[47]DU VAT'!O15</f>
        <v>0.112</v>
      </c>
      <c r="P256" s="30" t="e">
        <f>'[47]DU VAT'!P15</f>
        <v>#DIV/0!</v>
      </c>
    </row>
    <row r="257" spans="1:16" ht="14.4" x14ac:dyDescent="0.3">
      <c r="A257" s="18" t="s">
        <v>54</v>
      </c>
      <c r="B257" s="18"/>
      <c r="C257" s="16" t="s">
        <v>44</v>
      </c>
      <c r="D257" s="30">
        <f>'[47]DU VAT'!D19</f>
        <v>0.1028</v>
      </c>
      <c r="E257" s="30">
        <f>'[47]DU VAT'!E19</f>
        <v>0.1026</v>
      </c>
      <c r="F257" s="30">
        <f>'[47]DU VAT'!F19</f>
        <v>0.1045</v>
      </c>
      <c r="G257" s="30">
        <f>'[47]DU VAT'!G19</f>
        <v>0.109</v>
      </c>
      <c r="H257" s="30">
        <f>'[47]DU VAT'!H19</f>
        <v>0.1099</v>
      </c>
      <c r="I257" s="30">
        <f>'[47]DU VAT'!I19</f>
        <v>0.11070000000000001</v>
      </c>
      <c r="J257" s="30">
        <f>'[47]DU VAT'!J19</f>
        <v>0.1036</v>
      </c>
      <c r="K257" s="30">
        <f>'[47]DU VAT'!K19</f>
        <v>0.1027</v>
      </c>
      <c r="L257" s="30">
        <f>'[47]DU VAT'!L19</f>
        <v>0.10150000000000001</v>
      </c>
      <c r="M257" s="30">
        <f>'[47]DU VAT'!M19</f>
        <v>9.7199999999999995E-2</v>
      </c>
      <c r="N257" s="30">
        <f>'[47]DU VAT'!N19</f>
        <v>9.7900000000000001E-2</v>
      </c>
      <c r="O257" s="30">
        <f>'[47]DU VAT'!O19</f>
        <v>0.10340000000000001</v>
      </c>
      <c r="P257" s="30" t="e">
        <f>'[47]DU VAT'!P19</f>
        <v>#DIV/0!</v>
      </c>
    </row>
    <row r="258" spans="1:16" ht="14.4" x14ac:dyDescent="0.3">
      <c r="A258" s="18" t="s">
        <v>55</v>
      </c>
      <c r="B258" s="18"/>
      <c r="C258" s="16" t="s">
        <v>44</v>
      </c>
      <c r="D258" s="30">
        <f>'[47]DU VAT'!D25</f>
        <v>0.1114</v>
      </c>
      <c r="E258" s="30">
        <f>'[47]DU VAT'!E25</f>
        <v>0.10829999999999999</v>
      </c>
      <c r="F258" s="30">
        <f>'[47]DU VAT'!F25</f>
        <v>0.1114</v>
      </c>
      <c r="G258" s="30">
        <f>'[47]DU VAT'!G25</f>
        <v>0.112</v>
      </c>
      <c r="H258" s="30">
        <f>'[47]DU VAT'!H25</f>
        <v>0.1081</v>
      </c>
      <c r="I258" s="30">
        <f>'[47]DU VAT'!I25</f>
        <v>0.1113</v>
      </c>
      <c r="J258" s="30">
        <f>'[47]DU VAT'!J25</f>
        <v>0.1103</v>
      </c>
      <c r="K258" s="30">
        <f>'[47]DU VAT'!K25</f>
        <v>0.1114</v>
      </c>
      <c r="L258" s="30">
        <f>'[47]DU VAT'!L25</f>
        <v>0.11269999999999999</v>
      </c>
      <c r="M258" s="30">
        <f>'[47]DU VAT'!M25</f>
        <v>0.1133</v>
      </c>
      <c r="N258" s="30">
        <f>'[47]DU VAT'!N25</f>
        <v>0.1087</v>
      </c>
      <c r="O258" s="30">
        <f>'[47]DU VAT'!O25</f>
        <v>0.111</v>
      </c>
      <c r="P258" s="30" t="e">
        <f>'[47]DU VAT'!P25</f>
        <v>#DIV/0!</v>
      </c>
    </row>
    <row r="259" spans="1:16" ht="14.4" x14ac:dyDescent="0.3">
      <c r="A259" s="18" t="s">
        <v>56</v>
      </c>
      <c r="B259" s="18"/>
      <c r="C259" s="16" t="s">
        <v>44</v>
      </c>
      <c r="D259" s="30">
        <f t="shared" ref="D259:P260" si="18">D216</f>
        <v>0.12</v>
      </c>
      <c r="E259" s="30">
        <f t="shared" si="18"/>
        <v>0.12</v>
      </c>
      <c r="F259" s="30">
        <f t="shared" si="18"/>
        <v>0.12</v>
      </c>
      <c r="G259" s="30">
        <f t="shared" si="18"/>
        <v>0.12</v>
      </c>
      <c r="H259" s="30">
        <f t="shared" si="18"/>
        <v>0.12</v>
      </c>
      <c r="I259" s="30">
        <f t="shared" si="18"/>
        <v>0.12</v>
      </c>
      <c r="J259" s="30">
        <f t="shared" si="18"/>
        <v>0.12</v>
      </c>
      <c r="K259" s="30">
        <f t="shared" si="18"/>
        <v>0.12</v>
      </c>
      <c r="L259" s="30">
        <f t="shared" si="18"/>
        <v>0.12</v>
      </c>
      <c r="M259" s="30">
        <f t="shared" si="18"/>
        <v>0.12</v>
      </c>
      <c r="N259" s="30">
        <f t="shared" si="18"/>
        <v>0.12</v>
      </c>
      <c r="O259" s="30">
        <f t="shared" si="18"/>
        <v>0.12</v>
      </c>
      <c r="P259" s="30">
        <f t="shared" si="18"/>
        <v>0.12</v>
      </c>
    </row>
    <row r="260" spans="1:16" ht="14.4" x14ac:dyDescent="0.3">
      <c r="A260" s="18" t="s">
        <v>57</v>
      </c>
      <c r="B260" s="18"/>
      <c r="C260" s="16" t="s">
        <v>44</v>
      </c>
      <c r="D260" s="30">
        <f t="shared" si="18"/>
        <v>0.12</v>
      </c>
      <c r="E260" s="30">
        <f t="shared" si="18"/>
        <v>0.12</v>
      </c>
      <c r="F260" s="30">
        <f t="shared" si="18"/>
        <v>0.12</v>
      </c>
      <c r="G260" s="30">
        <f t="shared" si="18"/>
        <v>0.12</v>
      </c>
      <c r="H260" s="30">
        <f t="shared" si="18"/>
        <v>0.12</v>
      </c>
      <c r="I260" s="30">
        <f t="shared" si="18"/>
        <v>0.12</v>
      </c>
      <c r="J260" s="30">
        <f t="shared" si="18"/>
        <v>0.12</v>
      </c>
      <c r="K260" s="30">
        <f t="shared" si="18"/>
        <v>0.12</v>
      </c>
      <c r="L260" s="30">
        <f t="shared" si="18"/>
        <v>0.12</v>
      </c>
      <c r="M260" s="30">
        <f t="shared" si="18"/>
        <v>0.12</v>
      </c>
      <c r="N260" s="30">
        <f t="shared" si="18"/>
        <v>0.12</v>
      </c>
      <c r="O260" s="30">
        <f t="shared" si="18"/>
        <v>0.12</v>
      </c>
      <c r="P260" s="30">
        <f t="shared" si="18"/>
        <v>0.12</v>
      </c>
    </row>
    <row r="261" spans="1:16" s="5" customFormat="1" ht="14.4" x14ac:dyDescent="0.3">
      <c r="A261" s="55"/>
      <c r="B261" s="55"/>
      <c r="C261" s="56"/>
      <c r="D261" s="57"/>
      <c r="E261" s="57"/>
      <c r="F261" s="57"/>
      <c r="G261" s="57"/>
      <c r="H261" s="57"/>
      <c r="I261" s="57"/>
      <c r="J261" s="57"/>
      <c r="K261" s="57"/>
      <c r="L261" s="57"/>
      <c r="M261" s="57"/>
      <c r="N261" s="57"/>
      <c r="O261" s="57"/>
      <c r="P261" s="57"/>
    </row>
    <row r="262" spans="1:16" x14ac:dyDescent="0.3">
      <c r="A262" s="3" t="s">
        <v>58</v>
      </c>
    </row>
    <row r="264" spans="1:16" ht="18" x14ac:dyDescent="0.35">
      <c r="A264" s="59" t="str">
        <f>'[47]Statistical data'!A154</f>
        <v xml:space="preserve">  General Power-13.8 kV and Below</v>
      </c>
      <c r="B264" s="60"/>
      <c r="C264" s="5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</row>
    <row r="265" spans="1:16" s="13" customFormat="1" ht="14.4" x14ac:dyDescent="0.3">
      <c r="A265" s="11" t="s">
        <v>3</v>
      </c>
      <c r="B265" s="11"/>
      <c r="C265" s="11" t="s">
        <v>4</v>
      </c>
      <c r="D265" s="73">
        <f t="shared" ref="D265:P265" si="19">D222</f>
        <v>43466</v>
      </c>
      <c r="E265" s="73">
        <f t="shared" si="19"/>
        <v>43497</v>
      </c>
      <c r="F265" s="73">
        <f t="shared" si="19"/>
        <v>43525</v>
      </c>
      <c r="G265" s="73">
        <f t="shared" si="19"/>
        <v>43556</v>
      </c>
      <c r="H265" s="73">
        <f t="shared" si="19"/>
        <v>43586</v>
      </c>
      <c r="I265" s="73">
        <f t="shared" si="19"/>
        <v>43617</v>
      </c>
      <c r="J265" s="73">
        <f t="shared" si="19"/>
        <v>43647</v>
      </c>
      <c r="K265" s="73">
        <f t="shared" si="19"/>
        <v>43678</v>
      </c>
      <c r="L265" s="73">
        <f t="shared" si="19"/>
        <v>43709</v>
      </c>
      <c r="M265" s="73">
        <f t="shared" si="19"/>
        <v>43739</v>
      </c>
      <c r="N265" s="73">
        <f t="shared" si="19"/>
        <v>43770</v>
      </c>
      <c r="O265" s="73">
        <f t="shared" si="19"/>
        <v>43800</v>
      </c>
      <c r="P265" s="73">
        <f t="shared" si="19"/>
        <v>43831</v>
      </c>
    </row>
    <row r="266" spans="1:16" ht="14.4" x14ac:dyDescent="0.3">
      <c r="A266" s="14" t="s">
        <v>17</v>
      </c>
      <c r="B266" s="15"/>
      <c r="C266" s="16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</row>
    <row r="267" spans="1:16" ht="14.4" x14ac:dyDescent="0.3">
      <c r="A267" s="18" t="s">
        <v>18</v>
      </c>
      <c r="B267" s="19"/>
      <c r="C267" s="16" t="s">
        <v>19</v>
      </c>
      <c r="D267" s="52" t="s">
        <v>59</v>
      </c>
      <c r="E267" s="52" t="s">
        <v>59</v>
      </c>
      <c r="F267" s="52" t="s">
        <v>59</v>
      </c>
      <c r="G267" s="52" t="s">
        <v>59</v>
      </c>
      <c r="H267" s="52" t="s">
        <v>59</v>
      </c>
      <c r="I267" s="52" t="s">
        <v>59</v>
      </c>
      <c r="J267" s="52" t="s">
        <v>59</v>
      </c>
      <c r="K267" s="52" t="s">
        <v>59</v>
      </c>
      <c r="L267" s="52" t="s">
        <v>59</v>
      </c>
      <c r="M267" s="52" t="s">
        <v>59</v>
      </c>
      <c r="N267" s="52" t="s">
        <v>59</v>
      </c>
      <c r="O267" s="52" t="s">
        <v>59</v>
      </c>
      <c r="P267" s="52" t="s">
        <v>59</v>
      </c>
    </row>
    <row r="268" spans="1:16" ht="14.4" x14ac:dyDescent="0.3">
      <c r="A268" s="14" t="s">
        <v>20</v>
      </c>
      <c r="B268" s="15"/>
      <c r="C268" s="16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</row>
    <row r="269" spans="1:16" ht="14.4" x14ac:dyDescent="0.3">
      <c r="A269" s="18" t="s">
        <v>21</v>
      </c>
      <c r="B269" s="19"/>
      <c r="C269" s="16" t="s">
        <v>19</v>
      </c>
      <c r="D269" s="20">
        <v>0</v>
      </c>
      <c r="E269" s="20">
        <v>0</v>
      </c>
      <c r="F269" s="20">
        <v>0</v>
      </c>
      <c r="G269" s="20">
        <v>0</v>
      </c>
      <c r="H269" s="20">
        <v>0</v>
      </c>
      <c r="I269" s="20">
        <v>0</v>
      </c>
      <c r="J269" s="20">
        <v>0</v>
      </c>
      <c r="K269" s="20">
        <v>0</v>
      </c>
      <c r="L269" s="20">
        <v>0</v>
      </c>
      <c r="M269" s="20">
        <v>0</v>
      </c>
      <c r="N269" s="20">
        <v>0</v>
      </c>
      <c r="O269" s="20">
        <v>0</v>
      </c>
      <c r="P269" s="20">
        <v>0</v>
      </c>
    </row>
    <row r="270" spans="1:16" ht="14.4" x14ac:dyDescent="0.3">
      <c r="A270" s="18" t="s">
        <v>22</v>
      </c>
      <c r="B270" s="19"/>
      <c r="C270" s="16" t="s">
        <v>23</v>
      </c>
      <c r="D270" s="20">
        <f>[47]TR!D36</f>
        <v>305.12</v>
      </c>
      <c r="E270" s="20">
        <f>[47]TR!E36</f>
        <v>288.88</v>
      </c>
      <c r="F270" s="20">
        <f>[47]TR!F36</f>
        <v>303.79000000000002</v>
      </c>
      <c r="G270" s="20">
        <f>[47]TR!G36</f>
        <v>303.61</v>
      </c>
      <c r="H270" s="20">
        <f>[47]TR!H36</f>
        <v>279.24</v>
      </c>
      <c r="I270" s="20">
        <f>[47]TR!I36</f>
        <v>270.20999999999998</v>
      </c>
      <c r="J270" s="20">
        <f>[47]TR!J36</f>
        <v>240.17</v>
      </c>
      <c r="K270" s="20">
        <f>[47]TR!K36</f>
        <v>256.07</v>
      </c>
      <c r="L270" s="20">
        <f>[47]TR!L36</f>
        <v>258.95</v>
      </c>
      <c r="M270" s="20">
        <f>[47]TR!M36</f>
        <v>266.89</v>
      </c>
      <c r="N270" s="20">
        <f>[47]TR!N36</f>
        <v>237.79</v>
      </c>
      <c r="O270" s="20">
        <f>[47]TR!O36</f>
        <v>266.44</v>
      </c>
      <c r="P270" s="20">
        <f>[47]TR!P36</f>
        <v>0</v>
      </c>
    </row>
    <row r="271" spans="1:16" ht="14.4" x14ac:dyDescent="0.3">
      <c r="A271" s="14" t="s">
        <v>24</v>
      </c>
      <c r="B271" s="15"/>
      <c r="C271" s="16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</row>
    <row r="272" spans="1:16" ht="14.4" x14ac:dyDescent="0.3">
      <c r="A272" s="18" t="s">
        <v>25</v>
      </c>
      <c r="B272" s="19"/>
      <c r="C272" s="16" t="s">
        <v>19</v>
      </c>
      <c r="D272" s="20">
        <f>[47]SLR!D69</f>
        <v>0.2034</v>
      </c>
      <c r="E272" s="20">
        <f>[47]SLR!E69</f>
        <v>0.23830000000000001</v>
      </c>
      <c r="F272" s="20">
        <f>[47]SLR!F69</f>
        <v>0.22770000000000001</v>
      </c>
      <c r="G272" s="20">
        <f>[47]SLR!G69</f>
        <v>0.24129999999999999</v>
      </c>
      <c r="H272" s="20">
        <f>[47]SLR!H69</f>
        <v>0.22950000000000001</v>
      </c>
      <c r="I272" s="20">
        <f>[47]SLR!I69</f>
        <v>0.2258</v>
      </c>
      <c r="J272" s="20">
        <f>[47]SLR!J69</f>
        <v>0.23080000000000001</v>
      </c>
      <c r="K272" s="20">
        <f>[47]SLR!K69</f>
        <v>0.2006</v>
      </c>
      <c r="L272" s="20">
        <f>[47]SLR!L69</f>
        <v>0.18479999999999999</v>
      </c>
      <c r="M272" s="20">
        <f>[47]SLR!M69</f>
        <v>0.18429999999999999</v>
      </c>
      <c r="N272" s="20">
        <f>[47]SLR!N69</f>
        <v>0.2016</v>
      </c>
      <c r="O272" s="20">
        <f>[47]SLR!O69</f>
        <v>0.21</v>
      </c>
      <c r="P272" s="20">
        <f>[47]SLR!P69</f>
        <v>0</v>
      </c>
    </row>
    <row r="273" spans="1:16" ht="14.4" x14ac:dyDescent="0.3">
      <c r="A273" s="14" t="s">
        <v>26</v>
      </c>
      <c r="B273" s="14"/>
      <c r="C273" s="16"/>
      <c r="D273" s="22"/>
      <c r="E273" s="22"/>
      <c r="F273" s="22"/>
      <c r="G273" s="22"/>
      <c r="H273" s="22"/>
      <c r="I273" s="22"/>
      <c r="J273" s="22"/>
      <c r="K273" s="22"/>
      <c r="L273" s="22"/>
      <c r="M273" s="22"/>
      <c r="N273" s="22"/>
      <c r="O273" s="22"/>
      <c r="P273" s="22"/>
    </row>
    <row r="274" spans="1:16" ht="14.4" x14ac:dyDescent="0.3">
      <c r="A274" s="18" t="s">
        <v>27</v>
      </c>
      <c r="B274" s="18"/>
      <c r="C274" s="16" t="s">
        <v>19</v>
      </c>
      <c r="D274" s="20">
        <v>5.1299999999999998E-2</v>
      </c>
      <c r="E274" s="20">
        <v>5.1299999999999998E-2</v>
      </c>
      <c r="F274" s="20">
        <v>5.1299999999999998E-2</v>
      </c>
      <c r="G274" s="20">
        <v>5.1299999999999998E-2</v>
      </c>
      <c r="H274" s="20">
        <v>5.1299999999999998E-2</v>
      </c>
      <c r="I274" s="20">
        <v>5.1299999999999998E-2</v>
      </c>
      <c r="J274" s="20">
        <v>5.1299999999999998E-2</v>
      </c>
      <c r="K274" s="20">
        <v>5.1299999999999998E-2</v>
      </c>
      <c r="L274" s="20">
        <v>5.1299999999999998E-2</v>
      </c>
      <c r="M274" s="20">
        <v>5.1299999999999998E-2</v>
      </c>
      <c r="N274" s="20">
        <v>5.1299999999999998E-2</v>
      </c>
      <c r="O274" s="20">
        <v>5.1299999999999998E-2</v>
      </c>
      <c r="P274" s="20">
        <v>5.1299999999999998E-2</v>
      </c>
    </row>
    <row r="275" spans="1:16" ht="14.4" x14ac:dyDescent="0.3">
      <c r="A275" s="18" t="s">
        <v>28</v>
      </c>
      <c r="B275" s="18"/>
      <c r="C275" s="16" t="s">
        <v>23</v>
      </c>
      <c r="D275" s="23">
        <v>182.66</v>
      </c>
      <c r="E275" s="23">
        <v>182.66</v>
      </c>
      <c r="F275" s="23">
        <v>182.66</v>
      </c>
      <c r="G275" s="23">
        <v>182.66</v>
      </c>
      <c r="H275" s="23">
        <v>182.66</v>
      </c>
      <c r="I275" s="23">
        <v>182.66</v>
      </c>
      <c r="J275" s="23">
        <v>182.66</v>
      </c>
      <c r="K275" s="23">
        <v>182.66</v>
      </c>
      <c r="L275" s="23">
        <v>182.66</v>
      </c>
      <c r="M275" s="23">
        <v>182.66</v>
      </c>
      <c r="N275" s="23">
        <v>182.66</v>
      </c>
      <c r="O275" s="23">
        <v>182.66</v>
      </c>
      <c r="P275" s="23">
        <v>182.66</v>
      </c>
    </row>
    <row r="276" spans="1:16" ht="14.4" x14ac:dyDescent="0.3">
      <c r="A276" s="14" t="s">
        <v>29</v>
      </c>
      <c r="B276" s="14"/>
      <c r="C276" s="16"/>
      <c r="D276" s="24"/>
      <c r="E276" s="24"/>
      <c r="F276" s="24"/>
      <c r="G276" s="24"/>
      <c r="H276" s="24"/>
      <c r="I276" s="24"/>
      <c r="J276" s="24"/>
      <c r="K276" s="24"/>
      <c r="L276" s="24"/>
      <c r="M276" s="24"/>
      <c r="N276" s="24"/>
      <c r="O276" s="24"/>
      <c r="P276" s="24"/>
    </row>
    <row r="277" spans="1:16" ht="14.4" x14ac:dyDescent="0.3">
      <c r="A277" s="18" t="s">
        <v>30</v>
      </c>
      <c r="B277" s="18"/>
      <c r="C277" s="16" t="s">
        <v>19</v>
      </c>
      <c r="D277" s="52" t="s">
        <v>61</v>
      </c>
      <c r="E277" s="52" t="s">
        <v>61</v>
      </c>
      <c r="F277" s="52" t="s">
        <v>61</v>
      </c>
      <c r="G277" s="52" t="s">
        <v>61</v>
      </c>
      <c r="H277" s="52" t="s">
        <v>61</v>
      </c>
      <c r="I277" s="52" t="s">
        <v>61</v>
      </c>
      <c r="J277" s="52" t="s">
        <v>61</v>
      </c>
      <c r="K277" s="52" t="s">
        <v>61</v>
      </c>
      <c r="L277" s="52" t="s">
        <v>61</v>
      </c>
      <c r="M277" s="52" t="s">
        <v>61</v>
      </c>
      <c r="N277" s="52" t="s">
        <v>61</v>
      </c>
      <c r="O277" s="52" t="s">
        <v>61</v>
      </c>
      <c r="P277" s="52" t="s">
        <v>61</v>
      </c>
    </row>
    <row r="278" spans="1:16" ht="14.4" x14ac:dyDescent="0.3">
      <c r="A278" s="18" t="s">
        <v>31</v>
      </c>
      <c r="B278" s="18"/>
      <c r="C278" s="16" t="s">
        <v>32</v>
      </c>
      <c r="D278" s="52" t="s">
        <v>62</v>
      </c>
      <c r="E278" s="52" t="s">
        <v>62</v>
      </c>
      <c r="F278" s="52" t="s">
        <v>62</v>
      </c>
      <c r="G278" s="52" t="s">
        <v>62</v>
      </c>
      <c r="H278" s="52" t="s">
        <v>62</v>
      </c>
      <c r="I278" s="52" t="s">
        <v>62</v>
      </c>
      <c r="J278" s="52" t="s">
        <v>62</v>
      </c>
      <c r="K278" s="52" t="s">
        <v>62</v>
      </c>
      <c r="L278" s="52" t="s">
        <v>62</v>
      </c>
      <c r="M278" s="52" t="s">
        <v>62</v>
      </c>
      <c r="N278" s="52" t="s">
        <v>62</v>
      </c>
      <c r="O278" s="52" t="s">
        <v>62</v>
      </c>
      <c r="P278" s="52" t="s">
        <v>62</v>
      </c>
    </row>
    <row r="279" spans="1:16" ht="14.4" x14ac:dyDescent="0.3">
      <c r="A279" s="14" t="s">
        <v>33</v>
      </c>
      <c r="B279" s="14"/>
      <c r="C279" s="16"/>
      <c r="D279" s="24"/>
      <c r="E279" s="24"/>
      <c r="F279" s="24"/>
      <c r="G279" s="24"/>
      <c r="H279" s="24"/>
      <c r="I279" s="24"/>
      <c r="J279" s="24"/>
      <c r="K279" s="24"/>
      <c r="L279" s="24"/>
      <c r="M279" s="24"/>
      <c r="N279" s="24"/>
      <c r="O279" s="24"/>
      <c r="P279" s="24"/>
    </row>
    <row r="280" spans="1:16" ht="14.4" x14ac:dyDescent="0.3">
      <c r="A280" s="18" t="s">
        <v>34</v>
      </c>
      <c r="B280" s="18"/>
      <c r="C280" s="16" t="s">
        <v>19</v>
      </c>
      <c r="D280" s="20">
        <v>0</v>
      </c>
      <c r="E280" s="20">
        <v>0</v>
      </c>
      <c r="F280" s="20">
        <v>0</v>
      </c>
      <c r="G280" s="20">
        <v>0</v>
      </c>
      <c r="H280" s="20">
        <v>0</v>
      </c>
      <c r="I280" s="20">
        <v>0</v>
      </c>
      <c r="J280" s="20">
        <v>0</v>
      </c>
      <c r="K280" s="20">
        <v>0</v>
      </c>
      <c r="L280" s="20">
        <v>0</v>
      </c>
      <c r="M280" s="20">
        <v>0</v>
      </c>
      <c r="N280" s="20">
        <v>0</v>
      </c>
      <c r="O280" s="20">
        <v>0</v>
      </c>
      <c r="P280" s="20">
        <v>0</v>
      </c>
    </row>
    <row r="281" spans="1:16" ht="14.4" x14ac:dyDescent="0.3">
      <c r="A281" s="18" t="s">
        <v>35</v>
      </c>
      <c r="B281" s="18"/>
      <c r="C281" s="16" t="s">
        <v>36</v>
      </c>
      <c r="D281" s="52" t="s">
        <v>63</v>
      </c>
      <c r="E281" s="52" t="s">
        <v>63</v>
      </c>
      <c r="F281" s="52" t="s">
        <v>63</v>
      </c>
      <c r="G281" s="52" t="s">
        <v>63</v>
      </c>
      <c r="H281" s="52" t="s">
        <v>63</v>
      </c>
      <c r="I281" s="52" t="s">
        <v>63</v>
      </c>
      <c r="J281" s="52" t="s">
        <v>63</v>
      </c>
      <c r="K281" s="52" t="s">
        <v>63</v>
      </c>
      <c r="L281" s="52" t="s">
        <v>63</v>
      </c>
      <c r="M281" s="52" t="s">
        <v>63</v>
      </c>
      <c r="N281" s="52" t="s">
        <v>63</v>
      </c>
      <c r="O281" s="52" t="s">
        <v>63</v>
      </c>
      <c r="P281" s="52" t="s">
        <v>63</v>
      </c>
    </row>
    <row r="282" spans="1:16" ht="14.4" x14ac:dyDescent="0.3">
      <c r="A282" s="14" t="s">
        <v>37</v>
      </c>
      <c r="B282" s="14"/>
      <c r="C282" s="16"/>
      <c r="D282" s="24"/>
      <c r="E282" s="24"/>
      <c r="F282" s="24"/>
      <c r="G282" s="24"/>
      <c r="H282" s="24"/>
      <c r="I282" s="24"/>
      <c r="J282" s="24"/>
      <c r="K282" s="24"/>
      <c r="L282" s="24"/>
      <c r="M282" s="24"/>
      <c r="N282" s="24"/>
      <c r="O282" s="24"/>
      <c r="P282" s="24"/>
    </row>
    <row r="283" spans="1:16" ht="14.4" x14ac:dyDescent="0.3">
      <c r="A283" s="25" t="s">
        <v>138</v>
      </c>
      <c r="B283" s="18"/>
      <c r="C283" s="16" t="s">
        <v>19</v>
      </c>
      <c r="D283" s="20"/>
      <c r="E283" s="20"/>
      <c r="F283" s="20"/>
      <c r="G283" s="20"/>
      <c r="H283" s="20"/>
      <c r="I283" s="20"/>
      <c r="J283" s="20">
        <v>-7.3099999999999998E-2</v>
      </c>
      <c r="K283" s="20"/>
      <c r="L283" s="20"/>
      <c r="M283" s="20"/>
      <c r="N283" s="20"/>
      <c r="O283" s="20"/>
      <c r="P283" s="20"/>
    </row>
    <row r="284" spans="1:16" ht="14.4" x14ac:dyDescent="0.3">
      <c r="A284" s="25" t="s">
        <v>38</v>
      </c>
      <c r="B284" s="18"/>
      <c r="C284" s="16" t="s">
        <v>19</v>
      </c>
      <c r="D284" s="20">
        <f>[47]LD!D28</f>
        <v>9.7600000000000006E-2</v>
      </c>
      <c r="E284" s="20">
        <f>[47]LD!E28</f>
        <v>0.1077</v>
      </c>
      <c r="F284" s="20">
        <f>[47]LD!F28</f>
        <v>0.1234</v>
      </c>
      <c r="G284" s="20">
        <f>[47]LD!G28</f>
        <v>0.124</v>
      </c>
      <c r="H284" s="20">
        <f>[47]LD!H28</f>
        <v>8.2000000000000003E-2</v>
      </c>
      <c r="I284" s="20">
        <f>[47]LD!I28</f>
        <v>7.5499999999999998E-2</v>
      </c>
      <c r="J284" s="20">
        <f>[47]LD!J28</f>
        <v>6.4899999999999999E-2</v>
      </c>
      <c r="K284" s="20">
        <f>[47]LD!K28</f>
        <v>7.5600000000000001E-2</v>
      </c>
      <c r="L284" s="20">
        <f>[47]LD!L28</f>
        <v>7.85E-2</v>
      </c>
      <c r="M284" s="20">
        <f>[47]LD!M28</f>
        <v>7.5399999999999995E-2</v>
      </c>
      <c r="N284" s="20">
        <f>[47]LD!N28</f>
        <v>7.5700000000000003E-2</v>
      </c>
      <c r="O284" s="20">
        <f>[47]LD!O28</f>
        <v>7.8299999999999995E-2</v>
      </c>
      <c r="P284" s="20">
        <f>[47]LD!P28</f>
        <v>0</v>
      </c>
    </row>
    <row r="285" spans="1:16" ht="14.4" x14ac:dyDescent="0.3">
      <c r="A285" s="25" t="s">
        <v>39</v>
      </c>
      <c r="B285" s="18"/>
      <c r="C285" s="16" t="s">
        <v>19</v>
      </c>
      <c r="D285" s="20">
        <v>0</v>
      </c>
      <c r="E285" s="20">
        <v>0</v>
      </c>
      <c r="F285" s="20">
        <v>0</v>
      </c>
      <c r="G285" s="20">
        <v>0</v>
      </c>
      <c r="H285" s="20">
        <v>0</v>
      </c>
      <c r="I285" s="20">
        <v>0</v>
      </c>
      <c r="J285" s="20">
        <v>0</v>
      </c>
      <c r="K285" s="20">
        <v>0</v>
      </c>
      <c r="L285" s="20">
        <v>0</v>
      </c>
      <c r="M285" s="20">
        <v>0</v>
      </c>
      <c r="N285" s="20">
        <v>0</v>
      </c>
      <c r="O285" s="20">
        <v>0</v>
      </c>
      <c r="P285" s="20">
        <v>0</v>
      </c>
    </row>
    <row r="286" spans="1:16" ht="14.4" x14ac:dyDescent="0.3">
      <c r="A286" s="26" t="s">
        <v>40</v>
      </c>
      <c r="B286" s="18"/>
      <c r="C286" s="16" t="s">
        <v>19</v>
      </c>
      <c r="D286" s="20">
        <f>'[47]SR CIT. SUBSIDY'!D134</f>
        <v>8.1671193651487679E-5</v>
      </c>
      <c r="E286" s="20">
        <f>'[47]SR CIT. SUBSIDY'!E134</f>
        <v>7.9496172853225534E-5</v>
      </c>
      <c r="F286" s="20">
        <f>'[47]SR CIT. SUBSIDY'!F134</f>
        <v>9.1117198287407098E-5</v>
      </c>
      <c r="G286" s="20">
        <f>'[47]SR CIT. SUBSIDY'!G134</f>
        <v>9.2294258932552585E-5</v>
      </c>
      <c r="H286" s="20">
        <f>'[47]SR CIT. SUBSIDY'!H134</f>
        <v>8.664510925241928E-5</v>
      </c>
      <c r="I286" s="20">
        <f>'[47]SR CIT. SUBSIDY'!I134</f>
        <v>8.4286320439276092E-5</v>
      </c>
      <c r="J286" s="20">
        <f>'[47]SR CIT. SUBSIDY'!J134</f>
        <v>7.5057505029560973E-5</v>
      </c>
      <c r="K286" s="20">
        <f>'[47]SR CIT. SUBSIDY'!K134</f>
        <v>7.5699329562342512E-5</v>
      </c>
      <c r="L286" s="20">
        <f>'[47]SR CIT. SUBSIDY'!L134</f>
        <v>7.3950804174552343E-5</v>
      </c>
      <c r="M286" s="20">
        <f>'[47]SR CIT. SUBSIDY'!M134</f>
        <v>6.9724330278463729E-5</v>
      </c>
      <c r="N286" s="20">
        <f>'[47]SR CIT. SUBSIDY'!N134</f>
        <v>7.1523365693916283E-5</v>
      </c>
      <c r="O286" s="20">
        <f>'[47]SR CIT. SUBSIDY'!O134</f>
        <v>7.2222317373892914E-5</v>
      </c>
      <c r="P286" s="20">
        <f>'[47]SR CIT. SUBSIDY'!P134</f>
        <v>0</v>
      </c>
    </row>
    <row r="287" spans="1:16" ht="14.4" x14ac:dyDescent="0.3">
      <c r="A287" s="26" t="s">
        <v>41</v>
      </c>
      <c r="B287" s="18"/>
      <c r="C287" s="16" t="s">
        <v>19</v>
      </c>
      <c r="D287" s="20">
        <v>0</v>
      </c>
      <c r="E287" s="20">
        <v>0</v>
      </c>
      <c r="F287" s="20">
        <v>0</v>
      </c>
      <c r="G287" s="20">
        <v>0</v>
      </c>
      <c r="H287" s="20">
        <v>0</v>
      </c>
      <c r="I287" s="20">
        <v>0</v>
      </c>
      <c r="J287" s="20">
        <v>0</v>
      </c>
      <c r="K287" s="20">
        <v>0</v>
      </c>
      <c r="L287" s="20">
        <v>0</v>
      </c>
      <c r="M287" s="20">
        <v>0</v>
      </c>
      <c r="N287" s="20">
        <v>0</v>
      </c>
      <c r="O287" s="20">
        <v>0</v>
      </c>
      <c r="P287" s="20">
        <v>0</v>
      </c>
    </row>
    <row r="288" spans="1:16" ht="14.4" x14ac:dyDescent="0.3">
      <c r="A288" s="14" t="s">
        <v>42</v>
      </c>
      <c r="B288" s="14"/>
      <c r="C288" s="16"/>
      <c r="D288" s="24"/>
      <c r="E288" s="24"/>
      <c r="F288" s="24"/>
      <c r="G288" s="24"/>
      <c r="H288" s="24"/>
      <c r="I288" s="24"/>
      <c r="J288" s="24"/>
      <c r="K288" s="24"/>
      <c r="L288" s="24"/>
      <c r="M288" s="24"/>
      <c r="N288" s="24"/>
      <c r="O288" s="24"/>
      <c r="P288" s="24"/>
    </row>
    <row r="289" spans="1:16" ht="14.4" x14ac:dyDescent="0.3">
      <c r="A289" s="14" t="s">
        <v>43</v>
      </c>
      <c r="B289" s="14"/>
      <c r="C289" s="16" t="s">
        <v>44</v>
      </c>
      <c r="D289" s="27"/>
      <c r="E289" s="27"/>
      <c r="F289" s="27"/>
      <c r="G289" s="27"/>
      <c r="H289" s="27"/>
      <c r="I289" s="27"/>
      <c r="J289" s="27"/>
      <c r="K289" s="27"/>
      <c r="L289" s="27"/>
      <c r="M289" s="27"/>
      <c r="N289" s="27"/>
      <c r="O289" s="27"/>
      <c r="P289" s="27"/>
    </row>
    <row r="290" spans="1:16" ht="14.4" x14ac:dyDescent="0.3">
      <c r="A290" s="14" t="s">
        <v>45</v>
      </c>
      <c r="B290" s="14"/>
      <c r="C290" s="16"/>
      <c r="D290" s="28"/>
      <c r="E290" s="28"/>
      <c r="F290" s="28"/>
      <c r="G290" s="28"/>
      <c r="H290" s="28"/>
      <c r="I290" s="28"/>
      <c r="J290" s="28"/>
      <c r="K290" s="28"/>
      <c r="L290" s="28"/>
      <c r="M290" s="28"/>
      <c r="N290" s="28"/>
      <c r="O290" s="28"/>
      <c r="P290" s="28"/>
    </row>
    <row r="291" spans="1:16" ht="14.4" x14ac:dyDescent="0.3">
      <c r="A291" s="14" t="s">
        <v>46</v>
      </c>
      <c r="B291" s="14"/>
      <c r="C291" s="16" t="s">
        <v>19</v>
      </c>
      <c r="D291" s="20">
        <v>0</v>
      </c>
      <c r="E291" s="20">
        <v>0</v>
      </c>
      <c r="F291" s="20">
        <v>0</v>
      </c>
      <c r="G291" s="20">
        <v>0</v>
      </c>
      <c r="H291" s="20">
        <v>0</v>
      </c>
      <c r="I291" s="20">
        <v>0</v>
      </c>
      <c r="J291" s="20">
        <v>0</v>
      </c>
      <c r="K291" s="20">
        <v>0</v>
      </c>
      <c r="L291" s="20">
        <v>0</v>
      </c>
      <c r="M291" s="20">
        <v>0</v>
      </c>
      <c r="N291" s="20">
        <v>0</v>
      </c>
      <c r="O291" s="20">
        <v>0</v>
      </c>
      <c r="P291" s="20">
        <v>0</v>
      </c>
    </row>
    <row r="292" spans="1:16" ht="14.4" x14ac:dyDescent="0.3">
      <c r="A292" s="14" t="s">
        <v>47</v>
      </c>
      <c r="B292" s="14"/>
      <c r="C292" s="16"/>
      <c r="D292" s="24"/>
      <c r="E292" s="24"/>
      <c r="F292" s="24"/>
      <c r="G292" s="24"/>
      <c r="H292" s="24"/>
      <c r="I292" s="24"/>
      <c r="J292" s="24"/>
      <c r="K292" s="24"/>
      <c r="L292" s="24"/>
      <c r="M292" s="24"/>
      <c r="N292" s="24"/>
      <c r="O292" s="24"/>
      <c r="P292" s="24"/>
    </row>
    <row r="293" spans="1:16" ht="14.4" x14ac:dyDescent="0.3">
      <c r="A293" s="18" t="s">
        <v>48</v>
      </c>
      <c r="B293" s="18"/>
      <c r="C293" s="16" t="s">
        <v>19</v>
      </c>
      <c r="D293" s="20">
        <f t="shared" ref="D293:P297" si="20">D250</f>
        <v>0.15609999999999999</v>
      </c>
      <c r="E293" s="20">
        <f t="shared" si="20"/>
        <v>0.15609999999999999</v>
      </c>
      <c r="F293" s="20">
        <f t="shared" si="20"/>
        <v>0.15609999999999999</v>
      </c>
      <c r="G293" s="20">
        <f t="shared" si="20"/>
        <v>0.15609999999999999</v>
      </c>
      <c r="H293" s="20">
        <f t="shared" si="20"/>
        <v>0.15609999999999999</v>
      </c>
      <c r="I293" s="20">
        <f t="shared" si="20"/>
        <v>0.15609999999999999</v>
      </c>
      <c r="J293" s="20">
        <f t="shared" si="20"/>
        <v>0.15609999999999999</v>
      </c>
      <c r="K293" s="20">
        <f t="shared" si="20"/>
        <v>0.15609999999999999</v>
      </c>
      <c r="L293" s="20">
        <f t="shared" si="20"/>
        <v>0.15609999999999999</v>
      </c>
      <c r="M293" s="20">
        <f t="shared" si="20"/>
        <v>0.15609999999999999</v>
      </c>
      <c r="N293" s="20">
        <f t="shared" si="20"/>
        <v>0.15609999999999999</v>
      </c>
      <c r="O293" s="20">
        <f t="shared" si="20"/>
        <v>0.15609999999999999</v>
      </c>
      <c r="P293" s="20">
        <f t="shared" si="20"/>
        <v>0.15609999999999999</v>
      </c>
    </row>
    <row r="294" spans="1:16" ht="14.4" x14ac:dyDescent="0.3">
      <c r="A294" s="18" t="s">
        <v>49</v>
      </c>
      <c r="B294" s="18"/>
      <c r="C294" s="16" t="s">
        <v>19</v>
      </c>
      <c r="D294" s="20">
        <f t="shared" si="20"/>
        <v>2.5000000000000001E-3</v>
      </c>
      <c r="E294" s="20">
        <f t="shared" si="20"/>
        <v>2.5000000000000001E-3</v>
      </c>
      <c r="F294" s="20">
        <f t="shared" si="20"/>
        <v>2.5000000000000001E-3</v>
      </c>
      <c r="G294" s="20">
        <f t="shared" si="20"/>
        <v>2.5000000000000001E-3</v>
      </c>
      <c r="H294" s="20">
        <f t="shared" si="20"/>
        <v>2.5000000000000001E-3</v>
      </c>
      <c r="I294" s="20">
        <f t="shared" si="20"/>
        <v>2.5000000000000001E-3</v>
      </c>
      <c r="J294" s="20">
        <f t="shared" si="20"/>
        <v>2.5000000000000001E-3</v>
      </c>
      <c r="K294" s="20">
        <f t="shared" si="20"/>
        <v>2.5000000000000001E-3</v>
      </c>
      <c r="L294" s="20">
        <f t="shared" si="20"/>
        <v>2.5000000000000001E-3</v>
      </c>
      <c r="M294" s="20">
        <f t="shared" si="20"/>
        <v>2.5000000000000001E-3</v>
      </c>
      <c r="N294" s="20">
        <f t="shared" si="20"/>
        <v>2.5000000000000001E-3</v>
      </c>
      <c r="O294" s="20">
        <f t="shared" si="20"/>
        <v>2.5000000000000001E-3</v>
      </c>
      <c r="P294" s="20">
        <f t="shared" si="20"/>
        <v>2.5000000000000001E-3</v>
      </c>
    </row>
    <row r="295" spans="1:16" ht="14.4" x14ac:dyDescent="0.3">
      <c r="A295" s="18" t="s">
        <v>111</v>
      </c>
      <c r="B295" s="18"/>
      <c r="C295" s="16" t="s">
        <v>19</v>
      </c>
      <c r="D295" s="20">
        <f t="shared" si="20"/>
        <v>0.1938</v>
      </c>
      <c r="E295" s="20">
        <f t="shared" si="20"/>
        <v>-0.3876</v>
      </c>
      <c r="F295" s="20">
        <f t="shared" si="20"/>
        <v>0</v>
      </c>
      <c r="G295" s="20">
        <f t="shared" si="20"/>
        <v>0</v>
      </c>
      <c r="H295" s="20">
        <f t="shared" si="20"/>
        <v>0</v>
      </c>
      <c r="I295" s="20">
        <f t="shared" si="20"/>
        <v>0</v>
      </c>
      <c r="J295" s="20">
        <f t="shared" si="20"/>
        <v>0</v>
      </c>
      <c r="K295" s="20">
        <f t="shared" si="20"/>
        <v>0</v>
      </c>
      <c r="L295" s="20">
        <f t="shared" si="20"/>
        <v>0</v>
      </c>
      <c r="M295" s="20">
        <f t="shared" si="20"/>
        <v>0</v>
      </c>
      <c r="N295" s="20">
        <f t="shared" si="20"/>
        <v>0</v>
      </c>
      <c r="O295" s="20">
        <f t="shared" si="20"/>
        <v>0</v>
      </c>
      <c r="P295" s="20">
        <f t="shared" si="20"/>
        <v>0</v>
      </c>
    </row>
    <row r="296" spans="1:16" ht="14.4" x14ac:dyDescent="0.3">
      <c r="A296" s="18" t="s">
        <v>112</v>
      </c>
      <c r="B296" s="18"/>
      <c r="C296" s="16" t="s">
        <v>19</v>
      </c>
      <c r="D296" s="42">
        <f>D253</f>
        <v>2.6499999999999999E-2</v>
      </c>
      <c r="E296" s="42">
        <f t="shared" si="20"/>
        <v>2.6499999999999999E-2</v>
      </c>
      <c r="F296" s="42">
        <f t="shared" si="20"/>
        <v>2.6499999999999999E-2</v>
      </c>
      <c r="G296" s="42">
        <f t="shared" si="20"/>
        <v>4.2799999999999998E-2</v>
      </c>
      <c r="H296" s="42">
        <f t="shared" si="20"/>
        <v>4.2799999999999998E-2</v>
      </c>
      <c r="I296" s="42">
        <f t="shared" si="20"/>
        <v>4.2799999999999998E-2</v>
      </c>
      <c r="J296" s="42">
        <f t="shared" si="20"/>
        <v>4.2799999999999998E-2</v>
      </c>
      <c r="K296" s="42">
        <f t="shared" si="20"/>
        <v>4.2799999999999998E-2</v>
      </c>
      <c r="L296" s="42">
        <f t="shared" si="20"/>
        <v>4.2799999999999998E-2</v>
      </c>
      <c r="M296" s="42">
        <f t="shared" si="20"/>
        <v>4.2799999999999998E-2</v>
      </c>
      <c r="N296" s="42">
        <f t="shared" si="20"/>
        <v>4.2799999999999998E-2</v>
      </c>
      <c r="O296" s="42">
        <f t="shared" si="20"/>
        <v>4.2799999999999998E-2</v>
      </c>
      <c r="P296" s="42">
        <f t="shared" si="20"/>
        <v>4.2799999999999998E-2</v>
      </c>
    </row>
    <row r="297" spans="1:16" ht="14.4" x14ac:dyDescent="0.3">
      <c r="A297" s="14" t="s">
        <v>51</v>
      </c>
      <c r="B297" s="14"/>
      <c r="C297" s="16" t="s">
        <v>19</v>
      </c>
      <c r="D297" s="20">
        <f>D254</f>
        <v>0.25629999999999997</v>
      </c>
      <c r="E297" s="20">
        <f t="shared" si="20"/>
        <v>0.25629999999999997</v>
      </c>
      <c r="F297" s="20">
        <f t="shared" si="20"/>
        <v>0.25629999999999997</v>
      </c>
      <c r="G297" s="20">
        <f t="shared" si="20"/>
        <v>0.22259999999999999</v>
      </c>
      <c r="H297" s="20">
        <f t="shared" si="20"/>
        <v>0.22259999999999999</v>
      </c>
      <c r="I297" s="20">
        <f t="shared" si="20"/>
        <v>0.22259999999999999</v>
      </c>
      <c r="J297" s="20">
        <f t="shared" si="20"/>
        <v>0.22259999999999999</v>
      </c>
      <c r="K297" s="20">
        <f t="shared" si="20"/>
        <v>0.22259999999999999</v>
      </c>
      <c r="L297" s="20">
        <f t="shared" si="20"/>
        <v>0.22259999999999999</v>
      </c>
      <c r="M297" s="20">
        <f t="shared" si="20"/>
        <v>0.22259999999999999</v>
      </c>
      <c r="N297" s="20">
        <f t="shared" si="20"/>
        <v>0.22259999999999999</v>
      </c>
      <c r="O297" s="20">
        <f t="shared" si="20"/>
        <v>0.22259999999999999</v>
      </c>
      <c r="P297" s="20">
        <f t="shared" si="20"/>
        <v>0.22259999999999999</v>
      </c>
    </row>
    <row r="298" spans="1:16" ht="14.4" x14ac:dyDescent="0.3">
      <c r="A298" s="14" t="s">
        <v>52</v>
      </c>
      <c r="B298" s="14"/>
      <c r="C298" s="29"/>
      <c r="D298" s="22"/>
      <c r="E298" s="22"/>
      <c r="F298" s="22"/>
      <c r="G298" s="22"/>
      <c r="H298" s="22"/>
      <c r="I298" s="22"/>
      <c r="J298" s="22"/>
      <c r="K298" s="22"/>
      <c r="L298" s="22"/>
      <c r="M298" s="22"/>
      <c r="N298" s="22"/>
      <c r="O298" s="22"/>
      <c r="P298" s="22"/>
    </row>
    <row r="299" spans="1:16" ht="14.4" x14ac:dyDescent="0.3">
      <c r="A299" s="18" t="s">
        <v>53</v>
      </c>
      <c r="B299" s="18"/>
      <c r="C299" s="16" t="s">
        <v>44</v>
      </c>
      <c r="D299" s="30">
        <f>'[47]DU VAT'!D15</f>
        <v>0.1129</v>
      </c>
      <c r="E299" s="30">
        <f>'[47]DU VAT'!E15</f>
        <v>0.1091</v>
      </c>
      <c r="F299" s="30">
        <f>'[47]DU VAT'!F15</f>
        <v>0.1124</v>
      </c>
      <c r="G299" s="30">
        <f>'[47]DU VAT'!G15</f>
        <v>0.1123</v>
      </c>
      <c r="H299" s="30">
        <f>'[47]DU VAT'!H15</f>
        <v>0.10780000000000001</v>
      </c>
      <c r="I299" s="30">
        <f>'[47]DU VAT'!I15</f>
        <v>0.1113</v>
      </c>
      <c r="J299" s="30">
        <f>'[47]DU VAT'!J15</f>
        <v>0.111</v>
      </c>
      <c r="K299" s="30">
        <f>'[47]DU VAT'!K15</f>
        <v>0.11260000000000001</v>
      </c>
      <c r="L299" s="30">
        <f>'[47]DU VAT'!L15</f>
        <v>0.1143</v>
      </c>
      <c r="M299" s="30">
        <f>'[47]DU VAT'!M15</f>
        <v>0.1157</v>
      </c>
      <c r="N299" s="30">
        <f>'[47]DU VAT'!N15</f>
        <v>0.11</v>
      </c>
      <c r="O299" s="30">
        <f>'[47]DU VAT'!O15</f>
        <v>0.112</v>
      </c>
      <c r="P299" s="30" t="e">
        <f>'[47]DU VAT'!P15</f>
        <v>#DIV/0!</v>
      </c>
    </row>
    <row r="300" spans="1:16" ht="14.4" x14ac:dyDescent="0.3">
      <c r="A300" s="18" t="s">
        <v>54</v>
      </c>
      <c r="B300" s="18"/>
      <c r="C300" s="16" t="s">
        <v>44</v>
      </c>
      <c r="D300" s="30">
        <f>'[47]DU VAT'!D19</f>
        <v>0.1028</v>
      </c>
      <c r="E300" s="30">
        <f>'[47]DU VAT'!E19</f>
        <v>0.1026</v>
      </c>
      <c r="F300" s="30">
        <f>'[47]DU VAT'!F19</f>
        <v>0.1045</v>
      </c>
      <c r="G300" s="30">
        <f>'[47]DU VAT'!G19</f>
        <v>0.109</v>
      </c>
      <c r="H300" s="30">
        <f>'[47]DU VAT'!H19</f>
        <v>0.1099</v>
      </c>
      <c r="I300" s="30">
        <f>'[47]DU VAT'!I19</f>
        <v>0.11070000000000001</v>
      </c>
      <c r="J300" s="30">
        <f>'[47]DU VAT'!J19</f>
        <v>0.1036</v>
      </c>
      <c r="K300" s="30">
        <f>'[47]DU VAT'!K19</f>
        <v>0.1027</v>
      </c>
      <c r="L300" s="30">
        <f>'[47]DU VAT'!L19</f>
        <v>0.10150000000000001</v>
      </c>
      <c r="M300" s="30">
        <f>'[47]DU VAT'!M19</f>
        <v>9.7199999999999995E-2</v>
      </c>
      <c r="N300" s="30">
        <f>'[47]DU VAT'!N19</f>
        <v>9.7900000000000001E-2</v>
      </c>
      <c r="O300" s="30">
        <f>'[47]DU VAT'!O19</f>
        <v>0.10340000000000001</v>
      </c>
      <c r="P300" s="30" t="e">
        <f>'[47]DU VAT'!P19</f>
        <v>#DIV/0!</v>
      </c>
    </row>
    <row r="301" spans="1:16" ht="14.4" x14ac:dyDescent="0.3">
      <c r="A301" s="18" t="s">
        <v>55</v>
      </c>
      <c r="B301" s="18"/>
      <c r="C301" s="16" t="s">
        <v>44</v>
      </c>
      <c r="D301" s="30">
        <f>'[47]DU VAT'!D25</f>
        <v>0.1114</v>
      </c>
      <c r="E301" s="30">
        <f>'[47]DU VAT'!E25</f>
        <v>0.10829999999999999</v>
      </c>
      <c r="F301" s="30">
        <f>'[47]DU VAT'!F25</f>
        <v>0.1114</v>
      </c>
      <c r="G301" s="30">
        <f>'[47]DU VAT'!G25</f>
        <v>0.112</v>
      </c>
      <c r="H301" s="30">
        <f>'[47]DU VAT'!H25</f>
        <v>0.1081</v>
      </c>
      <c r="I301" s="30">
        <f>'[47]DU VAT'!I25</f>
        <v>0.1113</v>
      </c>
      <c r="J301" s="30">
        <f>'[47]DU VAT'!J25</f>
        <v>0.1103</v>
      </c>
      <c r="K301" s="30">
        <f>'[47]DU VAT'!K25</f>
        <v>0.1114</v>
      </c>
      <c r="L301" s="30">
        <f>'[47]DU VAT'!L25</f>
        <v>0.11269999999999999</v>
      </c>
      <c r="M301" s="30">
        <f>'[47]DU VAT'!M25</f>
        <v>0.1133</v>
      </c>
      <c r="N301" s="30">
        <f>'[47]DU VAT'!N25</f>
        <v>0.1087</v>
      </c>
      <c r="O301" s="30">
        <f>'[47]DU VAT'!O25</f>
        <v>0.111</v>
      </c>
      <c r="P301" s="30" t="e">
        <f>'[47]DU VAT'!P25</f>
        <v>#DIV/0!</v>
      </c>
    </row>
    <row r="302" spans="1:16" ht="14.4" x14ac:dyDescent="0.3">
      <c r="A302" s="18" t="s">
        <v>56</v>
      </c>
      <c r="B302" s="18"/>
      <c r="C302" s="16" t="s">
        <v>44</v>
      </c>
      <c r="D302" s="30">
        <f t="shared" ref="D302:P303" si="21">D259</f>
        <v>0.12</v>
      </c>
      <c r="E302" s="30">
        <f t="shared" si="21"/>
        <v>0.12</v>
      </c>
      <c r="F302" s="30">
        <f t="shared" si="21"/>
        <v>0.12</v>
      </c>
      <c r="G302" s="30">
        <f t="shared" si="21"/>
        <v>0.12</v>
      </c>
      <c r="H302" s="30">
        <f t="shared" si="21"/>
        <v>0.12</v>
      </c>
      <c r="I302" s="30">
        <f t="shared" si="21"/>
        <v>0.12</v>
      </c>
      <c r="J302" s="30">
        <f t="shared" si="21"/>
        <v>0.12</v>
      </c>
      <c r="K302" s="30">
        <f t="shared" si="21"/>
        <v>0.12</v>
      </c>
      <c r="L302" s="30">
        <f t="shared" si="21"/>
        <v>0.12</v>
      </c>
      <c r="M302" s="30">
        <f t="shared" si="21"/>
        <v>0.12</v>
      </c>
      <c r="N302" s="30">
        <f t="shared" si="21"/>
        <v>0.12</v>
      </c>
      <c r="O302" s="30">
        <f t="shared" si="21"/>
        <v>0.12</v>
      </c>
      <c r="P302" s="30">
        <f t="shared" si="21"/>
        <v>0.12</v>
      </c>
    </row>
    <row r="303" spans="1:16" ht="14.4" x14ac:dyDescent="0.3">
      <c r="A303" s="18" t="s">
        <v>57</v>
      </c>
      <c r="B303" s="18"/>
      <c r="C303" s="16" t="s">
        <v>44</v>
      </c>
      <c r="D303" s="30">
        <f t="shared" si="21"/>
        <v>0.12</v>
      </c>
      <c r="E303" s="30">
        <f t="shared" si="21"/>
        <v>0.12</v>
      </c>
      <c r="F303" s="30">
        <f t="shared" si="21"/>
        <v>0.12</v>
      </c>
      <c r="G303" s="30">
        <f t="shared" si="21"/>
        <v>0.12</v>
      </c>
      <c r="H303" s="30">
        <f t="shared" si="21"/>
        <v>0.12</v>
      </c>
      <c r="I303" s="30">
        <f t="shared" si="21"/>
        <v>0.12</v>
      </c>
      <c r="J303" s="30">
        <f t="shared" si="21"/>
        <v>0.12</v>
      </c>
      <c r="K303" s="30">
        <f t="shared" si="21"/>
        <v>0.12</v>
      </c>
      <c r="L303" s="30">
        <f t="shared" si="21"/>
        <v>0.12</v>
      </c>
      <c r="M303" s="30">
        <f t="shared" si="21"/>
        <v>0.12</v>
      </c>
      <c r="N303" s="30">
        <f t="shared" si="21"/>
        <v>0.12</v>
      </c>
      <c r="O303" s="30">
        <f t="shared" si="21"/>
        <v>0.12</v>
      </c>
      <c r="P303" s="30">
        <f t="shared" si="21"/>
        <v>0.12</v>
      </c>
    </row>
    <row r="304" spans="1:16" s="5" customFormat="1" ht="14.4" x14ac:dyDescent="0.3">
      <c r="A304" s="55"/>
      <c r="B304" s="55"/>
      <c r="C304" s="56"/>
      <c r="D304" s="57"/>
      <c r="E304" s="57"/>
      <c r="F304" s="57"/>
      <c r="G304" s="57"/>
      <c r="H304" s="57"/>
      <c r="I304" s="57"/>
      <c r="J304" s="57"/>
      <c r="K304" s="57"/>
      <c r="L304" s="57"/>
      <c r="M304" s="57"/>
      <c r="N304" s="57"/>
      <c r="O304" s="57"/>
      <c r="P304" s="57"/>
    </row>
    <row r="305" spans="1:16" x14ac:dyDescent="0.3">
      <c r="A305" s="3" t="s">
        <v>58</v>
      </c>
    </row>
    <row r="306" spans="1:16" s="5" customFormat="1" ht="14.4" x14ac:dyDescent="0.3">
      <c r="A306" s="55"/>
      <c r="B306" s="55"/>
      <c r="C306" s="56"/>
      <c r="D306" s="57"/>
      <c r="E306" s="57"/>
      <c r="F306" s="57"/>
      <c r="G306" s="57"/>
      <c r="H306" s="57"/>
      <c r="I306" s="57"/>
      <c r="J306" s="57"/>
      <c r="K306" s="57"/>
      <c r="L306" s="57"/>
      <c r="M306" s="57"/>
      <c r="N306" s="57"/>
      <c r="O306" s="57"/>
      <c r="P306" s="57"/>
    </row>
    <row r="307" spans="1:16" ht="18" x14ac:dyDescent="0.35">
      <c r="A307" s="59" t="str">
        <f>'[47]Statistical data'!A155</f>
        <v xml:space="preserve">  General Power-34.5kV</v>
      </c>
      <c r="B307" s="60"/>
      <c r="C307" s="5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</row>
    <row r="308" spans="1:16" s="13" customFormat="1" ht="14.4" x14ac:dyDescent="0.3">
      <c r="A308" s="11" t="s">
        <v>3</v>
      </c>
      <c r="B308" s="11"/>
      <c r="C308" s="11" t="s">
        <v>4</v>
      </c>
      <c r="D308" s="73">
        <f>D265</f>
        <v>43466</v>
      </c>
      <c r="E308" s="73">
        <f t="shared" ref="E308:P308" si="22">E265</f>
        <v>43497</v>
      </c>
      <c r="F308" s="73">
        <f t="shared" si="22"/>
        <v>43525</v>
      </c>
      <c r="G308" s="73">
        <f t="shared" si="22"/>
        <v>43556</v>
      </c>
      <c r="H308" s="73">
        <f t="shared" si="22"/>
        <v>43586</v>
      </c>
      <c r="I308" s="73">
        <f t="shared" si="22"/>
        <v>43617</v>
      </c>
      <c r="J308" s="73">
        <f t="shared" si="22"/>
        <v>43647</v>
      </c>
      <c r="K308" s="73">
        <f t="shared" si="22"/>
        <v>43678</v>
      </c>
      <c r="L308" s="73">
        <f t="shared" si="22"/>
        <v>43709</v>
      </c>
      <c r="M308" s="73">
        <f t="shared" si="22"/>
        <v>43739</v>
      </c>
      <c r="N308" s="73">
        <f t="shared" si="22"/>
        <v>43770</v>
      </c>
      <c r="O308" s="73">
        <f t="shared" si="22"/>
        <v>43800</v>
      </c>
      <c r="P308" s="73">
        <f t="shared" si="22"/>
        <v>43831</v>
      </c>
    </row>
    <row r="309" spans="1:16" ht="14.4" x14ac:dyDescent="0.3">
      <c r="A309" s="14" t="s">
        <v>17</v>
      </c>
      <c r="B309" s="15"/>
      <c r="C309" s="16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</row>
    <row r="310" spans="1:16" ht="14.4" x14ac:dyDescent="0.3">
      <c r="A310" s="18" t="s">
        <v>18</v>
      </c>
      <c r="B310" s="19"/>
      <c r="C310" s="16" t="s">
        <v>19</v>
      </c>
      <c r="D310" s="52" t="s">
        <v>59</v>
      </c>
      <c r="E310" s="52" t="s">
        <v>59</v>
      </c>
      <c r="F310" s="52" t="s">
        <v>59</v>
      </c>
      <c r="G310" s="52" t="s">
        <v>59</v>
      </c>
      <c r="H310" s="52" t="s">
        <v>59</v>
      </c>
      <c r="I310" s="52" t="s">
        <v>59</v>
      </c>
      <c r="J310" s="52" t="s">
        <v>59</v>
      </c>
      <c r="K310" s="52" t="s">
        <v>59</v>
      </c>
      <c r="L310" s="52" t="s">
        <v>59</v>
      </c>
      <c r="M310" s="52" t="s">
        <v>59</v>
      </c>
      <c r="N310" s="52" t="s">
        <v>59</v>
      </c>
      <c r="O310" s="52" t="s">
        <v>59</v>
      </c>
      <c r="P310" s="52" t="s">
        <v>59</v>
      </c>
    </row>
    <row r="311" spans="1:16" ht="14.4" hidden="1" x14ac:dyDescent="0.3">
      <c r="A311" s="18" t="s">
        <v>66</v>
      </c>
      <c r="B311" s="19"/>
      <c r="C311" s="16" t="s">
        <v>19</v>
      </c>
      <c r="D311" s="20">
        <v>0</v>
      </c>
      <c r="E311" s="20">
        <v>0</v>
      </c>
      <c r="F311" s="20">
        <v>0</v>
      </c>
      <c r="G311" s="20">
        <v>0</v>
      </c>
      <c r="H311" s="20">
        <v>0</v>
      </c>
      <c r="I311" s="20">
        <v>0</v>
      </c>
      <c r="J311" s="20">
        <v>0</v>
      </c>
      <c r="K311" s="20">
        <v>0</v>
      </c>
      <c r="L311" s="20">
        <v>0</v>
      </c>
      <c r="M311" s="20">
        <v>0</v>
      </c>
      <c r="N311" s="20">
        <v>0</v>
      </c>
      <c r="O311" s="20">
        <v>0</v>
      </c>
      <c r="P311" s="20">
        <v>0</v>
      </c>
    </row>
    <row r="312" spans="1:16" ht="14.4" x14ac:dyDescent="0.3">
      <c r="A312" s="14" t="s">
        <v>20</v>
      </c>
      <c r="B312" s="15"/>
      <c r="C312" s="16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</row>
    <row r="313" spans="1:16" ht="14.4" x14ac:dyDescent="0.3">
      <c r="A313" s="18" t="s">
        <v>21</v>
      </c>
      <c r="B313" s="19"/>
      <c r="C313" s="16" t="s">
        <v>19</v>
      </c>
      <c r="D313" s="20">
        <v>0</v>
      </c>
      <c r="E313" s="20">
        <v>0</v>
      </c>
      <c r="F313" s="20">
        <v>0</v>
      </c>
      <c r="G313" s="20">
        <v>0</v>
      </c>
      <c r="H313" s="20">
        <v>0</v>
      </c>
      <c r="I313" s="20">
        <v>0</v>
      </c>
      <c r="J313" s="20">
        <v>0</v>
      </c>
      <c r="K313" s="20">
        <v>0</v>
      </c>
      <c r="L313" s="20">
        <v>0</v>
      </c>
      <c r="M313" s="20">
        <v>0</v>
      </c>
      <c r="N313" s="20">
        <v>0</v>
      </c>
      <c r="O313" s="20">
        <v>0</v>
      </c>
      <c r="P313" s="20">
        <v>0</v>
      </c>
    </row>
    <row r="314" spans="1:16" ht="14.4" x14ac:dyDescent="0.3">
      <c r="A314" s="18" t="s">
        <v>22</v>
      </c>
      <c r="B314" s="19"/>
      <c r="C314" s="16" t="s">
        <v>23</v>
      </c>
      <c r="D314" s="20">
        <f>[47]TR!D37</f>
        <v>343.07</v>
      </c>
      <c r="E314" s="20">
        <f>[47]TR!E37</f>
        <v>331.34</v>
      </c>
      <c r="F314" s="20">
        <f>[47]TR!F37</f>
        <v>357.52</v>
      </c>
      <c r="G314" s="20">
        <f>[47]TR!G37</f>
        <v>338.55</v>
      </c>
      <c r="H314" s="20">
        <f>[47]TR!H37</f>
        <v>318.8</v>
      </c>
      <c r="I314" s="20">
        <f>[47]TR!I37</f>
        <v>305.39</v>
      </c>
      <c r="J314" s="20">
        <f>[47]TR!J37</f>
        <v>282.95999999999998</v>
      </c>
      <c r="K314" s="20">
        <f>[47]TR!K37</f>
        <v>301.58</v>
      </c>
      <c r="L314" s="20">
        <f>[47]TR!L37</f>
        <v>294.79000000000002</v>
      </c>
      <c r="M314" s="20">
        <f>[47]TR!M37</f>
        <v>310.64</v>
      </c>
      <c r="N314" s="20">
        <f>[47]TR!N37</f>
        <v>270.07</v>
      </c>
      <c r="O314" s="20">
        <f>[47]TR!O37</f>
        <v>305.95999999999998</v>
      </c>
      <c r="P314" s="20">
        <f>[47]TR!P37</f>
        <v>0</v>
      </c>
    </row>
    <row r="315" spans="1:16" ht="14.4" x14ac:dyDescent="0.3">
      <c r="A315" s="14" t="s">
        <v>24</v>
      </c>
      <c r="B315" s="15"/>
      <c r="C315" s="16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</row>
    <row r="316" spans="1:16" ht="14.4" x14ac:dyDescent="0.3">
      <c r="A316" s="18" t="s">
        <v>25</v>
      </c>
      <c r="B316" s="19"/>
      <c r="C316" s="16" t="s">
        <v>19</v>
      </c>
      <c r="D316" s="20">
        <f>[47]SLR!D70</f>
        <v>0.2034</v>
      </c>
      <c r="E316" s="20">
        <f>[47]SLR!E70</f>
        <v>0.23830000000000001</v>
      </c>
      <c r="F316" s="20">
        <f>[47]SLR!F70</f>
        <v>0.22770000000000001</v>
      </c>
      <c r="G316" s="20">
        <f>[47]SLR!G70</f>
        <v>0.24129999999999999</v>
      </c>
      <c r="H316" s="20">
        <f>[47]SLR!H70</f>
        <v>0.22950000000000001</v>
      </c>
      <c r="I316" s="20">
        <f>[47]SLR!I70</f>
        <v>0.2258</v>
      </c>
      <c r="J316" s="20">
        <f>[47]SLR!J70</f>
        <v>0.23080000000000001</v>
      </c>
      <c r="K316" s="20">
        <f>[47]SLR!K70</f>
        <v>0.2006</v>
      </c>
      <c r="L316" s="20">
        <f>[47]SLR!L70</f>
        <v>0.18479999999999999</v>
      </c>
      <c r="M316" s="20">
        <f>[47]SLR!M70</f>
        <v>0.18429999999999999</v>
      </c>
      <c r="N316" s="20">
        <f>[47]SLR!N70</f>
        <v>0.2016</v>
      </c>
      <c r="O316" s="20">
        <f>[47]SLR!O70</f>
        <v>0.21</v>
      </c>
      <c r="P316" s="20">
        <f>[47]SLR!P70</f>
        <v>0</v>
      </c>
    </row>
    <row r="317" spans="1:16" ht="14.4" x14ac:dyDescent="0.3">
      <c r="A317" s="14" t="s">
        <v>26</v>
      </c>
      <c r="B317" s="14"/>
      <c r="C317" s="16"/>
      <c r="D317" s="22"/>
      <c r="E317" s="22"/>
      <c r="F317" s="22"/>
      <c r="G317" s="22"/>
      <c r="H317" s="22"/>
      <c r="I317" s="22"/>
      <c r="J317" s="22"/>
      <c r="K317" s="22"/>
      <c r="L317" s="22"/>
      <c r="M317" s="22"/>
      <c r="N317" s="22"/>
      <c r="O317" s="22"/>
      <c r="P317" s="22"/>
    </row>
    <row r="318" spans="1:16" ht="14.4" x14ac:dyDescent="0.3">
      <c r="A318" s="18" t="s">
        <v>27</v>
      </c>
      <c r="B318" s="18"/>
      <c r="C318" s="16" t="s">
        <v>19</v>
      </c>
      <c r="D318" s="20">
        <v>5.1299999999999998E-2</v>
      </c>
      <c r="E318" s="20">
        <v>5.1299999999999998E-2</v>
      </c>
      <c r="F318" s="20">
        <v>5.1299999999999998E-2</v>
      </c>
      <c r="G318" s="20">
        <v>5.1299999999999998E-2</v>
      </c>
      <c r="H318" s="20">
        <v>5.1299999999999998E-2</v>
      </c>
      <c r="I318" s="20">
        <v>5.1299999999999998E-2</v>
      </c>
      <c r="J318" s="20">
        <v>5.1299999999999998E-2</v>
      </c>
      <c r="K318" s="20">
        <v>5.1299999999999998E-2</v>
      </c>
      <c r="L318" s="20">
        <v>5.1299999999999998E-2</v>
      </c>
      <c r="M318" s="20">
        <v>5.1299999999999998E-2</v>
      </c>
      <c r="N318" s="20">
        <v>5.1299999999999998E-2</v>
      </c>
      <c r="O318" s="20">
        <v>5.1299999999999998E-2</v>
      </c>
      <c r="P318" s="20">
        <v>5.1299999999999998E-2</v>
      </c>
    </row>
    <row r="319" spans="1:16" ht="14.4" x14ac:dyDescent="0.3">
      <c r="A319" s="18" t="s">
        <v>28</v>
      </c>
      <c r="B319" s="18"/>
      <c r="C319" s="16" t="s">
        <v>23</v>
      </c>
      <c r="D319" s="23">
        <v>182.66</v>
      </c>
      <c r="E319" s="23">
        <v>182.66</v>
      </c>
      <c r="F319" s="23">
        <v>182.66</v>
      </c>
      <c r="G319" s="23">
        <v>182.66</v>
      </c>
      <c r="H319" s="23">
        <v>182.66</v>
      </c>
      <c r="I319" s="23">
        <v>182.66</v>
      </c>
      <c r="J319" s="23">
        <v>182.66</v>
      </c>
      <c r="K319" s="23">
        <v>182.66</v>
      </c>
      <c r="L319" s="23">
        <v>182.66</v>
      </c>
      <c r="M319" s="23">
        <v>182.66</v>
      </c>
      <c r="N319" s="23">
        <v>182.66</v>
      </c>
      <c r="O319" s="23">
        <v>182.66</v>
      </c>
      <c r="P319" s="23">
        <v>182.66</v>
      </c>
    </row>
    <row r="320" spans="1:16" ht="14.4" x14ac:dyDescent="0.3">
      <c r="A320" s="14" t="s">
        <v>29</v>
      </c>
      <c r="B320" s="14"/>
      <c r="C320" s="16"/>
      <c r="D320" s="24"/>
      <c r="E320" s="24"/>
      <c r="F320" s="24"/>
      <c r="G320" s="24"/>
      <c r="H320" s="24"/>
      <c r="I320" s="24"/>
      <c r="J320" s="24"/>
      <c r="K320" s="24"/>
      <c r="L320" s="24"/>
      <c r="M320" s="24"/>
      <c r="N320" s="24"/>
      <c r="O320" s="24"/>
      <c r="P320" s="24"/>
    </row>
    <row r="321" spans="1:16" ht="14.4" x14ac:dyDescent="0.3">
      <c r="A321" s="18" t="s">
        <v>30</v>
      </c>
      <c r="B321" s="18"/>
      <c r="C321" s="16" t="s">
        <v>19</v>
      </c>
      <c r="D321" s="52" t="s">
        <v>61</v>
      </c>
      <c r="E321" s="52" t="s">
        <v>61</v>
      </c>
      <c r="F321" s="52" t="s">
        <v>61</v>
      </c>
      <c r="G321" s="52" t="s">
        <v>61</v>
      </c>
      <c r="H321" s="52" t="s">
        <v>61</v>
      </c>
      <c r="I321" s="52" t="s">
        <v>61</v>
      </c>
      <c r="J321" s="52" t="s">
        <v>61</v>
      </c>
      <c r="K321" s="52" t="s">
        <v>61</v>
      </c>
      <c r="L321" s="52" t="s">
        <v>61</v>
      </c>
      <c r="M321" s="52" t="s">
        <v>61</v>
      </c>
      <c r="N321" s="52" t="s">
        <v>61</v>
      </c>
      <c r="O321" s="52" t="s">
        <v>61</v>
      </c>
      <c r="P321" s="52" t="s">
        <v>61</v>
      </c>
    </row>
    <row r="322" spans="1:16" ht="14.4" x14ac:dyDescent="0.3">
      <c r="A322" s="18" t="s">
        <v>31</v>
      </c>
      <c r="B322" s="18"/>
      <c r="C322" s="16" t="s">
        <v>32</v>
      </c>
      <c r="D322" s="52" t="s">
        <v>62</v>
      </c>
      <c r="E322" s="52" t="s">
        <v>62</v>
      </c>
      <c r="F322" s="52" t="s">
        <v>62</v>
      </c>
      <c r="G322" s="52" t="s">
        <v>62</v>
      </c>
      <c r="H322" s="52" t="s">
        <v>62</v>
      </c>
      <c r="I322" s="52" t="s">
        <v>62</v>
      </c>
      <c r="J322" s="52" t="s">
        <v>62</v>
      </c>
      <c r="K322" s="52" t="s">
        <v>62</v>
      </c>
      <c r="L322" s="52" t="s">
        <v>62</v>
      </c>
      <c r="M322" s="52" t="s">
        <v>62</v>
      </c>
      <c r="N322" s="52" t="s">
        <v>62</v>
      </c>
      <c r="O322" s="52" t="s">
        <v>62</v>
      </c>
      <c r="P322" s="52" t="s">
        <v>62</v>
      </c>
    </row>
    <row r="323" spans="1:16" ht="14.4" x14ac:dyDescent="0.3">
      <c r="A323" s="14" t="s">
        <v>33</v>
      </c>
      <c r="B323" s="14"/>
      <c r="C323" s="16"/>
      <c r="D323" s="24"/>
      <c r="E323" s="24"/>
      <c r="F323" s="24"/>
      <c r="G323" s="24"/>
      <c r="H323" s="24"/>
      <c r="I323" s="24"/>
      <c r="J323" s="24"/>
      <c r="K323" s="24"/>
      <c r="L323" s="24"/>
      <c r="M323" s="24"/>
      <c r="N323" s="24"/>
      <c r="O323" s="24"/>
      <c r="P323" s="24"/>
    </row>
    <row r="324" spans="1:16" ht="14.4" x14ac:dyDescent="0.3">
      <c r="A324" s="18" t="s">
        <v>34</v>
      </c>
      <c r="B324" s="18"/>
      <c r="C324" s="16" t="s">
        <v>19</v>
      </c>
      <c r="D324" s="20">
        <v>0</v>
      </c>
      <c r="E324" s="20">
        <v>0</v>
      </c>
      <c r="F324" s="20">
        <v>0</v>
      </c>
      <c r="G324" s="20">
        <v>0</v>
      </c>
      <c r="H324" s="20">
        <v>0</v>
      </c>
      <c r="I324" s="20">
        <v>0</v>
      </c>
      <c r="J324" s="20">
        <v>0</v>
      </c>
      <c r="K324" s="20">
        <v>0</v>
      </c>
      <c r="L324" s="20">
        <v>0</v>
      </c>
      <c r="M324" s="20">
        <v>0</v>
      </c>
      <c r="N324" s="20">
        <v>0</v>
      </c>
      <c r="O324" s="20">
        <v>0</v>
      </c>
      <c r="P324" s="20">
        <v>0</v>
      </c>
    </row>
    <row r="325" spans="1:16" ht="14.4" x14ac:dyDescent="0.3">
      <c r="A325" s="18" t="s">
        <v>35</v>
      </c>
      <c r="B325" s="18"/>
      <c r="C325" s="16" t="s">
        <v>36</v>
      </c>
      <c r="D325" s="52" t="s">
        <v>63</v>
      </c>
      <c r="E325" s="52" t="s">
        <v>63</v>
      </c>
      <c r="F325" s="52" t="s">
        <v>63</v>
      </c>
      <c r="G325" s="52" t="s">
        <v>63</v>
      </c>
      <c r="H325" s="52" t="s">
        <v>63</v>
      </c>
      <c r="I325" s="52" t="s">
        <v>63</v>
      </c>
      <c r="J325" s="52" t="s">
        <v>63</v>
      </c>
      <c r="K325" s="52" t="s">
        <v>63</v>
      </c>
      <c r="L325" s="52" t="s">
        <v>63</v>
      </c>
      <c r="M325" s="52" t="s">
        <v>63</v>
      </c>
      <c r="N325" s="52" t="s">
        <v>63</v>
      </c>
      <c r="O325" s="52" t="s">
        <v>63</v>
      </c>
      <c r="P325" s="52" t="s">
        <v>63</v>
      </c>
    </row>
    <row r="326" spans="1:16" ht="14.4" x14ac:dyDescent="0.3">
      <c r="A326" s="14" t="s">
        <v>37</v>
      </c>
      <c r="B326" s="14"/>
      <c r="C326" s="16"/>
      <c r="D326" s="24"/>
      <c r="E326" s="24"/>
      <c r="F326" s="24"/>
      <c r="G326" s="24"/>
      <c r="H326" s="24"/>
      <c r="I326" s="24"/>
      <c r="J326" s="24"/>
      <c r="K326" s="24"/>
      <c r="L326" s="24"/>
      <c r="M326" s="24"/>
      <c r="N326" s="24"/>
      <c r="O326" s="24"/>
      <c r="P326" s="24"/>
    </row>
    <row r="327" spans="1:16" ht="14.4" x14ac:dyDescent="0.3">
      <c r="A327" s="25" t="s">
        <v>138</v>
      </c>
      <c r="B327" s="18"/>
      <c r="C327" s="16" t="s">
        <v>19</v>
      </c>
      <c r="D327" s="20"/>
      <c r="E327" s="20"/>
      <c r="F327" s="20"/>
      <c r="G327" s="20"/>
      <c r="H327" s="20"/>
      <c r="I327" s="20"/>
      <c r="J327" s="20">
        <v>-7.3099999999999998E-2</v>
      </c>
      <c r="K327" s="20"/>
      <c r="L327" s="20"/>
      <c r="M327" s="20"/>
      <c r="N327" s="20"/>
      <c r="O327" s="20"/>
      <c r="P327" s="20"/>
    </row>
    <row r="328" spans="1:16" ht="14.4" x14ac:dyDescent="0.3">
      <c r="A328" s="25" t="s">
        <v>38</v>
      </c>
      <c r="B328" s="18"/>
      <c r="C328" s="16" t="s">
        <v>19</v>
      </c>
      <c r="D328" s="20">
        <f>[47]LD!D28</f>
        <v>9.7600000000000006E-2</v>
      </c>
      <c r="E328" s="20">
        <f>[47]LD!E28</f>
        <v>0.1077</v>
      </c>
      <c r="F328" s="20">
        <f>[47]LD!F28</f>
        <v>0.1234</v>
      </c>
      <c r="G328" s="20">
        <f>[47]LD!G28</f>
        <v>0.124</v>
      </c>
      <c r="H328" s="20">
        <f>[47]LD!H28</f>
        <v>8.2000000000000003E-2</v>
      </c>
      <c r="I328" s="20">
        <f>[47]LD!I28</f>
        <v>7.5499999999999998E-2</v>
      </c>
      <c r="J328" s="20">
        <f>[47]LD!J28</f>
        <v>6.4899999999999999E-2</v>
      </c>
      <c r="K328" s="20">
        <f>[47]LD!K28</f>
        <v>7.5600000000000001E-2</v>
      </c>
      <c r="L328" s="20">
        <f>[47]LD!L28</f>
        <v>7.85E-2</v>
      </c>
      <c r="M328" s="20">
        <f>[47]LD!M28</f>
        <v>7.5399999999999995E-2</v>
      </c>
      <c r="N328" s="20">
        <f>[47]LD!N28</f>
        <v>7.5700000000000003E-2</v>
      </c>
      <c r="O328" s="20">
        <f>[47]LD!O28</f>
        <v>7.8299999999999995E-2</v>
      </c>
      <c r="P328" s="20">
        <f>[47]LD!P28</f>
        <v>0</v>
      </c>
    </row>
    <row r="329" spans="1:16" ht="14.4" x14ac:dyDescent="0.3">
      <c r="A329" s="25" t="s">
        <v>39</v>
      </c>
      <c r="B329" s="18"/>
      <c r="C329" s="16" t="s">
        <v>19</v>
      </c>
      <c r="D329" s="20">
        <v>0</v>
      </c>
      <c r="E329" s="20">
        <v>0</v>
      </c>
      <c r="F329" s="20">
        <v>0</v>
      </c>
      <c r="G329" s="20">
        <v>0</v>
      </c>
      <c r="H329" s="20">
        <v>0</v>
      </c>
      <c r="I329" s="20">
        <v>0</v>
      </c>
      <c r="J329" s="20">
        <v>0</v>
      </c>
      <c r="K329" s="20">
        <v>0</v>
      </c>
      <c r="L329" s="20">
        <v>0</v>
      </c>
      <c r="M329" s="20">
        <v>0</v>
      </c>
      <c r="N329" s="20">
        <v>0</v>
      </c>
      <c r="O329" s="20">
        <v>0</v>
      </c>
      <c r="P329" s="20">
        <v>0</v>
      </c>
    </row>
    <row r="330" spans="1:16" ht="14.4" x14ac:dyDescent="0.3">
      <c r="A330" s="26" t="s">
        <v>40</v>
      </c>
      <c r="B330" s="18"/>
      <c r="C330" s="16" t="s">
        <v>19</v>
      </c>
      <c r="D330" s="20">
        <f>'[47]SR CIT. SUBSIDY'!D134</f>
        <v>8.1671193651487679E-5</v>
      </c>
      <c r="E330" s="20">
        <f>'[47]SR CIT. SUBSIDY'!E134</f>
        <v>7.9496172853225534E-5</v>
      </c>
      <c r="F330" s="20">
        <f>'[47]SR CIT. SUBSIDY'!F134</f>
        <v>9.1117198287407098E-5</v>
      </c>
      <c r="G330" s="20">
        <f>'[47]SR CIT. SUBSIDY'!G134</f>
        <v>9.2294258932552585E-5</v>
      </c>
      <c r="H330" s="20">
        <f>'[47]SR CIT. SUBSIDY'!H134</f>
        <v>8.664510925241928E-5</v>
      </c>
      <c r="I330" s="20">
        <f>'[47]SR CIT. SUBSIDY'!I134</f>
        <v>8.4286320439276092E-5</v>
      </c>
      <c r="J330" s="20">
        <f>'[47]SR CIT. SUBSIDY'!J134</f>
        <v>7.5057505029560973E-5</v>
      </c>
      <c r="K330" s="20">
        <f>'[47]SR CIT. SUBSIDY'!K134</f>
        <v>7.5699329562342512E-5</v>
      </c>
      <c r="L330" s="20">
        <f>'[47]SR CIT. SUBSIDY'!L134</f>
        <v>7.3950804174552343E-5</v>
      </c>
      <c r="M330" s="20">
        <f>'[47]SR CIT. SUBSIDY'!M134</f>
        <v>6.9724330278463729E-5</v>
      </c>
      <c r="N330" s="20">
        <f>'[47]SR CIT. SUBSIDY'!N134</f>
        <v>7.1523365693916283E-5</v>
      </c>
      <c r="O330" s="20">
        <f>'[47]SR CIT. SUBSIDY'!O134</f>
        <v>7.2222317373892914E-5</v>
      </c>
      <c r="P330" s="20">
        <f>'[47]SR CIT. SUBSIDY'!P134</f>
        <v>0</v>
      </c>
    </row>
    <row r="331" spans="1:16" ht="14.4" x14ac:dyDescent="0.3">
      <c r="A331" s="26" t="s">
        <v>41</v>
      </c>
      <c r="B331" s="18"/>
      <c r="C331" s="16" t="s">
        <v>19</v>
      </c>
      <c r="D331" s="20">
        <v>0</v>
      </c>
      <c r="E331" s="20">
        <v>0</v>
      </c>
      <c r="F331" s="20">
        <v>0</v>
      </c>
      <c r="G331" s="20">
        <v>0</v>
      </c>
      <c r="H331" s="20">
        <v>0</v>
      </c>
      <c r="I331" s="20">
        <v>0</v>
      </c>
      <c r="J331" s="20">
        <v>0</v>
      </c>
      <c r="K331" s="20">
        <v>0</v>
      </c>
      <c r="L331" s="20">
        <v>0</v>
      </c>
      <c r="M331" s="20">
        <v>0</v>
      </c>
      <c r="N331" s="20">
        <v>0</v>
      </c>
      <c r="O331" s="20">
        <v>0</v>
      </c>
      <c r="P331" s="20">
        <v>0</v>
      </c>
    </row>
    <row r="332" spans="1:16" ht="14.4" x14ac:dyDescent="0.3">
      <c r="A332" s="14" t="s">
        <v>42</v>
      </c>
      <c r="B332" s="14"/>
      <c r="C332" s="16"/>
      <c r="D332" s="24"/>
      <c r="E332" s="24"/>
      <c r="F332" s="24"/>
      <c r="G332" s="24"/>
      <c r="H332" s="24"/>
      <c r="I332" s="24"/>
      <c r="J332" s="24"/>
      <c r="K332" s="24"/>
      <c r="L332" s="24"/>
      <c r="M332" s="24"/>
      <c r="N332" s="24"/>
      <c r="O332" s="24"/>
      <c r="P332" s="24"/>
    </row>
    <row r="333" spans="1:16" ht="14.4" x14ac:dyDescent="0.3">
      <c r="A333" s="14" t="s">
        <v>43</v>
      </c>
      <c r="B333" s="14"/>
      <c r="C333" s="16" t="s">
        <v>44</v>
      </c>
      <c r="D333" s="27"/>
      <c r="E333" s="27"/>
      <c r="F333" s="27"/>
      <c r="G333" s="27"/>
      <c r="H333" s="27"/>
      <c r="I333" s="27"/>
      <c r="J333" s="27"/>
      <c r="K333" s="27"/>
      <c r="L333" s="27"/>
      <c r="M333" s="27"/>
      <c r="N333" s="27"/>
      <c r="O333" s="27"/>
      <c r="P333" s="27"/>
    </row>
    <row r="334" spans="1:16" ht="14.4" x14ac:dyDescent="0.3">
      <c r="A334" s="14" t="s">
        <v>45</v>
      </c>
      <c r="B334" s="14"/>
      <c r="C334" s="16"/>
      <c r="D334" s="28"/>
      <c r="E334" s="28"/>
      <c r="F334" s="28"/>
      <c r="G334" s="28"/>
      <c r="H334" s="28"/>
      <c r="I334" s="28"/>
      <c r="J334" s="28"/>
      <c r="K334" s="28"/>
      <c r="L334" s="28"/>
      <c r="M334" s="28"/>
      <c r="N334" s="28"/>
      <c r="O334" s="28"/>
      <c r="P334" s="28"/>
    </row>
    <row r="335" spans="1:16" ht="14.4" x14ac:dyDescent="0.3">
      <c r="A335" s="14" t="s">
        <v>46</v>
      </c>
      <c r="B335" s="14"/>
      <c r="C335" s="16" t="s">
        <v>19</v>
      </c>
      <c r="D335" s="20">
        <v>0</v>
      </c>
      <c r="E335" s="20">
        <v>0</v>
      </c>
      <c r="F335" s="20">
        <v>0</v>
      </c>
      <c r="G335" s="20">
        <v>0</v>
      </c>
      <c r="H335" s="20">
        <v>0</v>
      </c>
      <c r="I335" s="20">
        <v>0</v>
      </c>
      <c r="J335" s="20">
        <v>0</v>
      </c>
      <c r="K335" s="20">
        <v>0</v>
      </c>
      <c r="L335" s="20">
        <v>0</v>
      </c>
      <c r="M335" s="20">
        <v>0</v>
      </c>
      <c r="N335" s="20">
        <v>0</v>
      </c>
      <c r="O335" s="20">
        <v>0</v>
      </c>
      <c r="P335" s="20">
        <v>0</v>
      </c>
    </row>
    <row r="336" spans="1:16" ht="14.4" x14ac:dyDescent="0.3">
      <c r="A336" s="14" t="s">
        <v>47</v>
      </c>
      <c r="B336" s="14"/>
      <c r="C336" s="16"/>
      <c r="D336" s="24"/>
      <c r="E336" s="24"/>
      <c r="F336" s="24"/>
      <c r="G336" s="24"/>
      <c r="H336" s="24"/>
      <c r="I336" s="24"/>
      <c r="J336" s="24"/>
      <c r="K336" s="24"/>
      <c r="L336" s="24"/>
      <c r="M336" s="24"/>
      <c r="N336" s="24"/>
      <c r="O336" s="24"/>
      <c r="P336" s="24"/>
    </row>
    <row r="337" spans="1:16" ht="14.4" x14ac:dyDescent="0.3">
      <c r="A337" s="18" t="s">
        <v>48</v>
      </c>
      <c r="B337" s="18"/>
      <c r="C337" s="16" t="s">
        <v>19</v>
      </c>
      <c r="D337" s="20">
        <f>D293</f>
        <v>0.15609999999999999</v>
      </c>
      <c r="E337" s="20">
        <f t="shared" ref="E337:P341" si="23">E293</f>
        <v>0.15609999999999999</v>
      </c>
      <c r="F337" s="20">
        <f t="shared" si="23"/>
        <v>0.15609999999999999</v>
      </c>
      <c r="G337" s="20">
        <f t="shared" si="23"/>
        <v>0.15609999999999999</v>
      </c>
      <c r="H337" s="20">
        <f t="shared" si="23"/>
        <v>0.15609999999999999</v>
      </c>
      <c r="I337" s="20">
        <f t="shared" si="23"/>
        <v>0.15609999999999999</v>
      </c>
      <c r="J337" s="20">
        <f t="shared" si="23"/>
        <v>0.15609999999999999</v>
      </c>
      <c r="K337" s="20">
        <f t="shared" si="23"/>
        <v>0.15609999999999999</v>
      </c>
      <c r="L337" s="20">
        <f t="shared" si="23"/>
        <v>0.15609999999999999</v>
      </c>
      <c r="M337" s="20">
        <f t="shared" si="23"/>
        <v>0.15609999999999999</v>
      </c>
      <c r="N337" s="20">
        <f t="shared" si="23"/>
        <v>0.15609999999999999</v>
      </c>
      <c r="O337" s="20">
        <f t="shared" si="23"/>
        <v>0.15609999999999999</v>
      </c>
      <c r="P337" s="20">
        <f t="shared" si="23"/>
        <v>0.15609999999999999</v>
      </c>
    </row>
    <row r="338" spans="1:16" ht="14.4" x14ac:dyDescent="0.3">
      <c r="A338" s="18" t="s">
        <v>49</v>
      </c>
      <c r="B338" s="18"/>
      <c r="C338" s="16" t="s">
        <v>19</v>
      </c>
      <c r="D338" s="20">
        <f>D294</f>
        <v>2.5000000000000001E-3</v>
      </c>
      <c r="E338" s="20">
        <f t="shared" si="23"/>
        <v>2.5000000000000001E-3</v>
      </c>
      <c r="F338" s="20">
        <f t="shared" si="23"/>
        <v>2.5000000000000001E-3</v>
      </c>
      <c r="G338" s="20">
        <f t="shared" si="23"/>
        <v>2.5000000000000001E-3</v>
      </c>
      <c r="H338" s="20">
        <f t="shared" si="23"/>
        <v>2.5000000000000001E-3</v>
      </c>
      <c r="I338" s="20">
        <f t="shared" si="23"/>
        <v>2.5000000000000001E-3</v>
      </c>
      <c r="J338" s="20">
        <f t="shared" si="23"/>
        <v>2.5000000000000001E-3</v>
      </c>
      <c r="K338" s="20">
        <f t="shared" si="23"/>
        <v>2.5000000000000001E-3</v>
      </c>
      <c r="L338" s="20">
        <f t="shared" si="23"/>
        <v>2.5000000000000001E-3</v>
      </c>
      <c r="M338" s="20">
        <f t="shared" si="23"/>
        <v>2.5000000000000001E-3</v>
      </c>
      <c r="N338" s="20">
        <f t="shared" si="23"/>
        <v>2.5000000000000001E-3</v>
      </c>
      <c r="O338" s="20">
        <f t="shared" si="23"/>
        <v>2.5000000000000001E-3</v>
      </c>
      <c r="P338" s="20">
        <f t="shared" si="23"/>
        <v>2.5000000000000001E-3</v>
      </c>
    </row>
    <row r="339" spans="1:16" ht="14.4" x14ac:dyDescent="0.3">
      <c r="A339" s="18" t="s">
        <v>111</v>
      </c>
      <c r="B339" s="18"/>
      <c r="C339" s="16" t="s">
        <v>19</v>
      </c>
      <c r="D339" s="20">
        <f>D295</f>
        <v>0.1938</v>
      </c>
      <c r="E339" s="20">
        <f t="shared" si="23"/>
        <v>-0.3876</v>
      </c>
      <c r="F339" s="20">
        <f t="shared" si="23"/>
        <v>0</v>
      </c>
      <c r="G339" s="20">
        <f t="shared" si="23"/>
        <v>0</v>
      </c>
      <c r="H339" s="20">
        <f t="shared" si="23"/>
        <v>0</v>
      </c>
      <c r="I339" s="20">
        <f t="shared" si="23"/>
        <v>0</v>
      </c>
      <c r="J339" s="20">
        <f t="shared" si="23"/>
        <v>0</v>
      </c>
      <c r="K339" s="20">
        <f t="shared" si="23"/>
        <v>0</v>
      </c>
      <c r="L339" s="20">
        <f t="shared" si="23"/>
        <v>0</v>
      </c>
      <c r="M339" s="20">
        <f t="shared" si="23"/>
        <v>0</v>
      </c>
      <c r="N339" s="20">
        <f t="shared" si="23"/>
        <v>0</v>
      </c>
      <c r="O339" s="20">
        <f t="shared" si="23"/>
        <v>0</v>
      </c>
      <c r="P339" s="20">
        <f t="shared" si="23"/>
        <v>0</v>
      </c>
    </row>
    <row r="340" spans="1:16" ht="14.4" x14ac:dyDescent="0.3">
      <c r="A340" s="18" t="s">
        <v>112</v>
      </c>
      <c r="B340" s="18"/>
      <c r="C340" s="16" t="s">
        <v>19</v>
      </c>
      <c r="D340" s="20">
        <f>D296</f>
        <v>2.6499999999999999E-2</v>
      </c>
      <c r="E340" s="20">
        <f t="shared" si="23"/>
        <v>2.6499999999999999E-2</v>
      </c>
      <c r="F340" s="20">
        <f t="shared" si="23"/>
        <v>2.6499999999999999E-2</v>
      </c>
      <c r="G340" s="20">
        <f t="shared" si="23"/>
        <v>4.2799999999999998E-2</v>
      </c>
      <c r="H340" s="20">
        <f t="shared" si="23"/>
        <v>4.2799999999999998E-2</v>
      </c>
      <c r="I340" s="20">
        <f t="shared" si="23"/>
        <v>4.2799999999999998E-2</v>
      </c>
      <c r="J340" s="20">
        <f t="shared" si="23"/>
        <v>4.2799999999999998E-2</v>
      </c>
      <c r="K340" s="20">
        <f t="shared" si="23"/>
        <v>4.2799999999999998E-2</v>
      </c>
      <c r="L340" s="20">
        <f t="shared" si="23"/>
        <v>4.2799999999999998E-2</v>
      </c>
      <c r="M340" s="20">
        <f t="shared" si="23"/>
        <v>4.2799999999999998E-2</v>
      </c>
      <c r="N340" s="20">
        <f t="shared" si="23"/>
        <v>4.2799999999999998E-2</v>
      </c>
      <c r="O340" s="20">
        <f t="shared" si="23"/>
        <v>4.2799999999999998E-2</v>
      </c>
      <c r="P340" s="20">
        <f t="shared" si="23"/>
        <v>4.2799999999999998E-2</v>
      </c>
    </row>
    <row r="341" spans="1:16" ht="14.4" x14ac:dyDescent="0.3">
      <c r="A341" s="14" t="s">
        <v>51</v>
      </c>
      <c r="B341" s="14"/>
      <c r="C341" s="16" t="s">
        <v>19</v>
      </c>
      <c r="D341" s="20">
        <f>D297</f>
        <v>0.25629999999999997</v>
      </c>
      <c r="E341" s="20">
        <f t="shared" si="23"/>
        <v>0.25629999999999997</v>
      </c>
      <c r="F341" s="20">
        <f t="shared" si="23"/>
        <v>0.25629999999999997</v>
      </c>
      <c r="G341" s="20">
        <f t="shared" si="23"/>
        <v>0.22259999999999999</v>
      </c>
      <c r="H341" s="20">
        <f t="shared" si="23"/>
        <v>0.22259999999999999</v>
      </c>
      <c r="I341" s="20">
        <f t="shared" si="23"/>
        <v>0.22259999999999999</v>
      </c>
      <c r="J341" s="20">
        <f t="shared" si="23"/>
        <v>0.22259999999999999</v>
      </c>
      <c r="K341" s="20">
        <f t="shared" si="23"/>
        <v>0.22259999999999999</v>
      </c>
      <c r="L341" s="20">
        <f t="shared" si="23"/>
        <v>0.22259999999999999</v>
      </c>
      <c r="M341" s="20">
        <f t="shared" si="23"/>
        <v>0.22259999999999999</v>
      </c>
      <c r="N341" s="20">
        <f t="shared" si="23"/>
        <v>0.22259999999999999</v>
      </c>
      <c r="O341" s="20">
        <f t="shared" si="23"/>
        <v>0.22259999999999999</v>
      </c>
      <c r="P341" s="20">
        <f t="shared" si="23"/>
        <v>0.22259999999999999</v>
      </c>
    </row>
    <row r="342" spans="1:16" ht="14.4" x14ac:dyDescent="0.3">
      <c r="A342" s="14" t="s">
        <v>52</v>
      </c>
      <c r="B342" s="14"/>
      <c r="C342" s="29"/>
      <c r="D342" s="22"/>
      <c r="E342" s="22"/>
      <c r="F342" s="22"/>
      <c r="G342" s="22"/>
      <c r="H342" s="22"/>
      <c r="I342" s="22"/>
      <c r="J342" s="22"/>
      <c r="K342" s="22"/>
      <c r="L342" s="22"/>
      <c r="M342" s="22"/>
      <c r="N342" s="22"/>
      <c r="O342" s="22"/>
      <c r="P342" s="22"/>
    </row>
    <row r="343" spans="1:16" ht="14.4" x14ac:dyDescent="0.3">
      <c r="A343" s="18" t="s">
        <v>53</v>
      </c>
      <c r="B343" s="18"/>
      <c r="C343" s="16" t="s">
        <v>44</v>
      </c>
      <c r="D343" s="30">
        <f>'[47]DU VAT'!D15</f>
        <v>0.1129</v>
      </c>
      <c r="E343" s="30">
        <f>'[47]DU VAT'!E15</f>
        <v>0.1091</v>
      </c>
      <c r="F343" s="30">
        <f>'[47]DU VAT'!F15</f>
        <v>0.1124</v>
      </c>
      <c r="G343" s="30">
        <f>'[47]DU VAT'!G15</f>
        <v>0.1123</v>
      </c>
      <c r="H343" s="30">
        <f>'[47]DU VAT'!H15</f>
        <v>0.10780000000000001</v>
      </c>
      <c r="I343" s="30">
        <f>'[47]DU VAT'!I15</f>
        <v>0.1113</v>
      </c>
      <c r="J343" s="30">
        <f>'[47]DU VAT'!J15</f>
        <v>0.111</v>
      </c>
      <c r="K343" s="30">
        <f>'[47]DU VAT'!K15</f>
        <v>0.11260000000000001</v>
      </c>
      <c r="L343" s="30">
        <f>'[47]DU VAT'!L15</f>
        <v>0.1143</v>
      </c>
      <c r="M343" s="30">
        <f>'[47]DU VAT'!M15</f>
        <v>0.1157</v>
      </c>
      <c r="N343" s="30">
        <f>'[47]DU VAT'!N15</f>
        <v>0.11</v>
      </c>
      <c r="O343" s="30">
        <f>'[47]DU VAT'!O15</f>
        <v>0.112</v>
      </c>
      <c r="P343" s="30" t="e">
        <f>'[47]DU VAT'!P15</f>
        <v>#DIV/0!</v>
      </c>
    </row>
    <row r="344" spans="1:16" ht="14.4" x14ac:dyDescent="0.3">
      <c r="A344" s="18" t="s">
        <v>54</v>
      </c>
      <c r="B344" s="18"/>
      <c r="C344" s="16" t="s">
        <v>44</v>
      </c>
      <c r="D344" s="30">
        <f>'[47]DU VAT'!D19</f>
        <v>0.1028</v>
      </c>
      <c r="E344" s="30">
        <f>'[47]DU VAT'!E19</f>
        <v>0.1026</v>
      </c>
      <c r="F344" s="30">
        <f>'[47]DU VAT'!F19</f>
        <v>0.1045</v>
      </c>
      <c r="G344" s="30">
        <f>'[47]DU VAT'!G19</f>
        <v>0.109</v>
      </c>
      <c r="H344" s="30">
        <f>'[47]DU VAT'!H19</f>
        <v>0.1099</v>
      </c>
      <c r="I344" s="30">
        <f>'[47]DU VAT'!I19</f>
        <v>0.11070000000000001</v>
      </c>
      <c r="J344" s="30">
        <f>'[47]DU VAT'!J19</f>
        <v>0.1036</v>
      </c>
      <c r="K344" s="30">
        <f>'[47]DU VAT'!K19</f>
        <v>0.1027</v>
      </c>
      <c r="L344" s="30">
        <f>'[47]DU VAT'!L19</f>
        <v>0.10150000000000001</v>
      </c>
      <c r="M344" s="30">
        <f>'[47]DU VAT'!M19</f>
        <v>9.7199999999999995E-2</v>
      </c>
      <c r="N344" s="30">
        <f>'[47]DU VAT'!N19</f>
        <v>9.7900000000000001E-2</v>
      </c>
      <c r="O344" s="30">
        <f>'[47]DU VAT'!O19</f>
        <v>0.10340000000000001</v>
      </c>
      <c r="P344" s="30" t="e">
        <f>'[47]DU VAT'!P19</f>
        <v>#DIV/0!</v>
      </c>
    </row>
    <row r="345" spans="1:16" ht="14.4" x14ac:dyDescent="0.3">
      <c r="A345" s="18" t="s">
        <v>55</v>
      </c>
      <c r="B345" s="18"/>
      <c r="C345" s="16" t="s">
        <v>44</v>
      </c>
      <c r="D345" s="30">
        <f>'[47]DU VAT'!D25</f>
        <v>0.1114</v>
      </c>
      <c r="E345" s="30">
        <f>'[47]DU VAT'!E25</f>
        <v>0.10829999999999999</v>
      </c>
      <c r="F345" s="30">
        <f>'[47]DU VAT'!F25</f>
        <v>0.1114</v>
      </c>
      <c r="G345" s="30">
        <f>'[47]DU VAT'!G25</f>
        <v>0.112</v>
      </c>
      <c r="H345" s="30">
        <f>'[47]DU VAT'!H25</f>
        <v>0.1081</v>
      </c>
      <c r="I345" s="30">
        <f>'[47]DU VAT'!I25</f>
        <v>0.1113</v>
      </c>
      <c r="J345" s="30">
        <f>'[47]DU VAT'!J25</f>
        <v>0.1103</v>
      </c>
      <c r="K345" s="30">
        <f>'[47]DU VAT'!K25</f>
        <v>0.1114</v>
      </c>
      <c r="L345" s="30">
        <f>'[47]DU VAT'!L25</f>
        <v>0.11269999999999999</v>
      </c>
      <c r="M345" s="30">
        <f>'[47]DU VAT'!M25</f>
        <v>0.1133</v>
      </c>
      <c r="N345" s="30">
        <f>'[47]DU VAT'!N25</f>
        <v>0.1087</v>
      </c>
      <c r="O345" s="30">
        <f>'[47]DU VAT'!O25</f>
        <v>0.111</v>
      </c>
      <c r="P345" s="30" t="e">
        <f>'[47]DU VAT'!P25</f>
        <v>#DIV/0!</v>
      </c>
    </row>
    <row r="346" spans="1:16" ht="14.4" x14ac:dyDescent="0.3">
      <c r="A346" s="18" t="s">
        <v>56</v>
      </c>
      <c r="B346" s="18"/>
      <c r="C346" s="16" t="s">
        <v>44</v>
      </c>
      <c r="D346" s="30">
        <f>D302</f>
        <v>0.12</v>
      </c>
      <c r="E346" s="30">
        <f t="shared" ref="E346:P347" si="24">E302</f>
        <v>0.12</v>
      </c>
      <c r="F346" s="30">
        <f t="shared" si="24"/>
        <v>0.12</v>
      </c>
      <c r="G346" s="30">
        <f t="shared" si="24"/>
        <v>0.12</v>
      </c>
      <c r="H346" s="30">
        <f t="shared" si="24"/>
        <v>0.12</v>
      </c>
      <c r="I346" s="30">
        <f t="shared" si="24"/>
        <v>0.12</v>
      </c>
      <c r="J346" s="30">
        <f t="shared" si="24"/>
        <v>0.12</v>
      </c>
      <c r="K346" s="30">
        <f t="shared" si="24"/>
        <v>0.12</v>
      </c>
      <c r="L346" s="30">
        <f t="shared" si="24"/>
        <v>0.12</v>
      </c>
      <c r="M346" s="30">
        <f t="shared" si="24"/>
        <v>0.12</v>
      </c>
      <c r="N346" s="30">
        <f t="shared" si="24"/>
        <v>0.12</v>
      </c>
      <c r="O346" s="30">
        <f t="shared" si="24"/>
        <v>0.12</v>
      </c>
      <c r="P346" s="30">
        <f t="shared" si="24"/>
        <v>0.12</v>
      </c>
    </row>
    <row r="347" spans="1:16" ht="14.4" x14ac:dyDescent="0.3">
      <c r="A347" s="18" t="s">
        <v>57</v>
      </c>
      <c r="B347" s="18"/>
      <c r="C347" s="16" t="s">
        <v>44</v>
      </c>
      <c r="D347" s="30">
        <f>D303</f>
        <v>0.12</v>
      </c>
      <c r="E347" s="30">
        <f t="shared" si="24"/>
        <v>0.12</v>
      </c>
      <c r="F347" s="30">
        <f t="shared" si="24"/>
        <v>0.12</v>
      </c>
      <c r="G347" s="30">
        <f t="shared" si="24"/>
        <v>0.12</v>
      </c>
      <c r="H347" s="30">
        <f t="shared" si="24"/>
        <v>0.12</v>
      </c>
      <c r="I347" s="30">
        <f t="shared" si="24"/>
        <v>0.12</v>
      </c>
      <c r="J347" s="30">
        <f t="shared" si="24"/>
        <v>0.12</v>
      </c>
      <c r="K347" s="30">
        <f t="shared" si="24"/>
        <v>0.12</v>
      </c>
      <c r="L347" s="30">
        <f t="shared" si="24"/>
        <v>0.12</v>
      </c>
      <c r="M347" s="30">
        <f t="shared" si="24"/>
        <v>0.12</v>
      </c>
      <c r="N347" s="30">
        <f t="shared" si="24"/>
        <v>0.12</v>
      </c>
      <c r="O347" s="30">
        <f t="shared" si="24"/>
        <v>0.12</v>
      </c>
      <c r="P347" s="30">
        <f t="shared" si="24"/>
        <v>0.12</v>
      </c>
    </row>
    <row r="348" spans="1:16" s="5" customFormat="1" ht="14.4" x14ac:dyDescent="0.3">
      <c r="A348" s="55"/>
      <c r="B348" s="55"/>
      <c r="C348" s="56"/>
      <c r="D348" s="57"/>
      <c r="E348" s="57"/>
      <c r="F348" s="57"/>
      <c r="G348" s="57"/>
      <c r="H348" s="57"/>
      <c r="I348" s="57"/>
      <c r="J348" s="57"/>
      <c r="K348" s="57"/>
      <c r="L348" s="57"/>
      <c r="M348" s="57"/>
      <c r="N348" s="57"/>
      <c r="O348" s="57"/>
      <c r="P348" s="57"/>
    </row>
    <row r="349" spans="1:16" x14ac:dyDescent="0.3">
      <c r="A349" s="3" t="s">
        <v>58</v>
      </c>
    </row>
    <row r="350" spans="1:16" s="5" customFormat="1" ht="14.4" x14ac:dyDescent="0.3">
      <c r="A350" s="55"/>
      <c r="B350" s="55"/>
      <c r="C350" s="56"/>
      <c r="D350" s="57"/>
      <c r="E350" s="57"/>
      <c r="F350" s="57"/>
      <c r="G350" s="57"/>
      <c r="H350" s="57"/>
      <c r="I350" s="57"/>
      <c r="J350" s="57"/>
      <c r="K350" s="57"/>
      <c r="L350" s="57"/>
      <c r="M350" s="57"/>
      <c r="N350" s="57"/>
      <c r="O350" s="57"/>
      <c r="P350" s="57"/>
    </row>
    <row r="351" spans="1:16" ht="18" x14ac:dyDescent="0.35">
      <c r="A351" s="59" t="str">
        <f>'[47]Statistical data'!A156</f>
        <v xml:space="preserve">  General Power-69/115kV</v>
      </c>
      <c r="B351" s="60"/>
      <c r="C351" s="5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</row>
    <row r="352" spans="1:16" s="13" customFormat="1" ht="14.4" x14ac:dyDescent="0.3">
      <c r="A352" s="11" t="s">
        <v>3</v>
      </c>
      <c r="B352" s="11"/>
      <c r="C352" s="11" t="s">
        <v>4</v>
      </c>
      <c r="D352" s="73">
        <f t="shared" ref="D352:P352" si="25">D308</f>
        <v>43466</v>
      </c>
      <c r="E352" s="73">
        <f t="shared" si="25"/>
        <v>43497</v>
      </c>
      <c r="F352" s="73">
        <f t="shared" si="25"/>
        <v>43525</v>
      </c>
      <c r="G352" s="73">
        <f t="shared" si="25"/>
        <v>43556</v>
      </c>
      <c r="H352" s="73">
        <f t="shared" si="25"/>
        <v>43586</v>
      </c>
      <c r="I352" s="73">
        <f t="shared" si="25"/>
        <v>43617</v>
      </c>
      <c r="J352" s="73">
        <f t="shared" si="25"/>
        <v>43647</v>
      </c>
      <c r="K352" s="73">
        <f t="shared" si="25"/>
        <v>43678</v>
      </c>
      <c r="L352" s="73">
        <f t="shared" si="25"/>
        <v>43709</v>
      </c>
      <c r="M352" s="73">
        <f t="shared" si="25"/>
        <v>43739</v>
      </c>
      <c r="N352" s="73">
        <f t="shared" si="25"/>
        <v>43770</v>
      </c>
      <c r="O352" s="73">
        <f t="shared" si="25"/>
        <v>43800</v>
      </c>
      <c r="P352" s="73">
        <f t="shared" si="25"/>
        <v>43831</v>
      </c>
    </row>
    <row r="353" spans="1:16" ht="14.4" x14ac:dyDescent="0.3">
      <c r="A353" s="14" t="s">
        <v>17</v>
      </c>
      <c r="B353" s="15"/>
      <c r="C353" s="16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</row>
    <row r="354" spans="1:16" ht="14.4" x14ac:dyDescent="0.3">
      <c r="A354" s="18" t="s">
        <v>18</v>
      </c>
      <c r="B354" s="19"/>
      <c r="C354" s="16" t="s">
        <v>19</v>
      </c>
      <c r="D354" s="20">
        <f>D398</f>
        <v>4.9119000000000002</v>
      </c>
      <c r="E354" s="20">
        <f t="shared" ref="E354:P354" si="26">E398</f>
        <v>5.8939000000000004</v>
      </c>
      <c r="F354" s="20">
        <f t="shared" si="26"/>
        <v>5.5972999999999997</v>
      </c>
      <c r="G354" s="20">
        <f t="shared" si="26"/>
        <v>5.6322000000000001</v>
      </c>
      <c r="H354" s="20">
        <f t="shared" si="26"/>
        <v>5.5507999999999997</v>
      </c>
      <c r="I354" s="20">
        <f t="shared" si="26"/>
        <v>5.4157999999999999</v>
      </c>
      <c r="J354" s="20">
        <f t="shared" si="26"/>
        <v>5.4226999999999999</v>
      </c>
      <c r="K354" s="20">
        <f t="shared" si="26"/>
        <v>4.9619999999999997</v>
      </c>
      <c r="L354" s="20">
        <f t="shared" si="26"/>
        <v>4.5190999999999999</v>
      </c>
      <c r="M354" s="20">
        <f t="shared" si="26"/>
        <v>4.5406000000000004</v>
      </c>
      <c r="N354" s="20">
        <f t="shared" si="26"/>
        <v>5.0316999999999998</v>
      </c>
      <c r="O354" s="20">
        <f t="shared" si="26"/>
        <v>5.1966999999999999</v>
      </c>
      <c r="P354" s="20" t="e">
        <f t="shared" si="26"/>
        <v>#DIV/0!</v>
      </c>
    </row>
    <row r="355" spans="1:16" ht="14.4" x14ac:dyDescent="0.3">
      <c r="A355" s="14" t="s">
        <v>20</v>
      </c>
      <c r="B355" s="15"/>
      <c r="C355" s="16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</row>
    <row r="356" spans="1:16" ht="14.4" x14ac:dyDescent="0.3">
      <c r="A356" s="18" t="s">
        <v>21</v>
      </c>
      <c r="B356" s="19"/>
      <c r="C356" s="16" t="s">
        <v>19</v>
      </c>
      <c r="D356" s="20">
        <v>0</v>
      </c>
      <c r="E356" s="20">
        <v>0</v>
      </c>
      <c r="F356" s="20">
        <v>0</v>
      </c>
      <c r="G356" s="20">
        <v>0</v>
      </c>
      <c r="H356" s="20">
        <v>0</v>
      </c>
      <c r="I356" s="20">
        <v>0</v>
      </c>
      <c r="J356" s="20">
        <v>0</v>
      </c>
      <c r="K356" s="20">
        <v>0</v>
      </c>
      <c r="L356" s="20">
        <v>0</v>
      </c>
      <c r="M356" s="20">
        <v>0</v>
      </c>
      <c r="N356" s="20">
        <v>0</v>
      </c>
      <c r="O356" s="20">
        <v>0</v>
      </c>
      <c r="P356" s="20">
        <v>0</v>
      </c>
    </row>
    <row r="357" spans="1:16" ht="14.4" x14ac:dyDescent="0.3">
      <c r="A357" s="18" t="s">
        <v>22</v>
      </c>
      <c r="B357" s="19"/>
      <c r="C357" s="16" t="s">
        <v>23</v>
      </c>
      <c r="D357" s="20">
        <f>[47]TR!D38</f>
        <v>268.22000000000003</v>
      </c>
      <c r="E357" s="20">
        <f>[47]TR!E38</f>
        <v>256.49</v>
      </c>
      <c r="F357" s="20">
        <f>[47]TR!F38</f>
        <v>282.67</v>
      </c>
      <c r="G357" s="20">
        <f>[47]TR!G38</f>
        <v>263.7</v>
      </c>
      <c r="H357" s="20">
        <f>[47]TR!H38</f>
        <v>243.95</v>
      </c>
      <c r="I357" s="20">
        <f>[47]TR!I38</f>
        <v>230.54</v>
      </c>
      <c r="J357" s="20">
        <f>[47]TR!J38</f>
        <v>208.11</v>
      </c>
      <c r="K357" s="20">
        <f>[47]TR!K38</f>
        <v>226.73</v>
      </c>
      <c r="L357" s="20">
        <f>[47]TR!L38</f>
        <v>219.94</v>
      </c>
      <c r="M357" s="20">
        <f>[47]TR!M38</f>
        <v>235.79</v>
      </c>
      <c r="N357" s="20">
        <f>[47]TR!N38</f>
        <v>195.22</v>
      </c>
      <c r="O357" s="20">
        <f>[47]TR!O38</f>
        <v>231.11</v>
      </c>
      <c r="P357" s="20">
        <f>[47]TR!P38</f>
        <v>0</v>
      </c>
    </row>
    <row r="358" spans="1:16" ht="14.4" x14ac:dyDescent="0.3">
      <c r="A358" s="14" t="s">
        <v>24</v>
      </c>
      <c r="B358" s="15"/>
      <c r="C358" s="16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</row>
    <row r="359" spans="1:16" ht="14.4" x14ac:dyDescent="0.3">
      <c r="A359" s="18" t="s">
        <v>25</v>
      </c>
      <c r="B359" s="19"/>
      <c r="C359" s="16" t="s">
        <v>19</v>
      </c>
      <c r="D359" s="20">
        <f>[47]SLR!D71</f>
        <v>7.2800000000000004E-2</v>
      </c>
      <c r="E359" s="20">
        <f>[47]SLR!E71</f>
        <v>8.6699999999999999E-2</v>
      </c>
      <c r="F359" s="20">
        <f>[47]SLR!F71</f>
        <v>8.5099999999999995E-2</v>
      </c>
      <c r="G359" s="20">
        <f>[47]SLR!G71</f>
        <v>9.0499999999999997E-2</v>
      </c>
      <c r="H359" s="20">
        <f>[47]SLR!H71</f>
        <v>8.7599999999999997E-2</v>
      </c>
      <c r="I359" s="20">
        <f>[47]SLR!I71</f>
        <v>8.5999999999999993E-2</v>
      </c>
      <c r="J359" s="20">
        <f>[47]SLR!J71</f>
        <v>8.7400000000000005E-2</v>
      </c>
      <c r="K359" s="20">
        <f>[47]SLR!K71</f>
        <v>7.6300000000000007E-2</v>
      </c>
      <c r="L359" s="20">
        <f>[47]SLR!L71</f>
        <v>7.0300000000000001E-2</v>
      </c>
      <c r="M359" s="20">
        <f>[47]SLR!M71</f>
        <v>6.9699999999999998E-2</v>
      </c>
      <c r="N359" s="20">
        <f>[47]SLR!N71</f>
        <v>7.5399999999999995E-2</v>
      </c>
      <c r="O359" s="20">
        <f>[47]SLR!O71</f>
        <v>7.8700000000000006E-2</v>
      </c>
      <c r="P359" s="20">
        <f>[47]SLR!P71</f>
        <v>0</v>
      </c>
    </row>
    <row r="360" spans="1:16" ht="14.4" x14ac:dyDescent="0.3">
      <c r="A360" s="14" t="s">
        <v>26</v>
      </c>
      <c r="B360" s="14"/>
      <c r="C360" s="16"/>
      <c r="D360" s="22"/>
      <c r="E360" s="22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</row>
    <row r="361" spans="1:16" ht="14.4" x14ac:dyDescent="0.3">
      <c r="A361" s="18" t="s">
        <v>27</v>
      </c>
      <c r="B361" s="18"/>
      <c r="C361" s="16" t="s">
        <v>19</v>
      </c>
      <c r="D361" s="20">
        <f t="shared" ref="D361:P361" si="27">D318</f>
        <v>5.1299999999999998E-2</v>
      </c>
      <c r="E361" s="20">
        <f t="shared" si="27"/>
        <v>5.1299999999999998E-2</v>
      </c>
      <c r="F361" s="20">
        <f t="shared" si="27"/>
        <v>5.1299999999999998E-2</v>
      </c>
      <c r="G361" s="20">
        <f t="shared" si="27"/>
        <v>5.1299999999999998E-2</v>
      </c>
      <c r="H361" s="20">
        <f t="shared" si="27"/>
        <v>5.1299999999999998E-2</v>
      </c>
      <c r="I361" s="20">
        <f t="shared" si="27"/>
        <v>5.1299999999999998E-2</v>
      </c>
      <c r="J361" s="20">
        <f t="shared" si="27"/>
        <v>5.1299999999999998E-2</v>
      </c>
      <c r="K361" s="20">
        <f t="shared" si="27"/>
        <v>5.1299999999999998E-2</v>
      </c>
      <c r="L361" s="20">
        <f t="shared" si="27"/>
        <v>5.1299999999999998E-2</v>
      </c>
      <c r="M361" s="20">
        <f t="shared" si="27"/>
        <v>5.1299999999999998E-2</v>
      </c>
      <c r="N361" s="20">
        <f t="shared" si="27"/>
        <v>5.1299999999999998E-2</v>
      </c>
      <c r="O361" s="20">
        <f t="shared" si="27"/>
        <v>5.1299999999999998E-2</v>
      </c>
      <c r="P361" s="20">
        <f t="shared" si="27"/>
        <v>5.1299999999999998E-2</v>
      </c>
    </row>
    <row r="362" spans="1:16" ht="14.4" x14ac:dyDescent="0.3">
      <c r="A362" s="18" t="s">
        <v>28</v>
      </c>
      <c r="B362" s="18"/>
      <c r="C362" s="16" t="s">
        <v>23</v>
      </c>
      <c r="D362" s="23">
        <v>143.32</v>
      </c>
      <c r="E362" s="23">
        <v>143.32</v>
      </c>
      <c r="F362" s="23">
        <v>143.32</v>
      </c>
      <c r="G362" s="23">
        <v>143.32</v>
      </c>
      <c r="H362" s="23">
        <v>143.32</v>
      </c>
      <c r="I362" s="23">
        <v>143.32</v>
      </c>
      <c r="J362" s="23">
        <v>143.32</v>
      </c>
      <c r="K362" s="23">
        <v>143.32</v>
      </c>
      <c r="L362" s="23">
        <v>143.32</v>
      </c>
      <c r="M362" s="23">
        <v>143.32</v>
      </c>
      <c r="N362" s="23">
        <v>143.32</v>
      </c>
      <c r="O362" s="23">
        <v>143.32</v>
      </c>
      <c r="P362" s="23">
        <v>143.32</v>
      </c>
    </row>
    <row r="363" spans="1:16" ht="14.4" x14ac:dyDescent="0.3">
      <c r="A363" s="14" t="s">
        <v>29</v>
      </c>
      <c r="B363" s="14"/>
      <c r="C363" s="16"/>
      <c r="D363" s="24"/>
      <c r="E363" s="24"/>
      <c r="F363" s="24"/>
      <c r="G363" s="24"/>
      <c r="H363" s="24"/>
      <c r="I363" s="24"/>
      <c r="J363" s="24"/>
      <c r="K363" s="24"/>
      <c r="L363" s="24"/>
      <c r="M363" s="24"/>
      <c r="N363" s="24"/>
      <c r="O363" s="24"/>
      <c r="P363" s="24"/>
    </row>
    <row r="364" spans="1:16" ht="14.4" x14ac:dyDescent="0.3">
      <c r="A364" s="18" t="s">
        <v>30</v>
      </c>
      <c r="B364" s="18"/>
      <c r="C364" s="16" t="s">
        <v>19</v>
      </c>
      <c r="D364" s="20">
        <v>0</v>
      </c>
      <c r="E364" s="20">
        <v>0</v>
      </c>
      <c r="F364" s="20">
        <v>0</v>
      </c>
      <c r="G364" s="20">
        <v>0</v>
      </c>
      <c r="H364" s="20">
        <v>0</v>
      </c>
      <c r="I364" s="20">
        <v>0</v>
      </c>
      <c r="J364" s="20">
        <v>0</v>
      </c>
      <c r="K364" s="20">
        <v>0</v>
      </c>
      <c r="L364" s="20">
        <v>0</v>
      </c>
      <c r="M364" s="20">
        <v>0</v>
      </c>
      <c r="N364" s="20">
        <v>0</v>
      </c>
      <c r="O364" s="20">
        <v>0</v>
      </c>
      <c r="P364" s="20">
        <v>0</v>
      </c>
    </row>
    <row r="365" spans="1:16" ht="14.4" x14ac:dyDescent="0.3">
      <c r="A365" s="18" t="s">
        <v>31</v>
      </c>
      <c r="B365" s="18"/>
      <c r="C365" s="16" t="s">
        <v>32</v>
      </c>
      <c r="D365" s="52" t="s">
        <v>62</v>
      </c>
      <c r="E365" s="52" t="s">
        <v>62</v>
      </c>
      <c r="F365" s="52" t="s">
        <v>62</v>
      </c>
      <c r="G365" s="52" t="s">
        <v>62</v>
      </c>
      <c r="H365" s="52" t="s">
        <v>62</v>
      </c>
      <c r="I365" s="52" t="s">
        <v>62</v>
      </c>
      <c r="J365" s="52" t="s">
        <v>62</v>
      </c>
      <c r="K365" s="52" t="s">
        <v>62</v>
      </c>
      <c r="L365" s="52" t="s">
        <v>62</v>
      </c>
      <c r="M365" s="52" t="s">
        <v>62</v>
      </c>
      <c r="N365" s="52" t="s">
        <v>62</v>
      </c>
      <c r="O365" s="52" t="s">
        <v>62</v>
      </c>
      <c r="P365" s="52" t="s">
        <v>62</v>
      </c>
    </row>
    <row r="366" spans="1:16" ht="14.4" x14ac:dyDescent="0.3">
      <c r="A366" s="14" t="s">
        <v>33</v>
      </c>
      <c r="B366" s="14"/>
      <c r="C366" s="16"/>
      <c r="D366" s="24"/>
      <c r="E366" s="24"/>
      <c r="F366" s="24"/>
      <c r="G366" s="24"/>
      <c r="H366" s="24"/>
      <c r="I366" s="24"/>
      <c r="J366" s="24"/>
      <c r="K366" s="24"/>
      <c r="L366" s="24"/>
      <c r="M366" s="24"/>
      <c r="N366" s="24"/>
      <c r="O366" s="24"/>
      <c r="P366" s="24"/>
    </row>
    <row r="367" spans="1:16" ht="14.4" x14ac:dyDescent="0.3">
      <c r="A367" s="18" t="s">
        <v>34</v>
      </c>
      <c r="B367" s="18"/>
      <c r="C367" s="16" t="s">
        <v>19</v>
      </c>
      <c r="D367" s="20">
        <v>0</v>
      </c>
      <c r="E367" s="20">
        <v>0</v>
      </c>
      <c r="F367" s="20">
        <v>0</v>
      </c>
      <c r="G367" s="20">
        <v>0</v>
      </c>
      <c r="H367" s="20">
        <v>0</v>
      </c>
      <c r="I367" s="20">
        <v>0</v>
      </c>
      <c r="J367" s="20">
        <v>0</v>
      </c>
      <c r="K367" s="20">
        <v>0</v>
      </c>
      <c r="L367" s="20">
        <v>0</v>
      </c>
      <c r="M367" s="20">
        <v>0</v>
      </c>
      <c r="N367" s="20">
        <v>0</v>
      </c>
      <c r="O367" s="20">
        <v>0</v>
      </c>
      <c r="P367" s="20">
        <v>0</v>
      </c>
    </row>
    <row r="368" spans="1:16" ht="14.4" x14ac:dyDescent="0.3">
      <c r="A368" s="18" t="s">
        <v>35</v>
      </c>
      <c r="B368" s="18"/>
      <c r="C368" s="16" t="s">
        <v>36</v>
      </c>
      <c r="D368" s="52" t="s">
        <v>63</v>
      </c>
      <c r="E368" s="52" t="s">
        <v>63</v>
      </c>
      <c r="F368" s="52" t="s">
        <v>63</v>
      </c>
      <c r="G368" s="52" t="s">
        <v>63</v>
      </c>
      <c r="H368" s="52" t="s">
        <v>63</v>
      </c>
      <c r="I368" s="52" t="s">
        <v>63</v>
      </c>
      <c r="J368" s="52" t="s">
        <v>63</v>
      </c>
      <c r="K368" s="52" t="s">
        <v>63</v>
      </c>
      <c r="L368" s="52" t="s">
        <v>63</v>
      </c>
      <c r="M368" s="52" t="s">
        <v>63</v>
      </c>
      <c r="N368" s="52" t="s">
        <v>63</v>
      </c>
      <c r="O368" s="52" t="s">
        <v>63</v>
      </c>
      <c r="P368" s="52" t="s">
        <v>63</v>
      </c>
    </row>
    <row r="369" spans="1:16" ht="14.4" x14ac:dyDescent="0.3">
      <c r="A369" s="14" t="s">
        <v>37</v>
      </c>
      <c r="B369" s="14"/>
      <c r="C369" s="16"/>
      <c r="D369" s="24"/>
      <c r="E369" s="24"/>
      <c r="F369" s="24"/>
      <c r="G369" s="24"/>
      <c r="H369" s="24"/>
      <c r="I369" s="24"/>
      <c r="J369" s="24"/>
      <c r="K369" s="24"/>
      <c r="L369" s="24"/>
      <c r="M369" s="24"/>
      <c r="N369" s="24"/>
      <c r="O369" s="24"/>
      <c r="P369" s="24"/>
    </row>
    <row r="370" spans="1:16" ht="14.4" x14ac:dyDescent="0.3">
      <c r="A370" s="25" t="s">
        <v>138</v>
      </c>
      <c r="B370" s="18"/>
      <c r="C370" s="16" t="s">
        <v>19</v>
      </c>
      <c r="D370" s="20"/>
      <c r="E370" s="20"/>
      <c r="F370" s="20"/>
      <c r="G370" s="20"/>
      <c r="H370" s="20"/>
      <c r="I370" s="20"/>
      <c r="J370" s="20">
        <v>-7.3099999999999998E-2</v>
      </c>
      <c r="K370" s="20"/>
      <c r="L370" s="20"/>
      <c r="M370" s="20"/>
      <c r="N370" s="20"/>
      <c r="O370" s="20"/>
      <c r="P370" s="20"/>
    </row>
    <row r="371" spans="1:16" ht="14.4" x14ac:dyDescent="0.3">
      <c r="A371" s="25" t="s">
        <v>38</v>
      </c>
      <c r="B371" s="18"/>
      <c r="C371" s="16" t="s">
        <v>19</v>
      </c>
      <c r="D371" s="20">
        <f>[47]LD!D28</f>
        <v>9.7600000000000006E-2</v>
      </c>
      <c r="E371" s="20">
        <f>[47]LD!E28</f>
        <v>0.1077</v>
      </c>
      <c r="F371" s="20">
        <f>[47]LD!F28</f>
        <v>0.1234</v>
      </c>
      <c r="G371" s="20">
        <f>[47]LD!G28</f>
        <v>0.124</v>
      </c>
      <c r="H371" s="20">
        <f>[47]LD!H28</f>
        <v>8.2000000000000003E-2</v>
      </c>
      <c r="I371" s="20">
        <f>[47]LD!I28</f>
        <v>7.5499999999999998E-2</v>
      </c>
      <c r="J371" s="20">
        <f>[47]LD!J28</f>
        <v>6.4899999999999999E-2</v>
      </c>
      <c r="K371" s="20">
        <f>[47]LD!K28</f>
        <v>7.5600000000000001E-2</v>
      </c>
      <c r="L371" s="20">
        <f>[47]LD!L28</f>
        <v>7.85E-2</v>
      </c>
      <c r="M371" s="20">
        <f>[47]LD!M28</f>
        <v>7.5399999999999995E-2</v>
      </c>
      <c r="N371" s="20">
        <f>[47]LD!N28</f>
        <v>7.5700000000000003E-2</v>
      </c>
      <c r="O371" s="20">
        <f>[47]LD!O28</f>
        <v>7.8299999999999995E-2</v>
      </c>
      <c r="P371" s="20">
        <f>[47]LD!P28</f>
        <v>0</v>
      </c>
    </row>
    <row r="372" spans="1:16" ht="14.4" x14ac:dyDescent="0.3">
      <c r="A372" s="25" t="s">
        <v>39</v>
      </c>
      <c r="B372" s="18"/>
      <c r="C372" s="16" t="s">
        <v>19</v>
      </c>
      <c r="D372" s="20">
        <v>0</v>
      </c>
      <c r="E372" s="20">
        <v>0</v>
      </c>
      <c r="F372" s="20">
        <v>0</v>
      </c>
      <c r="G372" s="20">
        <v>0</v>
      </c>
      <c r="H372" s="20">
        <v>0</v>
      </c>
      <c r="I372" s="20">
        <v>0</v>
      </c>
      <c r="J372" s="20">
        <v>0</v>
      </c>
      <c r="K372" s="20">
        <v>0</v>
      </c>
      <c r="L372" s="20">
        <v>0</v>
      </c>
      <c r="M372" s="20">
        <v>0</v>
      </c>
      <c r="N372" s="20">
        <v>0</v>
      </c>
      <c r="O372" s="20">
        <v>0</v>
      </c>
      <c r="P372" s="20">
        <v>0</v>
      </c>
    </row>
    <row r="373" spans="1:16" ht="14.4" x14ac:dyDescent="0.3">
      <c r="A373" s="26" t="s">
        <v>40</v>
      </c>
      <c r="B373" s="18"/>
      <c r="C373" s="16" t="s">
        <v>19</v>
      </c>
      <c r="D373" s="20">
        <f>'[47]SR CIT. SUBSIDY'!D134</f>
        <v>8.1671193651487679E-5</v>
      </c>
      <c r="E373" s="20">
        <f>'[47]SR CIT. SUBSIDY'!E134</f>
        <v>7.9496172853225534E-5</v>
      </c>
      <c r="F373" s="20">
        <f>'[47]SR CIT. SUBSIDY'!F134</f>
        <v>9.1117198287407098E-5</v>
      </c>
      <c r="G373" s="20">
        <f>'[47]SR CIT. SUBSIDY'!G134</f>
        <v>9.2294258932552585E-5</v>
      </c>
      <c r="H373" s="20">
        <f>'[47]SR CIT. SUBSIDY'!H134</f>
        <v>8.664510925241928E-5</v>
      </c>
      <c r="I373" s="20">
        <f>'[47]SR CIT. SUBSIDY'!I134</f>
        <v>8.4286320439276092E-5</v>
      </c>
      <c r="J373" s="20">
        <f>'[47]SR CIT. SUBSIDY'!J134</f>
        <v>7.5057505029560973E-5</v>
      </c>
      <c r="K373" s="20">
        <f>'[47]SR CIT. SUBSIDY'!K134</f>
        <v>7.5699329562342512E-5</v>
      </c>
      <c r="L373" s="20">
        <f>'[47]SR CIT. SUBSIDY'!L134</f>
        <v>7.3950804174552343E-5</v>
      </c>
      <c r="M373" s="20">
        <f>'[47]SR CIT. SUBSIDY'!M134</f>
        <v>6.9724330278463729E-5</v>
      </c>
      <c r="N373" s="20">
        <f>'[47]SR CIT. SUBSIDY'!N134</f>
        <v>7.1523365693916283E-5</v>
      </c>
      <c r="O373" s="20">
        <f>'[47]SR CIT. SUBSIDY'!O134</f>
        <v>7.2222317373892914E-5</v>
      </c>
      <c r="P373" s="20">
        <f>'[47]SR CIT. SUBSIDY'!P134</f>
        <v>0</v>
      </c>
    </row>
    <row r="374" spans="1:16" ht="14.4" x14ac:dyDescent="0.3">
      <c r="A374" s="26" t="s">
        <v>41</v>
      </c>
      <c r="B374" s="18"/>
      <c r="C374" s="16" t="s">
        <v>19</v>
      </c>
      <c r="D374" s="20">
        <v>0</v>
      </c>
      <c r="E374" s="20">
        <v>0</v>
      </c>
      <c r="F374" s="20">
        <v>0</v>
      </c>
      <c r="G374" s="20">
        <v>0</v>
      </c>
      <c r="H374" s="20">
        <v>0</v>
      </c>
      <c r="I374" s="20">
        <v>0</v>
      </c>
      <c r="J374" s="20">
        <v>0</v>
      </c>
      <c r="K374" s="20">
        <v>0</v>
      </c>
      <c r="L374" s="20">
        <v>0</v>
      </c>
      <c r="M374" s="20">
        <v>0</v>
      </c>
      <c r="N374" s="20">
        <v>0</v>
      </c>
      <c r="O374" s="20">
        <v>0</v>
      </c>
      <c r="P374" s="20">
        <v>0</v>
      </c>
    </row>
    <row r="375" spans="1:16" ht="14.4" x14ac:dyDescent="0.3">
      <c r="A375" s="14" t="s">
        <v>42</v>
      </c>
      <c r="B375" s="14"/>
      <c r="C375" s="16"/>
      <c r="D375" s="24"/>
      <c r="E375" s="24"/>
      <c r="F375" s="24"/>
      <c r="G375" s="24"/>
      <c r="H375" s="24"/>
      <c r="I375" s="24"/>
      <c r="J375" s="24"/>
      <c r="K375" s="24"/>
      <c r="L375" s="24"/>
      <c r="M375" s="24"/>
      <c r="N375" s="24"/>
      <c r="O375" s="24"/>
      <c r="P375" s="24"/>
    </row>
    <row r="376" spans="1:16" ht="14.4" x14ac:dyDescent="0.3">
      <c r="A376" s="14" t="s">
        <v>43</v>
      </c>
      <c r="B376" s="14"/>
      <c r="C376" s="16" t="s">
        <v>44</v>
      </c>
      <c r="D376" s="27"/>
      <c r="E376" s="27"/>
      <c r="F376" s="27"/>
      <c r="G376" s="27"/>
      <c r="H376" s="27"/>
      <c r="I376" s="27"/>
      <c r="J376" s="27"/>
      <c r="K376" s="27"/>
      <c r="L376" s="27"/>
      <c r="M376" s="27"/>
      <c r="N376" s="27"/>
      <c r="O376" s="27"/>
      <c r="P376" s="27"/>
    </row>
    <row r="377" spans="1:16" ht="14.4" x14ac:dyDescent="0.3">
      <c r="A377" s="14" t="s">
        <v>45</v>
      </c>
      <c r="B377" s="14"/>
      <c r="C377" s="16"/>
      <c r="D377" s="28"/>
      <c r="E377" s="28"/>
      <c r="F377" s="28"/>
      <c r="G377" s="28"/>
      <c r="H377" s="28"/>
      <c r="I377" s="28"/>
      <c r="J377" s="28"/>
      <c r="K377" s="28"/>
      <c r="L377" s="28"/>
      <c r="M377" s="28"/>
      <c r="N377" s="28"/>
      <c r="O377" s="28"/>
      <c r="P377" s="28"/>
    </row>
    <row r="378" spans="1:16" ht="14.4" x14ac:dyDescent="0.3">
      <c r="A378" s="14" t="s">
        <v>46</v>
      </c>
      <c r="B378" s="14"/>
      <c r="C378" s="16" t="s">
        <v>19</v>
      </c>
      <c r="D378" s="20">
        <v>0</v>
      </c>
      <c r="E378" s="20">
        <v>0</v>
      </c>
      <c r="F378" s="20">
        <v>0</v>
      </c>
      <c r="G378" s="20">
        <v>0</v>
      </c>
      <c r="H378" s="20">
        <v>0</v>
      </c>
      <c r="I378" s="20">
        <v>0</v>
      </c>
      <c r="J378" s="20">
        <v>0</v>
      </c>
      <c r="K378" s="20">
        <v>0</v>
      </c>
      <c r="L378" s="20">
        <v>0</v>
      </c>
      <c r="M378" s="20">
        <v>0</v>
      </c>
      <c r="N378" s="20">
        <v>0</v>
      </c>
      <c r="O378" s="20">
        <v>0</v>
      </c>
      <c r="P378" s="20">
        <v>0</v>
      </c>
    </row>
    <row r="379" spans="1:16" ht="14.4" x14ac:dyDescent="0.3">
      <c r="A379" s="14" t="s">
        <v>47</v>
      </c>
      <c r="B379" s="14"/>
      <c r="C379" s="16"/>
      <c r="D379" s="24"/>
      <c r="E379" s="24"/>
      <c r="F379" s="24"/>
      <c r="G379" s="24"/>
      <c r="H379" s="24"/>
      <c r="I379" s="24"/>
      <c r="J379" s="24"/>
      <c r="K379" s="24"/>
      <c r="L379" s="24"/>
      <c r="M379" s="24"/>
      <c r="N379" s="24"/>
      <c r="O379" s="24"/>
      <c r="P379" s="24"/>
    </row>
    <row r="380" spans="1:16" ht="14.4" x14ac:dyDescent="0.3">
      <c r="A380" s="18" t="s">
        <v>48</v>
      </c>
      <c r="B380" s="18"/>
      <c r="C380" s="16" t="s">
        <v>19</v>
      </c>
      <c r="D380" s="20">
        <f t="shared" ref="D380:P384" si="28">D337</f>
        <v>0.15609999999999999</v>
      </c>
      <c r="E380" s="20">
        <f t="shared" si="28"/>
        <v>0.15609999999999999</v>
      </c>
      <c r="F380" s="20">
        <f t="shared" si="28"/>
        <v>0.15609999999999999</v>
      </c>
      <c r="G380" s="20">
        <f t="shared" si="28"/>
        <v>0.15609999999999999</v>
      </c>
      <c r="H380" s="20">
        <f t="shared" si="28"/>
        <v>0.15609999999999999</v>
      </c>
      <c r="I380" s="20">
        <f t="shared" si="28"/>
        <v>0.15609999999999999</v>
      </c>
      <c r="J380" s="20">
        <f t="shared" si="28"/>
        <v>0.15609999999999999</v>
      </c>
      <c r="K380" s="20">
        <f t="shared" si="28"/>
        <v>0.15609999999999999</v>
      </c>
      <c r="L380" s="20">
        <f t="shared" si="28"/>
        <v>0.15609999999999999</v>
      </c>
      <c r="M380" s="20">
        <f t="shared" si="28"/>
        <v>0.15609999999999999</v>
      </c>
      <c r="N380" s="20">
        <f t="shared" si="28"/>
        <v>0.15609999999999999</v>
      </c>
      <c r="O380" s="20">
        <f t="shared" si="28"/>
        <v>0.15609999999999999</v>
      </c>
      <c r="P380" s="20">
        <f t="shared" si="28"/>
        <v>0.15609999999999999</v>
      </c>
    </row>
    <row r="381" spans="1:16" ht="14.4" x14ac:dyDescent="0.3">
      <c r="A381" s="18" t="s">
        <v>49</v>
      </c>
      <c r="B381" s="18"/>
      <c r="C381" s="16" t="s">
        <v>19</v>
      </c>
      <c r="D381" s="20">
        <f t="shared" si="28"/>
        <v>2.5000000000000001E-3</v>
      </c>
      <c r="E381" s="20">
        <f t="shared" si="28"/>
        <v>2.5000000000000001E-3</v>
      </c>
      <c r="F381" s="20">
        <f t="shared" si="28"/>
        <v>2.5000000000000001E-3</v>
      </c>
      <c r="G381" s="20">
        <f t="shared" si="28"/>
        <v>2.5000000000000001E-3</v>
      </c>
      <c r="H381" s="20">
        <f t="shared" si="28"/>
        <v>2.5000000000000001E-3</v>
      </c>
      <c r="I381" s="20">
        <f t="shared" si="28"/>
        <v>2.5000000000000001E-3</v>
      </c>
      <c r="J381" s="20">
        <f t="shared" si="28"/>
        <v>2.5000000000000001E-3</v>
      </c>
      <c r="K381" s="20">
        <f t="shared" si="28"/>
        <v>2.5000000000000001E-3</v>
      </c>
      <c r="L381" s="20">
        <f t="shared" si="28"/>
        <v>2.5000000000000001E-3</v>
      </c>
      <c r="M381" s="20">
        <f t="shared" si="28"/>
        <v>2.5000000000000001E-3</v>
      </c>
      <c r="N381" s="20">
        <f t="shared" si="28"/>
        <v>2.5000000000000001E-3</v>
      </c>
      <c r="O381" s="20">
        <f t="shared" si="28"/>
        <v>2.5000000000000001E-3</v>
      </c>
      <c r="P381" s="20">
        <f t="shared" si="28"/>
        <v>2.5000000000000001E-3</v>
      </c>
    </row>
    <row r="382" spans="1:16" ht="14.4" x14ac:dyDescent="0.3">
      <c r="A382" s="18" t="s">
        <v>111</v>
      </c>
      <c r="B382" s="18"/>
      <c r="C382" s="16" t="s">
        <v>19</v>
      </c>
      <c r="D382" s="20">
        <f t="shared" si="28"/>
        <v>0.1938</v>
      </c>
      <c r="E382" s="20">
        <f t="shared" si="28"/>
        <v>-0.3876</v>
      </c>
      <c r="F382" s="20">
        <f t="shared" si="28"/>
        <v>0</v>
      </c>
      <c r="G382" s="20">
        <f t="shared" si="28"/>
        <v>0</v>
      </c>
      <c r="H382" s="20">
        <f t="shared" si="28"/>
        <v>0</v>
      </c>
      <c r="I382" s="20">
        <f t="shared" si="28"/>
        <v>0</v>
      </c>
      <c r="J382" s="20">
        <f t="shared" si="28"/>
        <v>0</v>
      </c>
      <c r="K382" s="20">
        <f t="shared" si="28"/>
        <v>0</v>
      </c>
      <c r="L382" s="20">
        <f t="shared" si="28"/>
        <v>0</v>
      </c>
      <c r="M382" s="20">
        <f t="shared" si="28"/>
        <v>0</v>
      </c>
      <c r="N382" s="20">
        <f t="shared" si="28"/>
        <v>0</v>
      </c>
      <c r="O382" s="20">
        <f t="shared" si="28"/>
        <v>0</v>
      </c>
      <c r="P382" s="20">
        <f t="shared" si="28"/>
        <v>0</v>
      </c>
    </row>
    <row r="383" spans="1:16" ht="14.4" x14ac:dyDescent="0.3">
      <c r="A383" s="18" t="s">
        <v>112</v>
      </c>
      <c r="B383" s="18"/>
      <c r="C383" s="16" t="s">
        <v>19</v>
      </c>
      <c r="D383" s="20">
        <f t="shared" si="28"/>
        <v>2.6499999999999999E-2</v>
      </c>
      <c r="E383" s="20">
        <f t="shared" si="28"/>
        <v>2.6499999999999999E-2</v>
      </c>
      <c r="F383" s="20">
        <f t="shared" si="28"/>
        <v>2.6499999999999999E-2</v>
      </c>
      <c r="G383" s="20">
        <f t="shared" si="28"/>
        <v>4.2799999999999998E-2</v>
      </c>
      <c r="H383" s="20">
        <f t="shared" si="28"/>
        <v>4.2799999999999998E-2</v>
      </c>
      <c r="I383" s="20">
        <f t="shared" si="28"/>
        <v>4.2799999999999998E-2</v>
      </c>
      <c r="J383" s="20">
        <f t="shared" si="28"/>
        <v>4.2799999999999998E-2</v>
      </c>
      <c r="K383" s="20">
        <f t="shared" si="28"/>
        <v>4.2799999999999998E-2</v>
      </c>
      <c r="L383" s="20">
        <f t="shared" si="28"/>
        <v>4.2799999999999998E-2</v>
      </c>
      <c r="M383" s="20">
        <f t="shared" si="28"/>
        <v>4.2799999999999998E-2</v>
      </c>
      <c r="N383" s="20">
        <f t="shared" si="28"/>
        <v>4.2799999999999998E-2</v>
      </c>
      <c r="O383" s="20">
        <f t="shared" si="28"/>
        <v>4.2799999999999998E-2</v>
      </c>
      <c r="P383" s="20">
        <f t="shared" si="28"/>
        <v>4.2799999999999998E-2</v>
      </c>
    </row>
    <row r="384" spans="1:16" ht="14.4" x14ac:dyDescent="0.3">
      <c r="A384" s="14" t="s">
        <v>51</v>
      </c>
      <c r="B384" s="14"/>
      <c r="C384" s="16" t="s">
        <v>19</v>
      </c>
      <c r="D384" s="20">
        <f>D341</f>
        <v>0.25629999999999997</v>
      </c>
      <c r="E384" s="20">
        <f t="shared" si="28"/>
        <v>0.25629999999999997</v>
      </c>
      <c r="F384" s="20">
        <f t="shared" si="28"/>
        <v>0.25629999999999997</v>
      </c>
      <c r="G384" s="20">
        <f t="shared" si="28"/>
        <v>0.22259999999999999</v>
      </c>
      <c r="H384" s="20">
        <f t="shared" si="28"/>
        <v>0.22259999999999999</v>
      </c>
      <c r="I384" s="20">
        <f t="shared" si="28"/>
        <v>0.22259999999999999</v>
      </c>
      <c r="J384" s="20">
        <f t="shared" si="28"/>
        <v>0.22259999999999999</v>
      </c>
      <c r="K384" s="20">
        <f t="shared" si="28"/>
        <v>0.22259999999999999</v>
      </c>
      <c r="L384" s="20">
        <f t="shared" si="28"/>
        <v>0.22259999999999999</v>
      </c>
      <c r="M384" s="20">
        <f t="shared" si="28"/>
        <v>0.22259999999999999</v>
      </c>
      <c r="N384" s="20">
        <f t="shared" si="28"/>
        <v>0.22259999999999999</v>
      </c>
      <c r="O384" s="20">
        <f t="shared" si="28"/>
        <v>0.22259999999999999</v>
      </c>
      <c r="P384" s="20">
        <f t="shared" si="28"/>
        <v>0.22259999999999999</v>
      </c>
    </row>
    <row r="385" spans="1:16" ht="14.4" x14ac:dyDescent="0.3">
      <c r="A385" s="14" t="s">
        <v>52</v>
      </c>
      <c r="B385" s="14"/>
      <c r="C385" s="29"/>
      <c r="D385" s="22"/>
      <c r="E385" s="22"/>
      <c r="F385" s="22"/>
      <c r="G385" s="22"/>
      <c r="H385" s="22"/>
      <c r="I385" s="22"/>
      <c r="J385" s="22"/>
      <c r="K385" s="22"/>
      <c r="L385" s="22"/>
      <c r="M385" s="22"/>
      <c r="N385" s="22"/>
      <c r="O385" s="22"/>
      <c r="P385" s="22"/>
    </row>
    <row r="386" spans="1:16" ht="14.4" x14ac:dyDescent="0.3">
      <c r="A386" s="18" t="s">
        <v>53</v>
      </c>
      <c r="B386" s="18"/>
      <c r="C386" s="16" t="s">
        <v>44</v>
      </c>
      <c r="D386" s="30">
        <f>'[47]DU VAT'!D15</f>
        <v>0.1129</v>
      </c>
      <c r="E386" s="30">
        <f>'[47]DU VAT'!E15</f>
        <v>0.1091</v>
      </c>
      <c r="F386" s="30">
        <f>'[47]DU VAT'!F15</f>
        <v>0.1124</v>
      </c>
      <c r="G386" s="30">
        <f>'[47]DU VAT'!G15</f>
        <v>0.1123</v>
      </c>
      <c r="H386" s="30">
        <f>'[47]DU VAT'!H15</f>
        <v>0.10780000000000001</v>
      </c>
      <c r="I386" s="30">
        <f>'[47]DU VAT'!I15</f>
        <v>0.1113</v>
      </c>
      <c r="J386" s="30">
        <f>'[47]DU VAT'!J15</f>
        <v>0.111</v>
      </c>
      <c r="K386" s="30">
        <f>'[47]DU VAT'!K15</f>
        <v>0.11260000000000001</v>
      </c>
      <c r="L386" s="30">
        <f>'[47]DU VAT'!L15</f>
        <v>0.1143</v>
      </c>
      <c r="M386" s="30">
        <f>'[47]DU VAT'!M15</f>
        <v>0.1157</v>
      </c>
      <c r="N386" s="30">
        <f>'[47]DU VAT'!N15</f>
        <v>0.11</v>
      </c>
      <c r="O386" s="30">
        <f>'[47]DU VAT'!O15</f>
        <v>0.112</v>
      </c>
      <c r="P386" s="30" t="e">
        <f>'[47]DU VAT'!P15</f>
        <v>#DIV/0!</v>
      </c>
    </row>
    <row r="387" spans="1:16" ht="14.4" x14ac:dyDescent="0.3">
      <c r="A387" s="18" t="s">
        <v>54</v>
      </c>
      <c r="B387" s="18"/>
      <c r="C387" s="16" t="s">
        <v>44</v>
      </c>
      <c r="D387" s="30">
        <f>'[47]DU VAT'!D19</f>
        <v>0.1028</v>
      </c>
      <c r="E387" s="30">
        <f>'[47]DU VAT'!E19</f>
        <v>0.1026</v>
      </c>
      <c r="F387" s="30">
        <f>'[47]DU VAT'!F19</f>
        <v>0.1045</v>
      </c>
      <c r="G387" s="30">
        <f>'[47]DU VAT'!G19</f>
        <v>0.109</v>
      </c>
      <c r="H387" s="30">
        <f>'[47]DU VAT'!H19</f>
        <v>0.1099</v>
      </c>
      <c r="I387" s="30">
        <f>'[47]DU VAT'!I19</f>
        <v>0.11070000000000001</v>
      </c>
      <c r="J387" s="30">
        <f>'[47]DU VAT'!J19</f>
        <v>0.1036</v>
      </c>
      <c r="K387" s="30">
        <f>'[47]DU VAT'!K19</f>
        <v>0.1027</v>
      </c>
      <c r="L387" s="30">
        <f>'[47]DU VAT'!L19</f>
        <v>0.10150000000000001</v>
      </c>
      <c r="M387" s="30">
        <f>'[47]DU VAT'!M19</f>
        <v>9.7199999999999995E-2</v>
      </c>
      <c r="N387" s="30">
        <f>'[47]DU VAT'!N19</f>
        <v>9.7900000000000001E-2</v>
      </c>
      <c r="O387" s="30">
        <f>'[47]DU VAT'!O19</f>
        <v>0.10340000000000001</v>
      </c>
      <c r="P387" s="30" t="e">
        <f>'[47]DU VAT'!P19</f>
        <v>#DIV/0!</v>
      </c>
    </row>
    <row r="388" spans="1:16" ht="14.4" x14ac:dyDescent="0.3">
      <c r="A388" s="18" t="s">
        <v>55</v>
      </c>
      <c r="B388" s="18"/>
      <c r="C388" s="16" t="s">
        <v>44</v>
      </c>
      <c r="D388" s="30">
        <f>'[47]DU VAT'!D25</f>
        <v>0.1114</v>
      </c>
      <c r="E388" s="30">
        <f>'[47]DU VAT'!E25</f>
        <v>0.10829999999999999</v>
      </c>
      <c r="F388" s="30">
        <f>'[47]DU VAT'!F25</f>
        <v>0.1114</v>
      </c>
      <c r="G388" s="30">
        <f>'[47]DU VAT'!G25</f>
        <v>0.112</v>
      </c>
      <c r="H388" s="30">
        <f>'[47]DU VAT'!H25</f>
        <v>0.1081</v>
      </c>
      <c r="I388" s="30">
        <f>'[47]DU VAT'!I25</f>
        <v>0.1113</v>
      </c>
      <c r="J388" s="30">
        <f>'[47]DU VAT'!J25</f>
        <v>0.1103</v>
      </c>
      <c r="K388" s="30">
        <f>'[47]DU VAT'!K25</f>
        <v>0.1114</v>
      </c>
      <c r="L388" s="30">
        <f>'[47]DU VAT'!L25</f>
        <v>0.11269999999999999</v>
      </c>
      <c r="M388" s="30">
        <f>'[47]DU VAT'!M25</f>
        <v>0.1133</v>
      </c>
      <c r="N388" s="30">
        <f>'[47]DU VAT'!N25</f>
        <v>0.1087</v>
      </c>
      <c r="O388" s="30">
        <f>'[47]DU VAT'!O25</f>
        <v>0.111</v>
      </c>
      <c r="P388" s="30" t="e">
        <f>'[47]DU VAT'!P25</f>
        <v>#DIV/0!</v>
      </c>
    </row>
    <row r="389" spans="1:16" ht="14.4" x14ac:dyDescent="0.3">
      <c r="A389" s="18" t="s">
        <v>56</v>
      </c>
      <c r="B389" s="18"/>
      <c r="C389" s="16" t="s">
        <v>44</v>
      </c>
      <c r="D389" s="30">
        <f>D346</f>
        <v>0.12</v>
      </c>
      <c r="E389" s="30">
        <f t="shared" ref="E389:P390" si="29">E346</f>
        <v>0.12</v>
      </c>
      <c r="F389" s="30">
        <f t="shared" si="29"/>
        <v>0.12</v>
      </c>
      <c r="G389" s="30">
        <f t="shared" si="29"/>
        <v>0.12</v>
      </c>
      <c r="H389" s="30">
        <f t="shared" si="29"/>
        <v>0.12</v>
      </c>
      <c r="I389" s="30">
        <f t="shared" si="29"/>
        <v>0.12</v>
      </c>
      <c r="J389" s="30">
        <f t="shared" si="29"/>
        <v>0.12</v>
      </c>
      <c r="K389" s="30">
        <f t="shared" si="29"/>
        <v>0.12</v>
      </c>
      <c r="L389" s="30">
        <f t="shared" si="29"/>
        <v>0.12</v>
      </c>
      <c r="M389" s="30">
        <f t="shared" si="29"/>
        <v>0.12</v>
      </c>
      <c r="N389" s="30">
        <f t="shared" si="29"/>
        <v>0.12</v>
      </c>
      <c r="O389" s="30">
        <f t="shared" si="29"/>
        <v>0.12</v>
      </c>
      <c r="P389" s="30">
        <f t="shared" si="29"/>
        <v>0.12</v>
      </c>
    </row>
    <row r="390" spans="1:16" ht="14.4" x14ac:dyDescent="0.3">
      <c r="A390" s="18" t="s">
        <v>57</v>
      </c>
      <c r="B390" s="18"/>
      <c r="C390" s="16" t="s">
        <v>44</v>
      </c>
      <c r="D390" s="30">
        <f>D347</f>
        <v>0.12</v>
      </c>
      <c r="E390" s="30">
        <f t="shared" si="29"/>
        <v>0.12</v>
      </c>
      <c r="F390" s="30">
        <f t="shared" si="29"/>
        <v>0.12</v>
      </c>
      <c r="G390" s="30">
        <f t="shared" si="29"/>
        <v>0.12</v>
      </c>
      <c r="H390" s="30">
        <f t="shared" si="29"/>
        <v>0.12</v>
      </c>
      <c r="I390" s="30">
        <f t="shared" si="29"/>
        <v>0.12</v>
      </c>
      <c r="J390" s="30">
        <f t="shared" si="29"/>
        <v>0.12</v>
      </c>
      <c r="K390" s="30">
        <f t="shared" si="29"/>
        <v>0.12</v>
      </c>
      <c r="L390" s="30">
        <f t="shared" si="29"/>
        <v>0.12</v>
      </c>
      <c r="M390" s="30">
        <f t="shared" si="29"/>
        <v>0.12</v>
      </c>
      <c r="N390" s="30">
        <f t="shared" si="29"/>
        <v>0.12</v>
      </c>
      <c r="O390" s="30">
        <f t="shared" si="29"/>
        <v>0.12</v>
      </c>
      <c r="P390" s="30">
        <f t="shared" si="29"/>
        <v>0.12</v>
      </c>
    </row>
    <row r="392" spans="1:16" hidden="1" x14ac:dyDescent="0.3"/>
    <row r="393" spans="1:16" hidden="1" x14ac:dyDescent="0.3"/>
    <row r="394" spans="1:16" x14ac:dyDescent="0.3">
      <c r="A394" s="3" t="s">
        <v>58</v>
      </c>
    </row>
    <row r="396" spans="1:16" s="13" customFormat="1" ht="14.4" hidden="1" x14ac:dyDescent="0.3">
      <c r="A396" s="11" t="s">
        <v>3</v>
      </c>
      <c r="B396" s="11"/>
      <c r="C396" s="11" t="s">
        <v>4</v>
      </c>
      <c r="D396" s="12">
        <f t="shared" ref="D396:P396" si="30">D352</f>
        <v>43466</v>
      </c>
      <c r="E396" s="12">
        <f t="shared" si="30"/>
        <v>43497</v>
      </c>
      <c r="F396" s="12">
        <f t="shared" si="30"/>
        <v>43525</v>
      </c>
      <c r="G396" s="12">
        <f t="shared" si="30"/>
        <v>43556</v>
      </c>
      <c r="H396" s="12">
        <f t="shared" si="30"/>
        <v>43586</v>
      </c>
      <c r="I396" s="12">
        <f t="shared" si="30"/>
        <v>43617</v>
      </c>
      <c r="J396" s="12">
        <f t="shared" si="30"/>
        <v>43647</v>
      </c>
      <c r="K396" s="12">
        <f t="shared" si="30"/>
        <v>43678</v>
      </c>
      <c r="L396" s="12">
        <f t="shared" si="30"/>
        <v>43709</v>
      </c>
      <c r="M396" s="12">
        <f t="shared" si="30"/>
        <v>43739</v>
      </c>
      <c r="N396" s="12">
        <f t="shared" si="30"/>
        <v>43770</v>
      </c>
      <c r="O396" s="12">
        <f t="shared" si="30"/>
        <v>43800</v>
      </c>
      <c r="P396" s="12">
        <f t="shared" si="30"/>
        <v>43831</v>
      </c>
    </row>
    <row r="397" spans="1:16" ht="14.4" x14ac:dyDescent="0.3">
      <c r="A397" s="61" t="s">
        <v>67</v>
      </c>
      <c r="B397" s="62"/>
      <c r="C397" s="63"/>
      <c r="D397" s="73">
        <f>D352</f>
        <v>43466</v>
      </c>
      <c r="E397" s="73">
        <f t="shared" ref="E397:P397" si="31">E352</f>
        <v>43497</v>
      </c>
      <c r="F397" s="73">
        <f t="shared" si="31"/>
        <v>43525</v>
      </c>
      <c r="G397" s="73">
        <f t="shared" si="31"/>
        <v>43556</v>
      </c>
      <c r="H397" s="73">
        <f t="shared" si="31"/>
        <v>43586</v>
      </c>
      <c r="I397" s="73">
        <f t="shared" si="31"/>
        <v>43617</v>
      </c>
      <c r="J397" s="73">
        <f t="shared" si="31"/>
        <v>43647</v>
      </c>
      <c r="K397" s="73">
        <f t="shared" si="31"/>
        <v>43678</v>
      </c>
      <c r="L397" s="73">
        <f t="shared" si="31"/>
        <v>43709</v>
      </c>
      <c r="M397" s="73">
        <f t="shared" si="31"/>
        <v>43739</v>
      </c>
      <c r="N397" s="73">
        <f t="shared" si="31"/>
        <v>43770</v>
      </c>
      <c r="O397" s="73">
        <f t="shared" si="31"/>
        <v>43800</v>
      </c>
      <c r="P397" s="73">
        <f t="shared" si="31"/>
        <v>43831</v>
      </c>
    </row>
    <row r="398" spans="1:16" ht="14.4" x14ac:dyDescent="0.3">
      <c r="A398" s="25" t="s">
        <v>68</v>
      </c>
      <c r="B398" s="25"/>
      <c r="C398" s="16" t="s">
        <v>19</v>
      </c>
      <c r="D398" s="20">
        <f>[47]GR!D22</f>
        <v>4.9119000000000002</v>
      </c>
      <c r="E398" s="20">
        <f>[47]GR!E22</f>
        <v>5.8939000000000004</v>
      </c>
      <c r="F398" s="20">
        <f>[47]GR!F22</f>
        <v>5.5972999999999997</v>
      </c>
      <c r="G398" s="20">
        <f>[47]GR!G22</f>
        <v>5.6322000000000001</v>
      </c>
      <c r="H398" s="20">
        <f>[47]GR!H22</f>
        <v>5.5507999999999997</v>
      </c>
      <c r="I398" s="20">
        <f>[47]GR!I22</f>
        <v>5.4157999999999999</v>
      </c>
      <c r="J398" s="20">
        <f>[47]GR!J22</f>
        <v>5.4226999999999999</v>
      </c>
      <c r="K398" s="20">
        <f>[47]GR!K22</f>
        <v>4.9619999999999997</v>
      </c>
      <c r="L398" s="20">
        <f>[47]GR!L22</f>
        <v>4.5190999999999999</v>
      </c>
      <c r="M398" s="20">
        <f>[47]GR!M22</f>
        <v>4.5406000000000004</v>
      </c>
      <c r="N398" s="20">
        <f>[47]GR!N22</f>
        <v>5.0316999999999998</v>
      </c>
      <c r="O398" s="20">
        <f>[47]GR!O22</f>
        <v>5.1966999999999999</v>
      </c>
      <c r="P398" s="20" t="e">
        <f>[47]GR!P22</f>
        <v>#DIV/0!</v>
      </c>
    </row>
    <row r="399" spans="1:16" ht="14.4" x14ac:dyDescent="0.3">
      <c r="A399" s="25" t="s">
        <v>69</v>
      </c>
      <c r="B399" s="25"/>
      <c r="C399" s="16"/>
      <c r="D399" s="24"/>
      <c r="E399" s="24"/>
      <c r="F399" s="24"/>
      <c r="G399" s="24"/>
      <c r="H399" s="24"/>
      <c r="I399" s="24"/>
      <c r="J399" s="24"/>
      <c r="K399" s="24"/>
      <c r="L399" s="24"/>
      <c r="M399" s="24"/>
      <c r="N399" s="24"/>
      <c r="O399" s="24"/>
      <c r="P399" s="24"/>
    </row>
    <row r="400" spans="1:16" ht="14.4" x14ac:dyDescent="0.3">
      <c r="A400" s="25" t="s">
        <v>113</v>
      </c>
      <c r="B400" s="25"/>
      <c r="C400" s="16" t="s">
        <v>19</v>
      </c>
      <c r="D400" s="20">
        <f>7.4854</f>
        <v>7.4854000000000003</v>
      </c>
      <c r="E400" s="20">
        <v>7.4854000000000003</v>
      </c>
      <c r="F400" s="20">
        <v>7.4854000000000003</v>
      </c>
      <c r="G400" s="20">
        <v>7.4854000000000003</v>
      </c>
      <c r="H400" s="20">
        <v>7.4854000000000003</v>
      </c>
      <c r="I400" s="20">
        <v>7.4854000000000003</v>
      </c>
      <c r="J400" s="20">
        <v>7.2778999999999998</v>
      </c>
      <c r="K400" s="20">
        <v>7.2778999999999998</v>
      </c>
      <c r="L400" s="20">
        <v>7.2778999999999998</v>
      </c>
      <c r="M400" s="20">
        <v>7.2778999999999998</v>
      </c>
      <c r="N400" s="20">
        <v>7.2778999999999998</v>
      </c>
      <c r="O400" s="20">
        <v>7.2778999999999998</v>
      </c>
      <c r="P400" s="20">
        <v>7.4854000000000003</v>
      </c>
    </row>
    <row r="401" spans="1:18" ht="14.4" x14ac:dyDescent="0.3">
      <c r="A401" s="25" t="s">
        <v>114</v>
      </c>
      <c r="B401" s="25"/>
      <c r="C401" s="16" t="s">
        <v>19</v>
      </c>
      <c r="D401" s="20">
        <f>3.5461</f>
        <v>3.5461</v>
      </c>
      <c r="E401" s="20">
        <f>3.5461</f>
        <v>3.5461</v>
      </c>
      <c r="F401" s="20">
        <f>3.5461</f>
        <v>3.5461</v>
      </c>
      <c r="G401" s="20">
        <f t="shared" ref="G401:P401" si="32">3.5461</f>
        <v>3.5461</v>
      </c>
      <c r="H401" s="20">
        <f t="shared" si="32"/>
        <v>3.5461</v>
      </c>
      <c r="I401" s="20">
        <f t="shared" si="32"/>
        <v>3.5461</v>
      </c>
      <c r="J401" s="20">
        <f t="shared" si="32"/>
        <v>3.5461</v>
      </c>
      <c r="K401" s="20">
        <f t="shared" si="32"/>
        <v>3.5461</v>
      </c>
      <c r="L401" s="20">
        <f t="shared" si="32"/>
        <v>3.5461</v>
      </c>
      <c r="M401" s="20">
        <f t="shared" si="32"/>
        <v>3.5461</v>
      </c>
      <c r="N401" s="20">
        <f t="shared" si="32"/>
        <v>3.5461</v>
      </c>
      <c r="O401" s="20">
        <f t="shared" si="32"/>
        <v>3.5461</v>
      </c>
      <c r="P401" s="20">
        <f t="shared" si="32"/>
        <v>3.5461</v>
      </c>
    </row>
    <row r="402" spans="1:18" ht="14.4" x14ac:dyDescent="0.3">
      <c r="A402" s="25" t="s">
        <v>115</v>
      </c>
      <c r="B402" s="25"/>
      <c r="C402" s="16" t="s">
        <v>19</v>
      </c>
      <c r="D402" s="20">
        <v>-0.8004</v>
      </c>
      <c r="E402" s="20">
        <v>0.1825</v>
      </c>
      <c r="F402" s="20">
        <v>-1.6199999999999999E-2</v>
      </c>
      <c r="G402" s="20">
        <v>-7.3800000000000004E-2</v>
      </c>
      <c r="H402" s="20">
        <v>-0.15509999999999999</v>
      </c>
      <c r="I402" s="20">
        <v>-0.28970000000000001</v>
      </c>
      <c r="J402" s="20">
        <v>-0.15340000000000001</v>
      </c>
      <c r="K402" s="20">
        <v>-0.61850000000000005</v>
      </c>
      <c r="L402" s="20">
        <v>-1.0627</v>
      </c>
      <c r="M402" s="20">
        <v>-1.0382</v>
      </c>
      <c r="N402" s="20">
        <v>-0.54949999999999999</v>
      </c>
      <c r="O402" s="20">
        <v>-0.38440000000000002</v>
      </c>
      <c r="P402" s="20"/>
    </row>
    <row r="403" spans="1:18" x14ac:dyDescent="0.3">
      <c r="A403" s="62"/>
      <c r="B403" s="62"/>
      <c r="C403" s="63"/>
      <c r="D403" s="62"/>
      <c r="E403" s="62"/>
      <c r="F403" s="62"/>
      <c r="G403" s="62"/>
      <c r="H403" s="62"/>
      <c r="I403" s="62"/>
      <c r="J403" s="62"/>
      <c r="K403" s="62"/>
      <c r="L403" s="62"/>
      <c r="M403" s="62"/>
      <c r="N403" s="62"/>
      <c r="O403" s="62"/>
      <c r="P403" s="62"/>
    </row>
    <row r="404" spans="1:18" ht="14.4" x14ac:dyDescent="0.3">
      <c r="A404" s="64" t="s">
        <v>72</v>
      </c>
      <c r="B404" s="64"/>
      <c r="C404" s="65"/>
      <c r="D404" s="66"/>
      <c r="E404" s="66"/>
      <c r="F404" s="66"/>
      <c r="G404" s="66"/>
      <c r="H404" s="66"/>
      <c r="I404" s="66"/>
      <c r="J404" s="66"/>
      <c r="K404" s="66"/>
      <c r="L404" s="66"/>
      <c r="M404" s="66"/>
      <c r="N404" s="66"/>
      <c r="O404" s="66"/>
      <c r="P404" s="66"/>
    </row>
    <row r="405" spans="1:18" ht="14.4" x14ac:dyDescent="0.3">
      <c r="A405" s="64" t="s">
        <v>73</v>
      </c>
      <c r="B405" s="64"/>
      <c r="C405" s="65" t="s">
        <v>19</v>
      </c>
      <c r="D405" s="67">
        <v>4.4119999999999999</v>
      </c>
      <c r="E405" s="67">
        <v>5.4104000000000001</v>
      </c>
      <c r="F405" s="67">
        <v>5.2481</v>
      </c>
      <c r="G405" s="67">
        <v>5.2111000000000001</v>
      </c>
      <c r="H405" s="67">
        <v>5.0861999999999998</v>
      </c>
      <c r="I405" s="67">
        <v>4.9687000000000001</v>
      </c>
      <c r="J405" s="67">
        <v>5.0006000000000004</v>
      </c>
      <c r="K405" s="67">
        <v>4.5400999999999998</v>
      </c>
      <c r="L405" s="67">
        <v>4.1128</v>
      </c>
      <c r="M405" s="67">
        <v>4.1279000000000003</v>
      </c>
      <c r="N405" s="67">
        <v>4.6310000000000002</v>
      </c>
      <c r="O405" s="67"/>
      <c r="P405" s="67"/>
      <c r="Q405" s="68"/>
      <c r="R405" s="68"/>
    </row>
    <row r="406" spans="1:18" ht="14.4" x14ac:dyDescent="0.3">
      <c r="A406" s="64" t="s">
        <v>75</v>
      </c>
      <c r="B406" s="64"/>
      <c r="C406" s="65" t="s">
        <v>19</v>
      </c>
      <c r="D406" s="67">
        <v>4.6006</v>
      </c>
      <c r="E406" s="67">
        <v>5.7225000000000001</v>
      </c>
      <c r="F406" s="67">
        <v>5.5111999999999997</v>
      </c>
      <c r="G406" s="67">
        <v>5.4770000000000003</v>
      </c>
      <c r="H406" s="67">
        <v>5.3579999999999997</v>
      </c>
      <c r="I406" s="67">
        <v>5.2313999999999998</v>
      </c>
      <c r="J406" s="67">
        <v>5.2553999999999998</v>
      </c>
      <c r="K406" s="67">
        <v>4.7830000000000004</v>
      </c>
      <c r="L406" s="67">
        <v>4.3459000000000003</v>
      </c>
      <c r="M406" s="67">
        <v>4.3623000000000003</v>
      </c>
      <c r="N406" s="67">
        <v>4.8532000000000002</v>
      </c>
      <c r="O406" s="67"/>
      <c r="P406" s="67"/>
      <c r="Q406" s="68"/>
      <c r="R406" s="68"/>
    </row>
    <row r="407" spans="1:18" ht="14.4" x14ac:dyDescent="0.3">
      <c r="A407" s="64" t="s">
        <v>76</v>
      </c>
      <c r="B407" s="64"/>
      <c r="C407" s="65" t="s">
        <v>19</v>
      </c>
      <c r="D407" s="67">
        <v>4.5213999999999999</v>
      </c>
      <c r="E407" s="67">
        <v>5.5690999999999997</v>
      </c>
      <c r="F407" s="67">
        <v>5.4183000000000003</v>
      </c>
      <c r="G407" s="67">
        <v>5.3926999999999996</v>
      </c>
      <c r="H407" s="67">
        <v>5.2976999999999999</v>
      </c>
      <c r="I407" s="67">
        <v>5.1627999999999998</v>
      </c>
      <c r="J407" s="67">
        <v>5.1999000000000004</v>
      </c>
      <c r="K407" s="67">
        <v>4.7028999999999996</v>
      </c>
      <c r="L407" s="67">
        <v>4.2667000000000002</v>
      </c>
      <c r="M407" s="67">
        <v>4.2887000000000004</v>
      </c>
      <c r="N407" s="67">
        <v>4.7899000000000003</v>
      </c>
      <c r="O407" s="67"/>
      <c r="P407" s="67"/>
      <c r="Q407" s="68"/>
      <c r="R407" s="68"/>
    </row>
    <row r="408" spans="1:18" ht="14.4" x14ac:dyDescent="0.3">
      <c r="A408" s="64" t="s">
        <v>77</v>
      </c>
      <c r="B408" s="64"/>
      <c r="C408" s="65" t="s">
        <v>19</v>
      </c>
      <c r="D408" s="67">
        <v>4.2309000000000001</v>
      </c>
      <c r="E408" s="67">
        <v>5.6332000000000004</v>
      </c>
      <c r="F408" s="67">
        <v>5.0907</v>
      </c>
      <c r="G408" s="67">
        <v>5.0021000000000004</v>
      </c>
      <c r="H408" s="67">
        <v>4.9295999999999998</v>
      </c>
      <c r="I408" s="67">
        <v>4.7743000000000002</v>
      </c>
      <c r="J408" s="67">
        <v>5.0191999999999997</v>
      </c>
      <c r="K408" s="67">
        <v>4.2417999999999996</v>
      </c>
      <c r="L408" s="67">
        <v>3.7774999999999999</v>
      </c>
      <c r="M408" s="67">
        <v>3.8965999999999998</v>
      </c>
      <c r="N408" s="67">
        <v>4.3986999999999998</v>
      </c>
      <c r="O408" s="67"/>
      <c r="P408" s="67"/>
      <c r="Q408" s="68"/>
      <c r="R408" s="68"/>
    </row>
    <row r="409" spans="1:18" ht="14.4" x14ac:dyDescent="0.3">
      <c r="A409" s="64" t="s">
        <v>78</v>
      </c>
      <c r="B409" s="64"/>
      <c r="C409" s="65" t="s">
        <v>19</v>
      </c>
      <c r="D409" s="67">
        <v>4.6025</v>
      </c>
      <c r="E409" s="67">
        <v>5.6304999999999996</v>
      </c>
      <c r="F409" s="67">
        <v>5.4828999999999999</v>
      </c>
      <c r="G409" s="67">
        <v>5.4451000000000001</v>
      </c>
      <c r="H409" s="67">
        <v>5.3604000000000003</v>
      </c>
      <c r="I409" s="67">
        <v>5.1980000000000004</v>
      </c>
      <c r="J409" s="67">
        <v>5.2508999999999997</v>
      </c>
      <c r="K409" s="67">
        <v>4.7535999999999996</v>
      </c>
      <c r="L409" s="67">
        <v>4.3178999999999998</v>
      </c>
      <c r="M409" s="67">
        <v>4.3711000000000002</v>
      </c>
      <c r="N409" s="67">
        <v>4.8287000000000004</v>
      </c>
      <c r="O409" s="67"/>
      <c r="P409" s="67"/>
      <c r="Q409" s="68"/>
      <c r="R409" s="68"/>
    </row>
    <row r="410" spans="1:18" x14ac:dyDescent="0.3">
      <c r="A410" s="62"/>
      <c r="B410" s="62"/>
      <c r="C410" s="63"/>
      <c r="D410" s="62"/>
      <c r="E410" s="62"/>
      <c r="F410" s="62"/>
      <c r="G410" s="62"/>
      <c r="H410" s="62"/>
      <c r="I410" s="62"/>
      <c r="J410" s="62"/>
      <c r="K410" s="62"/>
      <c r="L410" s="62"/>
      <c r="M410" s="62"/>
      <c r="N410" s="62"/>
      <c r="O410" s="62"/>
      <c r="P410" s="62"/>
    </row>
    <row r="411" spans="1:18" s="33" customFormat="1" x14ac:dyDescent="0.3">
      <c r="A411" s="74" t="s">
        <v>139</v>
      </c>
      <c r="B411" s="74"/>
      <c r="C411" s="75"/>
      <c r="D411" s="74"/>
      <c r="E411" s="74"/>
      <c r="F411" s="74"/>
      <c r="G411" s="74"/>
      <c r="H411" s="74"/>
      <c r="I411" s="74"/>
      <c r="J411" s="74"/>
      <c r="K411" s="74"/>
      <c r="L411" s="74"/>
      <c r="M411" s="74"/>
      <c r="N411" s="74"/>
      <c r="O411" s="74"/>
      <c r="P411" s="74"/>
    </row>
    <row r="412" spans="1:18" x14ac:dyDescent="0.3">
      <c r="A412" s="62"/>
      <c r="B412" s="62"/>
      <c r="C412" s="63"/>
      <c r="D412" s="62"/>
      <c r="E412" s="62"/>
      <c r="F412" s="62"/>
      <c r="G412" s="62"/>
      <c r="H412" s="62"/>
      <c r="I412" s="62"/>
      <c r="J412" s="62"/>
      <c r="K412" s="62"/>
      <c r="L412" s="62"/>
      <c r="M412" s="62"/>
      <c r="N412" s="62"/>
      <c r="O412" s="62"/>
      <c r="P412" s="62"/>
    </row>
    <row r="413" spans="1:18" ht="14.4" x14ac:dyDescent="0.3">
      <c r="A413" s="61" t="s">
        <v>82</v>
      </c>
      <c r="B413" s="62"/>
      <c r="C413" s="63"/>
      <c r="D413" s="62"/>
      <c r="E413" s="62"/>
      <c r="F413" s="62"/>
      <c r="G413" s="62"/>
      <c r="H413" s="62"/>
      <c r="I413" s="62"/>
      <c r="J413" s="62"/>
      <c r="K413" s="62"/>
      <c r="L413" s="62"/>
      <c r="M413" s="62"/>
      <c r="N413" s="62"/>
      <c r="O413" s="62"/>
      <c r="P413" s="62"/>
    </row>
    <row r="414" spans="1:18" ht="14.4" x14ac:dyDescent="0.3">
      <c r="A414" s="25" t="s">
        <v>83</v>
      </c>
      <c r="B414" s="25"/>
      <c r="C414" s="16" t="s">
        <v>19</v>
      </c>
      <c r="D414" s="20">
        <v>1.0012000000000001</v>
      </c>
      <c r="E414" s="20">
        <v>1.0012000000000001</v>
      </c>
      <c r="F414" s="20">
        <v>1.0012000000000001</v>
      </c>
      <c r="G414" s="20">
        <v>1.0012000000000001</v>
      </c>
      <c r="H414" s="20">
        <v>1.0012000000000001</v>
      </c>
      <c r="I414" s="20">
        <v>1.0012000000000001</v>
      </c>
      <c r="J414" s="20">
        <v>1.0012000000000001</v>
      </c>
      <c r="K414" s="20">
        <v>1.0012000000000001</v>
      </c>
      <c r="L414" s="20">
        <v>1.0012000000000001</v>
      </c>
      <c r="M414" s="20">
        <v>1.0012000000000001</v>
      </c>
      <c r="N414" s="20">
        <v>1.0012000000000001</v>
      </c>
      <c r="O414" s="20">
        <v>1.0012000000000001</v>
      </c>
      <c r="P414" s="20">
        <v>1.0012000000000001</v>
      </c>
    </row>
    <row r="415" spans="1:18" ht="14.4" x14ac:dyDescent="0.3">
      <c r="A415" s="25" t="s">
        <v>84</v>
      </c>
      <c r="B415" s="25"/>
      <c r="C415" s="16" t="s">
        <v>19</v>
      </c>
      <c r="D415" s="20">
        <v>1.3183</v>
      </c>
      <c r="E415" s="20">
        <v>1.3183</v>
      </c>
      <c r="F415" s="20">
        <v>1.3183</v>
      </c>
      <c r="G415" s="20">
        <v>1.3183</v>
      </c>
      <c r="H415" s="20">
        <v>1.3183</v>
      </c>
      <c r="I415" s="20">
        <v>1.3183</v>
      </c>
      <c r="J415" s="20">
        <v>1.3183</v>
      </c>
      <c r="K415" s="20">
        <v>1.3183</v>
      </c>
      <c r="L415" s="20">
        <v>1.3183</v>
      </c>
      <c r="M415" s="20">
        <v>1.3183</v>
      </c>
      <c r="N415" s="20">
        <v>1.3183</v>
      </c>
      <c r="O415" s="20">
        <v>1.3183</v>
      </c>
      <c r="P415" s="20">
        <v>1.3183</v>
      </c>
    </row>
    <row r="416" spans="1:18" ht="14.4" x14ac:dyDescent="0.3">
      <c r="A416" s="25" t="s">
        <v>85</v>
      </c>
      <c r="B416" s="25"/>
      <c r="C416" s="16" t="s">
        <v>19</v>
      </c>
      <c r="D416" s="20">
        <v>1.6174999999999999</v>
      </c>
      <c r="E416" s="20">
        <v>1.6174999999999999</v>
      </c>
      <c r="F416" s="20">
        <v>1.6174999999999999</v>
      </c>
      <c r="G416" s="20">
        <v>1.6174999999999999</v>
      </c>
      <c r="H416" s="20">
        <v>1.6174999999999999</v>
      </c>
      <c r="I416" s="20">
        <v>1.6174999999999999</v>
      </c>
      <c r="J416" s="20">
        <v>1.6174999999999999</v>
      </c>
      <c r="K416" s="20">
        <v>1.6174999999999999</v>
      </c>
      <c r="L416" s="20">
        <v>1.6174999999999999</v>
      </c>
      <c r="M416" s="20">
        <v>1.6174999999999999</v>
      </c>
      <c r="N416" s="20">
        <v>1.6174999999999999</v>
      </c>
      <c r="O416" s="20">
        <v>1.6174999999999999</v>
      </c>
      <c r="P416" s="20">
        <v>1.6174999999999999</v>
      </c>
    </row>
    <row r="417" spans="1:16" ht="14.4" x14ac:dyDescent="0.3">
      <c r="A417" s="25" t="s">
        <v>86</v>
      </c>
      <c r="B417" s="25"/>
      <c r="C417" s="16" t="s">
        <v>19</v>
      </c>
      <c r="D417" s="20">
        <v>2.1387</v>
      </c>
      <c r="E417" s="20">
        <v>2.1387</v>
      </c>
      <c r="F417" s="20">
        <v>2.1387</v>
      </c>
      <c r="G417" s="20">
        <v>2.1387</v>
      </c>
      <c r="H417" s="20">
        <v>2.1387</v>
      </c>
      <c r="I417" s="20">
        <v>2.1387</v>
      </c>
      <c r="J417" s="20">
        <v>2.1387</v>
      </c>
      <c r="K417" s="20">
        <v>2.1387</v>
      </c>
      <c r="L417" s="20">
        <v>2.1387</v>
      </c>
      <c r="M417" s="20">
        <v>2.1387</v>
      </c>
      <c r="N417" s="20">
        <v>2.1387</v>
      </c>
      <c r="O417" s="20">
        <v>2.1387</v>
      </c>
      <c r="P417" s="20">
        <v>2.1387</v>
      </c>
    </row>
    <row r="418" spans="1:16" x14ac:dyDescent="0.3">
      <c r="A418" s="62"/>
      <c r="B418" s="62"/>
      <c r="C418" s="63"/>
      <c r="D418" s="62"/>
      <c r="E418" s="62"/>
      <c r="F418" s="62"/>
      <c r="G418" s="62"/>
      <c r="H418" s="62"/>
      <c r="I418" s="62"/>
      <c r="J418" s="62"/>
      <c r="K418" s="62"/>
      <c r="L418" s="62"/>
      <c r="M418" s="62"/>
      <c r="N418" s="62"/>
      <c r="O418" s="62"/>
      <c r="P418" s="62"/>
    </row>
    <row r="419" spans="1:16" ht="14.4" x14ac:dyDescent="0.3">
      <c r="A419" s="61" t="s">
        <v>87</v>
      </c>
      <c r="B419" s="62"/>
      <c r="C419" s="63"/>
      <c r="D419" s="62"/>
      <c r="E419" s="62"/>
      <c r="F419" s="62"/>
      <c r="G419" s="62"/>
      <c r="H419" s="62"/>
      <c r="I419" s="62"/>
      <c r="J419" s="62"/>
      <c r="K419" s="62"/>
      <c r="L419" s="62"/>
      <c r="M419" s="62"/>
      <c r="N419" s="62"/>
      <c r="O419" s="62"/>
      <c r="P419" s="62"/>
    </row>
    <row r="420" spans="1:16" ht="14.4" x14ac:dyDescent="0.3">
      <c r="A420" s="25" t="s">
        <v>68</v>
      </c>
      <c r="B420" s="25"/>
      <c r="C420" s="16"/>
      <c r="D420" s="24"/>
      <c r="E420" s="24"/>
      <c r="F420" s="24"/>
      <c r="G420" s="24"/>
      <c r="H420" s="24"/>
      <c r="I420" s="24"/>
      <c r="J420" s="24"/>
      <c r="K420" s="24"/>
      <c r="L420" s="24"/>
      <c r="M420" s="24"/>
      <c r="N420" s="24"/>
      <c r="O420" s="24"/>
      <c r="P420" s="24"/>
    </row>
    <row r="421" spans="1:16" ht="14.4" x14ac:dyDescent="0.3">
      <c r="A421" s="25" t="s">
        <v>88</v>
      </c>
      <c r="B421" s="25"/>
      <c r="C421" s="16" t="s">
        <v>19</v>
      </c>
      <c r="D421" s="20">
        <v>0.50849999999999995</v>
      </c>
      <c r="E421" s="20">
        <v>0.50849999999999995</v>
      </c>
      <c r="F421" s="20">
        <v>0.50849999999999995</v>
      </c>
      <c r="G421" s="20">
        <v>0.50849999999999995</v>
      </c>
      <c r="H421" s="20">
        <v>0.50849999999999995</v>
      </c>
      <c r="I421" s="20">
        <v>0.50849999999999995</v>
      </c>
      <c r="J421" s="20">
        <v>0.50849999999999995</v>
      </c>
      <c r="K421" s="20">
        <v>0.50849999999999995</v>
      </c>
      <c r="L421" s="20">
        <v>0.50849999999999995</v>
      </c>
      <c r="M421" s="20">
        <v>0.50849999999999995</v>
      </c>
      <c r="N421" s="20">
        <v>0.50849999999999995</v>
      </c>
      <c r="O421" s="20">
        <v>0.50849999999999995</v>
      </c>
      <c r="P421" s="20">
        <v>0.50849999999999995</v>
      </c>
    </row>
    <row r="422" spans="1:16" ht="14.4" x14ac:dyDescent="0.3">
      <c r="A422" s="25" t="s">
        <v>89</v>
      </c>
      <c r="B422" s="25"/>
      <c r="C422" s="16" t="s">
        <v>19</v>
      </c>
      <c r="D422" s="20">
        <v>0</v>
      </c>
      <c r="E422" s="20">
        <v>0</v>
      </c>
      <c r="F422" s="20">
        <v>0</v>
      </c>
      <c r="G422" s="20">
        <v>0</v>
      </c>
      <c r="H422" s="20">
        <v>0</v>
      </c>
      <c r="I422" s="20">
        <v>0</v>
      </c>
      <c r="J422" s="20">
        <v>0</v>
      </c>
      <c r="K422" s="20">
        <v>0</v>
      </c>
      <c r="L422" s="20">
        <v>0</v>
      </c>
      <c r="M422" s="20">
        <v>0</v>
      </c>
      <c r="N422" s="20">
        <v>0</v>
      </c>
      <c r="O422" s="20">
        <v>0</v>
      </c>
      <c r="P422" s="20">
        <v>0</v>
      </c>
    </row>
    <row r="423" spans="1:16" ht="14.4" x14ac:dyDescent="0.3">
      <c r="A423" s="25" t="s">
        <v>69</v>
      </c>
      <c r="B423" s="25"/>
      <c r="C423" s="16"/>
      <c r="D423" s="24"/>
      <c r="E423" s="24"/>
      <c r="F423" s="24"/>
      <c r="G423" s="24"/>
      <c r="H423" s="24"/>
      <c r="I423" s="24"/>
      <c r="J423" s="24"/>
      <c r="K423" s="24"/>
      <c r="L423" s="24"/>
      <c r="M423" s="24"/>
      <c r="N423" s="24"/>
      <c r="O423" s="24"/>
      <c r="P423" s="24"/>
    </row>
    <row r="424" spans="1:16" ht="14.4" x14ac:dyDescent="0.3">
      <c r="A424" s="25" t="s">
        <v>88</v>
      </c>
      <c r="B424" s="25"/>
      <c r="C424" s="16" t="s">
        <v>19</v>
      </c>
      <c r="D424" s="20">
        <f t="shared" ref="D424:G424" si="33">D421+0.01</f>
        <v>0.51849999999999996</v>
      </c>
      <c r="E424" s="20">
        <f t="shared" si="33"/>
        <v>0.51849999999999996</v>
      </c>
      <c r="F424" s="20">
        <f t="shared" si="33"/>
        <v>0.51849999999999996</v>
      </c>
      <c r="G424" s="20">
        <f t="shared" si="33"/>
        <v>0.51849999999999996</v>
      </c>
      <c r="H424" s="20">
        <v>0.51849999999999996</v>
      </c>
      <c r="I424" s="20">
        <v>0.51849999999999996</v>
      </c>
      <c r="J424" s="20">
        <v>0.51849999999999996</v>
      </c>
      <c r="K424" s="20">
        <v>0.51849999999999996</v>
      </c>
      <c r="L424" s="20">
        <v>0.51849999999999996</v>
      </c>
      <c r="M424" s="20">
        <v>0.51849999999999996</v>
      </c>
      <c r="N424" s="20">
        <v>0.51849999999999996</v>
      </c>
      <c r="O424" s="20">
        <v>0.51849999999999996</v>
      </c>
      <c r="P424" s="20">
        <v>0.51849999999999996</v>
      </c>
    </row>
    <row r="425" spans="1:16" ht="14.4" x14ac:dyDescent="0.3">
      <c r="A425" s="25" t="s">
        <v>89</v>
      </c>
      <c r="B425" s="25"/>
      <c r="C425" s="16" t="s">
        <v>19</v>
      </c>
      <c r="D425" s="20">
        <f t="shared" ref="D425:G425" si="34">D423+0.01</f>
        <v>0.01</v>
      </c>
      <c r="E425" s="20">
        <f t="shared" si="34"/>
        <v>0.01</v>
      </c>
      <c r="F425" s="20">
        <f t="shared" si="34"/>
        <v>0.01</v>
      </c>
      <c r="G425" s="20">
        <f t="shared" si="34"/>
        <v>0.01</v>
      </c>
      <c r="H425" s="20">
        <v>0.01</v>
      </c>
      <c r="I425" s="20">
        <v>0.01</v>
      </c>
      <c r="J425" s="20">
        <v>0.01</v>
      </c>
      <c r="K425" s="20">
        <v>0.01</v>
      </c>
      <c r="L425" s="20">
        <v>0.01</v>
      </c>
      <c r="M425" s="20">
        <v>0.01</v>
      </c>
      <c r="N425" s="20">
        <v>0.01</v>
      </c>
      <c r="O425" s="20">
        <v>0.01</v>
      </c>
      <c r="P425" s="20">
        <v>0.01</v>
      </c>
    </row>
    <row r="426" spans="1:16" x14ac:dyDescent="0.3">
      <c r="A426" s="62"/>
      <c r="B426" s="62"/>
      <c r="C426" s="63"/>
      <c r="D426" s="62"/>
      <c r="E426" s="62"/>
      <c r="F426" s="62"/>
      <c r="G426" s="62"/>
      <c r="H426" s="62"/>
      <c r="I426" s="62"/>
      <c r="J426" s="62"/>
      <c r="K426" s="62"/>
      <c r="L426" s="62"/>
      <c r="M426" s="62"/>
      <c r="N426" s="62"/>
      <c r="O426" s="62"/>
      <c r="P426" s="62"/>
    </row>
    <row r="427" spans="1:16" ht="14.4" x14ac:dyDescent="0.3">
      <c r="A427" s="61" t="s">
        <v>90</v>
      </c>
      <c r="B427" s="62"/>
      <c r="C427" s="63"/>
      <c r="D427" s="62"/>
      <c r="E427" s="62"/>
      <c r="F427" s="62"/>
      <c r="G427" s="62"/>
      <c r="H427" s="62"/>
      <c r="I427" s="62"/>
      <c r="J427" s="62"/>
      <c r="K427" s="62"/>
      <c r="L427" s="62"/>
      <c r="M427" s="62"/>
      <c r="N427" s="62"/>
      <c r="O427" s="62"/>
      <c r="P427" s="62"/>
    </row>
    <row r="428" spans="1:16" ht="14.4" x14ac:dyDescent="0.3">
      <c r="A428" s="25" t="s">
        <v>68</v>
      </c>
      <c r="B428" s="25"/>
      <c r="C428" s="16"/>
      <c r="D428" s="24"/>
      <c r="E428" s="24"/>
      <c r="F428" s="24"/>
      <c r="G428" s="24"/>
      <c r="H428" s="24"/>
      <c r="I428" s="24"/>
      <c r="J428" s="24"/>
      <c r="K428" s="24"/>
      <c r="L428" s="24"/>
      <c r="M428" s="24"/>
      <c r="N428" s="24"/>
      <c r="O428" s="24"/>
      <c r="P428" s="24"/>
    </row>
    <row r="429" spans="1:16" ht="14.4" x14ac:dyDescent="0.3">
      <c r="A429" s="25" t="s">
        <v>88</v>
      </c>
      <c r="B429" s="25"/>
      <c r="C429" s="16" t="s">
        <v>32</v>
      </c>
      <c r="D429" s="69">
        <v>16.73</v>
      </c>
      <c r="E429" s="69">
        <v>16.73</v>
      </c>
      <c r="F429" s="69">
        <v>16.73</v>
      </c>
      <c r="G429" s="69">
        <v>16.73</v>
      </c>
      <c r="H429" s="69">
        <v>16.73</v>
      </c>
      <c r="I429" s="69">
        <v>16.73</v>
      </c>
      <c r="J429" s="69">
        <v>16.73</v>
      </c>
      <c r="K429" s="69">
        <v>16.73</v>
      </c>
      <c r="L429" s="69">
        <v>16.73</v>
      </c>
      <c r="M429" s="69">
        <v>16.73</v>
      </c>
      <c r="N429" s="69">
        <v>16.73</v>
      </c>
      <c r="O429" s="69">
        <v>16.73</v>
      </c>
      <c r="P429" s="69">
        <v>16.73</v>
      </c>
    </row>
    <row r="430" spans="1:16" ht="14.4" x14ac:dyDescent="0.3">
      <c r="A430" s="25" t="s">
        <v>92</v>
      </c>
      <c r="B430" s="25"/>
      <c r="C430" s="16" t="s">
        <v>32</v>
      </c>
      <c r="D430" s="69">
        <v>371.48</v>
      </c>
      <c r="E430" s="69">
        <v>371.48</v>
      </c>
      <c r="F430" s="69">
        <v>371.48</v>
      </c>
      <c r="G430" s="69">
        <v>371.48</v>
      </c>
      <c r="H430" s="69">
        <v>371.48</v>
      </c>
      <c r="I430" s="69">
        <v>371.48</v>
      </c>
      <c r="J430" s="69">
        <v>371.48</v>
      </c>
      <c r="K430" s="69">
        <v>371.48</v>
      </c>
      <c r="L430" s="69">
        <v>371.48</v>
      </c>
      <c r="M430" s="69">
        <v>371.48</v>
      </c>
      <c r="N430" s="69">
        <v>371.48</v>
      </c>
      <c r="O430" s="69">
        <v>371.48</v>
      </c>
      <c r="P430" s="69">
        <v>371.48</v>
      </c>
    </row>
    <row r="431" spans="1:16" ht="14.4" x14ac:dyDescent="0.3">
      <c r="A431" s="25" t="s">
        <v>93</v>
      </c>
      <c r="B431" s="25"/>
      <c r="C431" s="16" t="s">
        <v>32</v>
      </c>
      <c r="D431" s="69">
        <v>845.17</v>
      </c>
      <c r="E431" s="69">
        <v>845.17</v>
      </c>
      <c r="F431" s="69">
        <v>845.17</v>
      </c>
      <c r="G431" s="69">
        <v>845.17</v>
      </c>
      <c r="H431" s="69">
        <v>845.17</v>
      </c>
      <c r="I431" s="69">
        <v>845.17</v>
      </c>
      <c r="J431" s="69">
        <v>845.17</v>
      </c>
      <c r="K431" s="69">
        <v>845.17</v>
      </c>
      <c r="L431" s="69">
        <v>845.17</v>
      </c>
      <c r="M431" s="69">
        <v>845.17</v>
      </c>
      <c r="N431" s="69">
        <v>845.17</v>
      </c>
      <c r="O431" s="69">
        <v>845.17</v>
      </c>
      <c r="P431" s="69">
        <v>845.17</v>
      </c>
    </row>
    <row r="432" spans="1:16" ht="14.4" x14ac:dyDescent="0.3">
      <c r="A432" s="25" t="s">
        <v>94</v>
      </c>
      <c r="B432" s="25"/>
      <c r="C432" s="16" t="s">
        <v>32</v>
      </c>
      <c r="D432" s="69">
        <v>3505.46</v>
      </c>
      <c r="E432" s="69">
        <v>3505.46</v>
      </c>
      <c r="F432" s="69">
        <v>3505.46</v>
      </c>
      <c r="G432" s="69">
        <v>3505.46</v>
      </c>
      <c r="H432" s="69">
        <v>3505.46</v>
      </c>
      <c r="I432" s="69">
        <v>3505.46</v>
      </c>
      <c r="J432" s="69">
        <v>3505.46</v>
      </c>
      <c r="K432" s="69">
        <v>3505.46</v>
      </c>
      <c r="L432" s="69">
        <v>3505.46</v>
      </c>
      <c r="M432" s="69">
        <v>3505.46</v>
      </c>
      <c r="N432" s="69">
        <v>3505.46</v>
      </c>
      <c r="O432" s="69">
        <v>3505.46</v>
      </c>
      <c r="P432" s="69">
        <v>3505.46</v>
      </c>
    </row>
    <row r="433" spans="1:16" ht="14.4" x14ac:dyDescent="0.3">
      <c r="A433" s="25" t="s">
        <v>95</v>
      </c>
      <c r="B433" s="25"/>
      <c r="C433" s="16" t="s">
        <v>32</v>
      </c>
      <c r="D433" s="69">
        <v>12726.3</v>
      </c>
      <c r="E433" s="69">
        <v>12726.3</v>
      </c>
      <c r="F433" s="69">
        <v>12726.3</v>
      </c>
      <c r="G433" s="69">
        <v>12726.3</v>
      </c>
      <c r="H433" s="69">
        <v>12726.3</v>
      </c>
      <c r="I433" s="69">
        <v>12726.3</v>
      </c>
      <c r="J433" s="69">
        <v>12726.3</v>
      </c>
      <c r="K433" s="69">
        <v>12726.3</v>
      </c>
      <c r="L433" s="69">
        <v>12726.3</v>
      </c>
      <c r="M433" s="69">
        <v>12726.3</v>
      </c>
      <c r="N433" s="69">
        <v>12726.3</v>
      </c>
      <c r="O433" s="69">
        <v>12726.3</v>
      </c>
      <c r="P433" s="69">
        <v>12726.3</v>
      </c>
    </row>
    <row r="434" spans="1:16" ht="14.4" x14ac:dyDescent="0.3">
      <c r="A434" s="25" t="s">
        <v>69</v>
      </c>
      <c r="B434" s="25"/>
      <c r="C434" s="16"/>
      <c r="D434" s="24"/>
      <c r="E434" s="24"/>
      <c r="F434" s="24"/>
      <c r="G434" s="24"/>
      <c r="H434" s="24"/>
      <c r="I434" s="24"/>
      <c r="J434" s="24"/>
      <c r="K434" s="24"/>
      <c r="L434" s="24"/>
      <c r="M434" s="24"/>
      <c r="N434" s="24"/>
      <c r="O434" s="24"/>
      <c r="P434" s="24"/>
    </row>
    <row r="435" spans="1:16" ht="14.4" x14ac:dyDescent="0.3">
      <c r="A435" s="25" t="s">
        <v>88</v>
      </c>
      <c r="B435" s="25"/>
      <c r="C435" s="16" t="s">
        <v>32</v>
      </c>
      <c r="D435" s="69">
        <f t="shared" ref="D435:G439" si="35">D429*110%</f>
        <v>18.403000000000002</v>
      </c>
      <c r="E435" s="69">
        <f t="shared" si="35"/>
        <v>18.403000000000002</v>
      </c>
      <c r="F435" s="69">
        <f t="shared" si="35"/>
        <v>18.403000000000002</v>
      </c>
      <c r="G435" s="69">
        <f t="shared" si="35"/>
        <v>18.403000000000002</v>
      </c>
      <c r="H435" s="69">
        <v>18.403000000000002</v>
      </c>
      <c r="I435" s="69">
        <v>18.403000000000002</v>
      </c>
      <c r="J435" s="69">
        <v>18.403000000000002</v>
      </c>
      <c r="K435" s="69">
        <v>18.403000000000002</v>
      </c>
      <c r="L435" s="69">
        <v>18.403000000000002</v>
      </c>
      <c r="M435" s="69">
        <v>18.403000000000002</v>
      </c>
      <c r="N435" s="69">
        <v>18.403000000000002</v>
      </c>
      <c r="O435" s="69">
        <v>18.403000000000002</v>
      </c>
      <c r="P435" s="69">
        <v>18.403000000000002</v>
      </c>
    </row>
    <row r="436" spans="1:16" ht="14.4" x14ac:dyDescent="0.3">
      <c r="A436" s="25" t="s">
        <v>92</v>
      </c>
      <c r="B436" s="25"/>
      <c r="C436" s="16" t="s">
        <v>32</v>
      </c>
      <c r="D436" s="69">
        <f t="shared" si="35"/>
        <v>408.62800000000004</v>
      </c>
      <c r="E436" s="69">
        <f t="shared" si="35"/>
        <v>408.62800000000004</v>
      </c>
      <c r="F436" s="69">
        <f t="shared" si="35"/>
        <v>408.62800000000004</v>
      </c>
      <c r="G436" s="69">
        <f t="shared" si="35"/>
        <v>408.62800000000004</v>
      </c>
      <c r="H436" s="69">
        <v>408.62800000000004</v>
      </c>
      <c r="I436" s="69">
        <v>408.62800000000004</v>
      </c>
      <c r="J436" s="69">
        <v>408.62800000000004</v>
      </c>
      <c r="K436" s="69">
        <v>408.62800000000004</v>
      </c>
      <c r="L436" s="69">
        <v>408.62800000000004</v>
      </c>
      <c r="M436" s="69">
        <v>408.62800000000004</v>
      </c>
      <c r="N436" s="69">
        <v>408.62800000000004</v>
      </c>
      <c r="O436" s="69">
        <v>408.62800000000004</v>
      </c>
      <c r="P436" s="69">
        <v>408.62800000000004</v>
      </c>
    </row>
    <row r="437" spans="1:16" ht="14.4" x14ac:dyDescent="0.3">
      <c r="A437" s="25" t="s">
        <v>93</v>
      </c>
      <c r="B437" s="25"/>
      <c r="C437" s="16" t="s">
        <v>32</v>
      </c>
      <c r="D437" s="69">
        <f t="shared" si="35"/>
        <v>929.68700000000001</v>
      </c>
      <c r="E437" s="69">
        <f t="shared" si="35"/>
        <v>929.68700000000001</v>
      </c>
      <c r="F437" s="69">
        <f t="shared" si="35"/>
        <v>929.68700000000001</v>
      </c>
      <c r="G437" s="69">
        <f t="shared" si="35"/>
        <v>929.68700000000001</v>
      </c>
      <c r="H437" s="69">
        <v>929.68700000000001</v>
      </c>
      <c r="I437" s="69">
        <v>929.68700000000001</v>
      </c>
      <c r="J437" s="69">
        <v>929.68700000000001</v>
      </c>
      <c r="K437" s="69">
        <v>929.68700000000001</v>
      </c>
      <c r="L437" s="69">
        <v>929.68700000000001</v>
      </c>
      <c r="M437" s="69">
        <v>929.68700000000001</v>
      </c>
      <c r="N437" s="69">
        <v>929.68700000000001</v>
      </c>
      <c r="O437" s="69">
        <v>929.68700000000001</v>
      </c>
      <c r="P437" s="69">
        <v>929.68700000000001</v>
      </c>
    </row>
    <row r="438" spans="1:16" ht="14.4" x14ac:dyDescent="0.3">
      <c r="A438" s="25" t="s">
        <v>94</v>
      </c>
      <c r="B438" s="25"/>
      <c r="C438" s="16" t="s">
        <v>32</v>
      </c>
      <c r="D438" s="69">
        <f t="shared" si="35"/>
        <v>3856.0060000000003</v>
      </c>
      <c r="E438" s="69">
        <f t="shared" si="35"/>
        <v>3856.0060000000003</v>
      </c>
      <c r="F438" s="69">
        <f t="shared" si="35"/>
        <v>3856.0060000000003</v>
      </c>
      <c r="G438" s="69">
        <f t="shared" si="35"/>
        <v>3856.0060000000003</v>
      </c>
      <c r="H438" s="69">
        <v>3856.0060000000003</v>
      </c>
      <c r="I438" s="69">
        <v>3856.0060000000003</v>
      </c>
      <c r="J438" s="69">
        <v>3856.0060000000003</v>
      </c>
      <c r="K438" s="69">
        <v>3856.0060000000003</v>
      </c>
      <c r="L438" s="69">
        <v>3856.0060000000003</v>
      </c>
      <c r="M438" s="69">
        <v>3856.0060000000003</v>
      </c>
      <c r="N438" s="69">
        <v>3856.0060000000003</v>
      </c>
      <c r="O438" s="69">
        <v>3856.0060000000003</v>
      </c>
      <c r="P438" s="69">
        <v>3856.0060000000003</v>
      </c>
    </row>
    <row r="439" spans="1:16" ht="14.4" x14ac:dyDescent="0.3">
      <c r="A439" s="25" t="s">
        <v>95</v>
      </c>
      <c r="B439" s="25"/>
      <c r="C439" s="16" t="s">
        <v>32</v>
      </c>
      <c r="D439" s="69">
        <f t="shared" si="35"/>
        <v>13998.93</v>
      </c>
      <c r="E439" s="69">
        <f t="shared" si="35"/>
        <v>13998.93</v>
      </c>
      <c r="F439" s="69">
        <f t="shared" si="35"/>
        <v>13998.93</v>
      </c>
      <c r="G439" s="69">
        <f t="shared" si="35"/>
        <v>13998.93</v>
      </c>
      <c r="H439" s="69">
        <v>13998.93</v>
      </c>
      <c r="I439" s="69">
        <v>13998.93</v>
      </c>
      <c r="J439" s="69">
        <v>13998.93</v>
      </c>
      <c r="K439" s="69">
        <v>13998.93</v>
      </c>
      <c r="L439" s="69">
        <v>13998.93</v>
      </c>
      <c r="M439" s="69">
        <v>13998.93</v>
      </c>
      <c r="N439" s="69">
        <v>13998.93</v>
      </c>
      <c r="O439" s="69">
        <v>13998.93</v>
      </c>
      <c r="P439" s="69">
        <v>13998.93</v>
      </c>
    </row>
    <row r="441" spans="1:16" ht="14.4" x14ac:dyDescent="0.3">
      <c r="A441" s="61" t="s">
        <v>96</v>
      </c>
      <c r="B441" s="62"/>
      <c r="C441" s="63"/>
      <c r="D441" s="73">
        <f>D396</f>
        <v>43466</v>
      </c>
      <c r="E441" s="73">
        <f t="shared" ref="E441:P441" si="36">E396</f>
        <v>43497</v>
      </c>
      <c r="F441" s="73">
        <f t="shared" si="36"/>
        <v>43525</v>
      </c>
      <c r="G441" s="73">
        <f t="shared" si="36"/>
        <v>43556</v>
      </c>
      <c r="H441" s="73">
        <f t="shared" si="36"/>
        <v>43586</v>
      </c>
      <c r="I441" s="73">
        <f t="shared" si="36"/>
        <v>43617</v>
      </c>
      <c r="J441" s="73">
        <f t="shared" si="36"/>
        <v>43647</v>
      </c>
      <c r="K441" s="73">
        <f t="shared" si="36"/>
        <v>43678</v>
      </c>
      <c r="L441" s="73">
        <f t="shared" si="36"/>
        <v>43709</v>
      </c>
      <c r="M441" s="73">
        <f t="shared" si="36"/>
        <v>43739</v>
      </c>
      <c r="N441" s="73">
        <f t="shared" si="36"/>
        <v>43770</v>
      </c>
      <c r="O441" s="73">
        <f t="shared" si="36"/>
        <v>43800</v>
      </c>
      <c r="P441" s="73">
        <f t="shared" si="36"/>
        <v>43831</v>
      </c>
    </row>
    <row r="442" spans="1:16" ht="14.4" x14ac:dyDescent="0.3">
      <c r="A442" s="25" t="s">
        <v>68</v>
      </c>
      <c r="B442" s="25"/>
      <c r="C442" s="16"/>
      <c r="D442" s="24"/>
      <c r="E442" s="24"/>
      <c r="F442" s="24"/>
      <c r="G442" s="24"/>
      <c r="H442" s="24"/>
      <c r="I442" s="24"/>
      <c r="J442" s="24"/>
      <c r="K442" s="24"/>
      <c r="L442" s="24"/>
      <c r="M442" s="24"/>
      <c r="N442" s="24"/>
      <c r="O442" s="24"/>
      <c r="P442" s="24"/>
    </row>
    <row r="443" spans="1:16" ht="14.4" x14ac:dyDescent="0.3">
      <c r="A443" s="25" t="s">
        <v>88</v>
      </c>
      <c r="B443" s="25"/>
      <c r="C443" s="16" t="s">
        <v>32</v>
      </c>
      <c r="D443" s="69">
        <v>5</v>
      </c>
      <c r="E443" s="69">
        <v>5</v>
      </c>
      <c r="F443" s="69">
        <v>5</v>
      </c>
      <c r="G443" s="69">
        <v>5</v>
      </c>
      <c r="H443" s="69">
        <v>5</v>
      </c>
      <c r="I443" s="69">
        <v>5</v>
      </c>
      <c r="J443" s="69">
        <v>5</v>
      </c>
      <c r="K443" s="69">
        <v>5</v>
      </c>
      <c r="L443" s="69">
        <v>5</v>
      </c>
      <c r="M443" s="69">
        <v>5</v>
      </c>
      <c r="N443" s="69">
        <v>5</v>
      </c>
      <c r="O443" s="69">
        <v>5</v>
      </c>
      <c r="P443" s="69">
        <v>5</v>
      </c>
    </row>
    <row r="444" spans="1:16" ht="14.4" x14ac:dyDescent="0.3">
      <c r="A444" s="25" t="s">
        <v>92</v>
      </c>
      <c r="B444" s="25"/>
      <c r="C444" s="16" t="s">
        <v>32</v>
      </c>
      <c r="D444" s="69">
        <v>362.34</v>
      </c>
      <c r="E444" s="69">
        <v>362.34</v>
      </c>
      <c r="F444" s="69">
        <v>362.34</v>
      </c>
      <c r="G444" s="69">
        <v>362.34</v>
      </c>
      <c r="H444" s="69">
        <v>362.34</v>
      </c>
      <c r="I444" s="69">
        <v>362.34</v>
      </c>
      <c r="J444" s="69">
        <v>362.34</v>
      </c>
      <c r="K444" s="69">
        <v>362.34</v>
      </c>
      <c r="L444" s="69">
        <v>362.34</v>
      </c>
      <c r="M444" s="69">
        <v>362.34</v>
      </c>
      <c r="N444" s="69">
        <v>362.34</v>
      </c>
      <c r="O444" s="69">
        <v>362.34</v>
      </c>
      <c r="P444" s="69">
        <v>362.34</v>
      </c>
    </row>
    <row r="445" spans="1:16" ht="14.4" x14ac:dyDescent="0.3">
      <c r="A445" s="25" t="s">
        <v>93</v>
      </c>
      <c r="B445" s="25"/>
      <c r="C445" s="16" t="s">
        <v>32</v>
      </c>
      <c r="D445" s="69">
        <v>849.44</v>
      </c>
      <c r="E445" s="69">
        <v>849.44</v>
      </c>
      <c r="F445" s="69">
        <v>849.44</v>
      </c>
      <c r="G445" s="69">
        <v>849.44</v>
      </c>
      <c r="H445" s="69">
        <v>849.44</v>
      </c>
      <c r="I445" s="69">
        <v>849.44</v>
      </c>
      <c r="J445" s="69">
        <v>849.44</v>
      </c>
      <c r="K445" s="69">
        <v>849.44</v>
      </c>
      <c r="L445" s="69">
        <v>849.44</v>
      </c>
      <c r="M445" s="69">
        <v>849.44</v>
      </c>
      <c r="N445" s="69">
        <v>849.44</v>
      </c>
      <c r="O445" s="69">
        <v>849.44</v>
      </c>
      <c r="P445" s="69">
        <v>849.44</v>
      </c>
    </row>
    <row r="446" spans="1:16" ht="14.4" x14ac:dyDescent="0.3">
      <c r="A446" s="25" t="s">
        <v>94</v>
      </c>
      <c r="B446" s="25"/>
      <c r="C446" s="16" t="s">
        <v>32</v>
      </c>
      <c r="D446" s="69">
        <v>3525.12</v>
      </c>
      <c r="E446" s="69">
        <v>3525.12</v>
      </c>
      <c r="F446" s="69">
        <v>3525.12</v>
      </c>
      <c r="G446" s="69">
        <v>3525.12</v>
      </c>
      <c r="H446" s="69">
        <v>3525.12</v>
      </c>
      <c r="I446" s="69">
        <v>3525.12</v>
      </c>
      <c r="J446" s="69">
        <v>3525.12</v>
      </c>
      <c r="K446" s="69">
        <v>3525.12</v>
      </c>
      <c r="L446" s="69">
        <v>3525.12</v>
      </c>
      <c r="M446" s="69">
        <v>3525.12</v>
      </c>
      <c r="N446" s="69">
        <v>3525.12</v>
      </c>
      <c r="O446" s="69">
        <v>3525.12</v>
      </c>
      <c r="P446" s="69">
        <v>3525.12</v>
      </c>
    </row>
    <row r="447" spans="1:16" ht="14.4" x14ac:dyDescent="0.3">
      <c r="A447" s="25" t="s">
        <v>95</v>
      </c>
      <c r="B447" s="25"/>
      <c r="C447" s="16" t="s">
        <v>32</v>
      </c>
      <c r="D447" s="69">
        <v>12075.11</v>
      </c>
      <c r="E447" s="69">
        <v>12075.11</v>
      </c>
      <c r="F447" s="69">
        <v>12075.11</v>
      </c>
      <c r="G447" s="69">
        <v>12075.11</v>
      </c>
      <c r="H447" s="69">
        <v>12075.11</v>
      </c>
      <c r="I447" s="69">
        <v>12075.11</v>
      </c>
      <c r="J447" s="69">
        <v>12075.11</v>
      </c>
      <c r="K447" s="69">
        <v>12075.11</v>
      </c>
      <c r="L447" s="69">
        <v>12075.11</v>
      </c>
      <c r="M447" s="69">
        <v>12075.11</v>
      </c>
      <c r="N447" s="69">
        <v>12075.11</v>
      </c>
      <c r="O447" s="69">
        <v>12075.11</v>
      </c>
      <c r="P447" s="69">
        <v>12075.11</v>
      </c>
    </row>
    <row r="448" spans="1:16" ht="14.4" x14ac:dyDescent="0.3">
      <c r="A448" s="25" t="s">
        <v>69</v>
      </c>
      <c r="B448" s="25"/>
      <c r="C448" s="16"/>
      <c r="D448" s="24"/>
      <c r="E448" s="24"/>
      <c r="F448" s="24"/>
      <c r="G448" s="24"/>
      <c r="H448" s="24"/>
      <c r="I448" s="24"/>
      <c r="J448" s="24"/>
      <c r="K448" s="24"/>
      <c r="L448" s="24"/>
      <c r="M448" s="24"/>
      <c r="N448" s="24"/>
      <c r="O448" s="24"/>
      <c r="P448" s="24"/>
    </row>
    <row r="449" spans="1:16" ht="14.4" x14ac:dyDescent="0.3">
      <c r="A449" s="25" t="s">
        <v>88</v>
      </c>
      <c r="B449" s="25"/>
      <c r="C449" s="16" t="s">
        <v>32</v>
      </c>
      <c r="D449" s="69">
        <f t="shared" ref="D449:G453" si="37">D443*110%</f>
        <v>5.5</v>
      </c>
      <c r="E449" s="69">
        <f t="shared" si="37"/>
        <v>5.5</v>
      </c>
      <c r="F449" s="69">
        <f t="shared" si="37"/>
        <v>5.5</v>
      </c>
      <c r="G449" s="69">
        <f t="shared" si="37"/>
        <v>5.5</v>
      </c>
      <c r="H449" s="69">
        <v>5.5</v>
      </c>
      <c r="I449" s="69">
        <v>5.5</v>
      </c>
      <c r="J449" s="69">
        <v>5.5</v>
      </c>
      <c r="K449" s="69">
        <v>5.5</v>
      </c>
      <c r="L449" s="69">
        <v>5.5</v>
      </c>
      <c r="M449" s="69">
        <v>5.5</v>
      </c>
      <c r="N449" s="69">
        <v>5.5</v>
      </c>
      <c r="O449" s="69">
        <v>5.5</v>
      </c>
      <c r="P449" s="69">
        <v>5.5</v>
      </c>
    </row>
    <row r="450" spans="1:16" ht="14.4" x14ac:dyDescent="0.3">
      <c r="A450" s="25" t="s">
        <v>92</v>
      </c>
      <c r="B450" s="25"/>
      <c r="C450" s="16" t="s">
        <v>32</v>
      </c>
      <c r="D450" s="69">
        <f t="shared" si="37"/>
        <v>398.57400000000001</v>
      </c>
      <c r="E450" s="69">
        <f t="shared" si="37"/>
        <v>398.57400000000001</v>
      </c>
      <c r="F450" s="69">
        <f t="shared" si="37"/>
        <v>398.57400000000001</v>
      </c>
      <c r="G450" s="69">
        <f t="shared" si="37"/>
        <v>398.57400000000001</v>
      </c>
      <c r="H450" s="69">
        <v>398.57400000000001</v>
      </c>
      <c r="I450" s="69">
        <v>398.57400000000001</v>
      </c>
      <c r="J450" s="69">
        <v>398.57400000000001</v>
      </c>
      <c r="K450" s="69">
        <v>398.57400000000001</v>
      </c>
      <c r="L450" s="69">
        <v>398.57400000000001</v>
      </c>
      <c r="M450" s="69">
        <v>398.57400000000001</v>
      </c>
      <c r="N450" s="69">
        <v>398.57400000000001</v>
      </c>
      <c r="O450" s="69">
        <v>398.57400000000001</v>
      </c>
      <c r="P450" s="69">
        <v>398.57400000000001</v>
      </c>
    </row>
    <row r="451" spans="1:16" ht="14.4" x14ac:dyDescent="0.3">
      <c r="A451" s="25" t="s">
        <v>93</v>
      </c>
      <c r="B451" s="25"/>
      <c r="C451" s="16" t="s">
        <v>32</v>
      </c>
      <c r="D451" s="69">
        <f t="shared" si="37"/>
        <v>934.38400000000013</v>
      </c>
      <c r="E451" s="69">
        <f t="shared" si="37"/>
        <v>934.38400000000013</v>
      </c>
      <c r="F451" s="69">
        <f t="shared" si="37"/>
        <v>934.38400000000013</v>
      </c>
      <c r="G451" s="69">
        <f t="shared" si="37"/>
        <v>934.38400000000013</v>
      </c>
      <c r="H451" s="69">
        <v>934.38400000000013</v>
      </c>
      <c r="I451" s="69">
        <v>934.38400000000013</v>
      </c>
      <c r="J451" s="69">
        <v>934.38400000000013</v>
      </c>
      <c r="K451" s="69">
        <v>934.38400000000013</v>
      </c>
      <c r="L451" s="69">
        <v>934.38400000000013</v>
      </c>
      <c r="M451" s="69">
        <v>934.38400000000013</v>
      </c>
      <c r="N451" s="69">
        <v>934.38400000000013</v>
      </c>
      <c r="O451" s="69">
        <v>934.38400000000013</v>
      </c>
      <c r="P451" s="69">
        <v>934.38400000000013</v>
      </c>
    </row>
    <row r="452" spans="1:16" ht="14.4" x14ac:dyDescent="0.3">
      <c r="A452" s="25" t="s">
        <v>94</v>
      </c>
      <c r="B452" s="25"/>
      <c r="C452" s="16" t="s">
        <v>32</v>
      </c>
      <c r="D452" s="69">
        <f t="shared" si="37"/>
        <v>3877.6320000000001</v>
      </c>
      <c r="E452" s="69">
        <f t="shared" si="37"/>
        <v>3877.6320000000001</v>
      </c>
      <c r="F452" s="69">
        <f t="shared" si="37"/>
        <v>3877.6320000000001</v>
      </c>
      <c r="G452" s="69">
        <f t="shared" si="37"/>
        <v>3877.6320000000001</v>
      </c>
      <c r="H452" s="69">
        <v>3877.6320000000001</v>
      </c>
      <c r="I452" s="69">
        <v>3877.6320000000001</v>
      </c>
      <c r="J452" s="69">
        <v>3877.6320000000001</v>
      </c>
      <c r="K452" s="69">
        <v>3877.6320000000001</v>
      </c>
      <c r="L452" s="69">
        <v>3877.6320000000001</v>
      </c>
      <c r="M452" s="69">
        <v>3877.6320000000001</v>
      </c>
      <c r="N452" s="69">
        <v>3877.6320000000001</v>
      </c>
      <c r="O452" s="69">
        <v>3877.6320000000001</v>
      </c>
      <c r="P452" s="69">
        <v>3877.6320000000001</v>
      </c>
    </row>
    <row r="453" spans="1:16" ht="14.4" x14ac:dyDescent="0.3">
      <c r="A453" s="25" t="s">
        <v>95</v>
      </c>
      <c r="B453" s="25"/>
      <c r="C453" s="16" t="s">
        <v>32</v>
      </c>
      <c r="D453" s="69">
        <f t="shared" si="37"/>
        <v>13282.621000000001</v>
      </c>
      <c r="E453" s="69">
        <f t="shared" si="37"/>
        <v>13282.621000000001</v>
      </c>
      <c r="F453" s="69">
        <f t="shared" si="37"/>
        <v>13282.621000000001</v>
      </c>
      <c r="G453" s="69">
        <f t="shared" si="37"/>
        <v>13282.621000000001</v>
      </c>
      <c r="H453" s="69">
        <v>13282.621000000001</v>
      </c>
      <c r="I453" s="69">
        <v>13282.621000000001</v>
      </c>
      <c r="J453" s="69">
        <v>13282.621000000001</v>
      </c>
      <c r="K453" s="69">
        <v>13282.621000000001</v>
      </c>
      <c r="L453" s="69">
        <v>13282.621000000001</v>
      </c>
      <c r="M453" s="69">
        <v>13282.621000000001</v>
      </c>
      <c r="N453" s="69">
        <v>13282.621000000001</v>
      </c>
      <c r="O453" s="69">
        <v>13282.621000000001</v>
      </c>
      <c r="P453" s="69">
        <v>13282.621000000001</v>
      </c>
    </row>
    <row r="454" spans="1:16" ht="14.4" x14ac:dyDescent="0.3">
      <c r="A454" s="25"/>
      <c r="B454" s="25"/>
      <c r="C454" s="16"/>
      <c r="D454" s="24"/>
      <c r="E454" s="24"/>
      <c r="F454" s="24"/>
      <c r="G454" s="24"/>
      <c r="H454" s="24"/>
      <c r="I454" s="24"/>
      <c r="J454" s="24"/>
      <c r="K454" s="24"/>
      <c r="L454" s="24"/>
      <c r="M454" s="24"/>
      <c r="N454" s="24"/>
      <c r="O454" s="24"/>
      <c r="P454" s="24"/>
    </row>
    <row r="455" spans="1:16" ht="14.4" x14ac:dyDescent="0.3">
      <c r="A455" s="61" t="s">
        <v>97</v>
      </c>
      <c r="B455" s="62"/>
      <c r="C455" s="63"/>
      <c r="F455" s="73"/>
      <c r="G455" s="73"/>
      <c r="H455" s="73"/>
      <c r="I455" s="73"/>
      <c r="J455" s="73"/>
      <c r="K455" s="73"/>
      <c r="L455" s="73"/>
      <c r="M455" s="73"/>
      <c r="N455" s="73"/>
      <c r="O455" s="73"/>
      <c r="P455" s="73"/>
    </row>
    <row r="456" spans="1:16" ht="14.4" x14ac:dyDescent="0.3">
      <c r="A456" s="25" t="s">
        <v>98</v>
      </c>
      <c r="B456" s="25"/>
      <c r="C456" s="16" t="s">
        <v>44</v>
      </c>
      <c r="D456" s="70">
        <v>1</v>
      </c>
      <c r="E456" s="70">
        <v>1</v>
      </c>
      <c r="F456" s="70">
        <v>1</v>
      </c>
      <c r="G456" s="70">
        <v>1</v>
      </c>
      <c r="H456" s="70">
        <v>1</v>
      </c>
      <c r="I456" s="70">
        <v>1</v>
      </c>
      <c r="J456" s="70">
        <v>1</v>
      </c>
      <c r="K456" s="70">
        <v>1</v>
      </c>
      <c r="L456" s="70">
        <v>1</v>
      </c>
      <c r="M456" s="70">
        <v>1</v>
      </c>
      <c r="N456" s="70">
        <v>1</v>
      </c>
      <c r="O456" s="70">
        <v>1</v>
      </c>
      <c r="P456" s="70">
        <v>1</v>
      </c>
    </row>
    <row r="457" spans="1:16" ht="14.4" x14ac:dyDescent="0.3">
      <c r="A457" s="25" t="s">
        <v>99</v>
      </c>
      <c r="B457" s="25"/>
      <c r="C457" s="16" t="s">
        <v>44</v>
      </c>
      <c r="D457" s="70">
        <v>0.5</v>
      </c>
      <c r="E457" s="70">
        <v>0.5</v>
      </c>
      <c r="F457" s="70">
        <v>0.5</v>
      </c>
      <c r="G457" s="70">
        <v>0.5</v>
      </c>
      <c r="H457" s="70">
        <v>0.5</v>
      </c>
      <c r="I457" s="70">
        <v>0.5</v>
      </c>
      <c r="J457" s="70">
        <v>0.5</v>
      </c>
      <c r="K457" s="70">
        <v>0.5</v>
      </c>
      <c r="L457" s="70">
        <v>0.5</v>
      </c>
      <c r="M457" s="70">
        <v>0.5</v>
      </c>
      <c r="N457" s="70">
        <v>0.5</v>
      </c>
      <c r="O457" s="70">
        <v>0.5</v>
      </c>
      <c r="P457" s="70">
        <v>0.5</v>
      </c>
    </row>
    <row r="458" spans="1:16" ht="14.4" x14ac:dyDescent="0.3">
      <c r="A458" s="25" t="s">
        <v>100</v>
      </c>
      <c r="B458" s="25"/>
      <c r="C458" s="16" t="s">
        <v>44</v>
      </c>
      <c r="D458" s="70">
        <v>0.35</v>
      </c>
      <c r="E458" s="70">
        <v>0.35</v>
      </c>
      <c r="F458" s="70">
        <v>0.35</v>
      </c>
      <c r="G458" s="70">
        <v>0.35</v>
      </c>
      <c r="H458" s="70">
        <v>0.35</v>
      </c>
      <c r="I458" s="70">
        <v>0.35</v>
      </c>
      <c r="J458" s="70">
        <v>0.35</v>
      </c>
      <c r="K458" s="70">
        <v>0.35</v>
      </c>
      <c r="L458" s="70">
        <v>0.35</v>
      </c>
      <c r="M458" s="70">
        <v>0.35</v>
      </c>
      <c r="N458" s="70">
        <v>0.35</v>
      </c>
      <c r="O458" s="70">
        <v>0.35</v>
      </c>
      <c r="P458" s="70">
        <v>0.35</v>
      </c>
    </row>
    <row r="459" spans="1:16" ht="14.4" x14ac:dyDescent="0.3">
      <c r="A459" s="25" t="s">
        <v>101</v>
      </c>
      <c r="B459" s="25"/>
      <c r="C459" s="16" t="s">
        <v>44</v>
      </c>
      <c r="D459" s="70">
        <v>0.2</v>
      </c>
      <c r="E459" s="70">
        <v>0.2</v>
      </c>
      <c r="F459" s="70">
        <v>0.2</v>
      </c>
      <c r="G459" s="70">
        <v>0.2</v>
      </c>
      <c r="H459" s="70">
        <v>0.2</v>
      </c>
      <c r="I459" s="70">
        <v>0.2</v>
      </c>
      <c r="J459" s="70">
        <v>0.2</v>
      </c>
      <c r="K459" s="70">
        <v>0.2</v>
      </c>
      <c r="L459" s="70">
        <v>0.2</v>
      </c>
      <c r="M459" s="70">
        <v>0.2</v>
      </c>
      <c r="N459" s="70">
        <v>0.2</v>
      </c>
      <c r="O459" s="70">
        <v>0.2</v>
      </c>
      <c r="P459" s="70">
        <v>0.2</v>
      </c>
    </row>
    <row r="460" spans="1:16" x14ac:dyDescent="0.3">
      <c r="A460" s="62"/>
      <c r="B460" s="62"/>
      <c r="C460" s="63"/>
      <c r="D460" s="62"/>
      <c r="E460" s="62"/>
      <c r="F460" s="62"/>
      <c r="G460" s="62"/>
      <c r="H460" s="62"/>
      <c r="I460" s="62"/>
      <c r="J460" s="62"/>
      <c r="K460" s="62"/>
      <c r="L460" s="62"/>
      <c r="M460" s="62"/>
      <c r="N460" s="62"/>
      <c r="O460" s="62"/>
      <c r="P460" s="62"/>
    </row>
    <row r="461" spans="1:16" ht="14.4" x14ac:dyDescent="0.3">
      <c r="A461" s="61" t="s">
        <v>102</v>
      </c>
      <c r="B461" s="62"/>
      <c r="C461" s="63"/>
      <c r="D461" s="62"/>
      <c r="E461" s="62"/>
      <c r="F461" s="62"/>
      <c r="G461" s="62"/>
      <c r="H461" s="62"/>
      <c r="I461" s="62"/>
      <c r="J461" s="62"/>
      <c r="K461" s="62"/>
      <c r="L461" s="62"/>
      <c r="M461" s="62"/>
      <c r="N461" s="62"/>
      <c r="O461" s="62"/>
      <c r="P461" s="62"/>
    </row>
    <row r="462" spans="1:16" ht="14.4" x14ac:dyDescent="0.3">
      <c r="A462" s="25" t="s">
        <v>103</v>
      </c>
      <c r="B462" s="25" t="s">
        <v>104</v>
      </c>
      <c r="C462" s="16" t="s">
        <v>19</v>
      </c>
      <c r="D462" s="20" t="s">
        <v>104</v>
      </c>
      <c r="E462" s="20" t="s">
        <v>104</v>
      </c>
      <c r="F462" s="20" t="s">
        <v>104</v>
      </c>
      <c r="G462" s="20" t="s">
        <v>104</v>
      </c>
      <c r="H462" s="20" t="s">
        <v>104</v>
      </c>
      <c r="I462" s="20" t="s">
        <v>104</v>
      </c>
      <c r="J462" s="20" t="s">
        <v>104</v>
      </c>
      <c r="K462" s="20" t="s">
        <v>104</v>
      </c>
      <c r="L462" s="20" t="s">
        <v>104</v>
      </c>
      <c r="M462" s="20" t="s">
        <v>104</v>
      </c>
      <c r="N462" s="20" t="s">
        <v>104</v>
      </c>
      <c r="O462" s="20" t="s">
        <v>104</v>
      </c>
      <c r="P462" s="20" t="s">
        <v>104</v>
      </c>
    </row>
    <row r="463" spans="1:16" ht="14.4" x14ac:dyDescent="0.3">
      <c r="A463" s="25" t="s">
        <v>105</v>
      </c>
      <c r="B463" s="25" t="s">
        <v>106</v>
      </c>
      <c r="C463" s="16" t="s">
        <v>19</v>
      </c>
      <c r="D463" s="20">
        <v>0.1</v>
      </c>
      <c r="E463" s="20">
        <v>0.1</v>
      </c>
      <c r="F463" s="20">
        <v>0.1</v>
      </c>
      <c r="G463" s="20">
        <v>0.1</v>
      </c>
      <c r="H463" s="20">
        <v>0.1</v>
      </c>
      <c r="I463" s="20">
        <v>0.1</v>
      </c>
      <c r="J463" s="20">
        <v>0.1</v>
      </c>
      <c r="K463" s="20">
        <v>0.1</v>
      </c>
      <c r="L463" s="20">
        <v>0.1</v>
      </c>
      <c r="M463" s="20">
        <v>0.1</v>
      </c>
      <c r="N463" s="20">
        <v>0.1</v>
      </c>
      <c r="O463" s="20">
        <v>0.1</v>
      </c>
      <c r="P463" s="20">
        <v>0.1</v>
      </c>
    </row>
    <row r="464" spans="1:16" ht="14.4" x14ac:dyDescent="0.3">
      <c r="A464" s="25" t="s">
        <v>107</v>
      </c>
      <c r="B464" s="25" t="s">
        <v>108</v>
      </c>
      <c r="C464" s="16" t="s">
        <v>19</v>
      </c>
      <c r="D464" s="20">
        <v>0.2</v>
      </c>
      <c r="E464" s="20">
        <v>0.2</v>
      </c>
      <c r="F464" s="20">
        <v>0.2</v>
      </c>
      <c r="G464" s="20">
        <v>0.2</v>
      </c>
      <c r="H464" s="20">
        <v>0.2</v>
      </c>
      <c r="I464" s="20">
        <v>0.2</v>
      </c>
      <c r="J464" s="20">
        <v>0.2</v>
      </c>
      <c r="K464" s="20">
        <v>0.2</v>
      </c>
      <c r="L464" s="20">
        <v>0.2</v>
      </c>
      <c r="M464" s="20">
        <v>0.2</v>
      </c>
      <c r="N464" s="20">
        <v>0.2</v>
      </c>
      <c r="O464" s="20">
        <v>0.2</v>
      </c>
      <c r="P464" s="20">
        <v>0.2</v>
      </c>
    </row>
    <row r="465" spans="1:16" ht="14.4" x14ac:dyDescent="0.3">
      <c r="A465" s="25" t="s">
        <v>109</v>
      </c>
      <c r="B465" s="25" t="s">
        <v>110</v>
      </c>
      <c r="C465" s="16" t="s">
        <v>19</v>
      </c>
      <c r="D465" s="20">
        <v>0.35</v>
      </c>
      <c r="E465" s="20">
        <v>0.35</v>
      </c>
      <c r="F465" s="20">
        <v>0.35</v>
      </c>
      <c r="G465" s="20">
        <v>0.35</v>
      </c>
      <c r="H465" s="20">
        <v>0.35</v>
      </c>
      <c r="I465" s="20">
        <v>0.35</v>
      </c>
      <c r="J465" s="20">
        <v>0.35</v>
      </c>
      <c r="K465" s="20">
        <v>0.35</v>
      </c>
      <c r="L465" s="20">
        <v>0.35</v>
      </c>
      <c r="M465" s="20">
        <v>0.35</v>
      </c>
      <c r="N465" s="20">
        <v>0.35</v>
      </c>
      <c r="O465" s="20">
        <v>0.35</v>
      </c>
      <c r="P465" s="20">
        <v>0.35</v>
      </c>
    </row>
    <row r="466" spans="1:16" x14ac:dyDescent="0.3">
      <c r="A466" s="71"/>
      <c r="B466" s="71"/>
      <c r="C466" s="72"/>
      <c r="D466" s="71"/>
      <c r="E466" s="71"/>
      <c r="F466" s="71"/>
      <c r="G466" s="71"/>
      <c r="H466" s="71"/>
      <c r="I466" s="71"/>
      <c r="J466" s="71"/>
      <c r="K466" s="71"/>
      <c r="L466" s="71"/>
      <c r="M466" s="71"/>
      <c r="N466" s="71"/>
      <c r="O466" s="71"/>
      <c r="P466" s="71"/>
    </row>
    <row r="467" spans="1:16" x14ac:dyDescent="0.3">
      <c r="A467" s="33"/>
      <c r="B467" s="71"/>
      <c r="C467" s="72"/>
      <c r="D467" s="71"/>
      <c r="E467" s="71"/>
      <c r="F467" s="71"/>
      <c r="G467" s="71"/>
      <c r="H467" s="71"/>
      <c r="I467" s="71"/>
      <c r="J467" s="71"/>
      <c r="K467" s="71"/>
      <c r="L467" s="71"/>
      <c r="M467" s="71"/>
      <c r="N467" s="71"/>
      <c r="O467" s="71"/>
      <c r="P467" s="71"/>
    </row>
    <row r="469" spans="1:16" x14ac:dyDescent="0.3">
      <c r="A469" s="33"/>
    </row>
  </sheetData>
  <printOptions horizontalCentered="1"/>
  <pageMargins left="0.2" right="0.2" top="0.5" bottom="0.4" header="0.5" footer="0.1"/>
  <pageSetup paperSize="14" scale="70" orientation="landscape" r:id="rId1"/>
  <headerFooter scaleWithDoc="0" alignWithMargins="0">
    <oddFooter>&amp;L&amp;"Calibri,Regular"GENERAL NOTE: All data used in the actual implemented rates were based on available information as of the time rates were computed.&amp;R&amp;"Calibri,Italic"&amp;8
Actual Implemented Rates Page &amp;P of &amp;N</oddFooter>
  </headerFooter>
  <rowBreaks count="10" manualBreakCount="10">
    <brk id="47" max="14" man="1"/>
    <brk id="90" max="14" man="1"/>
    <brk id="133" max="14" man="1"/>
    <brk id="176" max="14" man="1"/>
    <brk id="219" max="14" man="1"/>
    <brk id="262" max="14" man="1"/>
    <brk id="305" max="14" man="1"/>
    <brk id="349" max="14" man="1"/>
    <brk id="394" max="14" man="1"/>
    <brk id="440" max="14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fitToPage="1"/>
  </sheetPr>
  <dimension ref="A1:P500"/>
  <sheetViews>
    <sheetView view="pageBreakPreview" zoomScale="90" zoomScaleNormal="85" zoomScaleSheetLayoutView="90" workbookViewId="0">
      <pane xSplit="1" topLeftCell="D1" activePane="topRight" state="frozen"/>
      <selection activeCell="D50" sqref="D50:H54"/>
      <selection pane="topRight" activeCell="O56" sqref="O56"/>
    </sheetView>
  </sheetViews>
  <sheetFormatPr defaultColWidth="9" defaultRowHeight="13.8" x14ac:dyDescent="0.3"/>
  <cols>
    <col min="1" max="1" width="39" style="77" customWidth="1"/>
    <col min="2" max="2" width="1" style="77" customWidth="1"/>
    <col min="3" max="3" width="14.44140625" style="99" customWidth="1"/>
    <col min="4" max="7" width="13.33203125" style="77" bestFit="1" customWidth="1"/>
    <col min="8" max="10" width="13.33203125" style="77" customWidth="1"/>
    <col min="11" max="11" width="15" style="77" bestFit="1" customWidth="1"/>
    <col min="12" max="15" width="13.33203125" style="77" customWidth="1"/>
    <col min="16" max="16" width="13.33203125" style="77" hidden="1" customWidth="1"/>
    <col min="17" max="16384" width="9" style="77"/>
  </cols>
  <sheetData>
    <row r="1" spans="1:16" ht="21" x14ac:dyDescent="0.4">
      <c r="A1" s="76" t="s">
        <v>0</v>
      </c>
      <c r="B1" s="76"/>
      <c r="C1" s="77"/>
    </row>
    <row r="2" spans="1:16" ht="21" x14ac:dyDescent="0.4">
      <c r="A2" s="78" t="s">
        <v>1</v>
      </c>
      <c r="B2" s="78"/>
      <c r="C2" s="77"/>
    </row>
    <row r="3" spans="1:16" ht="21" x14ac:dyDescent="0.4">
      <c r="A3" s="79" t="str">
        <f>'[48]Supplier &amp; Trans Data'!A3</f>
        <v>For January - December 2020 Billing</v>
      </c>
      <c r="B3" s="79"/>
      <c r="C3" s="80"/>
    </row>
    <row r="4" spans="1:16" ht="21" x14ac:dyDescent="0.4">
      <c r="A4" s="78"/>
      <c r="B4" s="78"/>
      <c r="C4" s="77"/>
    </row>
    <row r="5" spans="1:16" ht="21" x14ac:dyDescent="0.4">
      <c r="A5" s="81"/>
      <c r="B5" s="78"/>
      <c r="C5" s="77"/>
    </row>
    <row r="6" spans="1:16" ht="18" x14ac:dyDescent="0.35">
      <c r="A6" s="82" t="s">
        <v>2</v>
      </c>
      <c r="B6" s="82"/>
      <c r="C6" s="77"/>
      <c r="D6" s="83"/>
      <c r="E6" s="83"/>
      <c r="F6" s="83"/>
      <c r="G6" s="83"/>
      <c r="H6" s="83"/>
      <c r="I6" s="83"/>
      <c r="J6" s="83"/>
      <c r="K6" s="83"/>
      <c r="L6" s="83"/>
      <c r="M6" s="83"/>
      <c r="N6" s="83"/>
      <c r="O6" s="83"/>
      <c r="P6" s="83"/>
    </row>
    <row r="7" spans="1:16" s="84" customFormat="1" ht="14.4" x14ac:dyDescent="0.3">
      <c r="A7" s="12" t="s">
        <v>3</v>
      </c>
      <c r="B7" s="12"/>
      <c r="C7" s="12" t="s">
        <v>4</v>
      </c>
      <c r="D7" s="73">
        <v>43831</v>
      </c>
      <c r="E7" s="73">
        <v>43862</v>
      </c>
      <c r="F7" s="73">
        <v>43891</v>
      </c>
      <c r="G7" s="73">
        <v>43922</v>
      </c>
      <c r="H7" s="73">
        <v>43952</v>
      </c>
      <c r="I7" s="73">
        <v>43983</v>
      </c>
      <c r="J7" s="73">
        <v>44013</v>
      </c>
      <c r="K7" s="73">
        <v>44044</v>
      </c>
      <c r="L7" s="73">
        <v>44075</v>
      </c>
      <c r="M7" s="73">
        <v>44105</v>
      </c>
      <c r="N7" s="73">
        <v>44136</v>
      </c>
      <c r="O7" s="73">
        <v>44166</v>
      </c>
      <c r="P7" s="73">
        <v>44197</v>
      </c>
    </row>
    <row r="8" spans="1:16" ht="14.4" x14ac:dyDescent="0.3">
      <c r="A8" s="85" t="s">
        <v>17</v>
      </c>
      <c r="B8" s="86"/>
      <c r="C8" s="87"/>
      <c r="D8" s="88"/>
      <c r="E8" s="88"/>
      <c r="F8" s="88"/>
      <c r="G8" s="88"/>
      <c r="H8" s="88"/>
      <c r="I8" s="88"/>
      <c r="J8" s="88"/>
      <c r="K8" s="88"/>
      <c r="L8" s="88"/>
      <c r="M8" s="88"/>
      <c r="N8" s="88"/>
      <c r="O8" s="88"/>
      <c r="P8" s="88"/>
    </row>
    <row r="9" spans="1:16" ht="14.4" x14ac:dyDescent="0.3">
      <c r="A9" s="89" t="s">
        <v>18</v>
      </c>
      <c r="B9" s="90"/>
      <c r="C9" s="87" t="s">
        <v>19</v>
      </c>
      <c r="D9" s="91">
        <f>[48]GR!D23</f>
        <v>4.9039000000000001</v>
      </c>
      <c r="E9" s="91">
        <f>[48]GR!E23</f>
        <v>4.5090000000000003</v>
      </c>
      <c r="F9" s="91">
        <f>[48]GR!F23</f>
        <v>4.6631999999999998</v>
      </c>
      <c r="G9" s="91">
        <f>[48]GR!G23</f>
        <v>4.6384999999999996</v>
      </c>
      <c r="H9" s="91">
        <f>[48]GR!H23</f>
        <v>4.3848000000000003</v>
      </c>
      <c r="I9" s="91">
        <f>[48]GR!I23</f>
        <v>4.3413000000000004</v>
      </c>
      <c r="J9" s="91">
        <f>[48]GR!J23</f>
        <v>4.3343999999999996</v>
      </c>
      <c r="K9" s="91">
        <f>[48]GR!K23</f>
        <v>4.1241000000000003</v>
      </c>
      <c r="L9" s="91">
        <f>[48]GR!L23</f>
        <v>4.0860000000000003</v>
      </c>
      <c r="M9" s="91">
        <f>[48]GR!M23</f>
        <v>4.2233000000000001</v>
      </c>
      <c r="N9" s="91">
        <f>[48]GR!N23</f>
        <v>4.2018000000000004</v>
      </c>
      <c r="O9" s="91">
        <f>[48]GR!O23</f>
        <v>4.1516000000000002</v>
      </c>
      <c r="P9" s="91" t="e">
        <f>[48]GR!P23</f>
        <v>#DIV/0!</v>
      </c>
    </row>
    <row r="10" spans="1:16" ht="14.4" x14ac:dyDescent="0.3">
      <c r="A10" s="85" t="s">
        <v>20</v>
      </c>
      <c r="B10" s="86"/>
      <c r="C10" s="87"/>
      <c r="D10" s="92"/>
      <c r="E10" s="92"/>
      <c r="F10" s="92"/>
      <c r="G10" s="92"/>
      <c r="H10" s="92"/>
      <c r="I10" s="92"/>
      <c r="J10" s="92"/>
      <c r="K10" s="92"/>
      <c r="L10" s="92"/>
      <c r="M10" s="92"/>
      <c r="N10" s="92"/>
      <c r="O10" s="92"/>
      <c r="P10" s="92"/>
    </row>
    <row r="11" spans="1:16" ht="14.4" x14ac:dyDescent="0.3">
      <c r="A11" s="89" t="s">
        <v>21</v>
      </c>
      <c r="B11" s="90"/>
      <c r="C11" s="87" t="s">
        <v>19</v>
      </c>
      <c r="D11" s="91">
        <f>[48]TR!D42</f>
        <v>0.67549999999999999</v>
      </c>
      <c r="E11" s="91">
        <f>[48]TR!E42</f>
        <v>0.76390000000000002</v>
      </c>
      <c r="F11" s="91">
        <f>[48]TR!F42</f>
        <v>0.79879999999999995</v>
      </c>
      <c r="G11" s="91">
        <f>[48]TR!G42</f>
        <v>0.79669999999999996</v>
      </c>
      <c r="H11" s="91">
        <f>[48]TR!H42</f>
        <v>0.80820000000000003</v>
      </c>
      <c r="I11" s="91">
        <f>[48]TR!I42</f>
        <v>0.85550000000000004</v>
      </c>
      <c r="J11" s="91">
        <f>[48]TR!J42</f>
        <v>0.82920000000000005</v>
      </c>
      <c r="K11" s="91">
        <f>[48]TR!K42</f>
        <v>0.81479999999999997</v>
      </c>
      <c r="L11" s="91">
        <f>[48]TR!L42</f>
        <v>0.79959999999999998</v>
      </c>
      <c r="M11" s="91">
        <f>[48]TR!M42</f>
        <v>0.78910000000000002</v>
      </c>
      <c r="N11" s="91">
        <f>[48]TR!N42</f>
        <v>0.79569999999999996</v>
      </c>
      <c r="O11" s="91">
        <f>[48]TR!O42</f>
        <v>0.79020000000000001</v>
      </c>
      <c r="P11" s="91">
        <f>[48]TR!P42</f>
        <v>0</v>
      </c>
    </row>
    <row r="12" spans="1:16" ht="14.4" x14ac:dyDescent="0.3">
      <c r="A12" s="89" t="s">
        <v>22</v>
      </c>
      <c r="B12" s="90"/>
      <c r="C12" s="87" t="s">
        <v>23</v>
      </c>
      <c r="D12" s="91">
        <v>0</v>
      </c>
      <c r="E12" s="91">
        <v>0</v>
      </c>
      <c r="F12" s="91">
        <v>0</v>
      </c>
      <c r="G12" s="91">
        <v>0</v>
      </c>
      <c r="H12" s="91">
        <v>0</v>
      </c>
      <c r="I12" s="91">
        <v>0</v>
      </c>
      <c r="J12" s="91">
        <v>0</v>
      </c>
      <c r="K12" s="91">
        <v>0</v>
      </c>
      <c r="L12" s="91">
        <v>0</v>
      </c>
      <c r="M12" s="91">
        <v>0</v>
      </c>
      <c r="N12" s="91">
        <v>0</v>
      </c>
      <c r="O12" s="91">
        <v>0</v>
      </c>
      <c r="P12" s="91">
        <v>0</v>
      </c>
    </row>
    <row r="13" spans="1:16" ht="14.4" x14ac:dyDescent="0.3">
      <c r="A13" s="85" t="s">
        <v>24</v>
      </c>
      <c r="B13" s="86"/>
      <c r="C13" s="87"/>
      <c r="D13" s="92"/>
      <c r="E13" s="92"/>
      <c r="F13" s="92"/>
      <c r="G13" s="92"/>
      <c r="H13" s="92"/>
      <c r="I13" s="92"/>
      <c r="J13" s="92"/>
      <c r="K13" s="92"/>
      <c r="L13" s="92"/>
      <c r="M13" s="92"/>
      <c r="N13" s="92"/>
      <c r="O13" s="92"/>
      <c r="P13" s="92"/>
    </row>
    <row r="14" spans="1:16" ht="14.4" x14ac:dyDescent="0.3">
      <c r="A14" s="89" t="s">
        <v>25</v>
      </c>
      <c r="B14" s="90"/>
      <c r="C14" s="87" t="s">
        <v>19</v>
      </c>
      <c r="D14" s="91">
        <f>[48]SLR!D73</f>
        <v>0.41470000000000001</v>
      </c>
      <c r="E14" s="91">
        <f>[48]SLR!E73</f>
        <v>0.38729999999999998</v>
      </c>
      <c r="F14" s="91">
        <f>[48]SLR!F73</f>
        <v>0.3528</v>
      </c>
      <c r="G14" s="91">
        <f>[48]SLR!G73</f>
        <v>0.35249999999999998</v>
      </c>
      <c r="H14" s="91">
        <f>[48]SLR!H73</f>
        <v>0.34720000000000001</v>
      </c>
      <c r="I14" s="91">
        <f>[48]SLR!I73</f>
        <v>0.35120000000000001</v>
      </c>
      <c r="J14" s="91">
        <f>[48]SLR!J73</f>
        <v>0.39100000000000001</v>
      </c>
      <c r="K14" s="91">
        <f>[48]SLR!K73</f>
        <v>0.41720000000000002</v>
      </c>
      <c r="L14" s="91">
        <f>[48]SLR!L73</f>
        <v>0.40579999999999999</v>
      </c>
      <c r="M14" s="91">
        <f>[48]SLR!M73</f>
        <v>0.40810000000000002</v>
      </c>
      <c r="N14" s="91">
        <f>[48]SLR!N73</f>
        <v>0.39</v>
      </c>
      <c r="O14" s="91">
        <f>[48]SLR!O73</f>
        <v>0.38090000000000002</v>
      </c>
      <c r="P14" s="91">
        <f>[48]SLR!P73</f>
        <v>0</v>
      </c>
    </row>
    <row r="15" spans="1:16" ht="14.4" x14ac:dyDescent="0.3">
      <c r="A15" s="85" t="s">
        <v>26</v>
      </c>
      <c r="B15" s="85"/>
      <c r="C15" s="87"/>
      <c r="D15" s="93"/>
      <c r="E15" s="93"/>
      <c r="F15" s="93"/>
      <c r="G15" s="93"/>
      <c r="H15" s="93"/>
      <c r="I15" s="93"/>
      <c r="J15" s="93"/>
      <c r="K15" s="93"/>
      <c r="L15" s="93"/>
      <c r="M15" s="93"/>
      <c r="N15" s="93"/>
      <c r="O15" s="93"/>
      <c r="P15" s="93"/>
    </row>
    <row r="16" spans="1:16" ht="14.4" x14ac:dyDescent="0.3">
      <c r="A16" s="89" t="s">
        <v>27</v>
      </c>
      <c r="B16" s="89"/>
      <c r="C16" s="87" t="s">
        <v>19</v>
      </c>
      <c r="D16" s="91">
        <v>2.0082</v>
      </c>
      <c r="E16" s="91">
        <v>2.0082</v>
      </c>
      <c r="F16" s="91">
        <v>2.0082</v>
      </c>
      <c r="G16" s="91">
        <v>2.0082</v>
      </c>
      <c r="H16" s="91">
        <v>2.0082</v>
      </c>
      <c r="I16" s="91">
        <v>2.0082</v>
      </c>
      <c r="J16" s="91">
        <v>2.0082</v>
      </c>
      <c r="K16" s="91">
        <v>2.0082</v>
      </c>
      <c r="L16" s="91">
        <v>2.0082</v>
      </c>
      <c r="M16" s="91">
        <v>2.0082</v>
      </c>
      <c r="N16" s="91">
        <v>2.0082</v>
      </c>
      <c r="O16" s="91">
        <v>2.0082</v>
      </c>
      <c r="P16" s="91">
        <v>2.0082</v>
      </c>
    </row>
    <row r="17" spans="1:16" ht="14.4" x14ac:dyDescent="0.3">
      <c r="A17" s="89" t="s">
        <v>28</v>
      </c>
      <c r="B17" s="89"/>
      <c r="C17" s="87" t="s">
        <v>23</v>
      </c>
      <c r="D17" s="91">
        <v>0</v>
      </c>
      <c r="E17" s="91">
        <v>0</v>
      </c>
      <c r="F17" s="91">
        <v>0</v>
      </c>
      <c r="G17" s="91">
        <v>0</v>
      </c>
      <c r="H17" s="91">
        <v>0</v>
      </c>
      <c r="I17" s="91">
        <v>0</v>
      </c>
      <c r="J17" s="91">
        <v>0</v>
      </c>
      <c r="K17" s="91">
        <v>0</v>
      </c>
      <c r="L17" s="91">
        <v>0</v>
      </c>
      <c r="M17" s="91">
        <v>0</v>
      </c>
      <c r="N17" s="91">
        <v>0</v>
      </c>
      <c r="O17" s="91">
        <v>0</v>
      </c>
      <c r="P17" s="91">
        <v>0</v>
      </c>
    </row>
    <row r="18" spans="1:16" ht="14.4" x14ac:dyDescent="0.3">
      <c r="A18" s="85" t="s">
        <v>29</v>
      </c>
      <c r="B18" s="85"/>
      <c r="C18" s="87"/>
      <c r="D18" s="94"/>
      <c r="E18" s="94"/>
      <c r="F18" s="94"/>
      <c r="G18" s="94"/>
      <c r="H18" s="94"/>
      <c r="I18" s="94"/>
      <c r="J18" s="94"/>
      <c r="K18" s="94"/>
      <c r="L18" s="94"/>
      <c r="M18" s="94"/>
      <c r="N18" s="94"/>
      <c r="O18" s="94"/>
      <c r="P18" s="94"/>
    </row>
    <row r="19" spans="1:16" ht="14.4" x14ac:dyDescent="0.3">
      <c r="A19" s="89" t="s">
        <v>30</v>
      </c>
      <c r="B19" s="89"/>
      <c r="C19" s="87" t="s">
        <v>19</v>
      </c>
      <c r="D19" s="91">
        <v>0.64949999999999997</v>
      </c>
      <c r="E19" s="91">
        <v>0.64949999999999997</v>
      </c>
      <c r="F19" s="91">
        <v>0.64949999999999997</v>
      </c>
      <c r="G19" s="91">
        <v>0.64949999999999997</v>
      </c>
      <c r="H19" s="91">
        <v>0.64949999999999997</v>
      </c>
      <c r="I19" s="91">
        <v>0.64949999999999997</v>
      </c>
      <c r="J19" s="91">
        <v>0.64949999999999997</v>
      </c>
      <c r="K19" s="91">
        <v>0.64949999999999997</v>
      </c>
      <c r="L19" s="91">
        <v>0.64949999999999997</v>
      </c>
      <c r="M19" s="91">
        <v>0.64949999999999997</v>
      </c>
      <c r="N19" s="91">
        <v>0.64949999999999997</v>
      </c>
      <c r="O19" s="91">
        <v>0.64949999999999997</v>
      </c>
      <c r="P19" s="91">
        <v>0.64949999999999997</v>
      </c>
    </row>
    <row r="20" spans="1:16" ht="14.4" x14ac:dyDescent="0.3">
      <c r="A20" s="89" t="s">
        <v>31</v>
      </c>
      <c r="B20" s="89"/>
      <c r="C20" s="87" t="s">
        <v>32</v>
      </c>
      <c r="D20" s="91">
        <v>0</v>
      </c>
      <c r="E20" s="91">
        <v>0</v>
      </c>
      <c r="F20" s="91">
        <v>0</v>
      </c>
      <c r="G20" s="91">
        <v>0</v>
      </c>
      <c r="H20" s="91">
        <v>0</v>
      </c>
      <c r="I20" s="91">
        <v>0</v>
      </c>
      <c r="J20" s="91">
        <v>0</v>
      </c>
      <c r="K20" s="91">
        <v>0</v>
      </c>
      <c r="L20" s="91">
        <v>0</v>
      </c>
      <c r="M20" s="91" t="s">
        <v>118</v>
      </c>
      <c r="N20" s="91">
        <v>0</v>
      </c>
      <c r="O20" s="91">
        <v>0</v>
      </c>
      <c r="P20" s="91">
        <v>0</v>
      </c>
    </row>
    <row r="21" spans="1:16" ht="14.4" x14ac:dyDescent="0.3">
      <c r="A21" s="85" t="s">
        <v>33</v>
      </c>
      <c r="B21" s="85"/>
      <c r="C21" s="87"/>
      <c r="D21" s="94"/>
      <c r="E21" s="94"/>
      <c r="F21" s="94"/>
      <c r="G21" s="94"/>
      <c r="H21" s="94"/>
      <c r="I21" s="94"/>
      <c r="J21" s="94"/>
      <c r="K21" s="94"/>
      <c r="L21" s="94"/>
      <c r="M21" s="94"/>
      <c r="N21" s="94"/>
      <c r="O21" s="94"/>
      <c r="P21" s="94"/>
    </row>
    <row r="22" spans="1:16" ht="14.4" x14ac:dyDescent="0.3">
      <c r="A22" s="89" t="s">
        <v>34</v>
      </c>
      <c r="B22" s="89"/>
      <c r="C22" s="87" t="s">
        <v>19</v>
      </c>
      <c r="D22" s="91">
        <v>0</v>
      </c>
      <c r="E22" s="91">
        <v>0</v>
      </c>
      <c r="F22" s="91">
        <v>0</v>
      </c>
      <c r="G22" s="91">
        <v>0</v>
      </c>
      <c r="H22" s="91">
        <v>0</v>
      </c>
      <c r="I22" s="91">
        <v>0</v>
      </c>
      <c r="J22" s="91">
        <v>0</v>
      </c>
      <c r="K22" s="91">
        <v>0</v>
      </c>
      <c r="L22" s="91">
        <v>0</v>
      </c>
      <c r="M22" s="91">
        <v>0</v>
      </c>
      <c r="N22" s="91">
        <v>0</v>
      </c>
      <c r="O22" s="91">
        <v>0</v>
      </c>
      <c r="P22" s="91">
        <v>0</v>
      </c>
    </row>
    <row r="23" spans="1:16" ht="14.4" x14ac:dyDescent="0.3">
      <c r="A23" s="89" t="s">
        <v>35</v>
      </c>
      <c r="B23" s="89"/>
      <c r="C23" s="87" t="s">
        <v>36</v>
      </c>
      <c r="D23" s="91">
        <v>0</v>
      </c>
      <c r="E23" s="91">
        <v>0</v>
      </c>
      <c r="F23" s="91">
        <v>0</v>
      </c>
      <c r="G23" s="91">
        <v>0</v>
      </c>
      <c r="H23" s="91">
        <v>0</v>
      </c>
      <c r="I23" s="91">
        <v>0</v>
      </c>
      <c r="J23" s="91">
        <v>0</v>
      </c>
      <c r="K23" s="91">
        <v>0</v>
      </c>
      <c r="L23" s="91">
        <v>0</v>
      </c>
      <c r="M23" s="91">
        <v>0</v>
      </c>
      <c r="N23" s="91">
        <v>0</v>
      </c>
      <c r="O23" s="91">
        <v>0</v>
      </c>
      <c r="P23" s="91">
        <v>0</v>
      </c>
    </row>
    <row r="24" spans="1:16" ht="14.4" x14ac:dyDescent="0.3">
      <c r="A24" s="85" t="s">
        <v>37</v>
      </c>
      <c r="B24" s="85"/>
      <c r="C24" s="87"/>
      <c r="D24" s="94"/>
      <c r="E24" s="94"/>
      <c r="F24" s="94"/>
      <c r="G24" s="94"/>
      <c r="H24" s="94"/>
      <c r="I24" s="94"/>
      <c r="J24" s="94"/>
      <c r="K24" s="94"/>
      <c r="L24" s="94"/>
      <c r="M24" s="94"/>
      <c r="N24" s="94"/>
      <c r="O24" s="94"/>
      <c r="P24" s="94"/>
    </row>
    <row r="25" spans="1:16" ht="14.4" x14ac:dyDescent="0.3">
      <c r="A25" s="95" t="s">
        <v>38</v>
      </c>
      <c r="B25" s="89"/>
      <c r="C25" s="87" t="s">
        <v>19</v>
      </c>
      <c r="D25" s="91">
        <f>[48]LD!D30</f>
        <v>9.3899999999999997E-2</v>
      </c>
      <c r="E25" s="91">
        <f>[48]LD!E30</f>
        <v>9.2399999999999996E-2</v>
      </c>
      <c r="F25" s="91">
        <f>[48]LD!F30</f>
        <v>8.7999999999999995E-2</v>
      </c>
      <c r="G25" s="91">
        <f>[48]LD!G30</f>
        <v>0.1013</v>
      </c>
      <c r="H25" s="91">
        <f>[48]LD!H30</f>
        <v>0.111</v>
      </c>
      <c r="I25" s="91">
        <f>[48]LD!I30</f>
        <v>4.5099999999999994E-2</v>
      </c>
      <c r="J25" s="91">
        <f>[48]LD!J30</f>
        <v>6.0400000000000002E-2</v>
      </c>
      <c r="K25" s="91">
        <f>[48]LD!K30</f>
        <v>6.54E-2</v>
      </c>
      <c r="L25" s="91">
        <f>[48]LD!L30</f>
        <v>6.6500000000000004E-2</v>
      </c>
      <c r="M25" s="91">
        <f>[48]LD!M30</f>
        <v>5.9900000000000002E-2</v>
      </c>
      <c r="N25" s="91">
        <f>[48]LD!N30</f>
        <v>4.7800000000000002E-2</v>
      </c>
      <c r="O25" s="91">
        <f>[48]LD!O30</f>
        <v>7.9100000000000004E-2</v>
      </c>
      <c r="P25" s="91">
        <f>[48]LD!P30</f>
        <v>0</v>
      </c>
    </row>
    <row r="26" spans="1:16" ht="14.4" x14ac:dyDescent="0.3">
      <c r="A26" s="95" t="s">
        <v>39</v>
      </c>
      <c r="B26" s="89"/>
      <c r="C26" s="87" t="s">
        <v>19</v>
      </c>
      <c r="D26" s="91">
        <v>0</v>
      </c>
      <c r="E26" s="91">
        <v>0</v>
      </c>
      <c r="F26" s="91">
        <v>0</v>
      </c>
      <c r="G26" s="91">
        <v>0</v>
      </c>
      <c r="H26" s="91">
        <v>0</v>
      </c>
      <c r="I26" s="91">
        <v>0</v>
      </c>
      <c r="J26" s="91">
        <v>0</v>
      </c>
      <c r="K26" s="91">
        <v>0</v>
      </c>
      <c r="L26" s="91">
        <v>0</v>
      </c>
      <c r="M26" s="91">
        <v>0</v>
      </c>
      <c r="N26" s="91">
        <v>0</v>
      </c>
      <c r="O26" s="91">
        <v>0</v>
      </c>
      <c r="P26" s="91">
        <v>0</v>
      </c>
    </row>
    <row r="27" spans="1:16" ht="14.4" x14ac:dyDescent="0.3">
      <c r="A27" s="96" t="s">
        <v>40</v>
      </c>
      <c r="B27" s="89"/>
      <c r="C27" s="87" t="s">
        <v>19</v>
      </c>
      <c r="D27" s="91">
        <f>'[48]SR CIT. SUBSIDY'!C108</f>
        <v>1E-4</v>
      </c>
      <c r="E27" s="91">
        <f>'[48]SR CIT. SUBSIDY'!D108</f>
        <v>1E-4</v>
      </c>
      <c r="F27" s="91">
        <f>'[48]SR CIT. SUBSIDY'!E108</f>
        <v>0</v>
      </c>
      <c r="G27" s="91">
        <f>'[48]SR CIT. SUBSIDY'!F108</f>
        <v>0</v>
      </c>
      <c r="H27" s="91">
        <f>'[48]SR CIT. SUBSIDY'!G108</f>
        <v>1E-4</v>
      </c>
      <c r="I27" s="91">
        <f>'[48]SR CIT. SUBSIDY'!H108</f>
        <v>1E-4</v>
      </c>
      <c r="J27" s="91">
        <f>'[48]SR CIT. SUBSIDY'!I108</f>
        <v>1E-4</v>
      </c>
      <c r="K27" s="91">
        <f>'[48]SR CIT. SUBSIDY'!J108</f>
        <v>1E-4</v>
      </c>
      <c r="L27" s="91">
        <f>'[48]SR CIT. SUBSIDY'!K108</f>
        <v>1E-4</v>
      </c>
      <c r="M27" s="91">
        <f>'[48]SR CIT. SUBSIDY'!L108</f>
        <v>1E-4</v>
      </c>
      <c r="N27" s="91">
        <f>'[48]SR CIT. SUBSIDY'!M108</f>
        <v>1E-4</v>
      </c>
      <c r="O27" s="91">
        <f>'[48]SR CIT. SUBSIDY'!N108</f>
        <v>1E-4</v>
      </c>
      <c r="P27" s="91">
        <f>'[48]SR CIT. SUBSIDY'!O108</f>
        <v>0</v>
      </c>
    </row>
    <row r="28" spans="1:16" ht="14.4" x14ac:dyDescent="0.3">
      <c r="A28" s="96" t="s">
        <v>41</v>
      </c>
      <c r="B28" s="89"/>
      <c r="C28" s="87" t="s">
        <v>19</v>
      </c>
      <c r="D28" s="91">
        <v>0</v>
      </c>
      <c r="E28" s="91">
        <v>0</v>
      </c>
      <c r="F28" s="91">
        <v>0</v>
      </c>
      <c r="G28" s="91">
        <v>0</v>
      </c>
      <c r="H28" s="91">
        <v>0</v>
      </c>
      <c r="I28" s="91">
        <v>0</v>
      </c>
      <c r="J28" s="91">
        <v>0</v>
      </c>
      <c r="K28" s="91">
        <v>0</v>
      </c>
      <c r="L28" s="91">
        <v>0</v>
      </c>
      <c r="M28" s="91">
        <v>0</v>
      </c>
      <c r="N28" s="91">
        <v>0</v>
      </c>
      <c r="O28" s="91">
        <v>0</v>
      </c>
      <c r="P28" s="91">
        <v>0</v>
      </c>
    </row>
    <row r="29" spans="1:16" ht="14.4" x14ac:dyDescent="0.3">
      <c r="A29" s="85" t="s">
        <v>42</v>
      </c>
      <c r="B29" s="85"/>
      <c r="C29" s="87"/>
      <c r="D29" s="94"/>
      <c r="E29" s="94"/>
      <c r="F29" s="94"/>
      <c r="G29" s="94"/>
      <c r="H29" s="94"/>
      <c r="I29" s="94"/>
      <c r="J29" s="94"/>
      <c r="K29" s="94"/>
      <c r="L29" s="94"/>
      <c r="M29" s="94"/>
      <c r="N29" s="94"/>
      <c r="O29" s="94"/>
      <c r="P29" s="94"/>
    </row>
    <row r="30" spans="1:16" ht="14.4" x14ac:dyDescent="0.3">
      <c r="A30" s="85" t="s">
        <v>43</v>
      </c>
      <c r="B30" s="85"/>
      <c r="C30" s="87" t="s">
        <v>44</v>
      </c>
      <c r="D30" s="91"/>
      <c r="E30" s="91"/>
      <c r="F30" s="91"/>
      <c r="G30" s="91"/>
      <c r="H30" s="91"/>
      <c r="I30" s="91"/>
      <c r="J30" s="91"/>
      <c r="K30" s="91"/>
      <c r="L30" s="91"/>
      <c r="M30" s="91"/>
      <c r="N30" s="91"/>
      <c r="O30" s="91"/>
      <c r="P30" s="91"/>
    </row>
    <row r="31" spans="1:16" ht="14.4" x14ac:dyDescent="0.3">
      <c r="A31" s="85" t="s">
        <v>45</v>
      </c>
      <c r="B31" s="85"/>
      <c r="C31" s="87"/>
      <c r="D31" s="94"/>
      <c r="E31" s="94"/>
      <c r="F31" s="94"/>
      <c r="G31" s="94"/>
      <c r="H31" s="94"/>
      <c r="I31" s="94"/>
      <c r="J31" s="94"/>
      <c r="K31" s="94"/>
      <c r="L31" s="94"/>
      <c r="M31" s="94"/>
      <c r="N31" s="94"/>
      <c r="O31" s="94"/>
      <c r="P31" s="94"/>
    </row>
    <row r="32" spans="1:16" ht="14.4" x14ac:dyDescent="0.3">
      <c r="A32" s="85" t="s">
        <v>46</v>
      </c>
      <c r="B32" s="85"/>
      <c r="C32" s="87" t="s">
        <v>19</v>
      </c>
      <c r="D32" s="91">
        <v>0</v>
      </c>
      <c r="E32" s="91">
        <v>0</v>
      </c>
      <c r="F32" s="91">
        <v>0</v>
      </c>
      <c r="G32" s="91">
        <v>0</v>
      </c>
      <c r="H32" s="91">
        <v>0</v>
      </c>
      <c r="I32" s="91">
        <v>0</v>
      </c>
      <c r="J32" s="91">
        <v>0</v>
      </c>
      <c r="K32" s="91">
        <v>0</v>
      </c>
      <c r="L32" s="91">
        <v>0</v>
      </c>
      <c r="M32" s="91">
        <v>0</v>
      </c>
      <c r="N32" s="91">
        <v>0</v>
      </c>
      <c r="O32" s="91">
        <v>0</v>
      </c>
      <c r="P32" s="91">
        <v>0</v>
      </c>
    </row>
    <row r="33" spans="1:16" ht="14.4" x14ac:dyDescent="0.3">
      <c r="A33" s="85" t="s">
        <v>47</v>
      </c>
      <c r="B33" s="85"/>
      <c r="C33" s="87"/>
      <c r="D33" s="94"/>
      <c r="E33" s="94"/>
      <c r="F33" s="94"/>
      <c r="G33" s="94"/>
      <c r="H33" s="94"/>
      <c r="I33" s="94"/>
      <c r="J33" s="94"/>
      <c r="K33" s="94"/>
      <c r="L33" s="94"/>
      <c r="M33" s="94"/>
      <c r="N33" s="94"/>
      <c r="O33" s="94"/>
      <c r="P33" s="94"/>
    </row>
    <row r="34" spans="1:16" ht="14.4" x14ac:dyDescent="0.3">
      <c r="A34" s="89" t="s">
        <v>48</v>
      </c>
      <c r="B34" s="89"/>
      <c r="C34" s="87" t="s">
        <v>19</v>
      </c>
      <c r="D34" s="91">
        <v>0.15609999999999999</v>
      </c>
      <c r="E34" s="91">
        <v>0.15609999999999999</v>
      </c>
      <c r="F34" s="91">
        <v>0.15609999999999999</v>
      </c>
      <c r="G34" s="91">
        <v>0.15609999999999999</v>
      </c>
      <c r="H34" s="91">
        <v>0.15609999999999999</v>
      </c>
      <c r="I34" s="91">
        <v>0.15609999999999999</v>
      </c>
      <c r="J34" s="91">
        <v>0.15609999999999999</v>
      </c>
      <c r="K34" s="91">
        <v>0.15609999999999999</v>
      </c>
      <c r="L34" s="91">
        <v>0.15609999999999999</v>
      </c>
      <c r="M34" s="91">
        <v>0.15609999999999999</v>
      </c>
      <c r="N34" s="91">
        <v>0.15609999999999999</v>
      </c>
      <c r="O34" s="91">
        <v>0.15609999999999999</v>
      </c>
      <c r="P34" s="91">
        <v>0.15609999999999999</v>
      </c>
    </row>
    <row r="35" spans="1:16" ht="14.4" x14ac:dyDescent="0.3">
      <c r="A35" s="89" t="s">
        <v>49</v>
      </c>
      <c r="B35" s="89"/>
      <c r="C35" s="87" t="s">
        <v>19</v>
      </c>
      <c r="D35" s="91">
        <v>2.5000000000000001E-3</v>
      </c>
      <c r="E35" s="91">
        <v>2.5000000000000001E-3</v>
      </c>
      <c r="F35" s="91">
        <v>2.5000000000000001E-3</v>
      </c>
      <c r="G35" s="91">
        <v>2.5000000000000001E-3</v>
      </c>
      <c r="H35" s="91">
        <v>2.5000000000000001E-3</v>
      </c>
      <c r="I35" s="91">
        <v>0</v>
      </c>
      <c r="J35" s="91">
        <v>0</v>
      </c>
      <c r="K35" s="91">
        <v>0</v>
      </c>
      <c r="L35" s="91">
        <v>0</v>
      </c>
      <c r="M35" s="91">
        <v>0</v>
      </c>
      <c r="N35" s="91">
        <v>0</v>
      </c>
      <c r="O35" s="91">
        <v>0</v>
      </c>
      <c r="P35" s="91">
        <v>0</v>
      </c>
    </row>
    <row r="36" spans="1:16" ht="14.4" x14ac:dyDescent="0.3">
      <c r="A36" s="89" t="s">
        <v>111</v>
      </c>
      <c r="B36" s="89"/>
      <c r="C36" s="87" t="s">
        <v>19</v>
      </c>
      <c r="D36" s="91">
        <v>5.4300000000000001E-2</v>
      </c>
      <c r="E36" s="91">
        <v>0</v>
      </c>
      <c r="F36" s="91">
        <v>-0.14530000000000001</v>
      </c>
      <c r="G36" s="91">
        <v>0</v>
      </c>
      <c r="H36" s="91">
        <v>0</v>
      </c>
      <c r="I36" s="91">
        <v>0</v>
      </c>
      <c r="J36" s="91">
        <v>0</v>
      </c>
      <c r="K36" s="91">
        <v>0</v>
      </c>
      <c r="L36" s="91">
        <v>0</v>
      </c>
      <c r="M36" s="91">
        <v>0</v>
      </c>
      <c r="N36" s="91">
        <v>0</v>
      </c>
      <c r="O36" s="91">
        <v>0</v>
      </c>
      <c r="P36" s="91">
        <v>0</v>
      </c>
    </row>
    <row r="37" spans="1:16" ht="14.4" x14ac:dyDescent="0.3">
      <c r="A37" s="89" t="s">
        <v>112</v>
      </c>
      <c r="B37" s="89"/>
      <c r="C37" s="87" t="s">
        <v>19</v>
      </c>
      <c r="D37" s="91">
        <v>4.2799999999999998E-2</v>
      </c>
      <c r="E37" s="91">
        <v>4.2799999999999998E-2</v>
      </c>
      <c r="F37" s="91">
        <v>4.2799999999999998E-2</v>
      </c>
      <c r="G37" s="91">
        <v>4.2799999999999998E-2</v>
      </c>
      <c r="H37" s="91">
        <v>4.2799999999999998E-2</v>
      </c>
      <c r="I37" s="91">
        <v>4.2799999999999998E-2</v>
      </c>
      <c r="J37" s="91">
        <v>4.2799999999999998E-2</v>
      </c>
      <c r="K37" s="91">
        <v>4.2799999999999998E-2</v>
      </c>
      <c r="L37" s="91">
        <v>4.2799999999999998E-2</v>
      </c>
      <c r="M37" s="91">
        <v>4.2799999999999998E-2</v>
      </c>
      <c r="N37" s="91">
        <v>4.2799999999999998E-2</v>
      </c>
      <c r="O37" s="91">
        <v>4.2799999999999998E-2</v>
      </c>
      <c r="P37" s="91">
        <v>4.2799999999999998E-2</v>
      </c>
    </row>
    <row r="38" spans="1:16" ht="14.4" x14ac:dyDescent="0.3">
      <c r="A38" s="85" t="s">
        <v>51</v>
      </c>
      <c r="B38" s="85"/>
      <c r="C38" s="87" t="s">
        <v>19</v>
      </c>
      <c r="D38" s="91">
        <v>0.22259999999999999</v>
      </c>
      <c r="E38" s="91">
        <v>4.9500000000000002E-2</v>
      </c>
      <c r="F38" s="91">
        <v>4.9500000000000002E-2</v>
      </c>
      <c r="G38" s="91">
        <v>0</v>
      </c>
      <c r="H38" s="91">
        <v>0</v>
      </c>
      <c r="I38" s="91">
        <v>4.9500000000000002E-2</v>
      </c>
      <c r="J38" s="91">
        <v>4.9500000000000002E-2</v>
      </c>
      <c r="K38" s="91">
        <v>4.9500000000000002E-2</v>
      </c>
      <c r="L38" s="91">
        <v>4.9500000000000002E-2</v>
      </c>
      <c r="M38" s="91">
        <v>4.9500000000000002E-2</v>
      </c>
      <c r="N38" s="91">
        <v>4.9500000000000002E-2</v>
      </c>
      <c r="O38" s="91">
        <v>4.9500000000000002E-2</v>
      </c>
      <c r="P38" s="91">
        <v>4.9500000000000002E-2</v>
      </c>
    </row>
    <row r="39" spans="1:16" ht="14.4" x14ac:dyDescent="0.3">
      <c r="A39" s="85" t="s">
        <v>52</v>
      </c>
      <c r="B39" s="85"/>
      <c r="C39" s="97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</row>
    <row r="40" spans="1:16" ht="14.4" x14ac:dyDescent="0.3">
      <c r="A40" s="89" t="s">
        <v>53</v>
      </c>
      <c r="B40" s="89"/>
      <c r="C40" s="87" t="s">
        <v>44</v>
      </c>
      <c r="D40" s="30">
        <f>'[48]DU VAT'!C15</f>
        <v>0.1094</v>
      </c>
      <c r="E40" s="30">
        <f>'[48]DU VAT'!D15</f>
        <v>0.1108</v>
      </c>
      <c r="F40" s="30">
        <f>'[48]DU VAT'!E15</f>
        <v>0.11159999999999999</v>
      </c>
      <c r="G40" s="30">
        <f>'[48]DU VAT'!F15</f>
        <v>0.11550000000000001</v>
      </c>
      <c r="H40" s="30">
        <f>'[48]DU VAT'!G15</f>
        <v>0.11890000000000001</v>
      </c>
      <c r="I40" s="30">
        <f>'[48]DU VAT'!H15</f>
        <v>0.11890000000000001</v>
      </c>
      <c r="J40" s="30">
        <f>'[48]DU VAT'!I15</f>
        <v>0.1142</v>
      </c>
      <c r="K40" s="30">
        <f>'[48]DU VAT'!J15</f>
        <v>0.1143</v>
      </c>
      <c r="L40" s="30">
        <f>'[48]DU VAT'!K15</f>
        <v>0.11559999999999999</v>
      </c>
      <c r="M40" s="30">
        <f>'[48]DU VAT'!L15</f>
        <v>0.11119999999999999</v>
      </c>
      <c r="N40" s="30">
        <f>'[48]DU VAT'!M15</f>
        <v>0.1148</v>
      </c>
      <c r="O40" s="30">
        <f>'[48]DU VAT'!N15</f>
        <v>0.1158</v>
      </c>
      <c r="P40" s="30" t="e">
        <f>'[48]DU VAT'!O15</f>
        <v>#DIV/0!</v>
      </c>
    </row>
    <row r="41" spans="1:16" ht="14.4" x14ac:dyDescent="0.3">
      <c r="A41" s="89" t="s">
        <v>54</v>
      </c>
      <c r="B41" s="89"/>
      <c r="C41" s="87" t="s">
        <v>44</v>
      </c>
      <c r="D41" s="30">
        <f>'[48]DU VAT'!C22</f>
        <v>0.1011</v>
      </c>
      <c r="E41" s="30">
        <f>'[48]DU VAT'!D22</f>
        <v>0.1071</v>
      </c>
      <c r="F41" s="30">
        <f>'[48]DU VAT'!E22</f>
        <v>0.1144</v>
      </c>
      <c r="G41" s="30">
        <f>'[48]DU VAT'!F22</f>
        <v>0.11749999999999999</v>
      </c>
      <c r="H41" s="30">
        <f>'[48]DU VAT'!G22</f>
        <v>0.1123</v>
      </c>
      <c r="I41" s="30">
        <f>'[48]DU VAT'!H22</f>
        <v>0.11509999999999999</v>
      </c>
      <c r="J41" s="30">
        <f>'[48]DU VAT'!I22</f>
        <v>9.9299999999999999E-2</v>
      </c>
      <c r="K41" s="30">
        <f>'[48]DU VAT'!J22</f>
        <v>0.1032</v>
      </c>
      <c r="L41" s="30">
        <f>'[48]DU VAT'!K22</f>
        <v>0.1017</v>
      </c>
      <c r="M41" s="30">
        <f>'[48]DU VAT'!L22</f>
        <v>0.1055</v>
      </c>
      <c r="N41" s="30">
        <f>'[48]DU VAT'!M22</f>
        <v>0.10100000000000001</v>
      </c>
      <c r="O41" s="30">
        <f>'[48]DU VAT'!N22</f>
        <v>9.6699999999999994E-2</v>
      </c>
      <c r="P41" s="30" t="e">
        <f>'[48]DU VAT'!O22</f>
        <v>#DIV/0!</v>
      </c>
    </row>
    <row r="42" spans="1:16" ht="14.4" x14ac:dyDescent="0.3">
      <c r="A42" s="89" t="s">
        <v>55</v>
      </c>
      <c r="B42" s="89"/>
      <c r="C42" s="87" t="s">
        <v>44</v>
      </c>
      <c r="D42" s="30">
        <f>'[48]DU VAT'!C29</f>
        <v>0.1084</v>
      </c>
      <c r="E42" s="30">
        <f>'[48]DU VAT'!D29</f>
        <v>0.1103</v>
      </c>
      <c r="F42" s="30">
        <f>'[48]DU VAT'!E29</f>
        <v>0.1105</v>
      </c>
      <c r="G42" s="30">
        <f>'[48]DU VAT'!F29</f>
        <v>0.1143</v>
      </c>
      <c r="H42" s="30">
        <f>'[48]DU VAT'!G29</f>
        <v>0.1162</v>
      </c>
      <c r="I42" s="30">
        <f>'[48]DU VAT'!H29</f>
        <v>0.1166</v>
      </c>
      <c r="J42" s="30">
        <f>'[48]DU VAT'!I29</f>
        <v>0.1118</v>
      </c>
      <c r="K42" s="30">
        <f>'[48]DU VAT'!J29</f>
        <v>0.11310000000000001</v>
      </c>
      <c r="L42" s="30">
        <f>'[48]DU VAT'!K29</f>
        <v>0.1134</v>
      </c>
      <c r="M42" s="30">
        <f>'[48]DU VAT'!L29</f>
        <v>0.1104</v>
      </c>
      <c r="N42" s="30">
        <f>'[48]DU VAT'!M29</f>
        <v>0.11260000000000001</v>
      </c>
      <c r="O42" s="30">
        <f>'[48]DU VAT'!N29</f>
        <v>0.1128</v>
      </c>
      <c r="P42" s="30" t="e">
        <f>'[48]DU VAT'!O29</f>
        <v>#DIV/0!</v>
      </c>
    </row>
    <row r="43" spans="1:16" ht="14.4" x14ac:dyDescent="0.3">
      <c r="A43" s="89" t="s">
        <v>56</v>
      </c>
      <c r="B43" s="89"/>
      <c r="C43" s="87" t="s">
        <v>44</v>
      </c>
      <c r="D43" s="30">
        <v>0.12</v>
      </c>
      <c r="E43" s="30">
        <v>0.12</v>
      </c>
      <c r="F43" s="30">
        <v>0.12</v>
      </c>
      <c r="G43" s="30">
        <v>0.12</v>
      </c>
      <c r="H43" s="30">
        <v>0.12</v>
      </c>
      <c r="I43" s="30">
        <v>0.12</v>
      </c>
      <c r="J43" s="30">
        <v>0.12</v>
      </c>
      <c r="K43" s="30">
        <v>0.12</v>
      </c>
      <c r="L43" s="30">
        <v>0.12</v>
      </c>
      <c r="M43" s="30">
        <v>0.12</v>
      </c>
      <c r="N43" s="30">
        <v>0.12</v>
      </c>
      <c r="O43" s="30">
        <v>0.12</v>
      </c>
      <c r="P43" s="30">
        <v>0.12</v>
      </c>
    </row>
    <row r="44" spans="1:16" ht="14.4" x14ac:dyDescent="0.3">
      <c r="A44" s="89" t="s">
        <v>57</v>
      </c>
      <c r="B44" s="89"/>
      <c r="C44" s="87" t="s">
        <v>44</v>
      </c>
      <c r="D44" s="30">
        <v>0.12</v>
      </c>
      <c r="E44" s="30">
        <v>0.12</v>
      </c>
      <c r="F44" s="30">
        <v>0.12</v>
      </c>
      <c r="G44" s="30">
        <v>0.12</v>
      </c>
      <c r="H44" s="30">
        <v>0.12</v>
      </c>
      <c r="I44" s="30">
        <v>0.12</v>
      </c>
      <c r="J44" s="30">
        <v>0.12</v>
      </c>
      <c r="K44" s="30">
        <v>0.12</v>
      </c>
      <c r="L44" s="30">
        <v>0.12</v>
      </c>
      <c r="M44" s="30">
        <v>0.12</v>
      </c>
      <c r="N44" s="30">
        <v>0.12</v>
      </c>
      <c r="O44" s="30">
        <v>0.12</v>
      </c>
      <c r="P44" s="30">
        <v>0.12</v>
      </c>
    </row>
    <row r="45" spans="1:16" x14ac:dyDescent="0.3">
      <c r="A45" s="98"/>
      <c r="B45" s="98"/>
      <c r="C45" s="98"/>
      <c r="D45" s="98"/>
      <c r="E45" s="98"/>
      <c r="F45" s="98"/>
      <c r="G45" s="98"/>
      <c r="H45" s="98"/>
      <c r="I45" s="98"/>
      <c r="J45" s="98"/>
      <c r="K45" s="98"/>
      <c r="L45" s="98"/>
      <c r="M45" s="98"/>
      <c r="N45" s="98"/>
      <c r="O45" s="98"/>
      <c r="P45" s="98"/>
    </row>
    <row r="46" spans="1:16" x14ac:dyDescent="0.3">
      <c r="A46" s="77" t="s">
        <v>58</v>
      </c>
    </row>
    <row r="47" spans="1:16" x14ac:dyDescent="0.3">
      <c r="A47" s="100"/>
    </row>
    <row r="48" spans="1:16" ht="18" x14ac:dyDescent="0.35">
      <c r="A48" s="101" t="str">
        <f>'[48]Statistical data'!A181</f>
        <v xml:space="preserve">  Residential </v>
      </c>
      <c r="B48" s="82"/>
      <c r="C48" s="77"/>
      <c r="D48" s="83"/>
      <c r="E48" s="83"/>
      <c r="F48" s="83"/>
      <c r="G48" s="83"/>
      <c r="H48" s="83"/>
      <c r="I48" s="83"/>
      <c r="J48" s="83"/>
      <c r="K48" s="83"/>
      <c r="L48" s="83"/>
      <c r="M48" s="83"/>
      <c r="N48" s="83"/>
      <c r="O48" s="83"/>
      <c r="P48" s="83"/>
    </row>
    <row r="49" spans="1:16" s="84" customFormat="1" ht="14.4" x14ac:dyDescent="0.3">
      <c r="A49" s="12" t="s">
        <v>3</v>
      </c>
      <c r="B49" s="12"/>
      <c r="C49" s="12" t="s">
        <v>4</v>
      </c>
      <c r="D49" s="73">
        <f t="shared" ref="D49:P49" si="0">D7</f>
        <v>43831</v>
      </c>
      <c r="E49" s="73">
        <f t="shared" si="0"/>
        <v>43862</v>
      </c>
      <c r="F49" s="73">
        <f t="shared" si="0"/>
        <v>43891</v>
      </c>
      <c r="G49" s="73">
        <f t="shared" si="0"/>
        <v>43922</v>
      </c>
      <c r="H49" s="73">
        <f t="shared" si="0"/>
        <v>43952</v>
      </c>
      <c r="I49" s="73">
        <f t="shared" si="0"/>
        <v>43983</v>
      </c>
      <c r="J49" s="73">
        <f t="shared" si="0"/>
        <v>44013</v>
      </c>
      <c r="K49" s="73">
        <f t="shared" si="0"/>
        <v>44044</v>
      </c>
      <c r="L49" s="73">
        <f t="shared" si="0"/>
        <v>44075</v>
      </c>
      <c r="M49" s="73">
        <f t="shared" si="0"/>
        <v>44105</v>
      </c>
      <c r="N49" s="73">
        <f t="shared" si="0"/>
        <v>44136</v>
      </c>
      <c r="O49" s="73">
        <f t="shared" si="0"/>
        <v>44166</v>
      </c>
      <c r="P49" s="73">
        <f t="shared" si="0"/>
        <v>44197</v>
      </c>
    </row>
    <row r="50" spans="1:16" ht="14.4" x14ac:dyDescent="0.3">
      <c r="A50" s="102" t="s">
        <v>17</v>
      </c>
      <c r="B50" s="103"/>
      <c r="C50" s="104"/>
      <c r="D50" s="105"/>
      <c r="E50" s="105"/>
      <c r="F50" s="105"/>
      <c r="G50" s="105"/>
      <c r="H50" s="105"/>
      <c r="I50" s="105"/>
      <c r="J50" s="105"/>
      <c r="K50" s="105"/>
      <c r="L50" s="105"/>
      <c r="M50" s="105"/>
      <c r="N50" s="105"/>
      <c r="O50" s="105"/>
      <c r="P50" s="105"/>
    </row>
    <row r="51" spans="1:16" ht="14.4" x14ac:dyDescent="0.3">
      <c r="A51" s="95" t="s">
        <v>68</v>
      </c>
      <c r="B51" s="95"/>
      <c r="C51" s="87" t="s">
        <v>19</v>
      </c>
      <c r="D51" s="91">
        <f>[48]GR!D23</f>
        <v>4.9039000000000001</v>
      </c>
      <c r="E51" s="91">
        <f>[48]GR!E23</f>
        <v>4.5090000000000003</v>
      </c>
      <c r="F51" s="91">
        <f>[48]GR!F23</f>
        <v>4.6631999999999998</v>
      </c>
      <c r="G51" s="91">
        <f>[48]GR!G23</f>
        <v>4.6384999999999996</v>
      </c>
      <c r="H51" s="91">
        <f>[48]GR!H23</f>
        <v>4.3848000000000003</v>
      </c>
      <c r="I51" s="91">
        <f>[48]GR!I23</f>
        <v>4.3413000000000004</v>
      </c>
      <c r="J51" s="91">
        <f>[48]GR!J23</f>
        <v>4.3343999999999996</v>
      </c>
      <c r="K51" s="91">
        <f>[48]GR!K23</f>
        <v>4.1241000000000003</v>
      </c>
      <c r="L51" s="91">
        <f>[48]GR!L23</f>
        <v>4.0860000000000003</v>
      </c>
      <c r="M51" s="91">
        <f>[48]GR!M23</f>
        <v>4.2233000000000001</v>
      </c>
      <c r="N51" s="91">
        <f>[48]GR!N23</f>
        <v>4.2018000000000004</v>
      </c>
      <c r="O51" s="91">
        <f>[48]GR!O23</f>
        <v>4.1516000000000002</v>
      </c>
      <c r="P51" s="91" t="e">
        <f>[48]GR!P23</f>
        <v>#DIV/0!</v>
      </c>
    </row>
    <row r="52" spans="1:16" ht="14.4" x14ac:dyDescent="0.3">
      <c r="A52" s="95" t="s">
        <v>69</v>
      </c>
      <c r="B52" s="95"/>
      <c r="C52" s="87"/>
      <c r="D52" s="106"/>
      <c r="E52" s="106"/>
      <c r="F52" s="106"/>
      <c r="G52" s="106"/>
      <c r="H52" s="106"/>
      <c r="I52" s="106"/>
      <c r="J52" s="106"/>
      <c r="K52" s="106"/>
      <c r="L52" s="106"/>
      <c r="M52" s="106"/>
      <c r="N52" s="106"/>
      <c r="O52" s="106"/>
      <c r="P52" s="106"/>
    </row>
    <row r="53" spans="1:16" ht="14.4" x14ac:dyDescent="0.3">
      <c r="A53" s="95" t="s">
        <v>113</v>
      </c>
      <c r="B53" s="95"/>
      <c r="C53" s="87" t="s">
        <v>19</v>
      </c>
      <c r="D53" s="91">
        <f>7.4854</f>
        <v>7.4854000000000003</v>
      </c>
      <c r="E53" s="91">
        <v>7.4854000000000003</v>
      </c>
      <c r="F53" s="91">
        <v>7.4854000000000003</v>
      </c>
      <c r="G53" s="91">
        <v>7.4854000000000003</v>
      </c>
      <c r="H53" s="91">
        <v>7.4854000000000003</v>
      </c>
      <c r="I53" s="91">
        <v>7.4854000000000003</v>
      </c>
      <c r="J53" s="91">
        <v>7.2778999999999998</v>
      </c>
      <c r="K53" s="91">
        <v>7.2778999999999998</v>
      </c>
      <c r="L53" s="91">
        <v>7.2778999999999998</v>
      </c>
      <c r="M53" s="91">
        <v>7.2778999999999998</v>
      </c>
      <c r="N53" s="91">
        <v>7.2778999999999998</v>
      </c>
      <c r="O53" s="91">
        <v>7.2778999999999998</v>
      </c>
      <c r="P53" s="91">
        <v>7.4854000000000003</v>
      </c>
    </row>
    <row r="54" spans="1:16" ht="14.4" x14ac:dyDescent="0.3">
      <c r="A54" s="95" t="s">
        <v>114</v>
      </c>
      <c r="B54" s="95"/>
      <c r="C54" s="87" t="s">
        <v>19</v>
      </c>
      <c r="D54" s="91">
        <f>3.5461</f>
        <v>3.5461</v>
      </c>
      <c r="E54" s="91">
        <f>3.5461</f>
        <v>3.5461</v>
      </c>
      <c r="F54" s="91">
        <f>3.5461</f>
        <v>3.5461</v>
      </c>
      <c r="G54" s="91">
        <f t="shared" ref="G54:O54" si="1">3.5461</f>
        <v>3.5461</v>
      </c>
      <c r="H54" s="91">
        <f t="shared" si="1"/>
        <v>3.5461</v>
      </c>
      <c r="I54" s="91">
        <f t="shared" si="1"/>
        <v>3.5461</v>
      </c>
      <c r="J54" s="91">
        <f t="shared" si="1"/>
        <v>3.5461</v>
      </c>
      <c r="K54" s="91">
        <f t="shared" si="1"/>
        <v>3.5461</v>
      </c>
      <c r="L54" s="91">
        <f t="shared" si="1"/>
        <v>3.5461</v>
      </c>
      <c r="M54" s="91">
        <f t="shared" si="1"/>
        <v>3.5461</v>
      </c>
      <c r="N54" s="91">
        <f t="shared" si="1"/>
        <v>3.5461</v>
      </c>
      <c r="O54" s="91">
        <f t="shared" si="1"/>
        <v>3.5461</v>
      </c>
      <c r="P54" s="91">
        <v>3.5461</v>
      </c>
    </row>
    <row r="55" spans="1:16" ht="14.4" x14ac:dyDescent="0.3">
      <c r="A55" s="95" t="s">
        <v>115</v>
      </c>
      <c r="B55" s="95"/>
      <c r="C55" s="87" t="s">
        <v>19</v>
      </c>
      <c r="D55" s="91">
        <v>-0.80620000000000003</v>
      </c>
      <c r="E55" s="91">
        <v>-1.1967000000000001</v>
      </c>
      <c r="F55" s="91">
        <v>-1.0435000000000001</v>
      </c>
      <c r="G55" s="91">
        <v>-1.0555000000000001</v>
      </c>
      <c r="H55" s="91">
        <v>-1.2337</v>
      </c>
      <c r="I55" s="91">
        <v>-1.3593999999999999</v>
      </c>
      <c r="J55" s="91">
        <v>-1.2383</v>
      </c>
      <c r="K55" s="91">
        <v>-1.4530000000000001</v>
      </c>
      <c r="L55" s="91">
        <v>-1.4926999999999999</v>
      </c>
      <c r="M55" s="91">
        <v>-1.3553999999999999</v>
      </c>
      <c r="N55" s="91">
        <v>-1.3781000000000001</v>
      </c>
      <c r="O55" s="91">
        <v>-1.4268000000000001</v>
      </c>
      <c r="P55" s="91"/>
    </row>
    <row r="56" spans="1:16" ht="14.4" x14ac:dyDescent="0.3">
      <c r="A56" s="102" t="s">
        <v>20</v>
      </c>
      <c r="B56" s="103"/>
      <c r="C56" s="104"/>
      <c r="D56" s="41"/>
      <c r="E56" s="41"/>
      <c r="F56" s="41"/>
      <c r="G56" s="41"/>
      <c r="H56" s="41"/>
      <c r="I56" s="41"/>
      <c r="J56" s="41"/>
      <c r="K56" s="41"/>
      <c r="L56" s="41"/>
      <c r="M56" s="41"/>
      <c r="N56" s="41"/>
      <c r="O56" s="41"/>
      <c r="P56" s="41"/>
    </row>
    <row r="57" spans="1:16" ht="14.4" x14ac:dyDescent="0.3">
      <c r="A57" s="107" t="s">
        <v>21</v>
      </c>
      <c r="B57" s="108"/>
      <c r="C57" s="104" t="s">
        <v>19</v>
      </c>
      <c r="D57" s="109">
        <f>[48]TR!D43</f>
        <v>0.66559999999999997</v>
      </c>
      <c r="E57" s="109">
        <f>[48]TR!E43</f>
        <v>0.75439999999999996</v>
      </c>
      <c r="F57" s="109">
        <f>[48]TR!F43</f>
        <v>0.78590000000000004</v>
      </c>
      <c r="G57" s="109">
        <f>[48]TR!G43</f>
        <v>0.78610000000000002</v>
      </c>
      <c r="H57" s="109">
        <f>[48]TR!H43</f>
        <v>0.80359999999999998</v>
      </c>
      <c r="I57" s="109">
        <f>[48]TR!I43</f>
        <v>0.84609999999999996</v>
      </c>
      <c r="J57" s="109">
        <f>[48]TR!J43</f>
        <v>0.80349999999999999</v>
      </c>
      <c r="K57" s="109">
        <f>[48]TR!K43</f>
        <v>0.7954</v>
      </c>
      <c r="L57" s="109">
        <f>[48]TR!L43</f>
        <v>0.78420000000000001</v>
      </c>
      <c r="M57" s="109">
        <f>[48]TR!M43</f>
        <v>0.7742</v>
      </c>
      <c r="N57" s="109">
        <f>[48]TR!N43</f>
        <v>0.77949999999999997</v>
      </c>
      <c r="O57" s="109">
        <f>[48]TR!O43</f>
        <v>0.77510000000000001</v>
      </c>
      <c r="P57" s="109">
        <f>[48]TR!P43</f>
        <v>0</v>
      </c>
    </row>
    <row r="58" spans="1:16" ht="14.4" x14ac:dyDescent="0.3">
      <c r="A58" s="107" t="s">
        <v>22</v>
      </c>
      <c r="B58" s="108"/>
      <c r="C58" s="104" t="s">
        <v>23</v>
      </c>
      <c r="D58" s="109">
        <v>0</v>
      </c>
      <c r="E58" s="109">
        <v>0</v>
      </c>
      <c r="F58" s="109">
        <v>0</v>
      </c>
      <c r="G58" s="109">
        <v>0</v>
      </c>
      <c r="H58" s="109">
        <v>0</v>
      </c>
      <c r="I58" s="109">
        <v>0</v>
      </c>
      <c r="J58" s="109">
        <v>0</v>
      </c>
      <c r="K58" s="109">
        <v>0</v>
      </c>
      <c r="L58" s="109">
        <v>0</v>
      </c>
      <c r="M58" s="109">
        <v>0</v>
      </c>
      <c r="N58" s="109">
        <v>0</v>
      </c>
      <c r="O58" s="109">
        <v>0</v>
      </c>
      <c r="P58" s="109">
        <v>0</v>
      </c>
    </row>
    <row r="59" spans="1:16" ht="14.4" x14ac:dyDescent="0.3">
      <c r="A59" s="102" t="s">
        <v>24</v>
      </c>
      <c r="B59" s="103"/>
      <c r="C59" s="104"/>
      <c r="D59" s="41"/>
      <c r="E59" s="41"/>
      <c r="F59" s="41"/>
      <c r="G59" s="41"/>
      <c r="H59" s="41"/>
      <c r="I59" s="41"/>
      <c r="J59" s="41"/>
      <c r="K59" s="41"/>
      <c r="L59" s="41"/>
      <c r="M59" s="41"/>
      <c r="N59" s="41"/>
      <c r="O59" s="41"/>
      <c r="P59" s="41"/>
    </row>
    <row r="60" spans="1:16" ht="14.4" x14ac:dyDescent="0.3">
      <c r="A60" s="107" t="s">
        <v>25</v>
      </c>
      <c r="B60" s="108"/>
      <c r="C60" s="104" t="s">
        <v>19</v>
      </c>
      <c r="D60" s="109">
        <f>[48]SLR!D74</f>
        <v>0.41470000000000001</v>
      </c>
      <c r="E60" s="109">
        <f>[48]SLR!E74</f>
        <v>0.38729999999999998</v>
      </c>
      <c r="F60" s="109">
        <f>[48]SLR!F74</f>
        <v>0.3528</v>
      </c>
      <c r="G60" s="109">
        <f>[48]SLR!G74</f>
        <v>0.35249999999999998</v>
      </c>
      <c r="H60" s="109">
        <f>[48]SLR!H74</f>
        <v>0.34720000000000001</v>
      </c>
      <c r="I60" s="109">
        <f>[48]SLR!I74</f>
        <v>0.35120000000000001</v>
      </c>
      <c r="J60" s="109">
        <f>[48]SLR!J74</f>
        <v>0.39100000000000001</v>
      </c>
      <c r="K60" s="109">
        <f>[48]SLR!K74</f>
        <v>0.41720000000000002</v>
      </c>
      <c r="L60" s="109">
        <f>[48]SLR!L74</f>
        <v>0.40579999999999999</v>
      </c>
      <c r="M60" s="109">
        <f>[48]SLR!M74</f>
        <v>0.40810000000000002</v>
      </c>
      <c r="N60" s="109">
        <f>[48]SLR!N74</f>
        <v>0.39</v>
      </c>
      <c r="O60" s="109">
        <f>[48]SLR!O74</f>
        <v>0.38090000000000002</v>
      </c>
      <c r="P60" s="109">
        <f>[48]SLR!P74</f>
        <v>0</v>
      </c>
    </row>
    <row r="61" spans="1:16" ht="14.4" x14ac:dyDescent="0.3">
      <c r="A61" s="102" t="s">
        <v>119</v>
      </c>
      <c r="B61" s="102"/>
      <c r="C61" s="104"/>
      <c r="D61" s="44"/>
      <c r="E61" s="44"/>
      <c r="F61" s="44"/>
      <c r="G61" s="44"/>
      <c r="H61" s="44"/>
      <c r="I61" s="44"/>
      <c r="J61" s="44"/>
      <c r="K61" s="44"/>
      <c r="L61" s="44"/>
      <c r="M61" s="44"/>
      <c r="N61" s="44"/>
      <c r="O61" s="44"/>
      <c r="P61" s="44"/>
    </row>
    <row r="62" spans="1:16" ht="14.4" x14ac:dyDescent="0.3">
      <c r="A62" s="107" t="s">
        <v>27</v>
      </c>
      <c r="B62" s="107"/>
      <c r="C62" s="104"/>
      <c r="D62" s="44"/>
      <c r="E62" s="44"/>
      <c r="F62" s="44"/>
      <c r="G62" s="44"/>
      <c r="H62" s="44"/>
      <c r="I62" s="44"/>
      <c r="J62" s="44"/>
      <c r="K62" s="44"/>
      <c r="L62" s="44"/>
      <c r="M62" s="44"/>
      <c r="N62" s="44"/>
      <c r="O62" s="44"/>
      <c r="P62" s="44"/>
    </row>
    <row r="63" spans="1:16" ht="14.4" x14ac:dyDescent="0.3">
      <c r="A63" s="95" t="s">
        <v>120</v>
      </c>
      <c r="B63" s="95"/>
      <c r="C63" s="87" t="s">
        <v>19</v>
      </c>
      <c r="D63" s="20">
        <v>1.0012000000000001</v>
      </c>
      <c r="E63" s="20">
        <v>1.0012000000000001</v>
      </c>
      <c r="F63" s="20">
        <v>1.0012000000000001</v>
      </c>
      <c r="G63" s="20">
        <v>1.0012000000000001</v>
      </c>
      <c r="H63" s="20">
        <v>1.0012000000000001</v>
      </c>
      <c r="I63" s="20">
        <v>1.0012000000000001</v>
      </c>
      <c r="J63" s="20">
        <v>1.0012000000000001</v>
      </c>
      <c r="K63" s="20">
        <v>1.0012000000000001</v>
      </c>
      <c r="L63" s="20">
        <v>1.0012000000000001</v>
      </c>
      <c r="M63" s="20">
        <v>1.0012000000000001</v>
      </c>
      <c r="N63" s="20">
        <v>1.0012000000000001</v>
      </c>
      <c r="O63" s="20">
        <v>1.0012000000000001</v>
      </c>
      <c r="P63" s="20">
        <v>1.0012000000000001</v>
      </c>
    </row>
    <row r="64" spans="1:16" ht="14.4" x14ac:dyDescent="0.3">
      <c r="A64" s="95" t="s">
        <v>121</v>
      </c>
      <c r="B64" s="95"/>
      <c r="C64" s="87" t="s">
        <v>19</v>
      </c>
      <c r="D64" s="20">
        <v>1.3183</v>
      </c>
      <c r="E64" s="20">
        <v>1.3183</v>
      </c>
      <c r="F64" s="20">
        <v>1.3183</v>
      </c>
      <c r="G64" s="20">
        <v>1.3183</v>
      </c>
      <c r="H64" s="20">
        <v>1.3183</v>
      </c>
      <c r="I64" s="20">
        <v>1.3183</v>
      </c>
      <c r="J64" s="20">
        <v>1.3183</v>
      </c>
      <c r="K64" s="20">
        <v>1.3183</v>
      </c>
      <c r="L64" s="20">
        <v>1.3183</v>
      </c>
      <c r="M64" s="20">
        <v>1.3183</v>
      </c>
      <c r="N64" s="20">
        <v>1.3183</v>
      </c>
      <c r="O64" s="20">
        <v>1.3183</v>
      </c>
      <c r="P64" s="20">
        <v>1.3183</v>
      </c>
    </row>
    <row r="65" spans="1:16" ht="14.4" x14ac:dyDescent="0.3">
      <c r="A65" s="95" t="s">
        <v>122</v>
      </c>
      <c r="B65" s="95"/>
      <c r="C65" s="87" t="s">
        <v>19</v>
      </c>
      <c r="D65" s="20">
        <v>1.6174999999999999</v>
      </c>
      <c r="E65" s="20">
        <v>1.6174999999999999</v>
      </c>
      <c r="F65" s="20">
        <v>1.6174999999999999</v>
      </c>
      <c r="G65" s="20">
        <v>1.6174999999999999</v>
      </c>
      <c r="H65" s="20">
        <v>1.6174999999999999</v>
      </c>
      <c r="I65" s="20">
        <v>1.6174999999999999</v>
      </c>
      <c r="J65" s="20">
        <v>1.6174999999999999</v>
      </c>
      <c r="K65" s="20">
        <v>1.6174999999999999</v>
      </c>
      <c r="L65" s="20">
        <v>1.6174999999999999</v>
      </c>
      <c r="M65" s="20">
        <v>1.6174999999999999</v>
      </c>
      <c r="N65" s="20">
        <v>1.6174999999999999</v>
      </c>
      <c r="O65" s="20">
        <v>1.6174999999999999</v>
      </c>
      <c r="P65" s="20">
        <v>1.6174999999999999</v>
      </c>
    </row>
    <row r="66" spans="1:16" ht="14.4" x14ac:dyDescent="0.3">
      <c r="A66" s="95" t="s">
        <v>123</v>
      </c>
      <c r="B66" s="95"/>
      <c r="C66" s="87" t="s">
        <v>19</v>
      </c>
      <c r="D66" s="20">
        <v>2.1387</v>
      </c>
      <c r="E66" s="20">
        <v>2.1387</v>
      </c>
      <c r="F66" s="20">
        <v>2.1387</v>
      </c>
      <c r="G66" s="20">
        <v>2.1387</v>
      </c>
      <c r="H66" s="20">
        <v>2.1387</v>
      </c>
      <c r="I66" s="20">
        <v>2.1387</v>
      </c>
      <c r="J66" s="20">
        <v>2.1387</v>
      </c>
      <c r="K66" s="20">
        <v>2.1387</v>
      </c>
      <c r="L66" s="20">
        <v>2.1387</v>
      </c>
      <c r="M66" s="20">
        <v>2.1387</v>
      </c>
      <c r="N66" s="20">
        <v>2.1387</v>
      </c>
      <c r="O66" s="20">
        <v>2.1387</v>
      </c>
      <c r="P66" s="20">
        <v>2.1387</v>
      </c>
    </row>
    <row r="67" spans="1:16" ht="14.4" x14ac:dyDescent="0.3">
      <c r="A67" s="107" t="s">
        <v>28</v>
      </c>
      <c r="B67" s="107"/>
      <c r="C67" s="104" t="s">
        <v>23</v>
      </c>
      <c r="D67" s="110">
        <v>0</v>
      </c>
      <c r="E67" s="110">
        <v>0</v>
      </c>
      <c r="F67" s="110">
        <v>0</v>
      </c>
      <c r="G67" s="110">
        <v>0</v>
      </c>
      <c r="H67" s="110">
        <v>0</v>
      </c>
      <c r="I67" s="110">
        <v>0</v>
      </c>
      <c r="J67" s="110">
        <v>0</v>
      </c>
      <c r="K67" s="110">
        <v>0</v>
      </c>
      <c r="L67" s="110">
        <v>0</v>
      </c>
      <c r="M67" s="110">
        <v>0</v>
      </c>
      <c r="N67" s="110">
        <v>0</v>
      </c>
      <c r="O67" s="110">
        <v>0</v>
      </c>
      <c r="P67" s="110">
        <v>0</v>
      </c>
    </row>
    <row r="68" spans="1:16" ht="14.4" x14ac:dyDescent="0.3">
      <c r="A68" s="102" t="s">
        <v>124</v>
      </c>
      <c r="B68" s="102"/>
      <c r="C68" s="104"/>
      <c r="D68" s="111"/>
      <c r="E68" s="111"/>
      <c r="F68" s="111"/>
      <c r="G68" s="111"/>
      <c r="H68" s="111"/>
      <c r="I68" s="111"/>
      <c r="J68" s="111"/>
      <c r="K68" s="111"/>
      <c r="L68" s="111"/>
      <c r="M68" s="111"/>
      <c r="N68" s="111"/>
      <c r="O68" s="111"/>
      <c r="P68" s="111"/>
    </row>
    <row r="69" spans="1:16" ht="14.4" x14ac:dyDescent="0.3">
      <c r="A69" s="107" t="s">
        <v>30</v>
      </c>
      <c r="B69" s="107"/>
      <c r="C69" s="104"/>
      <c r="D69" s="104"/>
      <c r="E69" s="104"/>
      <c r="F69" s="104"/>
      <c r="G69" s="104"/>
      <c r="H69" s="104"/>
      <c r="I69" s="104"/>
      <c r="J69" s="104"/>
      <c r="K69" s="104"/>
      <c r="L69" s="104"/>
      <c r="M69" s="104"/>
      <c r="N69" s="104"/>
      <c r="O69" s="104"/>
      <c r="P69" s="104"/>
    </row>
    <row r="70" spans="1:16" ht="14.4" x14ac:dyDescent="0.3">
      <c r="A70" s="95" t="s">
        <v>125</v>
      </c>
      <c r="B70" s="95"/>
      <c r="C70" s="104" t="s">
        <v>19</v>
      </c>
      <c r="D70" s="20">
        <v>0.50849999999999995</v>
      </c>
      <c r="E70" s="20">
        <v>0.50849999999999995</v>
      </c>
      <c r="F70" s="20">
        <v>0.50849999999999995</v>
      </c>
      <c r="G70" s="20">
        <v>0.50849999999999995</v>
      </c>
      <c r="H70" s="20">
        <v>0.50849999999999995</v>
      </c>
      <c r="I70" s="20">
        <v>0.50849999999999995</v>
      </c>
      <c r="J70" s="20">
        <v>0.50849999999999995</v>
      </c>
      <c r="K70" s="20">
        <v>0.50849999999999995</v>
      </c>
      <c r="L70" s="20">
        <v>0.50849999999999995</v>
      </c>
      <c r="M70" s="20">
        <v>0.50849999999999995</v>
      </c>
      <c r="N70" s="20">
        <v>0.50849999999999995</v>
      </c>
      <c r="O70" s="20">
        <v>0.50849999999999995</v>
      </c>
      <c r="P70" s="20">
        <v>0.50849999999999995</v>
      </c>
    </row>
    <row r="71" spans="1:16" ht="14.4" x14ac:dyDescent="0.3">
      <c r="A71" s="95" t="s">
        <v>126</v>
      </c>
      <c r="B71" s="95"/>
      <c r="C71" s="104" t="s">
        <v>19</v>
      </c>
      <c r="D71" s="20">
        <f>D70+0.01</f>
        <v>0.51849999999999996</v>
      </c>
      <c r="E71" s="20">
        <f>E70+0.01</f>
        <v>0.51849999999999996</v>
      </c>
      <c r="F71" s="20">
        <f>F70+0.01</f>
        <v>0.51849999999999996</v>
      </c>
      <c r="G71" s="20">
        <f>G70+0.01</f>
        <v>0.51849999999999996</v>
      </c>
      <c r="H71" s="20">
        <v>0.51849999999999996</v>
      </c>
      <c r="I71" s="20">
        <v>0.51849999999999996</v>
      </c>
      <c r="J71" s="20">
        <v>0.51849999999999996</v>
      </c>
      <c r="K71" s="20">
        <v>0.51849999999999996</v>
      </c>
      <c r="L71" s="20">
        <v>0.51849999999999996</v>
      </c>
      <c r="M71" s="20">
        <v>0.51849999999999996</v>
      </c>
      <c r="N71" s="20">
        <v>0.51849999999999996</v>
      </c>
      <c r="O71" s="20">
        <v>0.51849999999999996</v>
      </c>
      <c r="P71" s="20">
        <v>0.51849999999999996</v>
      </c>
    </row>
    <row r="72" spans="1:16" ht="14.4" x14ac:dyDescent="0.3">
      <c r="A72" s="107" t="s">
        <v>31</v>
      </c>
      <c r="B72" s="107"/>
      <c r="C72" s="104" t="s">
        <v>32</v>
      </c>
      <c r="D72" s="104"/>
      <c r="E72" s="104"/>
      <c r="F72" s="104"/>
      <c r="G72" s="104"/>
      <c r="H72" s="104"/>
      <c r="I72" s="104"/>
      <c r="J72" s="104"/>
      <c r="K72" s="104"/>
      <c r="L72" s="104"/>
      <c r="M72" s="104"/>
      <c r="N72" s="104"/>
      <c r="O72" s="104"/>
      <c r="P72" s="104"/>
    </row>
    <row r="73" spans="1:16" ht="14.4" x14ac:dyDescent="0.3">
      <c r="A73" s="95" t="s">
        <v>125</v>
      </c>
      <c r="B73" s="95"/>
      <c r="C73" s="87" t="s">
        <v>32</v>
      </c>
      <c r="D73" s="112">
        <v>16.73</v>
      </c>
      <c r="E73" s="112">
        <v>16.73</v>
      </c>
      <c r="F73" s="112">
        <v>16.73</v>
      </c>
      <c r="G73" s="112">
        <v>16.73</v>
      </c>
      <c r="H73" s="112">
        <v>16.73</v>
      </c>
      <c r="I73" s="112">
        <v>16.73</v>
      </c>
      <c r="J73" s="112">
        <v>16.73</v>
      </c>
      <c r="K73" s="112">
        <v>16.73</v>
      </c>
      <c r="L73" s="112">
        <v>16.73</v>
      </c>
      <c r="M73" s="112">
        <v>16.73</v>
      </c>
      <c r="N73" s="112">
        <v>16.73</v>
      </c>
      <c r="O73" s="112">
        <v>16.73</v>
      </c>
      <c r="P73" s="112">
        <v>16.73</v>
      </c>
    </row>
    <row r="74" spans="1:16" ht="14.4" x14ac:dyDescent="0.3">
      <c r="A74" s="95" t="s">
        <v>126</v>
      </c>
      <c r="B74" s="95"/>
      <c r="C74" s="87" t="s">
        <v>32</v>
      </c>
      <c r="D74" s="112">
        <f>D73*110%</f>
        <v>18.403000000000002</v>
      </c>
      <c r="E74" s="112">
        <f>E73*110%</f>
        <v>18.403000000000002</v>
      </c>
      <c r="F74" s="112">
        <f>F73*110%</f>
        <v>18.403000000000002</v>
      </c>
      <c r="G74" s="112">
        <f>G73*110%</f>
        <v>18.403000000000002</v>
      </c>
      <c r="H74" s="112">
        <v>18.403000000000002</v>
      </c>
      <c r="I74" s="112">
        <v>18.403000000000002</v>
      </c>
      <c r="J74" s="112">
        <v>18.403000000000002</v>
      </c>
      <c r="K74" s="112">
        <v>18.403000000000002</v>
      </c>
      <c r="L74" s="112">
        <v>18.403000000000002</v>
      </c>
      <c r="M74" s="112">
        <v>18.403000000000002</v>
      </c>
      <c r="N74" s="112">
        <v>18.403000000000002</v>
      </c>
      <c r="O74" s="112">
        <v>18.403000000000002</v>
      </c>
      <c r="P74" s="112">
        <v>18.403000000000002</v>
      </c>
    </row>
    <row r="75" spans="1:16" ht="14.4" x14ac:dyDescent="0.3">
      <c r="A75" s="102" t="s">
        <v>127</v>
      </c>
      <c r="B75" s="102"/>
      <c r="C75" s="104"/>
      <c r="D75" s="111"/>
      <c r="E75" s="111"/>
      <c r="F75" s="111"/>
      <c r="G75" s="111"/>
      <c r="H75" s="111"/>
      <c r="I75" s="111"/>
      <c r="J75" s="111"/>
      <c r="K75" s="111"/>
      <c r="L75" s="111"/>
      <c r="M75" s="111"/>
      <c r="N75" s="111"/>
      <c r="O75" s="111"/>
      <c r="P75" s="111"/>
    </row>
    <row r="76" spans="1:16" ht="14.4" x14ac:dyDescent="0.3">
      <c r="A76" s="107" t="s">
        <v>34</v>
      </c>
      <c r="B76" s="107"/>
      <c r="C76" s="104" t="s">
        <v>19</v>
      </c>
      <c r="D76" s="109">
        <v>0.3377</v>
      </c>
      <c r="E76" s="109">
        <v>0.3377</v>
      </c>
      <c r="F76" s="109">
        <v>0.3377</v>
      </c>
      <c r="G76" s="109">
        <v>0.3377</v>
      </c>
      <c r="H76" s="109">
        <v>0.3377</v>
      </c>
      <c r="I76" s="109">
        <v>0.3377</v>
      </c>
      <c r="J76" s="109">
        <v>0.3377</v>
      </c>
      <c r="K76" s="109">
        <v>0.3377</v>
      </c>
      <c r="L76" s="109">
        <v>0.3377</v>
      </c>
      <c r="M76" s="109">
        <v>0.3377</v>
      </c>
      <c r="N76" s="109">
        <v>0.3377</v>
      </c>
      <c r="O76" s="109">
        <v>0.3377</v>
      </c>
      <c r="P76" s="109">
        <v>0.3377</v>
      </c>
    </row>
    <row r="77" spans="1:16" ht="14.4" x14ac:dyDescent="0.3">
      <c r="A77" s="107" t="s">
        <v>35</v>
      </c>
      <c r="B77" s="107"/>
      <c r="C77" s="104" t="s">
        <v>36</v>
      </c>
      <c r="D77" s="111"/>
      <c r="E77" s="111"/>
      <c r="F77" s="111"/>
      <c r="G77" s="111"/>
      <c r="H77" s="111"/>
      <c r="I77" s="111"/>
      <c r="J77" s="111"/>
      <c r="K77" s="111"/>
      <c r="L77" s="111"/>
      <c r="M77" s="111"/>
      <c r="N77" s="111"/>
      <c r="O77" s="111"/>
      <c r="P77" s="111"/>
    </row>
    <row r="78" spans="1:16" ht="14.4" x14ac:dyDescent="0.3">
      <c r="A78" s="95" t="s">
        <v>125</v>
      </c>
      <c r="B78" s="95"/>
      <c r="C78" s="87" t="s">
        <v>32</v>
      </c>
      <c r="D78" s="112">
        <v>5</v>
      </c>
      <c r="E78" s="112">
        <v>5</v>
      </c>
      <c r="F78" s="112">
        <v>5</v>
      </c>
      <c r="G78" s="112">
        <v>5</v>
      </c>
      <c r="H78" s="112">
        <v>5</v>
      </c>
      <c r="I78" s="112">
        <v>5</v>
      </c>
      <c r="J78" s="112">
        <v>5</v>
      </c>
      <c r="K78" s="112">
        <v>5</v>
      </c>
      <c r="L78" s="112">
        <v>5</v>
      </c>
      <c r="M78" s="112">
        <v>5</v>
      </c>
      <c r="N78" s="112">
        <v>5</v>
      </c>
      <c r="O78" s="112">
        <v>5</v>
      </c>
      <c r="P78" s="112">
        <v>5</v>
      </c>
    </row>
    <row r="79" spans="1:16" ht="14.4" x14ac:dyDescent="0.3">
      <c r="A79" s="95" t="s">
        <v>126</v>
      </c>
      <c r="B79" s="95"/>
      <c r="C79" s="87" t="s">
        <v>32</v>
      </c>
      <c r="D79" s="112">
        <f>D78*110%</f>
        <v>5.5</v>
      </c>
      <c r="E79" s="112">
        <f>E78*110%</f>
        <v>5.5</v>
      </c>
      <c r="F79" s="112">
        <f>F78*110%</f>
        <v>5.5</v>
      </c>
      <c r="G79" s="112">
        <f>G78*110%</f>
        <v>5.5</v>
      </c>
      <c r="H79" s="112">
        <v>5.5</v>
      </c>
      <c r="I79" s="112">
        <v>5.5</v>
      </c>
      <c r="J79" s="112">
        <v>5.5</v>
      </c>
      <c r="K79" s="112">
        <v>5.5</v>
      </c>
      <c r="L79" s="112">
        <v>5.5</v>
      </c>
      <c r="M79" s="112">
        <v>5.5</v>
      </c>
      <c r="N79" s="112">
        <v>5.5</v>
      </c>
      <c r="O79" s="112">
        <v>5.5</v>
      </c>
      <c r="P79" s="112">
        <v>5.5</v>
      </c>
    </row>
    <row r="80" spans="1:16" ht="14.4" x14ac:dyDescent="0.3">
      <c r="A80" s="102" t="s">
        <v>37</v>
      </c>
      <c r="B80" s="102"/>
      <c r="C80" s="104"/>
      <c r="D80" s="111"/>
      <c r="E80" s="111"/>
      <c r="F80" s="111"/>
      <c r="G80" s="111"/>
      <c r="H80" s="111"/>
      <c r="I80" s="111"/>
      <c r="J80" s="111"/>
      <c r="K80" s="111"/>
      <c r="L80" s="111"/>
      <c r="M80" s="111"/>
      <c r="N80" s="111"/>
      <c r="O80" s="111"/>
      <c r="P80" s="111"/>
    </row>
    <row r="81" spans="1:16" ht="14.4" x14ac:dyDescent="0.3">
      <c r="A81" s="113" t="s">
        <v>38</v>
      </c>
      <c r="B81" s="107"/>
      <c r="C81" s="104" t="s">
        <v>19</v>
      </c>
      <c r="D81" s="42">
        <f>[48]LD!D30</f>
        <v>9.3899999999999997E-2</v>
      </c>
      <c r="E81" s="42">
        <f>[48]LD!E30</f>
        <v>9.2399999999999996E-2</v>
      </c>
      <c r="F81" s="42">
        <f>[48]LD!F30</f>
        <v>8.7999999999999995E-2</v>
      </c>
      <c r="G81" s="42">
        <f>[48]LD!G30</f>
        <v>0.1013</v>
      </c>
      <c r="H81" s="42">
        <f>[48]LD!H30</f>
        <v>0.111</v>
      </c>
      <c r="I81" s="42">
        <f>[48]LD!I30</f>
        <v>4.5099999999999994E-2</v>
      </c>
      <c r="J81" s="42">
        <f>[48]LD!J30</f>
        <v>6.0400000000000002E-2</v>
      </c>
      <c r="K81" s="42">
        <f>[48]LD!K30</f>
        <v>6.54E-2</v>
      </c>
      <c r="L81" s="42">
        <f>[48]LD!L30</f>
        <v>6.6500000000000004E-2</v>
      </c>
      <c r="M81" s="42">
        <f>[48]LD!M30</f>
        <v>5.9900000000000002E-2</v>
      </c>
      <c r="N81" s="42">
        <f>[48]LD!N30</f>
        <v>4.7800000000000002E-2</v>
      </c>
      <c r="O81" s="42">
        <f>[48]LD!O30</f>
        <v>7.9100000000000004E-2</v>
      </c>
      <c r="P81" s="42">
        <f>[48]LD!P30</f>
        <v>0</v>
      </c>
    </row>
    <row r="82" spans="1:16" ht="14.4" x14ac:dyDescent="0.3">
      <c r="A82" s="113" t="s">
        <v>39</v>
      </c>
      <c r="B82" s="107"/>
      <c r="C82" s="104" t="s">
        <v>19</v>
      </c>
      <c r="D82" s="111"/>
      <c r="E82" s="111"/>
      <c r="F82" s="111"/>
      <c r="G82" s="111"/>
      <c r="H82" s="111"/>
      <c r="I82" s="111"/>
      <c r="J82" s="111"/>
      <c r="K82" s="111"/>
      <c r="L82" s="111"/>
      <c r="M82" s="111"/>
      <c r="N82" s="111"/>
      <c r="O82" s="111"/>
      <c r="P82" s="111"/>
    </row>
    <row r="83" spans="1:16" ht="14.4" x14ac:dyDescent="0.3">
      <c r="A83" s="95" t="s">
        <v>128</v>
      </c>
      <c r="B83" s="95"/>
      <c r="C83" s="87" t="s">
        <v>44</v>
      </c>
      <c r="D83" s="70">
        <v>1</v>
      </c>
      <c r="E83" s="70">
        <v>1</v>
      </c>
      <c r="F83" s="70">
        <v>1</v>
      </c>
      <c r="G83" s="70">
        <v>1</v>
      </c>
      <c r="H83" s="70">
        <v>1</v>
      </c>
      <c r="I83" s="70">
        <v>1</v>
      </c>
      <c r="J83" s="70">
        <v>1</v>
      </c>
      <c r="K83" s="70">
        <v>1</v>
      </c>
      <c r="L83" s="70">
        <v>1</v>
      </c>
      <c r="M83" s="70">
        <v>1</v>
      </c>
      <c r="N83" s="70">
        <v>1</v>
      </c>
      <c r="O83" s="70">
        <v>1</v>
      </c>
      <c r="P83" s="70">
        <v>1</v>
      </c>
    </row>
    <row r="84" spans="1:16" ht="14.4" x14ac:dyDescent="0.3">
      <c r="A84" s="95" t="s">
        <v>129</v>
      </c>
      <c r="B84" s="95"/>
      <c r="C84" s="87" t="s">
        <v>44</v>
      </c>
      <c r="D84" s="70">
        <v>0.5</v>
      </c>
      <c r="E84" s="70">
        <v>0.5</v>
      </c>
      <c r="F84" s="70">
        <v>0.5</v>
      </c>
      <c r="G84" s="70">
        <v>0.5</v>
      </c>
      <c r="H84" s="70">
        <v>0.5</v>
      </c>
      <c r="I84" s="70">
        <v>0.5</v>
      </c>
      <c r="J84" s="70">
        <v>0.5</v>
      </c>
      <c r="K84" s="70">
        <v>0.5</v>
      </c>
      <c r="L84" s="70">
        <v>0.5</v>
      </c>
      <c r="M84" s="70">
        <v>0.5</v>
      </c>
      <c r="N84" s="70">
        <v>0.5</v>
      </c>
      <c r="O84" s="70">
        <v>0.5</v>
      </c>
      <c r="P84" s="70">
        <v>0.5</v>
      </c>
    </row>
    <row r="85" spans="1:16" ht="14.4" x14ac:dyDescent="0.3">
      <c r="A85" s="95" t="s">
        <v>130</v>
      </c>
      <c r="B85" s="95"/>
      <c r="C85" s="87" t="s">
        <v>44</v>
      </c>
      <c r="D85" s="70">
        <v>0.35</v>
      </c>
      <c r="E85" s="70">
        <v>0.35</v>
      </c>
      <c r="F85" s="70">
        <v>0.35</v>
      </c>
      <c r="G85" s="70">
        <v>0.35</v>
      </c>
      <c r="H85" s="70">
        <v>0.35</v>
      </c>
      <c r="I85" s="70">
        <v>0.35</v>
      </c>
      <c r="J85" s="70">
        <v>0.35</v>
      </c>
      <c r="K85" s="70">
        <v>0.35</v>
      </c>
      <c r="L85" s="70">
        <v>0.35</v>
      </c>
      <c r="M85" s="70">
        <v>0.35</v>
      </c>
      <c r="N85" s="70">
        <v>0.35</v>
      </c>
      <c r="O85" s="70">
        <v>0.35</v>
      </c>
      <c r="P85" s="70">
        <v>0.35</v>
      </c>
    </row>
    <row r="86" spans="1:16" ht="14.4" x14ac:dyDescent="0.3">
      <c r="A86" s="95" t="s">
        <v>131</v>
      </c>
      <c r="B86" s="95"/>
      <c r="C86" s="87" t="s">
        <v>44</v>
      </c>
      <c r="D86" s="70">
        <v>0.2</v>
      </c>
      <c r="E86" s="70">
        <v>0.2</v>
      </c>
      <c r="F86" s="70">
        <v>0.2</v>
      </c>
      <c r="G86" s="70">
        <v>0.2</v>
      </c>
      <c r="H86" s="70">
        <v>0.2</v>
      </c>
      <c r="I86" s="70">
        <v>0.2</v>
      </c>
      <c r="J86" s="70">
        <v>0.2</v>
      </c>
      <c r="K86" s="70">
        <v>0.2</v>
      </c>
      <c r="L86" s="70">
        <v>0.2</v>
      </c>
      <c r="M86" s="70">
        <v>0.2</v>
      </c>
      <c r="N86" s="70">
        <v>0.2</v>
      </c>
      <c r="O86" s="70">
        <v>0.2</v>
      </c>
      <c r="P86" s="70">
        <v>0.2</v>
      </c>
    </row>
    <row r="87" spans="1:16" ht="14.4" x14ac:dyDescent="0.3">
      <c r="A87" s="114" t="s">
        <v>40</v>
      </c>
      <c r="B87" s="107"/>
      <c r="C87" s="104" t="s">
        <v>19</v>
      </c>
      <c r="D87" s="109">
        <f>'[48]SR CIT. SUBSIDY'!C108</f>
        <v>1E-4</v>
      </c>
      <c r="E87" s="109">
        <f>'[48]SR CIT. SUBSIDY'!D108</f>
        <v>1E-4</v>
      </c>
      <c r="F87" s="109">
        <f>'[48]SR CIT. SUBSIDY'!E108</f>
        <v>0</v>
      </c>
      <c r="G87" s="109">
        <f>'[48]SR CIT. SUBSIDY'!F108</f>
        <v>0</v>
      </c>
      <c r="H87" s="109">
        <f>'[48]SR CIT. SUBSIDY'!G108</f>
        <v>1E-4</v>
      </c>
      <c r="I87" s="109">
        <f>'[48]SR CIT. SUBSIDY'!H108</f>
        <v>1E-4</v>
      </c>
      <c r="J87" s="109">
        <f>'[48]SR CIT. SUBSIDY'!I108</f>
        <v>1E-4</v>
      </c>
      <c r="K87" s="109">
        <f>'[48]SR CIT. SUBSIDY'!J108</f>
        <v>1E-4</v>
      </c>
      <c r="L87" s="109">
        <f>'[48]SR CIT. SUBSIDY'!K108</f>
        <v>1E-4</v>
      </c>
      <c r="M87" s="109">
        <f>'[48]SR CIT. SUBSIDY'!L108</f>
        <v>1E-4</v>
      </c>
      <c r="N87" s="109">
        <f>'[48]SR CIT. SUBSIDY'!M108</f>
        <v>1E-4</v>
      </c>
      <c r="O87" s="109">
        <f>'[48]SR CIT. SUBSIDY'!N108</f>
        <v>1E-4</v>
      </c>
      <c r="P87" s="109">
        <f>'[48]SR CIT. SUBSIDY'!O108</f>
        <v>0</v>
      </c>
    </row>
    <row r="88" spans="1:16" ht="14.4" x14ac:dyDescent="0.3">
      <c r="A88" s="114" t="s">
        <v>41</v>
      </c>
      <c r="B88" s="107"/>
      <c r="C88" s="104" t="s">
        <v>19</v>
      </c>
      <c r="D88" s="109">
        <f t="shared" ref="D88:P88" si="2">D28</f>
        <v>0</v>
      </c>
      <c r="E88" s="109">
        <f t="shared" si="2"/>
        <v>0</v>
      </c>
      <c r="F88" s="109">
        <f t="shared" si="2"/>
        <v>0</v>
      </c>
      <c r="G88" s="109">
        <f t="shared" si="2"/>
        <v>0</v>
      </c>
      <c r="H88" s="109">
        <f t="shared" si="2"/>
        <v>0</v>
      </c>
      <c r="I88" s="109">
        <f t="shared" si="2"/>
        <v>0</v>
      </c>
      <c r="J88" s="109">
        <f t="shared" si="2"/>
        <v>0</v>
      </c>
      <c r="K88" s="109">
        <f t="shared" si="2"/>
        <v>0</v>
      </c>
      <c r="L88" s="109">
        <f t="shared" si="2"/>
        <v>0</v>
      </c>
      <c r="M88" s="109">
        <f t="shared" si="2"/>
        <v>0</v>
      </c>
      <c r="N88" s="109">
        <f t="shared" si="2"/>
        <v>0</v>
      </c>
      <c r="O88" s="109">
        <f t="shared" si="2"/>
        <v>0</v>
      </c>
      <c r="P88" s="109">
        <f t="shared" si="2"/>
        <v>0</v>
      </c>
    </row>
    <row r="89" spans="1:16" ht="14.4" x14ac:dyDescent="0.3">
      <c r="A89" s="102" t="s">
        <v>42</v>
      </c>
      <c r="B89" s="102"/>
      <c r="C89" s="104"/>
      <c r="D89" s="111"/>
      <c r="E89" s="111"/>
      <c r="F89" s="111"/>
      <c r="G89" s="111"/>
      <c r="H89" s="111"/>
      <c r="I89" s="111"/>
      <c r="J89" s="111"/>
      <c r="K89" s="111"/>
      <c r="L89" s="111"/>
      <c r="M89" s="111"/>
      <c r="N89" s="111"/>
      <c r="O89" s="111"/>
      <c r="P89" s="111"/>
    </row>
    <row r="90" spans="1:16" ht="14.4" x14ac:dyDescent="0.3">
      <c r="A90" s="102" t="s">
        <v>43</v>
      </c>
      <c r="B90" s="102"/>
      <c r="C90" s="104" t="s">
        <v>44</v>
      </c>
      <c r="D90" s="48"/>
      <c r="E90" s="48"/>
      <c r="F90" s="48"/>
      <c r="G90" s="48"/>
      <c r="H90" s="48"/>
      <c r="I90" s="48"/>
      <c r="J90" s="48"/>
      <c r="K90" s="48"/>
      <c r="L90" s="48"/>
      <c r="M90" s="48"/>
      <c r="N90" s="48"/>
      <c r="O90" s="48"/>
      <c r="P90" s="48"/>
    </row>
    <row r="91" spans="1:16" ht="14.4" x14ac:dyDescent="0.3">
      <c r="A91" s="102" t="s">
        <v>45</v>
      </c>
      <c r="B91" s="102"/>
      <c r="C91" s="104"/>
      <c r="D91" s="49"/>
      <c r="E91" s="49"/>
      <c r="F91" s="49"/>
      <c r="G91" s="49"/>
      <c r="H91" s="49"/>
      <c r="I91" s="49"/>
      <c r="J91" s="49"/>
      <c r="K91" s="49"/>
      <c r="L91" s="49"/>
      <c r="M91" s="49"/>
      <c r="N91" s="49"/>
      <c r="O91" s="49"/>
      <c r="P91" s="49"/>
    </row>
    <row r="92" spans="1:16" ht="14.4" x14ac:dyDescent="0.3">
      <c r="A92" s="95" t="s">
        <v>103</v>
      </c>
      <c r="B92" s="95" t="s">
        <v>104</v>
      </c>
      <c r="C92" s="87" t="s">
        <v>19</v>
      </c>
      <c r="D92" s="20" t="s">
        <v>104</v>
      </c>
      <c r="E92" s="20" t="s">
        <v>104</v>
      </c>
      <c r="F92" s="20" t="s">
        <v>104</v>
      </c>
      <c r="G92" s="20" t="s">
        <v>104</v>
      </c>
      <c r="H92" s="20" t="s">
        <v>104</v>
      </c>
      <c r="I92" s="20" t="s">
        <v>104</v>
      </c>
      <c r="J92" s="20" t="s">
        <v>104</v>
      </c>
      <c r="K92" s="20" t="s">
        <v>104</v>
      </c>
      <c r="L92" s="20" t="s">
        <v>104</v>
      </c>
      <c r="M92" s="20" t="s">
        <v>104</v>
      </c>
      <c r="N92" s="20" t="s">
        <v>104</v>
      </c>
      <c r="O92" s="20" t="s">
        <v>104</v>
      </c>
      <c r="P92" s="20" t="s">
        <v>104</v>
      </c>
    </row>
    <row r="93" spans="1:16" ht="14.4" x14ac:dyDescent="0.3">
      <c r="A93" s="95" t="s">
        <v>105</v>
      </c>
      <c r="B93" s="95" t="s">
        <v>106</v>
      </c>
      <c r="C93" s="87" t="s">
        <v>19</v>
      </c>
      <c r="D93" s="20">
        <v>0.1</v>
      </c>
      <c r="E93" s="20">
        <v>0.1</v>
      </c>
      <c r="F93" s="20">
        <v>0.1</v>
      </c>
      <c r="G93" s="20">
        <v>0.1</v>
      </c>
      <c r="H93" s="20">
        <v>0.1</v>
      </c>
      <c r="I93" s="20">
        <v>0.1</v>
      </c>
      <c r="J93" s="20">
        <v>0.1</v>
      </c>
      <c r="K93" s="20">
        <v>0.1</v>
      </c>
      <c r="L93" s="20">
        <v>0.1</v>
      </c>
      <c r="M93" s="20">
        <v>0.1</v>
      </c>
      <c r="N93" s="20">
        <v>0.1</v>
      </c>
      <c r="O93" s="20">
        <v>0.1</v>
      </c>
      <c r="P93" s="20">
        <v>0.1</v>
      </c>
    </row>
    <row r="94" spans="1:16" ht="14.4" x14ac:dyDescent="0.3">
      <c r="A94" s="95" t="s">
        <v>107</v>
      </c>
      <c r="B94" s="95" t="s">
        <v>108</v>
      </c>
      <c r="C94" s="87" t="s">
        <v>19</v>
      </c>
      <c r="D94" s="20">
        <v>0.2</v>
      </c>
      <c r="E94" s="20">
        <v>0.2</v>
      </c>
      <c r="F94" s="20">
        <v>0.2</v>
      </c>
      <c r="G94" s="20">
        <v>0.2</v>
      </c>
      <c r="H94" s="20">
        <v>0.2</v>
      </c>
      <c r="I94" s="20">
        <v>0.2</v>
      </c>
      <c r="J94" s="20">
        <v>0.2</v>
      </c>
      <c r="K94" s="20">
        <v>0.2</v>
      </c>
      <c r="L94" s="20">
        <v>0.2</v>
      </c>
      <c r="M94" s="20">
        <v>0.2</v>
      </c>
      <c r="N94" s="20">
        <v>0.2</v>
      </c>
      <c r="O94" s="20">
        <v>0.2</v>
      </c>
      <c r="P94" s="20">
        <v>0.2</v>
      </c>
    </row>
    <row r="95" spans="1:16" ht="14.4" x14ac:dyDescent="0.3">
      <c r="A95" s="95" t="s">
        <v>109</v>
      </c>
      <c r="B95" s="95" t="s">
        <v>110</v>
      </c>
      <c r="C95" s="87" t="s">
        <v>19</v>
      </c>
      <c r="D95" s="20">
        <v>0.35</v>
      </c>
      <c r="E95" s="20">
        <v>0.35</v>
      </c>
      <c r="F95" s="20">
        <v>0.35</v>
      </c>
      <c r="G95" s="20">
        <v>0.35</v>
      </c>
      <c r="H95" s="20">
        <v>0.35</v>
      </c>
      <c r="I95" s="20">
        <v>0.35</v>
      </c>
      <c r="J95" s="20">
        <v>0.35</v>
      </c>
      <c r="K95" s="20">
        <v>0.35</v>
      </c>
      <c r="L95" s="20">
        <v>0.35</v>
      </c>
      <c r="M95" s="20">
        <v>0.35</v>
      </c>
      <c r="N95" s="20">
        <v>0.35</v>
      </c>
      <c r="O95" s="20">
        <v>0.35</v>
      </c>
      <c r="P95" s="20">
        <v>0.35</v>
      </c>
    </row>
    <row r="96" spans="1:16" ht="14.4" x14ac:dyDescent="0.3">
      <c r="A96" s="102" t="s">
        <v>47</v>
      </c>
      <c r="B96" s="102"/>
      <c r="C96" s="104"/>
      <c r="D96" s="111"/>
      <c r="E96" s="111"/>
      <c r="F96" s="111"/>
      <c r="G96" s="111"/>
      <c r="H96" s="111"/>
      <c r="I96" s="111"/>
      <c r="J96" s="111"/>
      <c r="K96" s="111"/>
      <c r="L96" s="111"/>
      <c r="M96" s="111"/>
      <c r="N96" s="111"/>
      <c r="O96" s="111"/>
      <c r="P96" s="111"/>
    </row>
    <row r="97" spans="1:16" ht="14.4" x14ac:dyDescent="0.3">
      <c r="A97" s="107" t="s">
        <v>48</v>
      </c>
      <c r="B97" s="107"/>
      <c r="C97" s="104" t="s">
        <v>19</v>
      </c>
      <c r="D97" s="109">
        <f t="shared" ref="D97:P101" si="3">D34</f>
        <v>0.15609999999999999</v>
      </c>
      <c r="E97" s="109">
        <f t="shared" si="3"/>
        <v>0.15609999999999999</v>
      </c>
      <c r="F97" s="109">
        <f t="shared" si="3"/>
        <v>0.15609999999999999</v>
      </c>
      <c r="G97" s="109">
        <f t="shared" si="3"/>
        <v>0.15609999999999999</v>
      </c>
      <c r="H97" s="109">
        <f t="shared" si="3"/>
        <v>0.15609999999999999</v>
      </c>
      <c r="I97" s="109">
        <f t="shared" si="3"/>
        <v>0.15609999999999999</v>
      </c>
      <c r="J97" s="109">
        <f t="shared" si="3"/>
        <v>0.15609999999999999</v>
      </c>
      <c r="K97" s="109">
        <f t="shared" si="3"/>
        <v>0.15609999999999999</v>
      </c>
      <c r="L97" s="109">
        <f t="shared" si="3"/>
        <v>0.15609999999999999</v>
      </c>
      <c r="M97" s="109">
        <f t="shared" si="3"/>
        <v>0.15609999999999999</v>
      </c>
      <c r="N97" s="109">
        <f t="shared" si="3"/>
        <v>0.15609999999999999</v>
      </c>
      <c r="O97" s="109">
        <f t="shared" si="3"/>
        <v>0.15609999999999999</v>
      </c>
      <c r="P97" s="109">
        <f t="shared" si="3"/>
        <v>0.15609999999999999</v>
      </c>
    </row>
    <row r="98" spans="1:16" ht="14.4" x14ac:dyDescent="0.3">
      <c r="A98" s="107" t="s">
        <v>49</v>
      </c>
      <c r="B98" s="107"/>
      <c r="C98" s="104" t="s">
        <v>19</v>
      </c>
      <c r="D98" s="109">
        <f t="shared" si="3"/>
        <v>2.5000000000000001E-3</v>
      </c>
      <c r="E98" s="109">
        <f t="shared" si="3"/>
        <v>2.5000000000000001E-3</v>
      </c>
      <c r="F98" s="109">
        <f t="shared" si="3"/>
        <v>2.5000000000000001E-3</v>
      </c>
      <c r="G98" s="109">
        <f t="shared" si="3"/>
        <v>2.5000000000000001E-3</v>
      </c>
      <c r="H98" s="109">
        <f t="shared" si="3"/>
        <v>2.5000000000000001E-3</v>
      </c>
      <c r="I98" s="109">
        <f t="shared" si="3"/>
        <v>0</v>
      </c>
      <c r="J98" s="109">
        <f t="shared" si="3"/>
        <v>0</v>
      </c>
      <c r="K98" s="109">
        <f t="shared" si="3"/>
        <v>0</v>
      </c>
      <c r="L98" s="109">
        <f t="shared" si="3"/>
        <v>0</v>
      </c>
      <c r="M98" s="109">
        <f t="shared" si="3"/>
        <v>0</v>
      </c>
      <c r="N98" s="109">
        <f t="shared" si="3"/>
        <v>0</v>
      </c>
      <c r="O98" s="109">
        <f t="shared" si="3"/>
        <v>0</v>
      </c>
      <c r="P98" s="109">
        <f t="shared" si="3"/>
        <v>0</v>
      </c>
    </row>
    <row r="99" spans="1:16" ht="14.4" x14ac:dyDescent="0.3">
      <c r="A99" s="89" t="s">
        <v>111</v>
      </c>
      <c r="B99" s="89"/>
      <c r="C99" s="104" t="s">
        <v>19</v>
      </c>
      <c r="D99" s="109">
        <f t="shared" si="3"/>
        <v>5.4300000000000001E-2</v>
      </c>
      <c r="E99" s="109">
        <f t="shared" si="3"/>
        <v>0</v>
      </c>
      <c r="F99" s="109">
        <f t="shared" si="3"/>
        <v>-0.14530000000000001</v>
      </c>
      <c r="G99" s="109">
        <f t="shared" si="3"/>
        <v>0</v>
      </c>
      <c r="H99" s="109">
        <f t="shared" si="3"/>
        <v>0</v>
      </c>
      <c r="I99" s="109">
        <f t="shared" si="3"/>
        <v>0</v>
      </c>
      <c r="J99" s="109">
        <f t="shared" si="3"/>
        <v>0</v>
      </c>
      <c r="K99" s="109">
        <f t="shared" si="3"/>
        <v>0</v>
      </c>
      <c r="L99" s="109">
        <f t="shared" si="3"/>
        <v>0</v>
      </c>
      <c r="M99" s="109">
        <f t="shared" si="3"/>
        <v>0</v>
      </c>
      <c r="N99" s="109">
        <f t="shared" si="3"/>
        <v>0</v>
      </c>
      <c r="O99" s="109">
        <f t="shared" si="3"/>
        <v>0</v>
      </c>
      <c r="P99" s="109">
        <f t="shared" si="3"/>
        <v>0</v>
      </c>
    </row>
    <row r="100" spans="1:16" ht="14.4" x14ac:dyDescent="0.3">
      <c r="A100" s="89" t="s">
        <v>112</v>
      </c>
      <c r="B100" s="89"/>
      <c r="C100" s="87" t="s">
        <v>19</v>
      </c>
      <c r="D100" s="109">
        <f t="shared" si="3"/>
        <v>4.2799999999999998E-2</v>
      </c>
      <c r="E100" s="109">
        <f t="shared" si="3"/>
        <v>4.2799999999999998E-2</v>
      </c>
      <c r="F100" s="109">
        <f t="shared" si="3"/>
        <v>4.2799999999999998E-2</v>
      </c>
      <c r="G100" s="109">
        <f t="shared" si="3"/>
        <v>4.2799999999999998E-2</v>
      </c>
      <c r="H100" s="109">
        <f t="shared" si="3"/>
        <v>4.2799999999999998E-2</v>
      </c>
      <c r="I100" s="109">
        <f t="shared" si="3"/>
        <v>4.2799999999999998E-2</v>
      </c>
      <c r="J100" s="109">
        <f t="shared" si="3"/>
        <v>4.2799999999999998E-2</v>
      </c>
      <c r="K100" s="109">
        <f t="shared" si="3"/>
        <v>4.2799999999999998E-2</v>
      </c>
      <c r="L100" s="109">
        <f t="shared" si="3"/>
        <v>4.2799999999999998E-2</v>
      </c>
      <c r="M100" s="109">
        <f t="shared" si="3"/>
        <v>4.2799999999999998E-2</v>
      </c>
      <c r="N100" s="109">
        <f t="shared" si="3"/>
        <v>4.2799999999999998E-2</v>
      </c>
      <c r="O100" s="109">
        <f t="shared" si="3"/>
        <v>4.2799999999999998E-2</v>
      </c>
      <c r="P100" s="109">
        <f t="shared" si="3"/>
        <v>4.2799999999999998E-2</v>
      </c>
    </row>
    <row r="101" spans="1:16" ht="14.4" x14ac:dyDescent="0.3">
      <c r="A101" s="85" t="s">
        <v>51</v>
      </c>
      <c r="B101" s="85"/>
      <c r="C101" s="87" t="s">
        <v>19</v>
      </c>
      <c r="D101" s="91">
        <f t="shared" si="3"/>
        <v>0.22259999999999999</v>
      </c>
      <c r="E101" s="91">
        <f t="shared" si="3"/>
        <v>4.9500000000000002E-2</v>
      </c>
      <c r="F101" s="91">
        <f t="shared" si="3"/>
        <v>4.9500000000000002E-2</v>
      </c>
      <c r="G101" s="91">
        <f t="shared" si="3"/>
        <v>0</v>
      </c>
      <c r="H101" s="91">
        <f t="shared" si="3"/>
        <v>0</v>
      </c>
      <c r="I101" s="91">
        <f t="shared" si="3"/>
        <v>4.9500000000000002E-2</v>
      </c>
      <c r="J101" s="91">
        <f t="shared" si="3"/>
        <v>4.9500000000000002E-2</v>
      </c>
      <c r="K101" s="91">
        <f t="shared" si="3"/>
        <v>4.9500000000000002E-2</v>
      </c>
      <c r="L101" s="91">
        <f t="shared" si="3"/>
        <v>4.9500000000000002E-2</v>
      </c>
      <c r="M101" s="91">
        <f t="shared" si="3"/>
        <v>4.9500000000000002E-2</v>
      </c>
      <c r="N101" s="91">
        <f t="shared" si="3"/>
        <v>4.9500000000000002E-2</v>
      </c>
      <c r="O101" s="91">
        <f t="shared" si="3"/>
        <v>4.9500000000000002E-2</v>
      </c>
      <c r="P101" s="91">
        <f t="shared" si="3"/>
        <v>4.9500000000000002E-2</v>
      </c>
    </row>
    <row r="102" spans="1:16" ht="14.4" x14ac:dyDescent="0.3">
      <c r="A102" s="102" t="s">
        <v>52</v>
      </c>
      <c r="B102" s="102"/>
      <c r="C102" s="115"/>
      <c r="D102" s="44"/>
      <c r="E102" s="44"/>
      <c r="F102" s="44"/>
      <c r="G102" s="44"/>
      <c r="H102" s="44"/>
      <c r="I102" s="44"/>
      <c r="J102" s="44"/>
      <c r="K102" s="44"/>
      <c r="L102" s="44"/>
      <c r="M102" s="44"/>
      <c r="N102" s="44"/>
      <c r="O102" s="44"/>
      <c r="P102" s="44"/>
    </row>
    <row r="103" spans="1:16" ht="14.4" x14ac:dyDescent="0.3">
      <c r="A103" s="107" t="s">
        <v>53</v>
      </c>
      <c r="B103" s="107"/>
      <c r="C103" s="104" t="s">
        <v>44</v>
      </c>
      <c r="D103" s="51">
        <f>'[48]DU VAT'!C15</f>
        <v>0.1094</v>
      </c>
      <c r="E103" s="51">
        <f>'[48]DU VAT'!D15</f>
        <v>0.1108</v>
      </c>
      <c r="F103" s="51">
        <f>'[48]DU VAT'!E15</f>
        <v>0.11159999999999999</v>
      </c>
      <c r="G103" s="51">
        <f>'[48]DU VAT'!F15</f>
        <v>0.11550000000000001</v>
      </c>
      <c r="H103" s="51">
        <f>'[48]DU VAT'!G15</f>
        <v>0.11890000000000001</v>
      </c>
      <c r="I103" s="51">
        <f>'[48]DU VAT'!H15</f>
        <v>0.11890000000000001</v>
      </c>
      <c r="J103" s="51">
        <f>'[48]DU VAT'!I15</f>
        <v>0.1142</v>
      </c>
      <c r="K103" s="51">
        <f>'[48]DU VAT'!J15</f>
        <v>0.1143</v>
      </c>
      <c r="L103" s="51">
        <f>'[48]DU VAT'!K15</f>
        <v>0.11559999999999999</v>
      </c>
      <c r="M103" s="51">
        <f>'[48]DU VAT'!L15</f>
        <v>0.11119999999999999</v>
      </c>
      <c r="N103" s="51">
        <f>'[48]DU VAT'!M15</f>
        <v>0.1148</v>
      </c>
      <c r="O103" s="51">
        <f>'[48]DU VAT'!N15</f>
        <v>0.1158</v>
      </c>
      <c r="P103" s="51" t="e">
        <f>'[48]DU VAT'!O15</f>
        <v>#DIV/0!</v>
      </c>
    </row>
    <row r="104" spans="1:16" ht="14.4" x14ac:dyDescent="0.3">
      <c r="A104" s="107" t="s">
        <v>54</v>
      </c>
      <c r="B104" s="107"/>
      <c r="C104" s="104" t="s">
        <v>44</v>
      </c>
      <c r="D104" s="51">
        <f>'[48]DU VAT'!C22</f>
        <v>0.1011</v>
      </c>
      <c r="E104" s="51">
        <f>'[48]DU VAT'!D22</f>
        <v>0.1071</v>
      </c>
      <c r="F104" s="51">
        <f>'[48]DU VAT'!E22</f>
        <v>0.1144</v>
      </c>
      <c r="G104" s="51">
        <f>'[48]DU VAT'!F22</f>
        <v>0.11749999999999999</v>
      </c>
      <c r="H104" s="51">
        <f>'[48]DU VAT'!G22</f>
        <v>0.1123</v>
      </c>
      <c r="I104" s="51">
        <f>'[48]DU VAT'!H22</f>
        <v>0.11509999999999999</v>
      </c>
      <c r="J104" s="51">
        <f>'[48]DU VAT'!I22</f>
        <v>9.9299999999999999E-2</v>
      </c>
      <c r="K104" s="51">
        <f>'[48]DU VAT'!J22</f>
        <v>0.1032</v>
      </c>
      <c r="L104" s="51">
        <f>'[48]DU VAT'!K22</f>
        <v>0.1017</v>
      </c>
      <c r="M104" s="51">
        <f>'[48]DU VAT'!L22</f>
        <v>0.1055</v>
      </c>
      <c r="N104" s="51">
        <f>'[48]DU VAT'!M22</f>
        <v>0.10100000000000001</v>
      </c>
      <c r="O104" s="51">
        <f>'[48]DU VAT'!N22</f>
        <v>9.6699999999999994E-2</v>
      </c>
      <c r="P104" s="51" t="e">
        <f>'[48]DU VAT'!O22</f>
        <v>#DIV/0!</v>
      </c>
    </row>
    <row r="105" spans="1:16" ht="14.4" x14ac:dyDescent="0.3">
      <c r="A105" s="107" t="s">
        <v>55</v>
      </c>
      <c r="B105" s="107"/>
      <c r="C105" s="104" t="s">
        <v>44</v>
      </c>
      <c r="D105" s="51">
        <f>'[48]DU VAT'!C29</f>
        <v>0.1084</v>
      </c>
      <c r="E105" s="51">
        <f>'[48]DU VAT'!D29</f>
        <v>0.1103</v>
      </c>
      <c r="F105" s="51">
        <f>'[48]DU VAT'!E29</f>
        <v>0.1105</v>
      </c>
      <c r="G105" s="51">
        <f>'[48]DU VAT'!F29</f>
        <v>0.1143</v>
      </c>
      <c r="H105" s="51">
        <f>'[48]DU VAT'!G29</f>
        <v>0.1162</v>
      </c>
      <c r="I105" s="51">
        <f>'[48]DU VAT'!H29</f>
        <v>0.1166</v>
      </c>
      <c r="J105" s="51">
        <f>'[48]DU VAT'!I29</f>
        <v>0.1118</v>
      </c>
      <c r="K105" s="51">
        <f>'[48]DU VAT'!J29</f>
        <v>0.11310000000000001</v>
      </c>
      <c r="L105" s="51">
        <f>'[48]DU VAT'!K29</f>
        <v>0.1134</v>
      </c>
      <c r="M105" s="51">
        <f>'[48]DU VAT'!L29</f>
        <v>0.1104</v>
      </c>
      <c r="N105" s="51">
        <f>'[48]DU VAT'!M29</f>
        <v>0.11260000000000001</v>
      </c>
      <c r="O105" s="51">
        <f>'[48]DU VAT'!N29</f>
        <v>0.1128</v>
      </c>
      <c r="P105" s="51" t="e">
        <f>'[48]DU VAT'!O29</f>
        <v>#DIV/0!</v>
      </c>
    </row>
    <row r="106" spans="1:16" ht="14.4" x14ac:dyDescent="0.3">
      <c r="A106" s="107" t="s">
        <v>56</v>
      </c>
      <c r="B106" s="107"/>
      <c r="C106" s="104" t="s">
        <v>44</v>
      </c>
      <c r="D106" s="51">
        <f t="shared" ref="D106:P107" si="4">D43</f>
        <v>0.12</v>
      </c>
      <c r="E106" s="51">
        <f t="shared" si="4"/>
        <v>0.12</v>
      </c>
      <c r="F106" s="51">
        <f t="shared" si="4"/>
        <v>0.12</v>
      </c>
      <c r="G106" s="51">
        <f t="shared" si="4"/>
        <v>0.12</v>
      </c>
      <c r="H106" s="51">
        <f t="shared" si="4"/>
        <v>0.12</v>
      </c>
      <c r="I106" s="51">
        <f t="shared" si="4"/>
        <v>0.12</v>
      </c>
      <c r="J106" s="51">
        <f t="shared" si="4"/>
        <v>0.12</v>
      </c>
      <c r="K106" s="51">
        <f t="shared" si="4"/>
        <v>0.12</v>
      </c>
      <c r="L106" s="51">
        <f t="shared" si="4"/>
        <v>0.12</v>
      </c>
      <c r="M106" s="51">
        <f t="shared" si="4"/>
        <v>0.12</v>
      </c>
      <c r="N106" s="51">
        <f t="shared" si="4"/>
        <v>0.12</v>
      </c>
      <c r="O106" s="51">
        <f t="shared" si="4"/>
        <v>0.12</v>
      </c>
      <c r="P106" s="51">
        <f t="shared" si="4"/>
        <v>0.12</v>
      </c>
    </row>
    <row r="107" spans="1:16" ht="14.4" x14ac:dyDescent="0.3">
      <c r="A107" s="107" t="s">
        <v>57</v>
      </c>
      <c r="B107" s="107"/>
      <c r="C107" s="104" t="s">
        <v>44</v>
      </c>
      <c r="D107" s="51">
        <f t="shared" si="4"/>
        <v>0.12</v>
      </c>
      <c r="E107" s="51">
        <f t="shared" si="4"/>
        <v>0.12</v>
      </c>
      <c r="F107" s="51">
        <f t="shared" si="4"/>
        <v>0.12</v>
      </c>
      <c r="G107" s="51">
        <f t="shared" si="4"/>
        <v>0.12</v>
      </c>
      <c r="H107" s="51">
        <f t="shared" si="4"/>
        <v>0.12</v>
      </c>
      <c r="I107" s="51">
        <f t="shared" si="4"/>
        <v>0.12</v>
      </c>
      <c r="J107" s="51">
        <f t="shared" si="4"/>
        <v>0.12</v>
      </c>
      <c r="K107" s="51">
        <f t="shared" si="4"/>
        <v>0.12</v>
      </c>
      <c r="L107" s="51">
        <f t="shared" si="4"/>
        <v>0.12</v>
      </c>
      <c r="M107" s="51">
        <f t="shared" si="4"/>
        <v>0.12</v>
      </c>
      <c r="N107" s="51">
        <f t="shared" si="4"/>
        <v>0.12</v>
      </c>
      <c r="O107" s="51">
        <f t="shared" si="4"/>
        <v>0.12</v>
      </c>
      <c r="P107" s="51">
        <f t="shared" si="4"/>
        <v>0.12</v>
      </c>
    </row>
    <row r="109" spans="1:16" x14ac:dyDescent="0.3">
      <c r="A109" s="77" t="s">
        <v>58</v>
      </c>
    </row>
    <row r="110" spans="1:16" x14ac:dyDescent="0.3">
      <c r="A110" s="77" t="s">
        <v>132</v>
      </c>
    </row>
    <row r="111" spans="1:16" ht="18" x14ac:dyDescent="0.35">
      <c r="A111" s="82" t="str">
        <f>'[48]Statistical data'!A184</f>
        <v xml:space="preserve">  General Service A</v>
      </c>
      <c r="B111" s="82"/>
      <c r="C111" s="77"/>
      <c r="D111" s="83"/>
      <c r="E111" s="83"/>
      <c r="F111" s="83"/>
      <c r="G111" s="83"/>
      <c r="H111" s="83"/>
      <c r="I111" s="83"/>
      <c r="J111" s="83"/>
      <c r="K111" s="83"/>
      <c r="L111" s="83"/>
      <c r="M111" s="83"/>
      <c r="N111" s="83"/>
      <c r="O111" s="83"/>
      <c r="P111" s="83"/>
    </row>
    <row r="112" spans="1:16" s="84" customFormat="1" ht="14.4" x14ac:dyDescent="0.3">
      <c r="A112" s="12" t="s">
        <v>3</v>
      </c>
      <c r="B112" s="12"/>
      <c r="C112" s="12" t="s">
        <v>4</v>
      </c>
      <c r="D112" s="73">
        <f t="shared" ref="D112:P112" si="5">D49</f>
        <v>43831</v>
      </c>
      <c r="E112" s="73">
        <f t="shared" si="5"/>
        <v>43862</v>
      </c>
      <c r="F112" s="73">
        <f t="shared" si="5"/>
        <v>43891</v>
      </c>
      <c r="G112" s="73">
        <f t="shared" si="5"/>
        <v>43922</v>
      </c>
      <c r="H112" s="73">
        <f t="shared" si="5"/>
        <v>43952</v>
      </c>
      <c r="I112" s="73">
        <f t="shared" si="5"/>
        <v>43983</v>
      </c>
      <c r="J112" s="73">
        <f t="shared" si="5"/>
        <v>44013</v>
      </c>
      <c r="K112" s="73">
        <f t="shared" si="5"/>
        <v>44044</v>
      </c>
      <c r="L112" s="73">
        <f t="shared" si="5"/>
        <v>44075</v>
      </c>
      <c r="M112" s="73">
        <f t="shared" si="5"/>
        <v>44105</v>
      </c>
      <c r="N112" s="73">
        <f t="shared" si="5"/>
        <v>44136</v>
      </c>
      <c r="O112" s="73">
        <f t="shared" si="5"/>
        <v>44166</v>
      </c>
      <c r="P112" s="73">
        <f t="shared" si="5"/>
        <v>44197</v>
      </c>
    </row>
    <row r="113" spans="1:16" ht="14.4" x14ac:dyDescent="0.3">
      <c r="A113" s="85" t="s">
        <v>17</v>
      </c>
      <c r="B113" s="86"/>
      <c r="C113" s="87"/>
      <c r="D113" s="88"/>
      <c r="E113" s="88"/>
      <c r="F113" s="88"/>
      <c r="G113" s="88"/>
      <c r="H113" s="88"/>
      <c r="I113" s="88"/>
      <c r="J113" s="88"/>
      <c r="K113" s="88"/>
      <c r="L113" s="88"/>
      <c r="M113" s="88"/>
      <c r="N113" s="88"/>
      <c r="O113" s="88"/>
      <c r="P113" s="88"/>
    </row>
    <row r="114" spans="1:16" ht="14.4" x14ac:dyDescent="0.3">
      <c r="A114" s="89" t="s">
        <v>18</v>
      </c>
      <c r="B114" s="90"/>
      <c r="C114" s="87" t="s">
        <v>19</v>
      </c>
      <c r="D114" s="91">
        <f>[48]GR!D23</f>
        <v>4.9039000000000001</v>
      </c>
      <c r="E114" s="91">
        <f>[48]GR!E23</f>
        <v>4.5090000000000003</v>
      </c>
      <c r="F114" s="91">
        <f>[48]GR!F23</f>
        <v>4.6631999999999998</v>
      </c>
      <c r="G114" s="91">
        <f>[48]GR!G23</f>
        <v>4.6384999999999996</v>
      </c>
      <c r="H114" s="91">
        <f>[48]GR!H23</f>
        <v>4.3848000000000003</v>
      </c>
      <c r="I114" s="91">
        <f>[48]GR!I23</f>
        <v>4.3413000000000004</v>
      </c>
      <c r="J114" s="91">
        <f>[48]GR!J23</f>
        <v>4.3343999999999996</v>
      </c>
      <c r="K114" s="91">
        <f>[48]GR!K23</f>
        <v>4.1241000000000003</v>
      </c>
      <c r="L114" s="91">
        <f>[48]GR!L23</f>
        <v>4.0860000000000003</v>
      </c>
      <c r="M114" s="91">
        <f>[48]GR!M23</f>
        <v>4.2233000000000001</v>
      </c>
      <c r="N114" s="91">
        <f>[48]GR!N23</f>
        <v>4.2018000000000004</v>
      </c>
      <c r="O114" s="91">
        <f>[48]GR!O23</f>
        <v>4.1516000000000002</v>
      </c>
      <c r="P114" s="91" t="e">
        <f>[48]GR!P23</f>
        <v>#DIV/0!</v>
      </c>
    </row>
    <row r="115" spans="1:16" ht="14.4" x14ac:dyDescent="0.3">
      <c r="A115" s="85" t="s">
        <v>20</v>
      </c>
      <c r="B115" s="86"/>
      <c r="C115" s="87"/>
      <c r="D115" s="91"/>
      <c r="E115" s="91"/>
      <c r="F115" s="91"/>
      <c r="G115" s="91"/>
      <c r="H115" s="91"/>
      <c r="I115" s="91"/>
      <c r="J115" s="91"/>
      <c r="K115" s="91"/>
      <c r="L115" s="91"/>
      <c r="M115" s="91"/>
      <c r="N115" s="91"/>
      <c r="O115" s="91"/>
      <c r="P115" s="91"/>
    </row>
    <row r="116" spans="1:16" ht="14.4" x14ac:dyDescent="0.3">
      <c r="A116" s="89" t="s">
        <v>21</v>
      </c>
      <c r="B116" s="90"/>
      <c r="C116" s="87" t="s">
        <v>19</v>
      </c>
      <c r="D116" s="91">
        <f>[48]TR!D44</f>
        <v>0.66559999999999997</v>
      </c>
      <c r="E116" s="91">
        <f>[48]TR!E44</f>
        <v>0.75439999999999996</v>
      </c>
      <c r="F116" s="91">
        <f>[48]TR!F44</f>
        <v>0.78590000000000004</v>
      </c>
      <c r="G116" s="91">
        <f>[48]TR!G44</f>
        <v>0.78610000000000002</v>
      </c>
      <c r="H116" s="91">
        <f>[48]TR!H44</f>
        <v>0.80359999999999998</v>
      </c>
      <c r="I116" s="91">
        <f>[48]TR!I44</f>
        <v>0.84609999999999996</v>
      </c>
      <c r="J116" s="91">
        <f>[48]TR!J44</f>
        <v>0.80349999999999999</v>
      </c>
      <c r="K116" s="91">
        <f>[48]TR!K44</f>
        <v>0.7954</v>
      </c>
      <c r="L116" s="91">
        <f>[48]TR!L44</f>
        <v>0.78420000000000001</v>
      </c>
      <c r="M116" s="91">
        <f>[48]TR!M44</f>
        <v>0.7742</v>
      </c>
      <c r="N116" s="91">
        <f>[48]TR!N44</f>
        <v>0.77949999999999997</v>
      </c>
      <c r="O116" s="91">
        <f>[48]TR!O44</f>
        <v>0.77510000000000001</v>
      </c>
      <c r="P116" s="91">
        <f>[48]TR!P44</f>
        <v>0</v>
      </c>
    </row>
    <row r="117" spans="1:16" ht="14.4" x14ac:dyDescent="0.3">
      <c r="A117" s="89" t="s">
        <v>22</v>
      </c>
      <c r="B117" s="90"/>
      <c r="C117" s="87" t="s">
        <v>23</v>
      </c>
      <c r="D117" s="91">
        <f t="shared" ref="D117:P117" si="6">D58</f>
        <v>0</v>
      </c>
      <c r="E117" s="91">
        <f t="shared" si="6"/>
        <v>0</v>
      </c>
      <c r="F117" s="91">
        <f t="shared" si="6"/>
        <v>0</v>
      </c>
      <c r="G117" s="91">
        <f t="shared" si="6"/>
        <v>0</v>
      </c>
      <c r="H117" s="91">
        <f t="shared" si="6"/>
        <v>0</v>
      </c>
      <c r="I117" s="91">
        <f t="shared" si="6"/>
        <v>0</v>
      </c>
      <c r="J117" s="91">
        <f t="shared" si="6"/>
        <v>0</v>
      </c>
      <c r="K117" s="91">
        <f t="shared" si="6"/>
        <v>0</v>
      </c>
      <c r="L117" s="91">
        <f t="shared" si="6"/>
        <v>0</v>
      </c>
      <c r="M117" s="91">
        <f t="shared" si="6"/>
        <v>0</v>
      </c>
      <c r="N117" s="91">
        <f t="shared" si="6"/>
        <v>0</v>
      </c>
      <c r="O117" s="91">
        <f t="shared" si="6"/>
        <v>0</v>
      </c>
      <c r="P117" s="91">
        <f t="shared" si="6"/>
        <v>0</v>
      </c>
    </row>
    <row r="118" spans="1:16" ht="14.4" x14ac:dyDescent="0.3">
      <c r="A118" s="85" t="s">
        <v>24</v>
      </c>
      <c r="B118" s="86"/>
      <c r="C118" s="87"/>
      <c r="D118" s="91"/>
      <c r="E118" s="91"/>
      <c r="F118" s="91"/>
      <c r="G118" s="91"/>
      <c r="H118" s="91"/>
      <c r="I118" s="91"/>
      <c r="J118" s="91"/>
      <c r="K118" s="91"/>
      <c r="L118" s="91"/>
      <c r="M118" s="91"/>
      <c r="N118" s="91"/>
      <c r="O118" s="91"/>
      <c r="P118" s="91"/>
    </row>
    <row r="119" spans="1:16" ht="14.4" x14ac:dyDescent="0.3">
      <c r="A119" s="89" t="s">
        <v>25</v>
      </c>
      <c r="B119" s="90"/>
      <c r="C119" s="87" t="s">
        <v>19</v>
      </c>
      <c r="D119" s="91">
        <f>[48]SLR!D75</f>
        <v>0.41470000000000001</v>
      </c>
      <c r="E119" s="91">
        <f>[48]SLR!E75</f>
        <v>0.38729999999999998</v>
      </c>
      <c r="F119" s="91">
        <f>[48]SLR!F75</f>
        <v>0.3528</v>
      </c>
      <c r="G119" s="91">
        <f>[48]SLR!G75</f>
        <v>0.35249999999999998</v>
      </c>
      <c r="H119" s="91">
        <f>[48]SLR!H75</f>
        <v>0.34720000000000001</v>
      </c>
      <c r="I119" s="91">
        <f>[48]SLR!I75</f>
        <v>0.35120000000000001</v>
      </c>
      <c r="J119" s="91">
        <f>[48]SLR!J75</f>
        <v>0.39100000000000001</v>
      </c>
      <c r="K119" s="91">
        <f>[48]SLR!K75</f>
        <v>0.41720000000000002</v>
      </c>
      <c r="L119" s="91">
        <f>[48]SLR!L75</f>
        <v>0.40579999999999999</v>
      </c>
      <c r="M119" s="91">
        <f>[48]SLR!M75</f>
        <v>0.40810000000000002</v>
      </c>
      <c r="N119" s="91">
        <f>[48]SLR!N75</f>
        <v>0.39</v>
      </c>
      <c r="O119" s="91">
        <f>[48]SLR!O75</f>
        <v>0.38090000000000002</v>
      </c>
      <c r="P119" s="91">
        <f>[48]SLR!P75</f>
        <v>0</v>
      </c>
    </row>
    <row r="120" spans="1:16" ht="14.4" x14ac:dyDescent="0.3">
      <c r="A120" s="85" t="s">
        <v>26</v>
      </c>
      <c r="B120" s="85"/>
      <c r="C120" s="87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</row>
    <row r="121" spans="1:16" ht="14.4" x14ac:dyDescent="0.3">
      <c r="A121" s="107" t="s">
        <v>27</v>
      </c>
      <c r="B121" s="107"/>
      <c r="C121" s="104"/>
      <c r="D121" s="44"/>
      <c r="E121" s="44"/>
      <c r="F121" s="44"/>
      <c r="G121" s="44"/>
      <c r="H121" s="44"/>
      <c r="I121" s="44"/>
      <c r="J121" s="44"/>
      <c r="K121" s="44"/>
      <c r="L121" s="44"/>
      <c r="M121" s="44"/>
      <c r="N121" s="44"/>
      <c r="O121" s="44"/>
      <c r="P121" s="44"/>
    </row>
    <row r="122" spans="1:16" ht="14.4" x14ac:dyDescent="0.3">
      <c r="A122" s="95" t="s">
        <v>120</v>
      </c>
      <c r="B122" s="95"/>
      <c r="C122" s="87" t="s">
        <v>19</v>
      </c>
      <c r="D122" s="20">
        <v>1.0012000000000001</v>
      </c>
      <c r="E122" s="20">
        <v>1.0012000000000001</v>
      </c>
      <c r="F122" s="20">
        <v>1.0012000000000001</v>
      </c>
      <c r="G122" s="20">
        <v>1.0012000000000001</v>
      </c>
      <c r="H122" s="20">
        <v>1.0012000000000001</v>
      </c>
      <c r="I122" s="20">
        <v>1.0012000000000001</v>
      </c>
      <c r="J122" s="20">
        <v>1.0012000000000001</v>
      </c>
      <c r="K122" s="20">
        <v>1.0012000000000001</v>
      </c>
      <c r="L122" s="20">
        <v>1.0012000000000001</v>
      </c>
      <c r="M122" s="20">
        <v>1.0012000000000001</v>
      </c>
      <c r="N122" s="20">
        <v>1.0012000000000001</v>
      </c>
      <c r="O122" s="20">
        <v>1.0012000000000001</v>
      </c>
      <c r="P122" s="20">
        <v>1.0012000000000001</v>
      </c>
    </row>
    <row r="123" spans="1:16" ht="14.4" x14ac:dyDescent="0.3">
      <c r="A123" s="95" t="s">
        <v>121</v>
      </c>
      <c r="B123" s="95"/>
      <c r="C123" s="87" t="s">
        <v>19</v>
      </c>
      <c r="D123" s="20">
        <v>1.3183</v>
      </c>
      <c r="E123" s="20">
        <v>1.3183</v>
      </c>
      <c r="F123" s="20">
        <v>1.3183</v>
      </c>
      <c r="G123" s="20">
        <v>1.3183</v>
      </c>
      <c r="H123" s="20">
        <v>1.3183</v>
      </c>
      <c r="I123" s="20">
        <v>1.3183</v>
      </c>
      <c r="J123" s="20">
        <v>1.3183</v>
      </c>
      <c r="K123" s="20">
        <v>1.3183</v>
      </c>
      <c r="L123" s="20">
        <v>1.3183</v>
      </c>
      <c r="M123" s="20">
        <v>1.3183</v>
      </c>
      <c r="N123" s="20">
        <v>1.3183</v>
      </c>
      <c r="O123" s="20">
        <v>1.3183</v>
      </c>
      <c r="P123" s="20">
        <v>1.3183</v>
      </c>
    </row>
    <row r="124" spans="1:16" ht="14.4" x14ac:dyDescent="0.3">
      <c r="A124" s="95" t="s">
        <v>122</v>
      </c>
      <c r="B124" s="95"/>
      <c r="C124" s="87" t="s">
        <v>19</v>
      </c>
      <c r="D124" s="20">
        <v>1.6174999999999999</v>
      </c>
      <c r="E124" s="20">
        <v>1.6174999999999999</v>
      </c>
      <c r="F124" s="20">
        <v>1.6174999999999999</v>
      </c>
      <c r="G124" s="20">
        <v>1.6174999999999999</v>
      </c>
      <c r="H124" s="20">
        <v>1.6174999999999999</v>
      </c>
      <c r="I124" s="20">
        <v>1.6174999999999999</v>
      </c>
      <c r="J124" s="20">
        <v>1.6174999999999999</v>
      </c>
      <c r="K124" s="20">
        <v>1.6174999999999999</v>
      </c>
      <c r="L124" s="20">
        <v>1.6174999999999999</v>
      </c>
      <c r="M124" s="20">
        <v>1.6174999999999999</v>
      </c>
      <c r="N124" s="20">
        <v>1.6174999999999999</v>
      </c>
      <c r="O124" s="20">
        <v>1.6174999999999999</v>
      </c>
      <c r="P124" s="20">
        <v>1.6174999999999999</v>
      </c>
    </row>
    <row r="125" spans="1:16" ht="14.4" x14ac:dyDescent="0.3">
      <c r="A125" s="95" t="s">
        <v>123</v>
      </c>
      <c r="B125" s="95"/>
      <c r="C125" s="87" t="s">
        <v>19</v>
      </c>
      <c r="D125" s="20">
        <v>2.1387</v>
      </c>
      <c r="E125" s="20">
        <v>2.1387</v>
      </c>
      <c r="F125" s="20">
        <v>2.1387</v>
      </c>
      <c r="G125" s="20">
        <v>2.1387</v>
      </c>
      <c r="H125" s="20">
        <v>2.1387</v>
      </c>
      <c r="I125" s="20">
        <v>2.1387</v>
      </c>
      <c r="J125" s="20">
        <v>2.1387</v>
      </c>
      <c r="K125" s="20">
        <v>2.1387</v>
      </c>
      <c r="L125" s="20">
        <v>2.1387</v>
      </c>
      <c r="M125" s="20">
        <v>2.1387</v>
      </c>
      <c r="N125" s="20">
        <v>2.1387</v>
      </c>
      <c r="O125" s="20">
        <v>2.1387</v>
      </c>
      <c r="P125" s="20">
        <v>2.1387</v>
      </c>
    </row>
    <row r="126" spans="1:16" ht="14.4" x14ac:dyDescent="0.3">
      <c r="A126" s="89" t="s">
        <v>28</v>
      </c>
      <c r="B126" s="89"/>
      <c r="C126" s="87" t="s">
        <v>23</v>
      </c>
      <c r="D126" s="91">
        <v>0</v>
      </c>
      <c r="E126" s="91">
        <v>0</v>
      </c>
      <c r="F126" s="91">
        <v>0</v>
      </c>
      <c r="G126" s="91">
        <v>0</v>
      </c>
      <c r="H126" s="91">
        <v>0</v>
      </c>
      <c r="I126" s="91">
        <v>0</v>
      </c>
      <c r="J126" s="91">
        <v>0</v>
      </c>
      <c r="K126" s="91">
        <v>0</v>
      </c>
      <c r="L126" s="91">
        <v>0</v>
      </c>
      <c r="M126" s="91">
        <v>0</v>
      </c>
      <c r="N126" s="91">
        <v>0</v>
      </c>
      <c r="O126" s="91">
        <v>0</v>
      </c>
      <c r="P126" s="91">
        <v>0</v>
      </c>
    </row>
    <row r="127" spans="1:16" ht="14.4" x14ac:dyDescent="0.3">
      <c r="A127" s="85" t="s">
        <v>29</v>
      </c>
      <c r="B127" s="85"/>
      <c r="C127" s="87"/>
      <c r="D127" s="91"/>
      <c r="E127" s="91"/>
      <c r="F127" s="91"/>
      <c r="G127" s="91"/>
      <c r="H127" s="91"/>
      <c r="I127" s="91"/>
      <c r="J127" s="91"/>
      <c r="K127" s="91"/>
      <c r="L127" s="91"/>
      <c r="M127" s="91"/>
      <c r="N127" s="91"/>
      <c r="O127" s="91"/>
      <c r="P127" s="91"/>
    </row>
    <row r="128" spans="1:16" ht="14.4" x14ac:dyDescent="0.3">
      <c r="A128" s="89" t="s">
        <v>30</v>
      </c>
      <c r="B128" s="89"/>
      <c r="C128" s="87" t="s">
        <v>19</v>
      </c>
      <c r="D128" s="91">
        <v>0.50849999999999995</v>
      </c>
      <c r="E128" s="91">
        <v>0.50849999999999995</v>
      </c>
      <c r="F128" s="91">
        <v>0.50849999999999995</v>
      </c>
      <c r="G128" s="91">
        <v>0.50849999999999995</v>
      </c>
      <c r="H128" s="91">
        <v>0.50849999999999995</v>
      </c>
      <c r="I128" s="91">
        <v>0.50849999999999995</v>
      </c>
      <c r="J128" s="91">
        <v>0.50849999999999995</v>
      </c>
      <c r="K128" s="91">
        <v>0.50849999999999995</v>
      </c>
      <c r="L128" s="91">
        <v>0.50849999999999995</v>
      </c>
      <c r="M128" s="91">
        <v>0.50849999999999995</v>
      </c>
      <c r="N128" s="91">
        <v>0.50849999999999995</v>
      </c>
      <c r="O128" s="91">
        <v>0.50849999999999995</v>
      </c>
      <c r="P128" s="91">
        <v>0.50849999999999995</v>
      </c>
    </row>
    <row r="129" spans="1:16" ht="14.4" x14ac:dyDescent="0.3">
      <c r="A129" s="89" t="s">
        <v>31</v>
      </c>
      <c r="B129" s="89"/>
      <c r="C129" s="87" t="s">
        <v>32</v>
      </c>
      <c r="D129" s="69">
        <v>16.73</v>
      </c>
      <c r="E129" s="69">
        <v>16.73</v>
      </c>
      <c r="F129" s="69">
        <v>16.73</v>
      </c>
      <c r="G129" s="69">
        <v>16.73</v>
      </c>
      <c r="H129" s="69">
        <v>16.73</v>
      </c>
      <c r="I129" s="69">
        <v>16.73</v>
      </c>
      <c r="J129" s="69">
        <v>16.73</v>
      </c>
      <c r="K129" s="69">
        <v>16.73</v>
      </c>
      <c r="L129" s="69">
        <v>16.73</v>
      </c>
      <c r="M129" s="69">
        <v>16.73</v>
      </c>
      <c r="N129" s="69">
        <v>16.73</v>
      </c>
      <c r="O129" s="69">
        <v>16.73</v>
      </c>
      <c r="P129" s="69">
        <v>16.73</v>
      </c>
    </row>
    <row r="130" spans="1:16" ht="14.4" x14ac:dyDescent="0.3">
      <c r="A130" s="85" t="s">
        <v>33</v>
      </c>
      <c r="B130" s="85"/>
      <c r="C130" s="87"/>
      <c r="D130" s="91"/>
      <c r="E130" s="91"/>
      <c r="F130" s="91"/>
      <c r="G130" s="91"/>
      <c r="H130" s="91"/>
      <c r="I130" s="91"/>
      <c r="J130" s="91"/>
      <c r="K130" s="91"/>
      <c r="L130" s="91"/>
      <c r="M130" s="91"/>
      <c r="N130" s="91"/>
      <c r="O130" s="91"/>
      <c r="P130" s="91"/>
    </row>
    <row r="131" spans="1:16" ht="14.4" x14ac:dyDescent="0.3">
      <c r="A131" s="89" t="s">
        <v>34</v>
      </c>
      <c r="B131" s="89"/>
      <c r="C131" s="87" t="s">
        <v>19</v>
      </c>
      <c r="D131" s="91">
        <v>0.3377</v>
      </c>
      <c r="E131" s="91">
        <v>0.3377</v>
      </c>
      <c r="F131" s="91">
        <v>0.3377</v>
      </c>
      <c r="G131" s="91">
        <v>0.3377</v>
      </c>
      <c r="H131" s="91">
        <v>0.3377</v>
      </c>
      <c r="I131" s="91">
        <v>0.3377</v>
      </c>
      <c r="J131" s="91">
        <v>0.3377</v>
      </c>
      <c r="K131" s="91">
        <v>0.3377</v>
      </c>
      <c r="L131" s="91">
        <v>0.3377</v>
      </c>
      <c r="M131" s="91">
        <v>0.3377</v>
      </c>
      <c r="N131" s="91">
        <v>0.3377</v>
      </c>
      <c r="O131" s="91">
        <v>0.3377</v>
      </c>
      <c r="P131" s="91">
        <v>0.3377</v>
      </c>
    </row>
    <row r="132" spans="1:16" ht="14.4" x14ac:dyDescent="0.3">
      <c r="A132" s="89" t="s">
        <v>35</v>
      </c>
      <c r="B132" s="89"/>
      <c r="C132" s="87" t="s">
        <v>36</v>
      </c>
      <c r="D132" s="69">
        <v>5</v>
      </c>
      <c r="E132" s="69">
        <v>5</v>
      </c>
      <c r="F132" s="69">
        <v>5</v>
      </c>
      <c r="G132" s="69">
        <v>5</v>
      </c>
      <c r="H132" s="69">
        <v>5</v>
      </c>
      <c r="I132" s="69">
        <v>5</v>
      </c>
      <c r="J132" s="69">
        <v>5</v>
      </c>
      <c r="K132" s="69">
        <v>5</v>
      </c>
      <c r="L132" s="69">
        <v>5</v>
      </c>
      <c r="M132" s="69">
        <v>5</v>
      </c>
      <c r="N132" s="69">
        <v>5</v>
      </c>
      <c r="O132" s="69">
        <v>5</v>
      </c>
      <c r="P132" s="69">
        <v>5</v>
      </c>
    </row>
    <row r="133" spans="1:16" ht="14.4" x14ac:dyDescent="0.3">
      <c r="A133" s="85" t="s">
        <v>37</v>
      </c>
      <c r="B133" s="85"/>
      <c r="C133" s="87"/>
      <c r="D133" s="91"/>
      <c r="E133" s="91"/>
      <c r="F133" s="91"/>
      <c r="G133" s="91"/>
      <c r="H133" s="91"/>
      <c r="I133" s="91"/>
      <c r="J133" s="91"/>
      <c r="K133" s="91"/>
      <c r="L133" s="91"/>
      <c r="M133" s="91"/>
      <c r="N133" s="91"/>
      <c r="O133" s="91"/>
      <c r="P133" s="91"/>
    </row>
    <row r="134" spans="1:16" ht="14.4" x14ac:dyDescent="0.3">
      <c r="A134" s="95" t="s">
        <v>38</v>
      </c>
      <c r="B134" s="89"/>
      <c r="C134" s="87" t="s">
        <v>19</v>
      </c>
      <c r="D134" s="91">
        <f>[48]LD!D30</f>
        <v>9.3899999999999997E-2</v>
      </c>
      <c r="E134" s="91">
        <f>[48]LD!E30</f>
        <v>9.2399999999999996E-2</v>
      </c>
      <c r="F134" s="91">
        <f>[48]LD!F30</f>
        <v>8.7999999999999995E-2</v>
      </c>
      <c r="G134" s="91">
        <f>[48]LD!G30</f>
        <v>0.1013</v>
      </c>
      <c r="H134" s="91">
        <f>[48]LD!H30</f>
        <v>0.111</v>
      </c>
      <c r="I134" s="91">
        <f>[48]LD!I30</f>
        <v>4.5099999999999994E-2</v>
      </c>
      <c r="J134" s="91">
        <f>[48]LD!J30</f>
        <v>6.0400000000000002E-2</v>
      </c>
      <c r="K134" s="91">
        <f>[48]LD!K30</f>
        <v>6.54E-2</v>
      </c>
      <c r="L134" s="91">
        <f>[48]LD!L30</f>
        <v>6.6500000000000004E-2</v>
      </c>
      <c r="M134" s="91">
        <f>[48]LD!M30</f>
        <v>5.9900000000000002E-2</v>
      </c>
      <c r="N134" s="91">
        <f>[48]LD!N30</f>
        <v>4.7800000000000002E-2</v>
      </c>
      <c r="O134" s="91">
        <f>[48]LD!O30</f>
        <v>7.9100000000000004E-2</v>
      </c>
      <c r="P134" s="91">
        <f>[48]LD!P30</f>
        <v>0</v>
      </c>
    </row>
    <row r="135" spans="1:16" ht="14.4" x14ac:dyDescent="0.3">
      <c r="A135" s="95" t="s">
        <v>39</v>
      </c>
      <c r="B135" s="89"/>
      <c r="C135" s="87" t="s">
        <v>19</v>
      </c>
      <c r="D135" s="91">
        <v>0</v>
      </c>
      <c r="E135" s="91">
        <v>0</v>
      </c>
      <c r="F135" s="91">
        <v>0</v>
      </c>
      <c r="G135" s="91">
        <v>0</v>
      </c>
      <c r="H135" s="91">
        <v>0</v>
      </c>
      <c r="I135" s="91">
        <v>0</v>
      </c>
      <c r="J135" s="91">
        <v>0</v>
      </c>
      <c r="K135" s="91">
        <v>0</v>
      </c>
      <c r="L135" s="91">
        <v>0</v>
      </c>
      <c r="M135" s="91">
        <v>0</v>
      </c>
      <c r="N135" s="91">
        <v>0</v>
      </c>
      <c r="O135" s="91">
        <v>0</v>
      </c>
      <c r="P135" s="91">
        <v>0</v>
      </c>
    </row>
    <row r="136" spans="1:16" ht="14.4" x14ac:dyDescent="0.3">
      <c r="A136" s="96" t="s">
        <v>40</v>
      </c>
      <c r="B136" s="89"/>
      <c r="C136" s="87" t="s">
        <v>19</v>
      </c>
      <c r="D136" s="91">
        <f>'[48]SR CIT. SUBSIDY'!C108</f>
        <v>1E-4</v>
      </c>
      <c r="E136" s="91">
        <f>'[48]SR CIT. SUBSIDY'!D108</f>
        <v>1E-4</v>
      </c>
      <c r="F136" s="91">
        <f>'[48]SR CIT. SUBSIDY'!E108</f>
        <v>0</v>
      </c>
      <c r="G136" s="91">
        <f>'[48]SR CIT. SUBSIDY'!F108</f>
        <v>0</v>
      </c>
      <c r="H136" s="91">
        <f>'[48]SR CIT. SUBSIDY'!G108</f>
        <v>1E-4</v>
      </c>
      <c r="I136" s="91">
        <f>'[48]SR CIT. SUBSIDY'!H108</f>
        <v>1E-4</v>
      </c>
      <c r="J136" s="91">
        <f>'[48]SR CIT. SUBSIDY'!I108</f>
        <v>1E-4</v>
      </c>
      <c r="K136" s="91">
        <f>'[48]SR CIT. SUBSIDY'!J108</f>
        <v>1E-4</v>
      </c>
      <c r="L136" s="91">
        <f>'[48]SR CIT. SUBSIDY'!K108</f>
        <v>1E-4</v>
      </c>
      <c r="M136" s="91">
        <f>'[48]SR CIT. SUBSIDY'!L108</f>
        <v>1E-4</v>
      </c>
      <c r="N136" s="91">
        <f>'[48]SR CIT. SUBSIDY'!M108</f>
        <v>1E-4</v>
      </c>
      <c r="O136" s="91">
        <f>'[48]SR CIT. SUBSIDY'!N108</f>
        <v>1E-4</v>
      </c>
      <c r="P136" s="91">
        <f>'[48]SR CIT. SUBSIDY'!O108</f>
        <v>0</v>
      </c>
    </row>
    <row r="137" spans="1:16" ht="14.4" x14ac:dyDescent="0.3">
      <c r="A137" s="96" t="s">
        <v>41</v>
      </c>
      <c r="B137" s="89"/>
      <c r="C137" s="87" t="s">
        <v>19</v>
      </c>
      <c r="D137" s="91">
        <v>0</v>
      </c>
      <c r="E137" s="91">
        <v>0</v>
      </c>
      <c r="F137" s="91">
        <v>0</v>
      </c>
      <c r="G137" s="91">
        <v>0</v>
      </c>
      <c r="H137" s="91">
        <v>0</v>
      </c>
      <c r="I137" s="91">
        <v>0</v>
      </c>
      <c r="J137" s="91">
        <v>0</v>
      </c>
      <c r="K137" s="91"/>
      <c r="L137" s="91">
        <v>0</v>
      </c>
      <c r="M137" s="91">
        <v>0</v>
      </c>
      <c r="N137" s="91">
        <v>0</v>
      </c>
      <c r="O137" s="91">
        <v>0</v>
      </c>
      <c r="P137" s="91">
        <v>0</v>
      </c>
    </row>
    <row r="138" spans="1:16" ht="14.4" x14ac:dyDescent="0.3">
      <c r="A138" s="85" t="s">
        <v>42</v>
      </c>
      <c r="B138" s="85"/>
      <c r="C138" s="87"/>
      <c r="D138" s="91"/>
      <c r="E138" s="91"/>
      <c r="F138" s="91"/>
      <c r="G138" s="91"/>
      <c r="H138" s="91"/>
      <c r="I138" s="91"/>
      <c r="J138" s="91"/>
      <c r="K138" s="91"/>
      <c r="L138" s="91"/>
      <c r="M138" s="91"/>
      <c r="N138" s="91"/>
      <c r="O138" s="91"/>
      <c r="P138" s="91"/>
    </row>
    <row r="139" spans="1:16" ht="14.4" x14ac:dyDescent="0.3">
      <c r="A139" s="85" t="s">
        <v>43</v>
      </c>
      <c r="B139" s="85"/>
      <c r="C139" s="87" t="s">
        <v>44</v>
      </c>
      <c r="D139" s="91"/>
      <c r="E139" s="91"/>
      <c r="F139" s="91"/>
      <c r="G139" s="91"/>
      <c r="H139" s="91"/>
      <c r="I139" s="91"/>
      <c r="J139" s="91"/>
      <c r="K139" s="91"/>
      <c r="L139" s="91"/>
      <c r="M139" s="91"/>
      <c r="N139" s="91"/>
      <c r="O139" s="91"/>
      <c r="P139" s="91"/>
    </row>
    <row r="140" spans="1:16" ht="14.4" x14ac:dyDescent="0.3">
      <c r="A140" s="85" t="s">
        <v>45</v>
      </c>
      <c r="B140" s="85"/>
      <c r="C140" s="87"/>
      <c r="D140" s="91"/>
      <c r="E140" s="91"/>
      <c r="F140" s="91"/>
      <c r="G140" s="91"/>
      <c r="H140" s="91"/>
      <c r="I140" s="91"/>
      <c r="J140" s="91"/>
      <c r="K140" s="91"/>
      <c r="L140" s="91"/>
      <c r="M140" s="91"/>
      <c r="N140" s="91"/>
      <c r="O140" s="91"/>
      <c r="P140" s="91"/>
    </row>
    <row r="141" spans="1:16" ht="14.4" x14ac:dyDescent="0.3">
      <c r="A141" s="85" t="s">
        <v>46</v>
      </c>
      <c r="B141" s="85"/>
      <c r="C141" s="87" t="s">
        <v>19</v>
      </c>
      <c r="D141" s="91">
        <v>0</v>
      </c>
      <c r="E141" s="91">
        <v>0</v>
      </c>
      <c r="F141" s="91">
        <v>0</v>
      </c>
      <c r="G141" s="91">
        <v>0</v>
      </c>
      <c r="H141" s="91">
        <v>0</v>
      </c>
      <c r="I141" s="91">
        <v>0</v>
      </c>
      <c r="J141" s="91">
        <v>0</v>
      </c>
      <c r="K141" s="91">
        <v>0</v>
      </c>
      <c r="L141" s="91">
        <v>0</v>
      </c>
      <c r="M141" s="91">
        <v>0</v>
      </c>
      <c r="N141" s="91">
        <v>0</v>
      </c>
      <c r="O141" s="91">
        <v>0</v>
      </c>
      <c r="P141" s="91">
        <v>0</v>
      </c>
    </row>
    <row r="142" spans="1:16" ht="14.4" x14ac:dyDescent="0.3">
      <c r="A142" s="85" t="s">
        <v>47</v>
      </c>
      <c r="B142" s="85"/>
      <c r="C142" s="87"/>
      <c r="D142" s="91"/>
      <c r="E142" s="91"/>
      <c r="F142" s="91"/>
      <c r="G142" s="91"/>
      <c r="H142" s="91"/>
      <c r="I142" s="91"/>
      <c r="J142" s="91"/>
      <c r="K142" s="91"/>
      <c r="L142" s="91"/>
      <c r="M142" s="91"/>
      <c r="N142" s="91"/>
      <c r="O142" s="91"/>
      <c r="P142" s="91"/>
    </row>
    <row r="143" spans="1:16" ht="14.4" x14ac:dyDescent="0.3">
      <c r="A143" s="89" t="s">
        <v>48</v>
      </c>
      <c r="B143" s="89"/>
      <c r="C143" s="87" t="s">
        <v>19</v>
      </c>
      <c r="D143" s="91">
        <f t="shared" ref="D143:P147" si="7">D97</f>
        <v>0.15609999999999999</v>
      </c>
      <c r="E143" s="91">
        <f t="shared" si="7"/>
        <v>0.15609999999999999</v>
      </c>
      <c r="F143" s="91">
        <f t="shared" si="7"/>
        <v>0.15609999999999999</v>
      </c>
      <c r="G143" s="91">
        <f t="shared" si="7"/>
        <v>0.15609999999999999</v>
      </c>
      <c r="H143" s="91">
        <f t="shared" si="7"/>
        <v>0.15609999999999999</v>
      </c>
      <c r="I143" s="91">
        <f t="shared" si="7"/>
        <v>0.15609999999999999</v>
      </c>
      <c r="J143" s="91">
        <f t="shared" si="7"/>
        <v>0.15609999999999999</v>
      </c>
      <c r="K143" s="91">
        <f t="shared" si="7"/>
        <v>0.15609999999999999</v>
      </c>
      <c r="L143" s="91">
        <f t="shared" si="7"/>
        <v>0.15609999999999999</v>
      </c>
      <c r="M143" s="91">
        <f t="shared" si="7"/>
        <v>0.15609999999999999</v>
      </c>
      <c r="N143" s="91">
        <f t="shared" si="7"/>
        <v>0.15609999999999999</v>
      </c>
      <c r="O143" s="91">
        <f t="shared" si="7"/>
        <v>0.15609999999999999</v>
      </c>
      <c r="P143" s="91">
        <f t="shared" si="7"/>
        <v>0.15609999999999999</v>
      </c>
    </row>
    <row r="144" spans="1:16" ht="14.4" x14ac:dyDescent="0.3">
      <c r="A144" s="89" t="s">
        <v>49</v>
      </c>
      <c r="B144" s="89"/>
      <c r="C144" s="87" t="s">
        <v>19</v>
      </c>
      <c r="D144" s="91">
        <f t="shared" si="7"/>
        <v>2.5000000000000001E-3</v>
      </c>
      <c r="E144" s="91">
        <f t="shared" si="7"/>
        <v>2.5000000000000001E-3</v>
      </c>
      <c r="F144" s="91">
        <f t="shared" si="7"/>
        <v>2.5000000000000001E-3</v>
      </c>
      <c r="G144" s="91">
        <f t="shared" si="7"/>
        <v>2.5000000000000001E-3</v>
      </c>
      <c r="H144" s="91">
        <f t="shared" si="7"/>
        <v>2.5000000000000001E-3</v>
      </c>
      <c r="I144" s="91">
        <f t="shared" si="7"/>
        <v>0</v>
      </c>
      <c r="J144" s="91">
        <f t="shared" si="7"/>
        <v>0</v>
      </c>
      <c r="K144" s="91">
        <f t="shared" si="7"/>
        <v>0</v>
      </c>
      <c r="L144" s="91">
        <f t="shared" si="7"/>
        <v>0</v>
      </c>
      <c r="M144" s="91">
        <f t="shared" si="7"/>
        <v>0</v>
      </c>
      <c r="N144" s="91">
        <f t="shared" si="7"/>
        <v>0</v>
      </c>
      <c r="O144" s="91">
        <f t="shared" si="7"/>
        <v>0</v>
      </c>
      <c r="P144" s="91">
        <f t="shared" si="7"/>
        <v>0</v>
      </c>
    </row>
    <row r="145" spans="1:16" ht="14.4" x14ac:dyDescent="0.3">
      <c r="A145" s="89" t="s">
        <v>111</v>
      </c>
      <c r="B145" s="89"/>
      <c r="C145" s="87" t="s">
        <v>19</v>
      </c>
      <c r="D145" s="91">
        <f t="shared" si="7"/>
        <v>5.4300000000000001E-2</v>
      </c>
      <c r="E145" s="91">
        <f t="shared" si="7"/>
        <v>0</v>
      </c>
      <c r="F145" s="91">
        <f t="shared" si="7"/>
        <v>-0.14530000000000001</v>
      </c>
      <c r="G145" s="91">
        <f t="shared" si="7"/>
        <v>0</v>
      </c>
      <c r="H145" s="91">
        <f t="shared" si="7"/>
        <v>0</v>
      </c>
      <c r="I145" s="91">
        <f t="shared" si="7"/>
        <v>0</v>
      </c>
      <c r="J145" s="91">
        <f t="shared" si="7"/>
        <v>0</v>
      </c>
      <c r="K145" s="91">
        <f t="shared" si="7"/>
        <v>0</v>
      </c>
      <c r="L145" s="91">
        <f t="shared" si="7"/>
        <v>0</v>
      </c>
      <c r="M145" s="91">
        <f t="shared" si="7"/>
        <v>0</v>
      </c>
      <c r="N145" s="91">
        <f t="shared" si="7"/>
        <v>0</v>
      </c>
      <c r="O145" s="91">
        <f t="shared" si="7"/>
        <v>0</v>
      </c>
      <c r="P145" s="91">
        <f t="shared" si="7"/>
        <v>0</v>
      </c>
    </row>
    <row r="146" spans="1:16" ht="14.4" x14ac:dyDescent="0.3">
      <c r="A146" s="89" t="s">
        <v>112</v>
      </c>
      <c r="B146" s="89"/>
      <c r="C146" s="87" t="s">
        <v>19</v>
      </c>
      <c r="D146" s="91">
        <f t="shared" si="7"/>
        <v>4.2799999999999998E-2</v>
      </c>
      <c r="E146" s="91">
        <f t="shared" si="7"/>
        <v>4.2799999999999998E-2</v>
      </c>
      <c r="F146" s="91">
        <f t="shared" si="7"/>
        <v>4.2799999999999998E-2</v>
      </c>
      <c r="G146" s="91">
        <f t="shared" si="7"/>
        <v>4.2799999999999998E-2</v>
      </c>
      <c r="H146" s="91">
        <f t="shared" si="7"/>
        <v>4.2799999999999998E-2</v>
      </c>
      <c r="I146" s="91">
        <f t="shared" si="7"/>
        <v>4.2799999999999998E-2</v>
      </c>
      <c r="J146" s="91">
        <f t="shared" si="7"/>
        <v>4.2799999999999998E-2</v>
      </c>
      <c r="K146" s="91">
        <f t="shared" si="7"/>
        <v>4.2799999999999998E-2</v>
      </c>
      <c r="L146" s="91">
        <f t="shared" si="7"/>
        <v>4.2799999999999998E-2</v>
      </c>
      <c r="M146" s="91">
        <f t="shared" si="7"/>
        <v>4.2799999999999998E-2</v>
      </c>
      <c r="N146" s="91">
        <f t="shared" si="7"/>
        <v>4.2799999999999998E-2</v>
      </c>
      <c r="O146" s="91">
        <f t="shared" si="7"/>
        <v>4.2799999999999998E-2</v>
      </c>
      <c r="P146" s="91">
        <f t="shared" si="7"/>
        <v>4.2799999999999998E-2</v>
      </c>
    </row>
    <row r="147" spans="1:16" ht="14.4" x14ac:dyDescent="0.3">
      <c r="A147" s="85" t="s">
        <v>51</v>
      </c>
      <c r="B147" s="85"/>
      <c r="C147" s="87" t="s">
        <v>19</v>
      </c>
      <c r="D147" s="91">
        <f t="shared" si="7"/>
        <v>0.22259999999999999</v>
      </c>
      <c r="E147" s="91">
        <f t="shared" si="7"/>
        <v>4.9500000000000002E-2</v>
      </c>
      <c r="F147" s="91">
        <f t="shared" si="7"/>
        <v>4.9500000000000002E-2</v>
      </c>
      <c r="G147" s="91">
        <f t="shared" si="7"/>
        <v>0</v>
      </c>
      <c r="H147" s="91">
        <f t="shared" si="7"/>
        <v>0</v>
      </c>
      <c r="I147" s="91">
        <f t="shared" si="7"/>
        <v>4.9500000000000002E-2</v>
      </c>
      <c r="J147" s="91">
        <f t="shared" si="7"/>
        <v>4.9500000000000002E-2</v>
      </c>
      <c r="K147" s="91">
        <f t="shared" si="7"/>
        <v>4.9500000000000002E-2</v>
      </c>
      <c r="L147" s="91">
        <f t="shared" si="7"/>
        <v>4.9500000000000002E-2</v>
      </c>
      <c r="M147" s="91">
        <f t="shared" si="7"/>
        <v>4.9500000000000002E-2</v>
      </c>
      <c r="N147" s="91">
        <f t="shared" si="7"/>
        <v>4.9500000000000002E-2</v>
      </c>
      <c r="O147" s="91">
        <f t="shared" si="7"/>
        <v>4.9500000000000002E-2</v>
      </c>
      <c r="P147" s="91">
        <f t="shared" si="7"/>
        <v>4.9500000000000002E-2</v>
      </c>
    </row>
    <row r="148" spans="1:16" ht="14.4" x14ac:dyDescent="0.3">
      <c r="A148" s="85" t="s">
        <v>52</v>
      </c>
      <c r="B148" s="85"/>
      <c r="C148" s="97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</row>
    <row r="149" spans="1:16" ht="14.4" x14ac:dyDescent="0.3">
      <c r="A149" s="89" t="s">
        <v>53</v>
      </c>
      <c r="B149" s="89"/>
      <c r="C149" s="87" t="s">
        <v>44</v>
      </c>
      <c r="D149" s="27">
        <f>'[48]DU VAT'!C15</f>
        <v>0.1094</v>
      </c>
      <c r="E149" s="27">
        <f>'[48]DU VAT'!D15</f>
        <v>0.1108</v>
      </c>
      <c r="F149" s="27">
        <f>'[48]DU VAT'!E15</f>
        <v>0.11159999999999999</v>
      </c>
      <c r="G149" s="27">
        <f>'[48]DU VAT'!F15</f>
        <v>0.11550000000000001</v>
      </c>
      <c r="H149" s="27">
        <f>'[48]DU VAT'!G15</f>
        <v>0.11890000000000001</v>
      </c>
      <c r="I149" s="27">
        <f>'[48]DU VAT'!H15</f>
        <v>0.11890000000000001</v>
      </c>
      <c r="J149" s="27">
        <f>'[48]DU VAT'!I15</f>
        <v>0.1142</v>
      </c>
      <c r="K149" s="27">
        <f>'[48]DU VAT'!J15</f>
        <v>0.1143</v>
      </c>
      <c r="L149" s="27">
        <f>'[48]DU VAT'!K15</f>
        <v>0.11559999999999999</v>
      </c>
      <c r="M149" s="27">
        <f>'[48]DU VAT'!L15</f>
        <v>0.11119999999999999</v>
      </c>
      <c r="N149" s="27">
        <f>'[48]DU VAT'!M15</f>
        <v>0.1148</v>
      </c>
      <c r="O149" s="27">
        <f>'[48]DU VAT'!N15</f>
        <v>0.1158</v>
      </c>
      <c r="P149" s="27" t="e">
        <f>'[48]DU VAT'!O15</f>
        <v>#DIV/0!</v>
      </c>
    </row>
    <row r="150" spans="1:16" ht="14.4" x14ac:dyDescent="0.3">
      <c r="A150" s="89" t="s">
        <v>54</v>
      </c>
      <c r="B150" s="89"/>
      <c r="C150" s="87" t="s">
        <v>44</v>
      </c>
      <c r="D150" s="27">
        <f>'[48]DU VAT'!C22</f>
        <v>0.1011</v>
      </c>
      <c r="E150" s="27">
        <f>'[48]DU VAT'!D22</f>
        <v>0.1071</v>
      </c>
      <c r="F150" s="27">
        <f>'[48]DU VAT'!E22</f>
        <v>0.1144</v>
      </c>
      <c r="G150" s="27">
        <f>'[48]DU VAT'!F22</f>
        <v>0.11749999999999999</v>
      </c>
      <c r="H150" s="27">
        <f>'[48]DU VAT'!G22</f>
        <v>0.1123</v>
      </c>
      <c r="I150" s="27">
        <f>'[48]DU VAT'!H22</f>
        <v>0.11509999999999999</v>
      </c>
      <c r="J150" s="27">
        <f>'[48]DU VAT'!I22</f>
        <v>9.9299999999999999E-2</v>
      </c>
      <c r="K150" s="27">
        <f>'[48]DU VAT'!J22</f>
        <v>0.1032</v>
      </c>
      <c r="L150" s="27">
        <f>'[48]DU VAT'!K22</f>
        <v>0.1017</v>
      </c>
      <c r="M150" s="27">
        <f>'[48]DU VAT'!L22</f>
        <v>0.1055</v>
      </c>
      <c r="N150" s="27">
        <f>'[48]DU VAT'!M22</f>
        <v>0.10100000000000001</v>
      </c>
      <c r="O150" s="27">
        <f>'[48]DU VAT'!N22</f>
        <v>9.6699999999999994E-2</v>
      </c>
      <c r="P150" s="27" t="e">
        <f>'[48]DU VAT'!O22</f>
        <v>#DIV/0!</v>
      </c>
    </row>
    <row r="151" spans="1:16" ht="14.4" x14ac:dyDescent="0.3">
      <c r="A151" s="89" t="s">
        <v>55</v>
      </c>
      <c r="B151" s="89"/>
      <c r="C151" s="87" t="s">
        <v>44</v>
      </c>
      <c r="D151" s="27">
        <f>'[48]DU VAT'!C29</f>
        <v>0.1084</v>
      </c>
      <c r="E151" s="27">
        <f>'[48]DU VAT'!D29</f>
        <v>0.1103</v>
      </c>
      <c r="F151" s="27">
        <f>'[48]DU VAT'!E29</f>
        <v>0.1105</v>
      </c>
      <c r="G151" s="27">
        <f>'[48]DU VAT'!F29</f>
        <v>0.1143</v>
      </c>
      <c r="H151" s="27">
        <f>'[48]DU VAT'!G29</f>
        <v>0.1162</v>
      </c>
      <c r="I151" s="27">
        <f>'[48]DU VAT'!H29</f>
        <v>0.1166</v>
      </c>
      <c r="J151" s="27">
        <f>'[48]DU VAT'!I29</f>
        <v>0.1118</v>
      </c>
      <c r="K151" s="27">
        <f>'[48]DU VAT'!J29</f>
        <v>0.11310000000000001</v>
      </c>
      <c r="L151" s="27">
        <f>'[48]DU VAT'!K29</f>
        <v>0.1134</v>
      </c>
      <c r="M151" s="27">
        <f>'[48]DU VAT'!L29</f>
        <v>0.1104</v>
      </c>
      <c r="N151" s="27">
        <f>'[48]DU VAT'!M29</f>
        <v>0.11260000000000001</v>
      </c>
      <c r="O151" s="27">
        <f>'[48]DU VAT'!N29</f>
        <v>0.1128</v>
      </c>
      <c r="P151" s="27" t="e">
        <f>'[48]DU VAT'!O29</f>
        <v>#DIV/0!</v>
      </c>
    </row>
    <row r="152" spans="1:16" ht="14.4" x14ac:dyDescent="0.3">
      <c r="A152" s="89" t="s">
        <v>56</v>
      </c>
      <c r="B152" s="89"/>
      <c r="C152" s="87" t="s">
        <v>44</v>
      </c>
      <c r="D152" s="27">
        <f t="shared" ref="D152:P153" si="8">D106</f>
        <v>0.12</v>
      </c>
      <c r="E152" s="27">
        <f t="shared" si="8"/>
        <v>0.12</v>
      </c>
      <c r="F152" s="27">
        <f t="shared" si="8"/>
        <v>0.12</v>
      </c>
      <c r="G152" s="27">
        <f t="shared" si="8"/>
        <v>0.12</v>
      </c>
      <c r="H152" s="27">
        <f t="shared" si="8"/>
        <v>0.12</v>
      </c>
      <c r="I152" s="27">
        <f t="shared" si="8"/>
        <v>0.12</v>
      </c>
      <c r="J152" s="27">
        <f t="shared" si="8"/>
        <v>0.12</v>
      </c>
      <c r="K152" s="27">
        <f t="shared" si="8"/>
        <v>0.12</v>
      </c>
      <c r="L152" s="27">
        <f t="shared" si="8"/>
        <v>0.12</v>
      </c>
      <c r="M152" s="27">
        <f t="shared" si="8"/>
        <v>0.12</v>
      </c>
      <c r="N152" s="27">
        <f t="shared" si="8"/>
        <v>0.12</v>
      </c>
      <c r="O152" s="27">
        <f t="shared" si="8"/>
        <v>0.12</v>
      </c>
      <c r="P152" s="27">
        <f t="shared" si="8"/>
        <v>0.12</v>
      </c>
    </row>
    <row r="153" spans="1:16" ht="14.4" x14ac:dyDescent="0.3">
      <c r="A153" s="89" t="s">
        <v>57</v>
      </c>
      <c r="B153" s="89"/>
      <c r="C153" s="87" t="s">
        <v>44</v>
      </c>
      <c r="D153" s="27">
        <f t="shared" si="8"/>
        <v>0.12</v>
      </c>
      <c r="E153" s="27">
        <f t="shared" si="8"/>
        <v>0.12</v>
      </c>
      <c r="F153" s="27">
        <f t="shared" si="8"/>
        <v>0.12</v>
      </c>
      <c r="G153" s="27">
        <f t="shared" si="8"/>
        <v>0.12</v>
      </c>
      <c r="H153" s="27">
        <f t="shared" si="8"/>
        <v>0.12</v>
      </c>
      <c r="I153" s="27">
        <f t="shared" si="8"/>
        <v>0.12</v>
      </c>
      <c r="J153" s="27">
        <f t="shared" si="8"/>
        <v>0.12</v>
      </c>
      <c r="K153" s="27">
        <f t="shared" si="8"/>
        <v>0.12</v>
      </c>
      <c r="L153" s="27">
        <f t="shared" si="8"/>
        <v>0.12</v>
      </c>
      <c r="M153" s="27">
        <f t="shared" si="8"/>
        <v>0.12</v>
      </c>
      <c r="N153" s="27">
        <f t="shared" si="8"/>
        <v>0.12</v>
      </c>
      <c r="O153" s="27">
        <f t="shared" si="8"/>
        <v>0.12</v>
      </c>
      <c r="P153" s="27">
        <f t="shared" si="8"/>
        <v>0.12</v>
      </c>
    </row>
    <row r="155" spans="1:16" x14ac:dyDescent="0.3">
      <c r="A155" s="77" t="s">
        <v>58</v>
      </c>
    </row>
    <row r="156" spans="1:16" x14ac:dyDescent="0.3">
      <c r="A156" s="100"/>
    </row>
    <row r="157" spans="1:16" ht="18" x14ac:dyDescent="0.35">
      <c r="A157" s="82" t="str">
        <f>'[48]Statistical data'!A185</f>
        <v xml:space="preserve">  GHMSCI</v>
      </c>
      <c r="B157" s="82"/>
      <c r="C157" s="77"/>
      <c r="D157" s="83"/>
      <c r="E157" s="83"/>
      <c r="F157" s="83"/>
      <c r="G157" s="83"/>
      <c r="H157" s="83"/>
      <c r="I157" s="83"/>
      <c r="J157" s="83"/>
      <c r="K157" s="83"/>
      <c r="L157" s="83"/>
      <c r="M157" s="83"/>
      <c r="N157" s="83"/>
      <c r="O157" s="83"/>
      <c r="P157" s="83"/>
    </row>
    <row r="158" spans="1:16" s="84" customFormat="1" ht="14.4" x14ac:dyDescent="0.3">
      <c r="A158" s="12" t="s">
        <v>3</v>
      </c>
      <c r="B158" s="12"/>
      <c r="C158" s="12" t="s">
        <v>4</v>
      </c>
      <c r="D158" s="73">
        <f t="shared" ref="D158:P158" si="9">D112</f>
        <v>43831</v>
      </c>
      <c r="E158" s="73">
        <f t="shared" si="9"/>
        <v>43862</v>
      </c>
      <c r="F158" s="73">
        <f t="shared" si="9"/>
        <v>43891</v>
      </c>
      <c r="G158" s="73">
        <f t="shared" si="9"/>
        <v>43922</v>
      </c>
      <c r="H158" s="73">
        <f t="shared" si="9"/>
        <v>43952</v>
      </c>
      <c r="I158" s="73">
        <f t="shared" si="9"/>
        <v>43983</v>
      </c>
      <c r="J158" s="73">
        <f t="shared" si="9"/>
        <v>44013</v>
      </c>
      <c r="K158" s="73">
        <f t="shared" si="9"/>
        <v>44044</v>
      </c>
      <c r="L158" s="73">
        <f t="shared" si="9"/>
        <v>44075</v>
      </c>
      <c r="M158" s="73">
        <f t="shared" si="9"/>
        <v>44105</v>
      </c>
      <c r="N158" s="73">
        <f t="shared" si="9"/>
        <v>44136</v>
      </c>
      <c r="O158" s="73">
        <f t="shared" si="9"/>
        <v>44166</v>
      </c>
      <c r="P158" s="73">
        <f t="shared" si="9"/>
        <v>44197</v>
      </c>
    </row>
    <row r="159" spans="1:16" ht="14.4" x14ac:dyDescent="0.3">
      <c r="A159" s="85" t="s">
        <v>17</v>
      </c>
      <c r="B159" s="86"/>
      <c r="C159" s="87"/>
      <c r="D159" s="88"/>
      <c r="E159" s="88"/>
      <c r="F159" s="88"/>
      <c r="G159" s="88"/>
      <c r="H159" s="88"/>
      <c r="I159" s="88"/>
      <c r="J159" s="88"/>
      <c r="K159" s="88"/>
      <c r="L159" s="88"/>
      <c r="M159" s="88"/>
      <c r="N159" s="88"/>
      <c r="O159" s="88"/>
      <c r="P159" s="88"/>
    </row>
    <row r="160" spans="1:16" ht="14.4" x14ac:dyDescent="0.3">
      <c r="A160" s="89" t="s">
        <v>18</v>
      </c>
      <c r="B160" s="90"/>
      <c r="C160" s="87" t="s">
        <v>19</v>
      </c>
      <c r="D160" s="91">
        <f>[48]GR!D23</f>
        <v>4.9039000000000001</v>
      </c>
      <c r="E160" s="91">
        <f>[48]GR!E23</f>
        <v>4.5090000000000003</v>
      </c>
      <c r="F160" s="91">
        <f>[48]GR!F23</f>
        <v>4.6631999999999998</v>
      </c>
      <c r="G160" s="91">
        <f>[48]GR!G23</f>
        <v>4.6384999999999996</v>
      </c>
      <c r="H160" s="91">
        <f>[48]GR!H23</f>
        <v>4.3848000000000003</v>
      </c>
      <c r="I160" s="91">
        <f>[48]GR!I23</f>
        <v>4.3413000000000004</v>
      </c>
      <c r="J160" s="91">
        <f>[48]GR!J23</f>
        <v>4.3343999999999996</v>
      </c>
      <c r="K160" s="91">
        <f>[48]GR!K23</f>
        <v>4.1241000000000003</v>
      </c>
      <c r="L160" s="91">
        <f>[48]GR!L23</f>
        <v>4.0860000000000003</v>
      </c>
      <c r="M160" s="91">
        <f>[48]GR!M23</f>
        <v>4.2233000000000001</v>
      </c>
      <c r="N160" s="91">
        <f>[48]GR!N23</f>
        <v>4.2018000000000004</v>
      </c>
      <c r="O160" s="91">
        <f>[48]GR!O23</f>
        <v>4.1516000000000002</v>
      </c>
      <c r="P160" s="91" t="e">
        <f>[48]GR!P23</f>
        <v>#DIV/0!</v>
      </c>
    </row>
    <row r="161" spans="1:16" ht="14.4" x14ac:dyDescent="0.3">
      <c r="A161" s="85" t="s">
        <v>20</v>
      </c>
      <c r="B161" s="86"/>
      <c r="C161" s="87"/>
      <c r="D161" s="91"/>
      <c r="E161" s="91"/>
      <c r="F161" s="91"/>
      <c r="G161" s="91"/>
      <c r="H161" s="91"/>
      <c r="I161" s="91"/>
      <c r="J161" s="91"/>
      <c r="K161" s="91"/>
      <c r="L161" s="91"/>
      <c r="M161" s="91"/>
      <c r="N161" s="91"/>
      <c r="O161" s="91"/>
      <c r="P161" s="91"/>
    </row>
    <row r="162" spans="1:16" ht="14.4" x14ac:dyDescent="0.3">
      <c r="A162" s="89" t="s">
        <v>21</v>
      </c>
      <c r="B162" s="90"/>
      <c r="C162" s="87" t="s">
        <v>19</v>
      </c>
      <c r="D162" s="91">
        <f>[48]TR!D45</f>
        <v>0.75260000000000005</v>
      </c>
      <c r="E162" s="91">
        <f>[48]TR!E45</f>
        <v>0.87409999999999999</v>
      </c>
      <c r="F162" s="91">
        <f>[48]TR!F45</f>
        <v>0.84370000000000001</v>
      </c>
      <c r="G162" s="91">
        <f>[48]TR!G45</f>
        <v>0.9768</v>
      </c>
      <c r="H162" s="91">
        <f>[48]TR!H45</f>
        <v>0.93589999999999995</v>
      </c>
      <c r="I162" s="91">
        <f>[48]TR!I45</f>
        <v>1.0368999999999999</v>
      </c>
      <c r="J162" s="91">
        <f>[48]TR!J45</f>
        <v>0.89180000000000004</v>
      </c>
      <c r="K162" s="91">
        <f>[48]TR!K45</f>
        <v>0.86199999999999999</v>
      </c>
      <c r="L162" s="91">
        <f>[48]TR!L45</f>
        <v>0.89100000000000001</v>
      </c>
      <c r="M162" s="91">
        <f>[48]TR!M45</f>
        <v>0.85440000000000005</v>
      </c>
      <c r="N162" s="91">
        <f>[48]TR!N45</f>
        <v>0.89559999999999995</v>
      </c>
      <c r="O162" s="91">
        <f>[48]TR!O45</f>
        <v>0.85540000000000005</v>
      </c>
      <c r="P162" s="91">
        <f>[48]TR!P45</f>
        <v>0</v>
      </c>
    </row>
    <row r="163" spans="1:16" ht="14.4" x14ac:dyDescent="0.3">
      <c r="A163" s="89" t="s">
        <v>22</v>
      </c>
      <c r="B163" s="90"/>
      <c r="C163" s="87" t="s">
        <v>23</v>
      </c>
      <c r="D163" s="91">
        <v>0</v>
      </c>
      <c r="E163" s="91">
        <v>0</v>
      </c>
      <c r="F163" s="91">
        <v>0</v>
      </c>
      <c r="G163" s="91">
        <v>0</v>
      </c>
      <c r="H163" s="91">
        <v>0</v>
      </c>
      <c r="I163" s="91">
        <v>0</v>
      </c>
      <c r="J163" s="91">
        <v>0</v>
      </c>
      <c r="K163" s="91">
        <v>0</v>
      </c>
      <c r="L163" s="91">
        <v>0</v>
      </c>
      <c r="M163" s="91">
        <v>0</v>
      </c>
      <c r="N163" s="91">
        <v>0</v>
      </c>
      <c r="O163" s="91">
        <v>0</v>
      </c>
      <c r="P163" s="91">
        <v>0</v>
      </c>
    </row>
    <row r="164" spans="1:16" ht="14.4" x14ac:dyDescent="0.3">
      <c r="A164" s="85" t="s">
        <v>24</v>
      </c>
      <c r="B164" s="86"/>
      <c r="C164" s="87"/>
      <c r="D164" s="91"/>
      <c r="E164" s="91"/>
      <c r="F164" s="91"/>
      <c r="G164" s="91"/>
      <c r="H164" s="91"/>
      <c r="I164" s="91"/>
      <c r="J164" s="91"/>
      <c r="K164" s="91"/>
      <c r="L164" s="91"/>
      <c r="M164" s="91"/>
      <c r="N164" s="91"/>
      <c r="O164" s="91"/>
      <c r="P164" s="91"/>
    </row>
    <row r="165" spans="1:16" ht="14.4" x14ac:dyDescent="0.3">
      <c r="A165" s="89" t="s">
        <v>25</v>
      </c>
      <c r="B165" s="90"/>
      <c r="C165" s="87" t="s">
        <v>19</v>
      </c>
      <c r="D165" s="91">
        <f>[48]SLR!D76</f>
        <v>0.41470000000000001</v>
      </c>
      <c r="E165" s="91">
        <f>[48]SLR!E76</f>
        <v>0.38729999999999998</v>
      </c>
      <c r="F165" s="91">
        <f>[48]SLR!F76</f>
        <v>0.3528</v>
      </c>
      <c r="G165" s="91">
        <f>[48]SLR!G76</f>
        <v>0.35249999999999998</v>
      </c>
      <c r="H165" s="91">
        <f>[48]SLR!H76</f>
        <v>0.34720000000000001</v>
      </c>
      <c r="I165" s="91">
        <f>[48]SLR!I76</f>
        <v>0.35120000000000001</v>
      </c>
      <c r="J165" s="91">
        <f>[48]SLR!J76</f>
        <v>0.39100000000000001</v>
      </c>
      <c r="K165" s="91">
        <f>[48]SLR!K76</f>
        <v>0.41720000000000002</v>
      </c>
      <c r="L165" s="91">
        <f>[48]SLR!L76</f>
        <v>0.40579999999999999</v>
      </c>
      <c r="M165" s="91">
        <f>[48]SLR!M76</f>
        <v>0.40810000000000002</v>
      </c>
      <c r="N165" s="91">
        <f>[48]SLR!N76</f>
        <v>0.39</v>
      </c>
      <c r="O165" s="91">
        <f>[48]SLR!O76</f>
        <v>0.38090000000000002</v>
      </c>
      <c r="P165" s="91">
        <f>[48]SLR!P76</f>
        <v>0</v>
      </c>
    </row>
    <row r="166" spans="1:16" ht="14.4" x14ac:dyDescent="0.3">
      <c r="A166" s="85" t="s">
        <v>26</v>
      </c>
      <c r="B166" s="85"/>
      <c r="C166" s="87"/>
      <c r="D166" s="91"/>
      <c r="E166" s="91"/>
      <c r="F166" s="91"/>
      <c r="G166" s="91"/>
      <c r="H166" s="91"/>
      <c r="I166" s="91"/>
      <c r="J166" s="91"/>
      <c r="K166" s="91"/>
      <c r="L166" s="91"/>
      <c r="M166" s="91"/>
      <c r="N166" s="91"/>
      <c r="O166" s="91"/>
      <c r="P166" s="91"/>
    </row>
    <row r="167" spans="1:16" ht="14.4" x14ac:dyDescent="0.3">
      <c r="A167" s="89" t="s">
        <v>27</v>
      </c>
      <c r="B167" s="89"/>
      <c r="C167" s="87" t="s">
        <v>19</v>
      </c>
      <c r="D167" s="91">
        <v>0.86670000000000003</v>
      </c>
      <c r="E167" s="91">
        <v>0.86670000000000003</v>
      </c>
      <c r="F167" s="91">
        <v>0.86670000000000003</v>
      </c>
      <c r="G167" s="91">
        <v>0.86670000000000003</v>
      </c>
      <c r="H167" s="91">
        <v>0.86670000000000003</v>
      </c>
      <c r="I167" s="91">
        <v>0.86670000000000003</v>
      </c>
      <c r="J167" s="91">
        <v>0.86670000000000003</v>
      </c>
      <c r="K167" s="91">
        <v>0.86670000000000003</v>
      </c>
      <c r="L167" s="91">
        <v>0.86670000000000003</v>
      </c>
      <c r="M167" s="91">
        <v>0.86670000000000003</v>
      </c>
      <c r="N167" s="91">
        <v>0.86670000000000003</v>
      </c>
      <c r="O167" s="91">
        <v>0.86670000000000003</v>
      </c>
      <c r="P167" s="91">
        <v>0.86670000000000003</v>
      </c>
    </row>
    <row r="168" spans="1:16" ht="14.4" x14ac:dyDescent="0.3">
      <c r="A168" s="89" t="s">
        <v>28</v>
      </c>
      <c r="B168" s="89"/>
      <c r="C168" s="87" t="s">
        <v>23</v>
      </c>
      <c r="D168" s="91">
        <v>0</v>
      </c>
      <c r="E168" s="91">
        <v>0</v>
      </c>
      <c r="F168" s="91">
        <v>0</v>
      </c>
      <c r="G168" s="91">
        <v>0</v>
      </c>
      <c r="H168" s="91">
        <v>0</v>
      </c>
      <c r="I168" s="91">
        <v>0</v>
      </c>
      <c r="J168" s="91">
        <v>0</v>
      </c>
      <c r="K168" s="91">
        <v>0</v>
      </c>
      <c r="L168" s="91">
        <v>0</v>
      </c>
      <c r="M168" s="91">
        <v>0</v>
      </c>
      <c r="N168" s="91">
        <v>0</v>
      </c>
      <c r="O168" s="91">
        <v>0</v>
      </c>
      <c r="P168" s="91">
        <v>0</v>
      </c>
    </row>
    <row r="169" spans="1:16" ht="14.4" x14ac:dyDescent="0.3">
      <c r="A169" s="85" t="s">
        <v>29</v>
      </c>
      <c r="B169" s="85"/>
      <c r="C169" s="87"/>
      <c r="D169" s="91"/>
      <c r="E169" s="91"/>
      <c r="F169" s="91"/>
      <c r="G169" s="91"/>
      <c r="H169" s="91"/>
      <c r="I169" s="91"/>
      <c r="J169" s="91"/>
      <c r="K169" s="91"/>
      <c r="L169" s="91"/>
      <c r="M169" s="91"/>
      <c r="N169" s="91"/>
      <c r="O169" s="91"/>
      <c r="P169" s="91"/>
    </row>
    <row r="170" spans="1:16" ht="14.4" x14ac:dyDescent="0.3">
      <c r="A170" s="89" t="s">
        <v>30</v>
      </c>
      <c r="B170" s="89"/>
      <c r="C170" s="87" t="s">
        <v>19</v>
      </c>
      <c r="D170" s="91">
        <v>0</v>
      </c>
      <c r="E170" s="91">
        <v>0</v>
      </c>
      <c r="F170" s="91">
        <v>0</v>
      </c>
      <c r="G170" s="91">
        <v>0</v>
      </c>
      <c r="H170" s="91">
        <v>0</v>
      </c>
      <c r="I170" s="91">
        <v>0</v>
      </c>
      <c r="J170" s="91">
        <v>0</v>
      </c>
      <c r="K170" s="91">
        <v>0</v>
      </c>
      <c r="L170" s="91">
        <v>0</v>
      </c>
      <c r="M170" s="91">
        <v>0</v>
      </c>
      <c r="N170" s="91">
        <v>0</v>
      </c>
      <c r="O170" s="91">
        <v>0</v>
      </c>
      <c r="P170" s="91">
        <v>0</v>
      </c>
    </row>
    <row r="171" spans="1:16" ht="14.4" x14ac:dyDescent="0.3">
      <c r="A171" s="89" t="s">
        <v>31</v>
      </c>
      <c r="B171" s="89"/>
      <c r="C171" s="87" t="s">
        <v>32</v>
      </c>
      <c r="D171" s="69">
        <v>278.58999999999997</v>
      </c>
      <c r="E171" s="69">
        <v>278.58999999999997</v>
      </c>
      <c r="F171" s="69">
        <v>278.58999999999997</v>
      </c>
      <c r="G171" s="69">
        <v>278.58999999999997</v>
      </c>
      <c r="H171" s="69">
        <v>278.58999999999997</v>
      </c>
      <c r="I171" s="69">
        <v>278.58999999999997</v>
      </c>
      <c r="J171" s="69">
        <v>278.58999999999997</v>
      </c>
      <c r="K171" s="69">
        <v>278.58999999999997</v>
      </c>
      <c r="L171" s="69">
        <v>278.58999999999997</v>
      </c>
      <c r="M171" s="69">
        <v>278.58999999999997</v>
      </c>
      <c r="N171" s="69">
        <v>278.58999999999997</v>
      </c>
      <c r="O171" s="69">
        <v>278.58999999999997</v>
      </c>
      <c r="P171" s="69">
        <v>278.58999999999997</v>
      </c>
    </row>
    <row r="172" spans="1:16" ht="14.4" x14ac:dyDescent="0.3">
      <c r="A172" s="85" t="s">
        <v>33</v>
      </c>
      <c r="B172" s="85"/>
      <c r="C172" s="87"/>
      <c r="D172" s="91"/>
      <c r="E172" s="91"/>
      <c r="F172" s="91"/>
      <c r="G172" s="91"/>
      <c r="H172" s="91"/>
      <c r="I172" s="91"/>
      <c r="J172" s="91"/>
      <c r="K172" s="91"/>
      <c r="L172" s="91"/>
      <c r="M172" s="91"/>
      <c r="N172" s="91"/>
      <c r="O172" s="91"/>
      <c r="P172" s="91"/>
    </row>
    <row r="173" spans="1:16" ht="14.4" x14ac:dyDescent="0.3">
      <c r="A173" s="89" t="s">
        <v>34</v>
      </c>
      <c r="B173" s="89"/>
      <c r="C173" s="87" t="s">
        <v>19</v>
      </c>
      <c r="D173" s="91">
        <v>0</v>
      </c>
      <c r="E173" s="91">
        <v>0</v>
      </c>
      <c r="F173" s="91">
        <v>0</v>
      </c>
      <c r="G173" s="91">
        <v>0</v>
      </c>
      <c r="H173" s="91">
        <v>0</v>
      </c>
      <c r="I173" s="91">
        <v>0</v>
      </c>
      <c r="J173" s="91">
        <v>0</v>
      </c>
      <c r="K173" s="91">
        <v>0</v>
      </c>
      <c r="L173" s="91">
        <v>0</v>
      </c>
      <c r="M173" s="91">
        <v>0</v>
      </c>
      <c r="N173" s="91">
        <v>0</v>
      </c>
      <c r="O173" s="91">
        <v>0</v>
      </c>
      <c r="P173" s="91">
        <v>0</v>
      </c>
    </row>
    <row r="174" spans="1:16" ht="14.4" x14ac:dyDescent="0.3">
      <c r="A174" s="89" t="s">
        <v>35</v>
      </c>
      <c r="B174" s="89"/>
      <c r="C174" s="87" t="s">
        <v>36</v>
      </c>
      <c r="D174" s="69">
        <v>278.45999999999998</v>
      </c>
      <c r="E174" s="69">
        <v>278.45999999999998</v>
      </c>
      <c r="F174" s="69">
        <v>278.45999999999998</v>
      </c>
      <c r="G174" s="69">
        <v>278.45999999999998</v>
      </c>
      <c r="H174" s="69">
        <v>278.45999999999998</v>
      </c>
      <c r="I174" s="69">
        <v>278.45999999999998</v>
      </c>
      <c r="J174" s="69">
        <v>278.45999999999998</v>
      </c>
      <c r="K174" s="69">
        <v>278.45999999999998</v>
      </c>
      <c r="L174" s="69">
        <v>278.45999999999998</v>
      </c>
      <c r="M174" s="69">
        <v>278.45999999999998</v>
      </c>
      <c r="N174" s="69">
        <v>278.45999999999998</v>
      </c>
      <c r="O174" s="69">
        <v>278.45999999999998</v>
      </c>
      <c r="P174" s="69">
        <v>278.45999999999998</v>
      </c>
    </row>
    <row r="175" spans="1:16" ht="14.4" x14ac:dyDescent="0.3">
      <c r="A175" s="85" t="s">
        <v>37</v>
      </c>
      <c r="B175" s="85"/>
      <c r="C175" s="87"/>
      <c r="D175" s="91"/>
      <c r="E175" s="91"/>
      <c r="F175" s="91"/>
      <c r="G175" s="91"/>
      <c r="H175" s="91"/>
      <c r="I175" s="91"/>
      <c r="J175" s="91"/>
      <c r="K175" s="91"/>
      <c r="L175" s="91"/>
      <c r="M175" s="91"/>
      <c r="N175" s="91"/>
      <c r="O175" s="91"/>
      <c r="P175" s="91"/>
    </row>
    <row r="176" spans="1:16" ht="14.4" x14ac:dyDescent="0.3">
      <c r="A176" s="95" t="s">
        <v>38</v>
      </c>
      <c r="B176" s="89"/>
      <c r="C176" s="87" t="s">
        <v>19</v>
      </c>
      <c r="D176" s="91">
        <f>[48]LD!D30</f>
        <v>9.3899999999999997E-2</v>
      </c>
      <c r="E176" s="91">
        <f>[48]LD!E30</f>
        <v>9.2399999999999996E-2</v>
      </c>
      <c r="F176" s="91">
        <f>[48]LD!F30</f>
        <v>8.7999999999999995E-2</v>
      </c>
      <c r="G176" s="91">
        <f>[48]LD!G30</f>
        <v>0.1013</v>
      </c>
      <c r="H176" s="91">
        <f>[48]LD!H30</f>
        <v>0.111</v>
      </c>
      <c r="I176" s="91">
        <f>[48]LD!I30</f>
        <v>4.5099999999999994E-2</v>
      </c>
      <c r="J176" s="91">
        <f>[48]LD!J30</f>
        <v>6.0400000000000002E-2</v>
      </c>
      <c r="K176" s="91">
        <f>[48]LD!K30</f>
        <v>6.54E-2</v>
      </c>
      <c r="L176" s="91">
        <f>[48]LD!L30</f>
        <v>6.6500000000000004E-2</v>
      </c>
      <c r="M176" s="91">
        <f>[48]LD!M30</f>
        <v>5.9900000000000002E-2</v>
      </c>
      <c r="N176" s="91">
        <f>[48]LD!N30</f>
        <v>4.7800000000000002E-2</v>
      </c>
      <c r="O176" s="91">
        <f>[48]LD!O30</f>
        <v>7.9100000000000004E-2</v>
      </c>
      <c r="P176" s="91">
        <f>[48]LD!P30</f>
        <v>0</v>
      </c>
    </row>
    <row r="177" spans="1:16" ht="14.4" x14ac:dyDescent="0.3">
      <c r="A177" s="95" t="s">
        <v>39</v>
      </c>
      <c r="B177" s="89"/>
      <c r="C177" s="87" t="s">
        <v>19</v>
      </c>
      <c r="D177" s="91">
        <v>0</v>
      </c>
      <c r="E177" s="91">
        <v>0</v>
      </c>
      <c r="F177" s="91">
        <v>0</v>
      </c>
      <c r="G177" s="91">
        <v>0</v>
      </c>
      <c r="H177" s="91">
        <v>0</v>
      </c>
      <c r="I177" s="91">
        <v>0</v>
      </c>
      <c r="J177" s="91">
        <v>0</v>
      </c>
      <c r="K177" s="91">
        <v>0</v>
      </c>
      <c r="L177" s="91">
        <v>0</v>
      </c>
      <c r="M177" s="91">
        <v>0</v>
      </c>
      <c r="N177" s="91">
        <v>0</v>
      </c>
      <c r="O177" s="91">
        <v>0</v>
      </c>
      <c r="P177" s="91">
        <v>0</v>
      </c>
    </row>
    <row r="178" spans="1:16" ht="14.4" x14ac:dyDescent="0.3">
      <c r="A178" s="96" t="s">
        <v>40</v>
      </c>
      <c r="B178" s="89"/>
      <c r="C178" s="87" t="s">
        <v>19</v>
      </c>
      <c r="D178" s="91">
        <f>'[48]SR CIT. SUBSIDY'!C108</f>
        <v>1E-4</v>
      </c>
      <c r="E178" s="91">
        <f>'[48]SR CIT. SUBSIDY'!D108</f>
        <v>1E-4</v>
      </c>
      <c r="F178" s="91">
        <f>'[48]SR CIT. SUBSIDY'!E108</f>
        <v>0</v>
      </c>
      <c r="G178" s="91">
        <f>'[48]SR CIT. SUBSIDY'!F108</f>
        <v>0</v>
      </c>
      <c r="H178" s="91">
        <f>'[48]SR CIT. SUBSIDY'!G108</f>
        <v>1E-4</v>
      </c>
      <c r="I178" s="91">
        <f>'[48]SR CIT. SUBSIDY'!H108</f>
        <v>1E-4</v>
      </c>
      <c r="J178" s="91">
        <f>'[48]SR CIT. SUBSIDY'!I108</f>
        <v>1E-4</v>
      </c>
      <c r="K178" s="91">
        <f>'[48]SR CIT. SUBSIDY'!J108</f>
        <v>1E-4</v>
      </c>
      <c r="L178" s="91">
        <f>'[48]SR CIT. SUBSIDY'!K108</f>
        <v>1E-4</v>
      </c>
      <c r="M178" s="91">
        <f>'[48]SR CIT. SUBSIDY'!L108</f>
        <v>1E-4</v>
      </c>
      <c r="N178" s="91">
        <f>'[48]SR CIT. SUBSIDY'!M108</f>
        <v>1E-4</v>
      </c>
      <c r="O178" s="91">
        <f>'[48]SR CIT. SUBSIDY'!N108</f>
        <v>1E-4</v>
      </c>
      <c r="P178" s="91">
        <f>'[48]SR CIT. SUBSIDY'!O108</f>
        <v>0</v>
      </c>
    </row>
    <row r="179" spans="1:16" ht="14.4" x14ac:dyDescent="0.3">
      <c r="A179" s="96" t="s">
        <v>41</v>
      </c>
      <c r="B179" s="89"/>
      <c r="C179" s="87" t="s">
        <v>19</v>
      </c>
      <c r="D179" s="91">
        <v>0</v>
      </c>
      <c r="E179" s="91">
        <v>0</v>
      </c>
      <c r="F179" s="91">
        <v>0</v>
      </c>
      <c r="G179" s="91">
        <v>0</v>
      </c>
      <c r="H179" s="91">
        <v>0</v>
      </c>
      <c r="I179" s="91">
        <v>0</v>
      </c>
      <c r="J179" s="91">
        <v>0</v>
      </c>
      <c r="K179" s="91">
        <v>0</v>
      </c>
      <c r="L179" s="91">
        <v>0</v>
      </c>
      <c r="M179" s="91">
        <v>0</v>
      </c>
      <c r="N179" s="91">
        <v>0</v>
      </c>
      <c r="O179" s="91">
        <v>0</v>
      </c>
      <c r="P179" s="91">
        <v>0</v>
      </c>
    </row>
    <row r="180" spans="1:16" ht="14.4" x14ac:dyDescent="0.3">
      <c r="A180" s="85" t="s">
        <v>42</v>
      </c>
      <c r="B180" s="85"/>
      <c r="C180" s="87"/>
      <c r="D180" s="91"/>
      <c r="E180" s="91"/>
      <c r="F180" s="91"/>
      <c r="G180" s="91"/>
      <c r="H180" s="91"/>
      <c r="I180" s="91"/>
      <c r="J180" s="91"/>
      <c r="K180" s="91"/>
      <c r="L180" s="91"/>
      <c r="M180" s="91"/>
      <c r="N180" s="91"/>
      <c r="O180" s="91"/>
      <c r="P180" s="91"/>
    </row>
    <row r="181" spans="1:16" ht="14.4" x14ac:dyDescent="0.3">
      <c r="A181" s="85" t="s">
        <v>43</v>
      </c>
      <c r="B181" s="85"/>
      <c r="C181" s="87" t="s">
        <v>44</v>
      </c>
      <c r="D181" s="91"/>
      <c r="E181" s="91"/>
      <c r="F181" s="91"/>
      <c r="G181" s="91"/>
      <c r="H181" s="91"/>
      <c r="I181" s="91"/>
      <c r="J181" s="91"/>
      <c r="K181" s="91"/>
      <c r="L181" s="91"/>
      <c r="M181" s="91"/>
      <c r="N181" s="91"/>
      <c r="O181" s="91"/>
      <c r="P181" s="91"/>
    </row>
    <row r="182" spans="1:16" ht="14.4" x14ac:dyDescent="0.3">
      <c r="A182" s="85" t="s">
        <v>45</v>
      </c>
      <c r="B182" s="85"/>
      <c r="C182" s="87"/>
      <c r="D182" s="91"/>
      <c r="E182" s="91"/>
      <c r="F182" s="91"/>
      <c r="G182" s="91"/>
      <c r="H182" s="91"/>
      <c r="I182" s="91"/>
      <c r="J182" s="91"/>
      <c r="K182" s="91"/>
      <c r="L182" s="91"/>
      <c r="M182" s="91"/>
      <c r="N182" s="91"/>
      <c r="O182" s="91"/>
      <c r="P182" s="91"/>
    </row>
    <row r="183" spans="1:16" ht="14.4" x14ac:dyDescent="0.3">
      <c r="A183" s="85" t="s">
        <v>46</v>
      </c>
      <c r="B183" s="85"/>
      <c r="C183" s="87" t="s">
        <v>19</v>
      </c>
      <c r="D183" s="91">
        <v>0</v>
      </c>
      <c r="E183" s="91">
        <v>0</v>
      </c>
      <c r="F183" s="91">
        <v>0</v>
      </c>
      <c r="G183" s="91">
        <v>0</v>
      </c>
      <c r="H183" s="91">
        <v>0</v>
      </c>
      <c r="I183" s="91">
        <v>0</v>
      </c>
      <c r="J183" s="91">
        <v>0</v>
      </c>
      <c r="K183" s="91">
        <v>0</v>
      </c>
      <c r="L183" s="91">
        <v>0</v>
      </c>
      <c r="M183" s="91">
        <v>0</v>
      </c>
      <c r="N183" s="91">
        <v>0</v>
      </c>
      <c r="O183" s="91">
        <v>0</v>
      </c>
      <c r="P183" s="91">
        <v>0</v>
      </c>
    </row>
    <row r="184" spans="1:16" ht="14.4" x14ac:dyDescent="0.3">
      <c r="A184" s="85" t="s">
        <v>47</v>
      </c>
      <c r="B184" s="85"/>
      <c r="C184" s="87"/>
      <c r="D184" s="91"/>
      <c r="E184" s="91"/>
      <c r="F184" s="91"/>
      <c r="G184" s="91"/>
      <c r="H184" s="91"/>
      <c r="I184" s="91"/>
      <c r="J184" s="91"/>
      <c r="K184" s="91"/>
      <c r="L184" s="91"/>
      <c r="M184" s="91"/>
      <c r="N184" s="91"/>
      <c r="O184" s="91"/>
      <c r="P184" s="91"/>
    </row>
    <row r="185" spans="1:16" ht="14.4" x14ac:dyDescent="0.3">
      <c r="A185" s="89" t="s">
        <v>48</v>
      </c>
      <c r="B185" s="89"/>
      <c r="C185" s="87" t="s">
        <v>19</v>
      </c>
      <c r="D185" s="91">
        <f t="shared" ref="D185:P189" si="10">D143</f>
        <v>0.15609999999999999</v>
      </c>
      <c r="E185" s="91">
        <f t="shared" si="10"/>
        <v>0.15609999999999999</v>
      </c>
      <c r="F185" s="91">
        <f t="shared" si="10"/>
        <v>0.15609999999999999</v>
      </c>
      <c r="G185" s="91">
        <f t="shared" si="10"/>
        <v>0.15609999999999999</v>
      </c>
      <c r="H185" s="91">
        <f t="shared" si="10"/>
        <v>0.15609999999999999</v>
      </c>
      <c r="I185" s="91">
        <f t="shared" si="10"/>
        <v>0.15609999999999999</v>
      </c>
      <c r="J185" s="91">
        <f t="shared" si="10"/>
        <v>0.15609999999999999</v>
      </c>
      <c r="K185" s="91">
        <f t="shared" si="10"/>
        <v>0.15609999999999999</v>
      </c>
      <c r="L185" s="91">
        <f t="shared" si="10"/>
        <v>0.15609999999999999</v>
      </c>
      <c r="M185" s="91">
        <f t="shared" si="10"/>
        <v>0.15609999999999999</v>
      </c>
      <c r="N185" s="91">
        <f t="shared" si="10"/>
        <v>0.15609999999999999</v>
      </c>
      <c r="O185" s="91">
        <f t="shared" si="10"/>
        <v>0.15609999999999999</v>
      </c>
      <c r="P185" s="91">
        <f t="shared" si="10"/>
        <v>0.15609999999999999</v>
      </c>
    </row>
    <row r="186" spans="1:16" ht="14.4" x14ac:dyDescent="0.3">
      <c r="A186" s="89" t="s">
        <v>49</v>
      </c>
      <c r="B186" s="89"/>
      <c r="C186" s="87" t="s">
        <v>19</v>
      </c>
      <c r="D186" s="91">
        <f t="shared" si="10"/>
        <v>2.5000000000000001E-3</v>
      </c>
      <c r="E186" s="91">
        <f t="shared" si="10"/>
        <v>2.5000000000000001E-3</v>
      </c>
      <c r="F186" s="91">
        <f t="shared" si="10"/>
        <v>2.5000000000000001E-3</v>
      </c>
      <c r="G186" s="91">
        <f t="shared" si="10"/>
        <v>2.5000000000000001E-3</v>
      </c>
      <c r="H186" s="91">
        <f t="shared" si="10"/>
        <v>2.5000000000000001E-3</v>
      </c>
      <c r="I186" s="91">
        <f t="shared" si="10"/>
        <v>0</v>
      </c>
      <c r="J186" s="91">
        <f t="shared" si="10"/>
        <v>0</v>
      </c>
      <c r="K186" s="91">
        <f t="shared" si="10"/>
        <v>0</v>
      </c>
      <c r="L186" s="91">
        <f t="shared" si="10"/>
        <v>0</v>
      </c>
      <c r="M186" s="91">
        <f t="shared" si="10"/>
        <v>0</v>
      </c>
      <c r="N186" s="91">
        <f t="shared" si="10"/>
        <v>0</v>
      </c>
      <c r="O186" s="91">
        <f t="shared" si="10"/>
        <v>0</v>
      </c>
      <c r="P186" s="91">
        <f t="shared" si="10"/>
        <v>0</v>
      </c>
    </row>
    <row r="187" spans="1:16" ht="14.4" x14ac:dyDescent="0.3">
      <c r="A187" s="89" t="s">
        <v>111</v>
      </c>
      <c r="B187" s="89"/>
      <c r="C187" s="87" t="s">
        <v>19</v>
      </c>
      <c r="D187" s="91">
        <f t="shared" si="10"/>
        <v>5.4300000000000001E-2</v>
      </c>
      <c r="E187" s="91">
        <f t="shared" si="10"/>
        <v>0</v>
      </c>
      <c r="F187" s="91">
        <f t="shared" si="10"/>
        <v>-0.14530000000000001</v>
      </c>
      <c r="G187" s="91">
        <f t="shared" si="10"/>
        <v>0</v>
      </c>
      <c r="H187" s="91">
        <f t="shared" si="10"/>
        <v>0</v>
      </c>
      <c r="I187" s="91">
        <f t="shared" si="10"/>
        <v>0</v>
      </c>
      <c r="J187" s="91">
        <f t="shared" si="10"/>
        <v>0</v>
      </c>
      <c r="K187" s="91">
        <f t="shared" si="10"/>
        <v>0</v>
      </c>
      <c r="L187" s="91">
        <f t="shared" si="10"/>
        <v>0</v>
      </c>
      <c r="M187" s="91">
        <f t="shared" si="10"/>
        <v>0</v>
      </c>
      <c r="N187" s="91">
        <f t="shared" si="10"/>
        <v>0</v>
      </c>
      <c r="O187" s="91">
        <f t="shared" si="10"/>
        <v>0</v>
      </c>
      <c r="P187" s="91">
        <f t="shared" si="10"/>
        <v>0</v>
      </c>
    </row>
    <row r="188" spans="1:16" ht="14.4" x14ac:dyDescent="0.3">
      <c r="A188" s="89" t="s">
        <v>112</v>
      </c>
      <c r="B188" s="89"/>
      <c r="C188" s="87" t="s">
        <v>19</v>
      </c>
      <c r="D188" s="91">
        <f t="shared" si="10"/>
        <v>4.2799999999999998E-2</v>
      </c>
      <c r="E188" s="91">
        <f t="shared" si="10"/>
        <v>4.2799999999999998E-2</v>
      </c>
      <c r="F188" s="91">
        <f t="shared" si="10"/>
        <v>4.2799999999999998E-2</v>
      </c>
      <c r="G188" s="91">
        <f t="shared" si="10"/>
        <v>4.2799999999999998E-2</v>
      </c>
      <c r="H188" s="91">
        <f t="shared" si="10"/>
        <v>4.2799999999999998E-2</v>
      </c>
      <c r="I188" s="91">
        <f t="shared" si="10"/>
        <v>4.2799999999999998E-2</v>
      </c>
      <c r="J188" s="91">
        <f t="shared" si="10"/>
        <v>4.2799999999999998E-2</v>
      </c>
      <c r="K188" s="91">
        <f t="shared" si="10"/>
        <v>4.2799999999999998E-2</v>
      </c>
      <c r="L188" s="91">
        <f t="shared" si="10"/>
        <v>4.2799999999999998E-2</v>
      </c>
      <c r="M188" s="91">
        <f t="shared" si="10"/>
        <v>4.2799999999999998E-2</v>
      </c>
      <c r="N188" s="91">
        <f t="shared" si="10"/>
        <v>4.2799999999999998E-2</v>
      </c>
      <c r="O188" s="91">
        <f t="shared" si="10"/>
        <v>4.2799999999999998E-2</v>
      </c>
      <c r="P188" s="91">
        <f t="shared" si="10"/>
        <v>4.2799999999999998E-2</v>
      </c>
    </row>
    <row r="189" spans="1:16" ht="14.4" x14ac:dyDescent="0.3">
      <c r="A189" s="85" t="s">
        <v>51</v>
      </c>
      <c r="B189" s="85"/>
      <c r="C189" s="87" t="s">
        <v>19</v>
      </c>
      <c r="D189" s="91">
        <f t="shared" si="10"/>
        <v>0.22259999999999999</v>
      </c>
      <c r="E189" s="91">
        <f t="shared" si="10"/>
        <v>4.9500000000000002E-2</v>
      </c>
      <c r="F189" s="91">
        <f t="shared" si="10"/>
        <v>4.9500000000000002E-2</v>
      </c>
      <c r="G189" s="91">
        <f t="shared" si="10"/>
        <v>0</v>
      </c>
      <c r="H189" s="91">
        <f t="shared" si="10"/>
        <v>0</v>
      </c>
      <c r="I189" s="91">
        <f t="shared" si="10"/>
        <v>4.9500000000000002E-2</v>
      </c>
      <c r="J189" s="91">
        <f t="shared" si="10"/>
        <v>4.9500000000000002E-2</v>
      </c>
      <c r="K189" s="91">
        <f t="shared" si="10"/>
        <v>4.9500000000000002E-2</v>
      </c>
      <c r="L189" s="91">
        <f t="shared" si="10"/>
        <v>4.9500000000000002E-2</v>
      </c>
      <c r="M189" s="91">
        <f t="shared" si="10"/>
        <v>4.9500000000000002E-2</v>
      </c>
      <c r="N189" s="91">
        <f t="shared" si="10"/>
        <v>4.9500000000000002E-2</v>
      </c>
      <c r="O189" s="91">
        <f t="shared" si="10"/>
        <v>4.9500000000000002E-2</v>
      </c>
      <c r="P189" s="91">
        <f t="shared" si="10"/>
        <v>4.9500000000000002E-2</v>
      </c>
    </row>
    <row r="190" spans="1:16" ht="14.4" x14ac:dyDescent="0.3">
      <c r="A190" s="85" t="s">
        <v>52</v>
      </c>
      <c r="B190" s="85"/>
      <c r="C190" s="97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</row>
    <row r="191" spans="1:16" ht="14.4" x14ac:dyDescent="0.3">
      <c r="A191" s="89" t="s">
        <v>53</v>
      </c>
      <c r="B191" s="89"/>
      <c r="C191" s="87" t="s">
        <v>44</v>
      </c>
      <c r="D191" s="30">
        <f t="shared" ref="D191:P195" si="11">D149</f>
        <v>0.1094</v>
      </c>
      <c r="E191" s="30">
        <f t="shared" si="11"/>
        <v>0.1108</v>
      </c>
      <c r="F191" s="30">
        <f t="shared" si="11"/>
        <v>0.11159999999999999</v>
      </c>
      <c r="G191" s="30">
        <f t="shared" si="11"/>
        <v>0.11550000000000001</v>
      </c>
      <c r="H191" s="30">
        <f t="shared" si="11"/>
        <v>0.11890000000000001</v>
      </c>
      <c r="I191" s="30">
        <f t="shared" si="11"/>
        <v>0.11890000000000001</v>
      </c>
      <c r="J191" s="30">
        <f t="shared" si="11"/>
        <v>0.1142</v>
      </c>
      <c r="K191" s="30">
        <f t="shared" si="11"/>
        <v>0.1143</v>
      </c>
      <c r="L191" s="30">
        <f t="shared" si="11"/>
        <v>0.11559999999999999</v>
      </c>
      <c r="M191" s="30">
        <f t="shared" si="11"/>
        <v>0.11119999999999999</v>
      </c>
      <c r="N191" s="30">
        <f t="shared" si="11"/>
        <v>0.1148</v>
      </c>
      <c r="O191" s="30">
        <f t="shared" si="11"/>
        <v>0.1158</v>
      </c>
      <c r="P191" s="30" t="e">
        <f t="shared" si="11"/>
        <v>#DIV/0!</v>
      </c>
    </row>
    <row r="192" spans="1:16" ht="14.4" x14ac:dyDescent="0.3">
      <c r="A192" s="89" t="s">
        <v>54</v>
      </c>
      <c r="B192" s="89"/>
      <c r="C192" s="87" t="s">
        <v>44</v>
      </c>
      <c r="D192" s="30">
        <f t="shared" si="11"/>
        <v>0.1011</v>
      </c>
      <c r="E192" s="30">
        <f t="shared" si="11"/>
        <v>0.1071</v>
      </c>
      <c r="F192" s="30">
        <f t="shared" si="11"/>
        <v>0.1144</v>
      </c>
      <c r="G192" s="30">
        <f t="shared" si="11"/>
        <v>0.11749999999999999</v>
      </c>
      <c r="H192" s="30">
        <f t="shared" si="11"/>
        <v>0.1123</v>
      </c>
      <c r="I192" s="30">
        <f t="shared" si="11"/>
        <v>0.11509999999999999</v>
      </c>
      <c r="J192" s="30">
        <f t="shared" si="11"/>
        <v>9.9299999999999999E-2</v>
      </c>
      <c r="K192" s="30">
        <f t="shared" si="11"/>
        <v>0.1032</v>
      </c>
      <c r="L192" s="30">
        <f t="shared" si="11"/>
        <v>0.1017</v>
      </c>
      <c r="M192" s="30">
        <f t="shared" si="11"/>
        <v>0.1055</v>
      </c>
      <c r="N192" s="30">
        <f t="shared" si="11"/>
        <v>0.10100000000000001</v>
      </c>
      <c r="O192" s="30">
        <f t="shared" si="11"/>
        <v>9.6699999999999994E-2</v>
      </c>
      <c r="P192" s="30" t="e">
        <f t="shared" si="11"/>
        <v>#DIV/0!</v>
      </c>
    </row>
    <row r="193" spans="1:16" ht="14.4" x14ac:dyDescent="0.3">
      <c r="A193" s="89" t="s">
        <v>55</v>
      </c>
      <c r="B193" s="89"/>
      <c r="C193" s="87" t="s">
        <v>44</v>
      </c>
      <c r="D193" s="30">
        <f t="shared" si="11"/>
        <v>0.1084</v>
      </c>
      <c r="E193" s="30">
        <f t="shared" si="11"/>
        <v>0.1103</v>
      </c>
      <c r="F193" s="30">
        <f t="shared" si="11"/>
        <v>0.1105</v>
      </c>
      <c r="G193" s="30">
        <f t="shared" si="11"/>
        <v>0.1143</v>
      </c>
      <c r="H193" s="30">
        <f t="shared" si="11"/>
        <v>0.1162</v>
      </c>
      <c r="I193" s="30">
        <f t="shared" si="11"/>
        <v>0.1166</v>
      </c>
      <c r="J193" s="30">
        <f t="shared" si="11"/>
        <v>0.1118</v>
      </c>
      <c r="K193" s="30">
        <f t="shared" si="11"/>
        <v>0.11310000000000001</v>
      </c>
      <c r="L193" s="30">
        <f t="shared" si="11"/>
        <v>0.1134</v>
      </c>
      <c r="M193" s="30">
        <f t="shared" si="11"/>
        <v>0.1104</v>
      </c>
      <c r="N193" s="30">
        <f t="shared" si="11"/>
        <v>0.11260000000000001</v>
      </c>
      <c r="O193" s="30">
        <f t="shared" si="11"/>
        <v>0.1128</v>
      </c>
      <c r="P193" s="30" t="e">
        <f t="shared" si="11"/>
        <v>#DIV/0!</v>
      </c>
    </row>
    <row r="194" spans="1:16" ht="14.4" x14ac:dyDescent="0.3">
      <c r="A194" s="89" t="s">
        <v>56</v>
      </c>
      <c r="B194" s="89"/>
      <c r="C194" s="87" t="s">
        <v>44</v>
      </c>
      <c r="D194" s="30">
        <f t="shared" si="11"/>
        <v>0.12</v>
      </c>
      <c r="E194" s="30">
        <f t="shared" si="11"/>
        <v>0.12</v>
      </c>
      <c r="F194" s="30">
        <f t="shared" si="11"/>
        <v>0.12</v>
      </c>
      <c r="G194" s="30">
        <f t="shared" si="11"/>
        <v>0.12</v>
      </c>
      <c r="H194" s="30">
        <f t="shared" si="11"/>
        <v>0.12</v>
      </c>
      <c r="I194" s="30">
        <f t="shared" si="11"/>
        <v>0.12</v>
      </c>
      <c r="J194" s="30">
        <f t="shared" si="11"/>
        <v>0.12</v>
      </c>
      <c r="K194" s="30">
        <f t="shared" si="11"/>
        <v>0.12</v>
      </c>
      <c r="L194" s="30">
        <f t="shared" si="11"/>
        <v>0.12</v>
      </c>
      <c r="M194" s="30">
        <f t="shared" si="11"/>
        <v>0.12</v>
      </c>
      <c r="N194" s="30">
        <f t="shared" si="11"/>
        <v>0.12</v>
      </c>
      <c r="O194" s="30">
        <f t="shared" si="11"/>
        <v>0.12</v>
      </c>
      <c r="P194" s="30">
        <f t="shared" si="11"/>
        <v>0.12</v>
      </c>
    </row>
    <row r="195" spans="1:16" ht="14.4" x14ac:dyDescent="0.3">
      <c r="A195" s="89" t="s">
        <v>57</v>
      </c>
      <c r="B195" s="89"/>
      <c r="C195" s="87" t="s">
        <v>44</v>
      </c>
      <c r="D195" s="30">
        <f t="shared" si="11"/>
        <v>0.12</v>
      </c>
      <c r="E195" s="30">
        <f t="shared" si="11"/>
        <v>0.12</v>
      </c>
      <c r="F195" s="30">
        <f t="shared" si="11"/>
        <v>0.12</v>
      </c>
      <c r="G195" s="30">
        <f t="shared" si="11"/>
        <v>0.12</v>
      </c>
      <c r="H195" s="30">
        <f t="shared" si="11"/>
        <v>0.12</v>
      </c>
      <c r="I195" s="30">
        <f t="shared" si="11"/>
        <v>0.12</v>
      </c>
      <c r="J195" s="30">
        <f t="shared" si="11"/>
        <v>0.12</v>
      </c>
      <c r="K195" s="30">
        <f t="shared" si="11"/>
        <v>0.12</v>
      </c>
      <c r="L195" s="30">
        <f t="shared" si="11"/>
        <v>0.12</v>
      </c>
      <c r="M195" s="30">
        <f t="shared" si="11"/>
        <v>0.12</v>
      </c>
      <c r="N195" s="30">
        <f t="shared" si="11"/>
        <v>0.12</v>
      </c>
      <c r="O195" s="30">
        <f t="shared" si="11"/>
        <v>0.12</v>
      </c>
      <c r="P195" s="30">
        <f t="shared" si="11"/>
        <v>0.12</v>
      </c>
    </row>
    <row r="196" spans="1:16" ht="14.4" x14ac:dyDescent="0.3">
      <c r="A196" s="116"/>
      <c r="B196" s="116"/>
      <c r="C196" s="117"/>
      <c r="D196" s="118"/>
      <c r="E196" s="118"/>
      <c r="F196" s="118"/>
      <c r="G196" s="118"/>
      <c r="H196" s="118"/>
      <c r="I196" s="118"/>
      <c r="J196" s="118"/>
      <c r="K196" s="118"/>
      <c r="L196" s="118"/>
      <c r="M196" s="118"/>
      <c r="N196" s="118"/>
      <c r="O196" s="118"/>
      <c r="P196" s="118"/>
    </row>
    <row r="197" spans="1:16" x14ac:dyDescent="0.3">
      <c r="A197" s="77" t="s">
        <v>58</v>
      </c>
    </row>
    <row r="198" spans="1:16" ht="14.4" x14ac:dyDescent="0.3">
      <c r="D198" s="119"/>
      <c r="E198" s="119"/>
      <c r="F198" s="119"/>
      <c r="G198" s="119"/>
      <c r="H198" s="119"/>
      <c r="I198" s="119"/>
      <c r="J198" s="119"/>
      <c r="K198" s="119"/>
      <c r="L198" s="119"/>
      <c r="M198" s="119"/>
      <c r="N198" s="119"/>
      <c r="O198" s="119"/>
      <c r="P198" s="119"/>
    </row>
    <row r="199" spans="1:16" ht="18" x14ac:dyDescent="0.35">
      <c r="A199" s="82" t="str">
        <f>'[48]Statistical data'!A186</f>
        <v xml:space="preserve">  General Service B</v>
      </c>
      <c r="B199" s="82"/>
      <c r="C199" s="77"/>
      <c r="D199" s="83"/>
      <c r="E199" s="83"/>
      <c r="F199" s="83"/>
      <c r="G199" s="83"/>
      <c r="H199" s="83"/>
      <c r="I199" s="83"/>
      <c r="J199" s="83"/>
      <c r="K199" s="83"/>
      <c r="L199" s="83"/>
      <c r="M199" s="83"/>
      <c r="N199" s="83"/>
      <c r="O199" s="83"/>
      <c r="P199" s="83"/>
    </row>
    <row r="200" spans="1:16" s="84" customFormat="1" ht="14.4" x14ac:dyDescent="0.3">
      <c r="A200" s="12" t="s">
        <v>3</v>
      </c>
      <c r="B200" s="12"/>
      <c r="C200" s="12" t="s">
        <v>4</v>
      </c>
      <c r="D200" s="73">
        <f t="shared" ref="D200:P200" si="12">D158</f>
        <v>43831</v>
      </c>
      <c r="E200" s="73">
        <f t="shared" si="12"/>
        <v>43862</v>
      </c>
      <c r="F200" s="73">
        <f t="shared" si="12"/>
        <v>43891</v>
      </c>
      <c r="G200" s="73">
        <f t="shared" si="12"/>
        <v>43922</v>
      </c>
      <c r="H200" s="73">
        <f t="shared" si="12"/>
        <v>43952</v>
      </c>
      <c r="I200" s="73">
        <f t="shared" si="12"/>
        <v>43983</v>
      </c>
      <c r="J200" s="73">
        <f t="shared" si="12"/>
        <v>44013</v>
      </c>
      <c r="K200" s="73">
        <f t="shared" si="12"/>
        <v>44044</v>
      </c>
      <c r="L200" s="73">
        <f t="shared" si="12"/>
        <v>44075</v>
      </c>
      <c r="M200" s="73">
        <f t="shared" si="12"/>
        <v>44105</v>
      </c>
      <c r="N200" s="73">
        <f t="shared" si="12"/>
        <v>44136</v>
      </c>
      <c r="O200" s="73">
        <f t="shared" si="12"/>
        <v>44166</v>
      </c>
      <c r="P200" s="73">
        <f t="shared" si="12"/>
        <v>44197</v>
      </c>
    </row>
    <row r="201" spans="1:16" ht="14.4" x14ac:dyDescent="0.3">
      <c r="A201" s="85" t="s">
        <v>17</v>
      </c>
      <c r="B201" s="86"/>
      <c r="C201" s="87"/>
      <c r="D201" s="88"/>
      <c r="E201" s="88"/>
      <c r="F201" s="88"/>
      <c r="G201" s="88"/>
      <c r="H201" s="88"/>
      <c r="I201" s="88"/>
      <c r="J201" s="88"/>
      <c r="K201" s="88"/>
      <c r="L201" s="88"/>
      <c r="M201" s="88"/>
      <c r="N201" s="88"/>
      <c r="O201" s="88"/>
      <c r="P201" s="88"/>
    </row>
    <row r="202" spans="1:16" ht="14.4" x14ac:dyDescent="0.3">
      <c r="A202" s="95" t="s">
        <v>68</v>
      </c>
      <c r="B202" s="95"/>
      <c r="C202" s="87" t="s">
        <v>19</v>
      </c>
      <c r="D202" s="91">
        <f>[48]GR!D23</f>
        <v>4.9039000000000001</v>
      </c>
      <c r="E202" s="91">
        <f>[48]GR!E23</f>
        <v>4.5090000000000003</v>
      </c>
      <c r="F202" s="91">
        <f>[48]GR!F23</f>
        <v>4.6631999999999998</v>
      </c>
      <c r="G202" s="91">
        <f>[48]GR!G23</f>
        <v>4.6384999999999996</v>
      </c>
      <c r="H202" s="91">
        <f>[48]GR!H23</f>
        <v>4.3848000000000003</v>
      </c>
      <c r="I202" s="91">
        <f>[48]GR!I23</f>
        <v>4.3413000000000004</v>
      </c>
      <c r="J202" s="91">
        <f>[48]GR!J23</f>
        <v>4.3343999999999996</v>
      </c>
      <c r="K202" s="91">
        <f>[48]GR!K23</f>
        <v>4.1241000000000003</v>
      </c>
      <c r="L202" s="91">
        <f>[48]GR!L23</f>
        <v>4.0860000000000003</v>
      </c>
      <c r="M202" s="91">
        <f>[48]GR!M23</f>
        <v>4.2233000000000001</v>
      </c>
      <c r="N202" s="91">
        <f>[48]GR!N23</f>
        <v>4.2018000000000004</v>
      </c>
      <c r="O202" s="91">
        <f>[48]GR!O23</f>
        <v>4.1516000000000002</v>
      </c>
      <c r="P202" s="91" t="e">
        <f>[48]GR!P23</f>
        <v>#DIV/0!</v>
      </c>
    </row>
    <row r="203" spans="1:16" ht="14.4" x14ac:dyDescent="0.3">
      <c r="A203" s="95" t="s">
        <v>69</v>
      </c>
      <c r="B203" s="95"/>
      <c r="C203" s="87"/>
      <c r="D203" s="106"/>
      <c r="E203" s="106"/>
      <c r="F203" s="106"/>
      <c r="G203" s="106"/>
      <c r="H203" s="106"/>
      <c r="I203" s="106"/>
      <c r="J203" s="106"/>
      <c r="K203" s="106"/>
      <c r="L203" s="106"/>
      <c r="M203" s="106"/>
      <c r="N203" s="106"/>
      <c r="O203" s="106"/>
      <c r="P203" s="106"/>
    </row>
    <row r="204" spans="1:16" ht="14.4" x14ac:dyDescent="0.3">
      <c r="A204" s="95" t="s">
        <v>113</v>
      </c>
      <c r="B204" s="95"/>
      <c r="C204" s="87" t="s">
        <v>19</v>
      </c>
      <c r="D204" s="91">
        <f>7.4854</f>
        <v>7.4854000000000003</v>
      </c>
      <c r="E204" s="91">
        <v>7.4854000000000003</v>
      </c>
      <c r="F204" s="91">
        <v>7.4854000000000003</v>
      </c>
      <c r="G204" s="91">
        <v>7.4854000000000003</v>
      </c>
      <c r="H204" s="91">
        <v>7.4854000000000003</v>
      </c>
      <c r="I204" s="91">
        <v>7.4854000000000003</v>
      </c>
      <c r="J204" s="91">
        <v>7.2778999999999998</v>
      </c>
      <c r="K204" s="91">
        <v>7.2778999999999998</v>
      </c>
      <c r="L204" s="91">
        <v>7.2778999999999998</v>
      </c>
      <c r="M204" s="91">
        <v>7.2778999999999998</v>
      </c>
      <c r="N204" s="91">
        <v>7.2778999999999998</v>
      </c>
      <c r="O204" s="91">
        <v>7.2778999999999998</v>
      </c>
      <c r="P204" s="91">
        <v>7.4854000000000003</v>
      </c>
    </row>
    <row r="205" spans="1:16" ht="14.4" x14ac:dyDescent="0.3">
      <c r="A205" s="95" t="s">
        <v>114</v>
      </c>
      <c r="B205" s="95"/>
      <c r="C205" s="87" t="s">
        <v>19</v>
      </c>
      <c r="D205" s="91">
        <f>3.5461</f>
        <v>3.5461</v>
      </c>
      <c r="E205" s="91">
        <f>3.5461</f>
        <v>3.5461</v>
      </c>
      <c r="F205" s="91">
        <f>3.5461</f>
        <v>3.5461</v>
      </c>
      <c r="G205" s="91">
        <f t="shared" ref="G205:O205" si="13">3.5461</f>
        <v>3.5461</v>
      </c>
      <c r="H205" s="91">
        <f t="shared" si="13"/>
        <v>3.5461</v>
      </c>
      <c r="I205" s="91">
        <f t="shared" si="13"/>
        <v>3.5461</v>
      </c>
      <c r="J205" s="91">
        <f t="shared" si="13"/>
        <v>3.5461</v>
      </c>
      <c r="K205" s="91">
        <f t="shared" si="13"/>
        <v>3.5461</v>
      </c>
      <c r="L205" s="91">
        <f t="shared" si="13"/>
        <v>3.5461</v>
      </c>
      <c r="M205" s="91">
        <f t="shared" si="13"/>
        <v>3.5461</v>
      </c>
      <c r="N205" s="91">
        <f t="shared" si="13"/>
        <v>3.5461</v>
      </c>
      <c r="O205" s="91">
        <f t="shared" si="13"/>
        <v>3.5461</v>
      </c>
      <c r="P205" s="91">
        <v>3.5461</v>
      </c>
    </row>
    <row r="206" spans="1:16" ht="14.4" x14ac:dyDescent="0.3">
      <c r="A206" s="95" t="s">
        <v>115</v>
      </c>
      <c r="B206" s="95"/>
      <c r="C206" s="87" t="s">
        <v>19</v>
      </c>
      <c r="D206" s="91">
        <f t="shared" ref="D206:I206" si="14">+D55</f>
        <v>-0.80620000000000003</v>
      </c>
      <c r="E206" s="91">
        <f t="shared" si="14"/>
        <v>-1.1967000000000001</v>
      </c>
      <c r="F206" s="91">
        <f t="shared" si="14"/>
        <v>-1.0435000000000001</v>
      </c>
      <c r="G206" s="91">
        <f t="shared" si="14"/>
        <v>-1.0555000000000001</v>
      </c>
      <c r="H206" s="91">
        <f t="shared" si="14"/>
        <v>-1.2337</v>
      </c>
      <c r="I206" s="91">
        <f t="shared" si="14"/>
        <v>-1.3593999999999999</v>
      </c>
      <c r="J206" s="91">
        <f>+J55</f>
        <v>-1.2383</v>
      </c>
      <c r="K206" s="91">
        <f>+K55</f>
        <v>-1.4530000000000001</v>
      </c>
      <c r="L206" s="91">
        <f t="shared" ref="L206:P206" si="15">+L55</f>
        <v>-1.4926999999999999</v>
      </c>
      <c r="M206" s="91">
        <f t="shared" si="15"/>
        <v>-1.3553999999999999</v>
      </c>
      <c r="N206" s="91">
        <f t="shared" si="15"/>
        <v>-1.3781000000000001</v>
      </c>
      <c r="O206" s="91">
        <f t="shared" si="15"/>
        <v>-1.4268000000000001</v>
      </c>
      <c r="P206" s="91">
        <f t="shared" si="15"/>
        <v>0</v>
      </c>
    </row>
    <row r="207" spans="1:16" ht="14.4" x14ac:dyDescent="0.3">
      <c r="A207" s="85" t="s">
        <v>20</v>
      </c>
      <c r="B207" s="86"/>
      <c r="C207" s="87"/>
      <c r="D207" s="92"/>
      <c r="E207" s="92"/>
      <c r="F207" s="92"/>
      <c r="G207" s="92"/>
      <c r="H207" s="92"/>
      <c r="I207" s="92"/>
      <c r="J207" s="92"/>
      <c r="K207" s="92"/>
      <c r="L207" s="92"/>
      <c r="M207" s="92"/>
      <c r="N207" s="92"/>
      <c r="O207" s="92"/>
      <c r="P207" s="92"/>
    </row>
    <row r="208" spans="1:16" ht="14.4" x14ac:dyDescent="0.3">
      <c r="A208" s="89" t="s">
        <v>21</v>
      </c>
      <c r="B208" s="90"/>
      <c r="C208" s="87" t="s">
        <v>19</v>
      </c>
      <c r="D208" s="91">
        <v>0</v>
      </c>
      <c r="E208" s="91">
        <v>0</v>
      </c>
      <c r="F208" s="91">
        <v>0</v>
      </c>
      <c r="G208" s="91">
        <v>0</v>
      </c>
      <c r="H208" s="91">
        <v>0</v>
      </c>
      <c r="I208" s="91">
        <v>0</v>
      </c>
      <c r="J208" s="91">
        <v>0</v>
      </c>
      <c r="K208" s="91">
        <v>0</v>
      </c>
      <c r="L208" s="91">
        <v>0</v>
      </c>
      <c r="M208" s="91">
        <v>0</v>
      </c>
      <c r="N208" s="91">
        <v>0</v>
      </c>
      <c r="O208" s="91">
        <v>0</v>
      </c>
      <c r="P208" s="91">
        <v>0</v>
      </c>
    </row>
    <row r="209" spans="1:16" ht="14.4" x14ac:dyDescent="0.3">
      <c r="A209" s="89" t="s">
        <v>22</v>
      </c>
      <c r="B209" s="90"/>
      <c r="C209" s="87" t="s">
        <v>23</v>
      </c>
      <c r="D209" s="91">
        <f>[48]TR!D46</f>
        <v>206.62</v>
      </c>
      <c r="E209" s="91">
        <f>[48]TR!E46</f>
        <v>224.68</v>
      </c>
      <c r="F209" s="91">
        <f>[48]TR!F46</f>
        <v>225.56960000000001</v>
      </c>
      <c r="G209" s="91">
        <f>[48]TR!G46</f>
        <v>256.21960000000001</v>
      </c>
      <c r="H209" s="91">
        <f>[48]TR!H46</f>
        <v>206.55959999999999</v>
      </c>
      <c r="I209" s="91">
        <f>[48]TR!I46</f>
        <v>251.1396</v>
      </c>
      <c r="J209" s="91">
        <f>[48]TR!J46</f>
        <v>231.30549999999999</v>
      </c>
      <c r="K209" s="91">
        <f>[48]TR!K46</f>
        <v>249.46</v>
      </c>
      <c r="L209" s="91">
        <f>[48]TR!L46</f>
        <v>240.79</v>
      </c>
      <c r="M209" s="91">
        <f>[48]TR!M46</f>
        <v>225.16</v>
      </c>
      <c r="N209" s="91">
        <f>[48]TR!N46</f>
        <v>242.12</v>
      </c>
      <c r="O209" s="91">
        <f>[48]TR!O46</f>
        <v>229.36</v>
      </c>
      <c r="P209" s="91">
        <f>[48]TR!P46</f>
        <v>0</v>
      </c>
    </row>
    <row r="210" spans="1:16" ht="14.4" x14ac:dyDescent="0.3">
      <c r="A210" s="85" t="s">
        <v>24</v>
      </c>
      <c r="B210" s="86"/>
      <c r="C210" s="87"/>
      <c r="D210" s="92"/>
      <c r="E210" s="92"/>
      <c r="F210" s="92"/>
      <c r="G210" s="92"/>
      <c r="H210" s="92"/>
      <c r="I210" s="92"/>
      <c r="J210" s="92"/>
      <c r="K210" s="92"/>
      <c r="L210" s="92"/>
      <c r="M210" s="92"/>
      <c r="N210" s="92"/>
      <c r="O210" s="92"/>
      <c r="P210" s="92"/>
    </row>
    <row r="211" spans="1:16" ht="14.4" x14ac:dyDescent="0.3">
      <c r="A211" s="89" t="s">
        <v>25</v>
      </c>
      <c r="B211" s="90"/>
      <c r="C211" s="87" t="s">
        <v>19</v>
      </c>
      <c r="D211" s="91">
        <f>[48]SLR!D77</f>
        <v>0.41470000000000001</v>
      </c>
      <c r="E211" s="91">
        <f>[48]SLR!E77</f>
        <v>0.38729999999999998</v>
      </c>
      <c r="F211" s="91">
        <f>[48]SLR!F77</f>
        <v>0.3528</v>
      </c>
      <c r="G211" s="91">
        <f>[48]SLR!G77</f>
        <v>0.35249999999999998</v>
      </c>
      <c r="H211" s="91">
        <f>[48]SLR!H77</f>
        <v>0.34720000000000001</v>
      </c>
      <c r="I211" s="91">
        <f>[48]SLR!I77</f>
        <v>0.35120000000000001</v>
      </c>
      <c r="J211" s="91">
        <f>[48]SLR!J77</f>
        <v>0.39100000000000001</v>
      </c>
      <c r="K211" s="91">
        <f>[48]SLR!K77</f>
        <v>0.41720000000000002</v>
      </c>
      <c r="L211" s="91">
        <f>[48]SLR!L77</f>
        <v>0.40579999999999999</v>
      </c>
      <c r="M211" s="91">
        <f>[48]SLR!M77</f>
        <v>0.40810000000000002</v>
      </c>
      <c r="N211" s="91">
        <f>[48]SLR!N77</f>
        <v>0.39</v>
      </c>
      <c r="O211" s="91">
        <f>[48]SLR!O77</f>
        <v>0.38090000000000002</v>
      </c>
      <c r="P211" s="91">
        <f>[48]SLR!P77</f>
        <v>0</v>
      </c>
    </row>
    <row r="212" spans="1:16" ht="14.4" x14ac:dyDescent="0.3">
      <c r="A212" s="85" t="s">
        <v>26</v>
      </c>
      <c r="B212" s="85"/>
      <c r="C212" s="87"/>
      <c r="D212" s="93"/>
      <c r="E212" s="93"/>
      <c r="F212" s="93"/>
      <c r="G212" s="93"/>
      <c r="H212" s="93"/>
      <c r="I212" s="93"/>
      <c r="J212" s="93"/>
      <c r="K212" s="93"/>
      <c r="L212" s="93"/>
      <c r="M212" s="93"/>
      <c r="N212" s="93"/>
      <c r="O212" s="93"/>
      <c r="P212" s="93"/>
    </row>
    <row r="213" spans="1:16" ht="14.4" x14ac:dyDescent="0.3">
      <c r="A213" s="89" t="s">
        <v>27</v>
      </c>
      <c r="B213" s="89"/>
      <c r="C213" s="87" t="s">
        <v>19</v>
      </c>
      <c r="D213" s="91">
        <v>0.1368</v>
      </c>
      <c r="E213" s="91">
        <v>0.1368</v>
      </c>
      <c r="F213" s="91">
        <v>0.1368</v>
      </c>
      <c r="G213" s="91">
        <v>0.1368</v>
      </c>
      <c r="H213" s="91">
        <v>0.1368</v>
      </c>
      <c r="I213" s="91">
        <v>0.1368</v>
      </c>
      <c r="J213" s="91">
        <v>0.1368</v>
      </c>
      <c r="K213" s="91">
        <v>0.1368</v>
      </c>
      <c r="L213" s="91">
        <v>0.1368</v>
      </c>
      <c r="M213" s="91">
        <v>0.1368</v>
      </c>
      <c r="N213" s="91">
        <v>0.1368</v>
      </c>
      <c r="O213" s="91">
        <v>0.1368</v>
      </c>
      <c r="P213" s="91">
        <v>0.1368</v>
      </c>
    </row>
    <row r="214" spans="1:16" ht="14.4" x14ac:dyDescent="0.3">
      <c r="A214" s="89" t="s">
        <v>28</v>
      </c>
      <c r="B214" s="89"/>
      <c r="C214" s="87" t="s">
        <v>23</v>
      </c>
      <c r="D214" s="91">
        <v>237.15</v>
      </c>
      <c r="E214" s="91">
        <v>237.15</v>
      </c>
      <c r="F214" s="91">
        <v>237.15</v>
      </c>
      <c r="G214" s="91">
        <v>237.15</v>
      </c>
      <c r="H214" s="91">
        <v>237.15</v>
      </c>
      <c r="I214" s="91">
        <v>237.15</v>
      </c>
      <c r="J214" s="91">
        <v>237.15</v>
      </c>
      <c r="K214" s="91">
        <v>237.15</v>
      </c>
      <c r="L214" s="91">
        <v>237.15</v>
      </c>
      <c r="M214" s="91">
        <v>237.15</v>
      </c>
      <c r="N214" s="91">
        <v>237.15</v>
      </c>
      <c r="O214" s="91">
        <v>237.15</v>
      </c>
      <c r="P214" s="91">
        <v>237.15</v>
      </c>
    </row>
    <row r="215" spans="1:16" ht="14.4" x14ac:dyDescent="0.3">
      <c r="A215" s="85" t="s">
        <v>29</v>
      </c>
      <c r="B215" s="85"/>
      <c r="C215" s="87"/>
      <c r="D215" s="94"/>
      <c r="E215" s="94"/>
      <c r="F215" s="94"/>
      <c r="G215" s="94"/>
      <c r="H215" s="94"/>
      <c r="I215" s="94"/>
      <c r="J215" s="94"/>
      <c r="K215" s="94"/>
      <c r="L215" s="94"/>
      <c r="M215" s="94"/>
      <c r="N215" s="94"/>
      <c r="O215" s="94"/>
      <c r="P215" s="94"/>
    </row>
    <row r="216" spans="1:16" ht="14.4" x14ac:dyDescent="0.3">
      <c r="A216" s="89" t="s">
        <v>30</v>
      </c>
      <c r="B216" s="89"/>
      <c r="C216" s="87"/>
      <c r="D216" s="87"/>
      <c r="E216" s="87"/>
      <c r="F216" s="87"/>
      <c r="G216" s="87"/>
      <c r="H216" s="87"/>
      <c r="I216" s="87"/>
      <c r="J216" s="87"/>
      <c r="K216" s="87"/>
      <c r="L216" s="87"/>
      <c r="M216" s="87"/>
      <c r="N216" s="87"/>
      <c r="O216" s="87"/>
      <c r="P216" s="87"/>
    </row>
    <row r="217" spans="1:16" ht="14.4" x14ac:dyDescent="0.3">
      <c r="A217" s="95" t="s">
        <v>125</v>
      </c>
      <c r="B217" s="95"/>
      <c r="C217" s="87" t="s">
        <v>19</v>
      </c>
      <c r="D217" s="20">
        <v>0</v>
      </c>
      <c r="E217" s="20">
        <v>0</v>
      </c>
      <c r="F217" s="20">
        <v>0</v>
      </c>
      <c r="G217" s="20">
        <v>0</v>
      </c>
      <c r="H217" s="20">
        <v>0</v>
      </c>
      <c r="I217" s="20">
        <v>0</v>
      </c>
      <c r="J217" s="20">
        <v>0</v>
      </c>
      <c r="K217" s="20">
        <v>0</v>
      </c>
      <c r="L217" s="20">
        <v>0</v>
      </c>
      <c r="M217" s="20">
        <v>0</v>
      </c>
      <c r="N217" s="20">
        <v>0</v>
      </c>
      <c r="O217" s="20">
        <v>0</v>
      </c>
      <c r="P217" s="20">
        <v>0</v>
      </c>
    </row>
    <row r="218" spans="1:16" ht="14.4" x14ac:dyDescent="0.3">
      <c r="A218" s="95" t="s">
        <v>126</v>
      </c>
      <c r="B218" s="95"/>
      <c r="C218" s="87" t="s">
        <v>19</v>
      </c>
      <c r="D218" s="20">
        <f>D217+0.01</f>
        <v>0.01</v>
      </c>
      <c r="E218" s="20">
        <f t="shared" ref="E218:P218" si="16">E217+0.01</f>
        <v>0.01</v>
      </c>
      <c r="F218" s="20">
        <f t="shared" si="16"/>
        <v>0.01</v>
      </c>
      <c r="G218" s="20">
        <f t="shared" si="16"/>
        <v>0.01</v>
      </c>
      <c r="H218" s="20">
        <f t="shared" si="16"/>
        <v>0.01</v>
      </c>
      <c r="I218" s="20">
        <f t="shared" si="16"/>
        <v>0.01</v>
      </c>
      <c r="J218" s="20">
        <f t="shared" si="16"/>
        <v>0.01</v>
      </c>
      <c r="K218" s="20">
        <f t="shared" si="16"/>
        <v>0.01</v>
      </c>
      <c r="L218" s="20">
        <f t="shared" si="16"/>
        <v>0.01</v>
      </c>
      <c r="M218" s="20">
        <f t="shared" si="16"/>
        <v>0.01</v>
      </c>
      <c r="N218" s="20">
        <f t="shared" si="16"/>
        <v>0.01</v>
      </c>
      <c r="O218" s="20">
        <f t="shared" si="16"/>
        <v>0.01</v>
      </c>
      <c r="P218" s="20">
        <f t="shared" si="16"/>
        <v>0.01</v>
      </c>
    </row>
    <row r="219" spans="1:16" ht="14.4" x14ac:dyDescent="0.3">
      <c r="A219" s="89" t="s">
        <v>31</v>
      </c>
      <c r="B219" s="89"/>
      <c r="C219" s="87"/>
      <c r="D219" s="87"/>
      <c r="E219" s="87"/>
      <c r="F219" s="87"/>
      <c r="G219" s="87"/>
      <c r="H219" s="87"/>
      <c r="I219" s="87"/>
      <c r="J219" s="87"/>
      <c r="K219" s="87"/>
      <c r="L219" s="87"/>
      <c r="M219" s="87"/>
      <c r="N219" s="87"/>
      <c r="O219" s="87"/>
      <c r="P219" s="87"/>
    </row>
    <row r="220" spans="1:16" ht="14.4" x14ac:dyDescent="0.3">
      <c r="A220" s="95" t="s">
        <v>125</v>
      </c>
      <c r="B220" s="95"/>
      <c r="C220" s="87" t="s">
        <v>32</v>
      </c>
      <c r="D220" s="112">
        <v>371.48</v>
      </c>
      <c r="E220" s="112">
        <v>371.48</v>
      </c>
      <c r="F220" s="112">
        <v>371.48</v>
      </c>
      <c r="G220" s="112">
        <v>371.48</v>
      </c>
      <c r="H220" s="112">
        <v>371.48</v>
      </c>
      <c r="I220" s="112">
        <v>371.48</v>
      </c>
      <c r="J220" s="112">
        <v>371.48</v>
      </c>
      <c r="K220" s="112">
        <v>371.48</v>
      </c>
      <c r="L220" s="112">
        <v>371.48</v>
      </c>
      <c r="M220" s="112">
        <v>371.48</v>
      </c>
      <c r="N220" s="112">
        <v>371.48</v>
      </c>
      <c r="O220" s="112">
        <v>371.48</v>
      </c>
      <c r="P220" s="112">
        <v>371.48</v>
      </c>
    </row>
    <row r="221" spans="1:16" ht="14.4" x14ac:dyDescent="0.3">
      <c r="A221" s="95" t="s">
        <v>133</v>
      </c>
      <c r="B221" s="95"/>
      <c r="C221" s="87" t="s">
        <v>32</v>
      </c>
      <c r="D221" s="112">
        <f>D220*110%</f>
        <v>408.62800000000004</v>
      </c>
      <c r="E221" s="112">
        <f t="shared" ref="E221:P221" si="17">E220*110%</f>
        <v>408.62800000000004</v>
      </c>
      <c r="F221" s="112">
        <f t="shared" si="17"/>
        <v>408.62800000000004</v>
      </c>
      <c r="G221" s="112">
        <f t="shared" si="17"/>
        <v>408.62800000000004</v>
      </c>
      <c r="H221" s="112">
        <f t="shared" si="17"/>
        <v>408.62800000000004</v>
      </c>
      <c r="I221" s="112">
        <f t="shared" si="17"/>
        <v>408.62800000000004</v>
      </c>
      <c r="J221" s="112">
        <f t="shared" si="17"/>
        <v>408.62800000000004</v>
      </c>
      <c r="K221" s="112">
        <f t="shared" si="17"/>
        <v>408.62800000000004</v>
      </c>
      <c r="L221" s="112">
        <f t="shared" si="17"/>
        <v>408.62800000000004</v>
      </c>
      <c r="M221" s="112">
        <f t="shared" si="17"/>
        <v>408.62800000000004</v>
      </c>
      <c r="N221" s="112">
        <f t="shared" si="17"/>
        <v>408.62800000000004</v>
      </c>
      <c r="O221" s="112">
        <f t="shared" si="17"/>
        <v>408.62800000000004</v>
      </c>
      <c r="P221" s="112">
        <f t="shared" si="17"/>
        <v>408.62800000000004</v>
      </c>
    </row>
    <row r="222" spans="1:16" ht="14.4" x14ac:dyDescent="0.3">
      <c r="A222" s="85" t="s">
        <v>33</v>
      </c>
      <c r="B222" s="85"/>
      <c r="C222" s="87"/>
      <c r="D222" s="106"/>
      <c r="E222" s="106"/>
      <c r="F222" s="106"/>
      <c r="G222" s="106"/>
      <c r="H222" s="106"/>
      <c r="I222" s="106"/>
      <c r="J222" s="106"/>
      <c r="K222" s="106"/>
      <c r="L222" s="106"/>
      <c r="M222" s="106"/>
      <c r="N222" s="106"/>
      <c r="O222" s="106"/>
      <c r="P222" s="106"/>
    </row>
    <row r="223" spans="1:16" ht="14.4" x14ac:dyDescent="0.3">
      <c r="A223" s="89" t="s">
        <v>34</v>
      </c>
      <c r="B223" s="89"/>
      <c r="C223" s="87" t="s">
        <v>19</v>
      </c>
      <c r="D223" s="20">
        <v>0</v>
      </c>
      <c r="E223" s="20">
        <v>0</v>
      </c>
      <c r="F223" s="20">
        <v>0</v>
      </c>
      <c r="G223" s="20">
        <v>0</v>
      </c>
      <c r="H223" s="20">
        <v>0</v>
      </c>
      <c r="I223" s="20">
        <v>0</v>
      </c>
      <c r="J223" s="20">
        <v>0</v>
      </c>
      <c r="K223" s="20">
        <v>0</v>
      </c>
      <c r="L223" s="20">
        <v>0</v>
      </c>
      <c r="M223" s="20">
        <v>0</v>
      </c>
      <c r="N223" s="20">
        <v>0</v>
      </c>
      <c r="O223" s="20">
        <v>0</v>
      </c>
      <c r="P223" s="20">
        <v>0</v>
      </c>
    </row>
    <row r="224" spans="1:16" ht="14.4" x14ac:dyDescent="0.3">
      <c r="A224" s="89" t="s">
        <v>35</v>
      </c>
      <c r="B224" s="89"/>
      <c r="C224" s="106"/>
      <c r="D224" s="106"/>
      <c r="E224" s="106"/>
      <c r="F224" s="106"/>
      <c r="G224" s="106"/>
      <c r="H224" s="106"/>
      <c r="I224" s="106"/>
      <c r="J224" s="106"/>
      <c r="K224" s="106"/>
      <c r="L224" s="106"/>
      <c r="M224" s="106"/>
      <c r="N224" s="106"/>
      <c r="O224" s="106"/>
      <c r="P224" s="106"/>
    </row>
    <row r="225" spans="1:16" ht="14.4" x14ac:dyDescent="0.3">
      <c r="A225" s="95" t="s">
        <v>125</v>
      </c>
      <c r="B225" s="95"/>
      <c r="C225" s="87" t="s">
        <v>32</v>
      </c>
      <c r="D225" s="112">
        <v>362.34</v>
      </c>
      <c r="E225" s="112">
        <v>362.34</v>
      </c>
      <c r="F225" s="112">
        <v>362.34</v>
      </c>
      <c r="G225" s="112">
        <v>362.34</v>
      </c>
      <c r="H225" s="112">
        <v>362.34</v>
      </c>
      <c r="I225" s="112">
        <v>362.34</v>
      </c>
      <c r="J225" s="112">
        <v>362.34</v>
      </c>
      <c r="K225" s="112">
        <v>362.34</v>
      </c>
      <c r="L225" s="112">
        <v>362.34</v>
      </c>
      <c r="M225" s="112">
        <v>362.34</v>
      </c>
      <c r="N225" s="112">
        <v>362.34</v>
      </c>
      <c r="O225" s="112">
        <v>362.34</v>
      </c>
      <c r="P225" s="112">
        <v>362.34</v>
      </c>
    </row>
    <row r="226" spans="1:16" ht="14.4" x14ac:dyDescent="0.3">
      <c r="A226" s="95" t="s">
        <v>126</v>
      </c>
      <c r="B226" s="95"/>
      <c r="C226" s="87" t="s">
        <v>32</v>
      </c>
      <c r="D226" s="112">
        <f>D225*110%</f>
        <v>398.57400000000001</v>
      </c>
      <c r="E226" s="112">
        <f>E225*110%</f>
        <v>398.57400000000001</v>
      </c>
      <c r="F226" s="112">
        <f>F225*110%</f>
        <v>398.57400000000001</v>
      </c>
      <c r="G226" s="112">
        <f>G225*110%</f>
        <v>398.57400000000001</v>
      </c>
      <c r="H226" s="112">
        <v>398.57400000000001</v>
      </c>
      <c r="I226" s="112">
        <v>398.57400000000001</v>
      </c>
      <c r="J226" s="112">
        <v>398.57400000000001</v>
      </c>
      <c r="K226" s="112">
        <v>398.57400000000001</v>
      </c>
      <c r="L226" s="112">
        <v>398.57400000000001</v>
      </c>
      <c r="M226" s="112">
        <v>398.57400000000001</v>
      </c>
      <c r="N226" s="112">
        <v>398.57400000000001</v>
      </c>
      <c r="O226" s="112">
        <v>398.57400000000001</v>
      </c>
      <c r="P226" s="112">
        <v>398.57400000000001</v>
      </c>
    </row>
    <row r="227" spans="1:16" ht="14.4" x14ac:dyDescent="0.3">
      <c r="A227" s="85" t="s">
        <v>37</v>
      </c>
      <c r="B227" s="85"/>
      <c r="C227" s="87"/>
      <c r="D227" s="106"/>
      <c r="E227" s="106"/>
      <c r="F227" s="106"/>
      <c r="G227" s="106"/>
      <c r="H227" s="106"/>
      <c r="I227" s="106"/>
      <c r="J227" s="106"/>
      <c r="K227" s="106"/>
      <c r="L227" s="106"/>
      <c r="M227" s="106"/>
      <c r="N227" s="106"/>
      <c r="O227" s="106"/>
      <c r="P227" s="106"/>
    </row>
    <row r="228" spans="1:16" ht="14.4" x14ac:dyDescent="0.3">
      <c r="A228" s="95" t="s">
        <v>38</v>
      </c>
      <c r="B228" s="89"/>
      <c r="C228" s="87" t="s">
        <v>19</v>
      </c>
      <c r="D228" s="20">
        <f>[48]LD!D30</f>
        <v>9.3899999999999997E-2</v>
      </c>
      <c r="E228" s="20">
        <f>[48]LD!E30</f>
        <v>9.2399999999999996E-2</v>
      </c>
      <c r="F228" s="20">
        <f>[48]LD!F30</f>
        <v>8.7999999999999995E-2</v>
      </c>
      <c r="G228" s="20">
        <f>[48]LD!G30</f>
        <v>0.1013</v>
      </c>
      <c r="H228" s="20">
        <f>[48]LD!H30</f>
        <v>0.111</v>
      </c>
      <c r="I228" s="20">
        <f>[48]LD!I30</f>
        <v>4.5099999999999994E-2</v>
      </c>
      <c r="J228" s="20">
        <f>[48]LD!J30</f>
        <v>6.0400000000000002E-2</v>
      </c>
      <c r="K228" s="20">
        <f>[48]LD!K30</f>
        <v>6.54E-2</v>
      </c>
      <c r="L228" s="20">
        <f>[48]LD!L30</f>
        <v>6.6500000000000004E-2</v>
      </c>
      <c r="M228" s="20">
        <f>[48]LD!M30</f>
        <v>5.9900000000000002E-2</v>
      </c>
      <c r="N228" s="20">
        <f>[48]LD!N30</f>
        <v>4.7800000000000002E-2</v>
      </c>
      <c r="O228" s="20">
        <f>[48]LD!O30</f>
        <v>7.9100000000000004E-2</v>
      </c>
      <c r="P228" s="20">
        <f>[48]LD!P30</f>
        <v>0</v>
      </c>
    </row>
    <row r="229" spans="1:16" ht="14.4" x14ac:dyDescent="0.3">
      <c r="A229" s="95" t="s">
        <v>39</v>
      </c>
      <c r="B229" s="89"/>
      <c r="C229" s="87" t="s">
        <v>19</v>
      </c>
      <c r="D229" s="20">
        <v>0</v>
      </c>
      <c r="E229" s="20">
        <v>0</v>
      </c>
      <c r="F229" s="20">
        <v>0</v>
      </c>
      <c r="G229" s="20">
        <v>0</v>
      </c>
      <c r="H229" s="20">
        <v>0</v>
      </c>
      <c r="I229" s="20">
        <v>0</v>
      </c>
      <c r="J229" s="20">
        <v>0</v>
      </c>
      <c r="K229" s="20">
        <v>0</v>
      </c>
      <c r="L229" s="20">
        <v>0</v>
      </c>
      <c r="M229" s="20">
        <v>0</v>
      </c>
      <c r="N229" s="20">
        <v>0</v>
      </c>
      <c r="O229" s="20">
        <v>0</v>
      </c>
      <c r="P229" s="20">
        <v>0</v>
      </c>
    </row>
    <row r="230" spans="1:16" ht="14.4" x14ac:dyDescent="0.3">
      <c r="A230" s="96" t="s">
        <v>40</v>
      </c>
      <c r="B230" s="89"/>
      <c r="C230" s="87" t="s">
        <v>19</v>
      </c>
      <c r="D230" s="20">
        <f>'[48]SR CIT. SUBSIDY'!C108</f>
        <v>1E-4</v>
      </c>
      <c r="E230" s="20">
        <f>'[48]SR CIT. SUBSIDY'!D108</f>
        <v>1E-4</v>
      </c>
      <c r="F230" s="20">
        <f>'[48]SR CIT. SUBSIDY'!E108</f>
        <v>0</v>
      </c>
      <c r="G230" s="20">
        <f>'[48]SR CIT. SUBSIDY'!F108</f>
        <v>0</v>
      </c>
      <c r="H230" s="20">
        <f>'[48]SR CIT. SUBSIDY'!G108</f>
        <v>1E-4</v>
      </c>
      <c r="I230" s="20">
        <f>'[48]SR CIT. SUBSIDY'!H108</f>
        <v>1E-4</v>
      </c>
      <c r="J230" s="20">
        <f>'[48]SR CIT. SUBSIDY'!I108</f>
        <v>1E-4</v>
      </c>
      <c r="K230" s="20">
        <f>'[48]SR CIT. SUBSIDY'!J108</f>
        <v>1E-4</v>
      </c>
      <c r="L230" s="20">
        <f>'[48]SR CIT. SUBSIDY'!K108</f>
        <v>1E-4</v>
      </c>
      <c r="M230" s="20">
        <f>'[48]SR CIT. SUBSIDY'!L108</f>
        <v>1E-4</v>
      </c>
      <c r="N230" s="20">
        <f>'[48]SR CIT. SUBSIDY'!M108</f>
        <v>1E-4</v>
      </c>
      <c r="O230" s="20">
        <f>'[48]SR CIT. SUBSIDY'!N108</f>
        <v>1E-4</v>
      </c>
      <c r="P230" s="20">
        <f>'[48]SR CIT. SUBSIDY'!O108</f>
        <v>0</v>
      </c>
    </row>
    <row r="231" spans="1:16" ht="14.4" x14ac:dyDescent="0.3">
      <c r="A231" s="96" t="s">
        <v>41</v>
      </c>
      <c r="B231" s="89"/>
      <c r="C231" s="87" t="s">
        <v>19</v>
      </c>
      <c r="D231" s="20">
        <v>0</v>
      </c>
      <c r="E231" s="20">
        <v>0</v>
      </c>
      <c r="F231" s="20">
        <v>0</v>
      </c>
      <c r="G231" s="20">
        <v>0</v>
      </c>
      <c r="H231" s="20">
        <v>0</v>
      </c>
      <c r="I231" s="20">
        <v>0</v>
      </c>
      <c r="J231" s="20">
        <v>0</v>
      </c>
      <c r="K231" s="20">
        <v>0</v>
      </c>
      <c r="L231" s="20">
        <v>0</v>
      </c>
      <c r="M231" s="20">
        <v>0</v>
      </c>
      <c r="N231" s="20">
        <v>0</v>
      </c>
      <c r="O231" s="20">
        <v>0</v>
      </c>
      <c r="P231" s="20">
        <v>0</v>
      </c>
    </row>
    <row r="232" spans="1:16" ht="14.4" x14ac:dyDescent="0.3">
      <c r="A232" s="85" t="s">
        <v>42</v>
      </c>
      <c r="B232" s="85"/>
      <c r="C232" s="87"/>
      <c r="D232" s="106"/>
      <c r="E232" s="106"/>
      <c r="F232" s="106"/>
      <c r="G232" s="106"/>
      <c r="H232" s="106"/>
      <c r="I232" s="106"/>
      <c r="J232" s="106"/>
      <c r="K232" s="106"/>
      <c r="L232" s="106"/>
      <c r="M232" s="106"/>
      <c r="N232" s="106"/>
      <c r="O232" s="106"/>
      <c r="P232" s="106"/>
    </row>
    <row r="233" spans="1:16" ht="14.4" x14ac:dyDescent="0.3">
      <c r="A233" s="85" t="s">
        <v>43</v>
      </c>
      <c r="B233" s="85"/>
      <c r="C233" s="87" t="s">
        <v>44</v>
      </c>
      <c r="D233" s="27"/>
      <c r="E233" s="27"/>
      <c r="F233" s="27"/>
      <c r="G233" s="27"/>
      <c r="H233" s="27"/>
      <c r="I233" s="27"/>
      <c r="J233" s="27"/>
      <c r="K233" s="27"/>
      <c r="L233" s="27"/>
      <c r="M233" s="27"/>
      <c r="N233" s="27"/>
      <c r="O233" s="27"/>
      <c r="P233" s="27"/>
    </row>
    <row r="234" spans="1:16" ht="14.4" x14ac:dyDescent="0.3">
      <c r="A234" s="85" t="s">
        <v>45</v>
      </c>
      <c r="B234" s="85"/>
      <c r="C234" s="87"/>
      <c r="D234" s="28"/>
      <c r="E234" s="28"/>
      <c r="F234" s="28"/>
      <c r="G234" s="28"/>
      <c r="H234" s="28"/>
      <c r="I234" s="28"/>
      <c r="J234" s="28"/>
      <c r="K234" s="28"/>
      <c r="L234" s="28"/>
      <c r="M234" s="28"/>
      <c r="N234" s="28"/>
      <c r="O234" s="28"/>
      <c r="P234" s="28"/>
    </row>
    <row r="235" spans="1:16" ht="14.4" x14ac:dyDescent="0.3">
      <c r="A235" s="85" t="s">
        <v>46</v>
      </c>
      <c r="B235" s="85"/>
      <c r="C235" s="87" t="s">
        <v>19</v>
      </c>
      <c r="D235" s="69">
        <v>0</v>
      </c>
      <c r="E235" s="69">
        <v>0</v>
      </c>
      <c r="F235" s="69">
        <v>0</v>
      </c>
      <c r="G235" s="69">
        <v>0</v>
      </c>
      <c r="H235" s="69">
        <v>0</v>
      </c>
      <c r="I235" s="69">
        <v>0</v>
      </c>
      <c r="J235" s="69">
        <v>0</v>
      </c>
      <c r="K235" s="69">
        <v>0</v>
      </c>
      <c r="L235" s="69">
        <v>0</v>
      </c>
      <c r="M235" s="69">
        <v>0</v>
      </c>
      <c r="N235" s="69">
        <v>0</v>
      </c>
      <c r="O235" s="69">
        <v>0</v>
      </c>
      <c r="P235" s="69">
        <v>0</v>
      </c>
    </row>
    <row r="236" spans="1:16" ht="14.4" x14ac:dyDescent="0.3">
      <c r="A236" s="85" t="s">
        <v>47</v>
      </c>
      <c r="B236" s="85"/>
      <c r="C236" s="87"/>
      <c r="D236" s="106"/>
      <c r="E236" s="106"/>
      <c r="F236" s="106"/>
      <c r="G236" s="106"/>
      <c r="H236" s="106"/>
      <c r="I236" s="106"/>
      <c r="J236" s="106"/>
      <c r="K236" s="106"/>
      <c r="L236" s="106"/>
      <c r="M236" s="106"/>
      <c r="N236" s="106"/>
      <c r="O236" s="106"/>
      <c r="P236" s="106"/>
    </row>
    <row r="237" spans="1:16" ht="14.4" x14ac:dyDescent="0.3">
      <c r="A237" s="89" t="s">
        <v>48</v>
      </c>
      <c r="B237" s="89"/>
      <c r="C237" s="87" t="s">
        <v>19</v>
      </c>
      <c r="D237" s="20">
        <f t="shared" ref="D237:P241" si="18">D185</f>
        <v>0.15609999999999999</v>
      </c>
      <c r="E237" s="20">
        <f t="shared" si="18"/>
        <v>0.15609999999999999</v>
      </c>
      <c r="F237" s="20">
        <f t="shared" si="18"/>
        <v>0.15609999999999999</v>
      </c>
      <c r="G237" s="20">
        <f t="shared" si="18"/>
        <v>0.15609999999999999</v>
      </c>
      <c r="H237" s="20">
        <f t="shared" si="18"/>
        <v>0.15609999999999999</v>
      </c>
      <c r="I237" s="20">
        <f t="shared" si="18"/>
        <v>0.15609999999999999</v>
      </c>
      <c r="J237" s="20">
        <f t="shared" si="18"/>
        <v>0.15609999999999999</v>
      </c>
      <c r="K237" s="20">
        <f t="shared" si="18"/>
        <v>0.15609999999999999</v>
      </c>
      <c r="L237" s="20">
        <f t="shared" si="18"/>
        <v>0.15609999999999999</v>
      </c>
      <c r="M237" s="20">
        <f t="shared" si="18"/>
        <v>0.15609999999999999</v>
      </c>
      <c r="N237" s="20">
        <f t="shared" si="18"/>
        <v>0.15609999999999999</v>
      </c>
      <c r="O237" s="20">
        <f t="shared" si="18"/>
        <v>0.15609999999999999</v>
      </c>
      <c r="P237" s="20">
        <f t="shared" si="18"/>
        <v>0.15609999999999999</v>
      </c>
    </row>
    <row r="238" spans="1:16" ht="14.4" x14ac:dyDescent="0.3">
      <c r="A238" s="89" t="s">
        <v>49</v>
      </c>
      <c r="B238" s="89"/>
      <c r="C238" s="87" t="s">
        <v>19</v>
      </c>
      <c r="D238" s="91">
        <f t="shared" si="18"/>
        <v>2.5000000000000001E-3</v>
      </c>
      <c r="E238" s="91">
        <f t="shared" si="18"/>
        <v>2.5000000000000001E-3</v>
      </c>
      <c r="F238" s="91">
        <f t="shared" si="18"/>
        <v>2.5000000000000001E-3</v>
      </c>
      <c r="G238" s="91">
        <f t="shared" si="18"/>
        <v>2.5000000000000001E-3</v>
      </c>
      <c r="H238" s="91">
        <f t="shared" si="18"/>
        <v>2.5000000000000001E-3</v>
      </c>
      <c r="I238" s="91">
        <f t="shared" si="18"/>
        <v>0</v>
      </c>
      <c r="J238" s="91">
        <f t="shared" si="18"/>
        <v>0</v>
      </c>
      <c r="K238" s="91">
        <f t="shared" si="18"/>
        <v>0</v>
      </c>
      <c r="L238" s="91">
        <f t="shared" si="18"/>
        <v>0</v>
      </c>
      <c r="M238" s="91">
        <f t="shared" si="18"/>
        <v>0</v>
      </c>
      <c r="N238" s="91">
        <f t="shared" si="18"/>
        <v>0</v>
      </c>
      <c r="O238" s="91">
        <f t="shared" si="18"/>
        <v>0</v>
      </c>
      <c r="P238" s="91">
        <f t="shared" si="18"/>
        <v>0</v>
      </c>
    </row>
    <row r="239" spans="1:16" ht="14.4" x14ac:dyDescent="0.3">
      <c r="A239" s="89" t="s">
        <v>111</v>
      </c>
      <c r="B239" s="89"/>
      <c r="C239" s="87" t="s">
        <v>19</v>
      </c>
      <c r="D239" s="91">
        <f t="shared" si="18"/>
        <v>5.4300000000000001E-2</v>
      </c>
      <c r="E239" s="91">
        <f t="shared" si="18"/>
        <v>0</v>
      </c>
      <c r="F239" s="91">
        <f t="shared" si="18"/>
        <v>-0.14530000000000001</v>
      </c>
      <c r="G239" s="91">
        <f t="shared" si="18"/>
        <v>0</v>
      </c>
      <c r="H239" s="91">
        <f t="shared" si="18"/>
        <v>0</v>
      </c>
      <c r="I239" s="91">
        <f t="shared" si="18"/>
        <v>0</v>
      </c>
      <c r="J239" s="91">
        <f t="shared" si="18"/>
        <v>0</v>
      </c>
      <c r="K239" s="91">
        <f t="shared" si="18"/>
        <v>0</v>
      </c>
      <c r="L239" s="91">
        <f t="shared" si="18"/>
        <v>0</v>
      </c>
      <c r="M239" s="91">
        <f t="shared" si="18"/>
        <v>0</v>
      </c>
      <c r="N239" s="91">
        <f t="shared" si="18"/>
        <v>0</v>
      </c>
      <c r="O239" s="91">
        <f t="shared" si="18"/>
        <v>0</v>
      </c>
      <c r="P239" s="91">
        <f t="shared" si="18"/>
        <v>0</v>
      </c>
    </row>
    <row r="240" spans="1:16" ht="14.4" x14ac:dyDescent="0.3">
      <c r="A240" s="89" t="s">
        <v>112</v>
      </c>
      <c r="B240" s="89"/>
      <c r="C240" s="87" t="s">
        <v>19</v>
      </c>
      <c r="D240" s="109">
        <f t="shared" si="18"/>
        <v>4.2799999999999998E-2</v>
      </c>
      <c r="E240" s="109">
        <f t="shared" si="18"/>
        <v>4.2799999999999998E-2</v>
      </c>
      <c r="F240" s="109">
        <f t="shared" si="18"/>
        <v>4.2799999999999998E-2</v>
      </c>
      <c r="G240" s="109">
        <f t="shared" si="18"/>
        <v>4.2799999999999998E-2</v>
      </c>
      <c r="H240" s="109">
        <f t="shared" si="18"/>
        <v>4.2799999999999998E-2</v>
      </c>
      <c r="I240" s="109">
        <f t="shared" si="18"/>
        <v>4.2799999999999998E-2</v>
      </c>
      <c r="J240" s="109">
        <f t="shared" si="18"/>
        <v>4.2799999999999998E-2</v>
      </c>
      <c r="K240" s="109">
        <f t="shared" si="18"/>
        <v>4.2799999999999998E-2</v>
      </c>
      <c r="L240" s="109">
        <f t="shared" si="18"/>
        <v>4.2799999999999998E-2</v>
      </c>
      <c r="M240" s="109">
        <f t="shared" si="18"/>
        <v>4.2799999999999998E-2</v>
      </c>
      <c r="N240" s="109">
        <f t="shared" si="18"/>
        <v>4.2799999999999998E-2</v>
      </c>
      <c r="O240" s="109">
        <f t="shared" si="18"/>
        <v>4.2799999999999998E-2</v>
      </c>
      <c r="P240" s="109">
        <f t="shared" si="18"/>
        <v>4.2799999999999998E-2</v>
      </c>
    </row>
    <row r="241" spans="1:16" ht="14.4" x14ac:dyDescent="0.3">
      <c r="A241" s="85" t="s">
        <v>51</v>
      </c>
      <c r="B241" s="85"/>
      <c r="C241" s="87" t="s">
        <v>19</v>
      </c>
      <c r="D241" s="20">
        <f t="shared" si="18"/>
        <v>0.22259999999999999</v>
      </c>
      <c r="E241" s="20">
        <f t="shared" si="18"/>
        <v>4.9500000000000002E-2</v>
      </c>
      <c r="F241" s="20">
        <f t="shared" si="18"/>
        <v>4.9500000000000002E-2</v>
      </c>
      <c r="G241" s="20">
        <f t="shared" si="18"/>
        <v>0</v>
      </c>
      <c r="H241" s="20">
        <f t="shared" si="18"/>
        <v>0</v>
      </c>
      <c r="I241" s="20">
        <f t="shared" si="18"/>
        <v>4.9500000000000002E-2</v>
      </c>
      <c r="J241" s="20">
        <f t="shared" si="18"/>
        <v>4.9500000000000002E-2</v>
      </c>
      <c r="K241" s="20">
        <f t="shared" si="18"/>
        <v>4.9500000000000002E-2</v>
      </c>
      <c r="L241" s="20">
        <f t="shared" si="18"/>
        <v>4.9500000000000002E-2</v>
      </c>
      <c r="M241" s="20">
        <f t="shared" si="18"/>
        <v>4.9500000000000002E-2</v>
      </c>
      <c r="N241" s="20">
        <f t="shared" si="18"/>
        <v>4.9500000000000002E-2</v>
      </c>
      <c r="O241" s="20">
        <f t="shared" si="18"/>
        <v>4.9500000000000002E-2</v>
      </c>
      <c r="P241" s="20">
        <f t="shared" si="18"/>
        <v>4.9500000000000002E-2</v>
      </c>
    </row>
    <row r="242" spans="1:16" ht="14.4" x14ac:dyDescent="0.3">
      <c r="A242" s="85" t="s">
        <v>52</v>
      </c>
      <c r="B242" s="85"/>
      <c r="C242" s="97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</row>
    <row r="243" spans="1:16" ht="14.4" x14ac:dyDescent="0.3">
      <c r="A243" s="89" t="s">
        <v>53</v>
      </c>
      <c r="B243" s="89"/>
      <c r="C243" s="87" t="s">
        <v>44</v>
      </c>
      <c r="D243" s="30">
        <f>'[48]DU VAT'!C15</f>
        <v>0.1094</v>
      </c>
      <c r="E243" s="30">
        <f>'[48]DU VAT'!D15</f>
        <v>0.1108</v>
      </c>
      <c r="F243" s="30">
        <f>'[48]DU VAT'!E15</f>
        <v>0.11159999999999999</v>
      </c>
      <c r="G243" s="30">
        <f>'[48]DU VAT'!F15</f>
        <v>0.11550000000000001</v>
      </c>
      <c r="H243" s="30">
        <f>'[48]DU VAT'!G15</f>
        <v>0.11890000000000001</v>
      </c>
      <c r="I243" s="30">
        <f>'[48]DU VAT'!H15</f>
        <v>0.11890000000000001</v>
      </c>
      <c r="J243" s="30">
        <f>'[48]DU VAT'!I15</f>
        <v>0.1142</v>
      </c>
      <c r="K243" s="30">
        <f>'[48]DU VAT'!J15</f>
        <v>0.1143</v>
      </c>
      <c r="L243" s="30">
        <f>'[48]DU VAT'!K15</f>
        <v>0.11559999999999999</v>
      </c>
      <c r="M243" s="30">
        <f>'[48]DU VAT'!L15</f>
        <v>0.11119999999999999</v>
      </c>
      <c r="N243" s="30">
        <f>'[48]DU VAT'!M15</f>
        <v>0.1148</v>
      </c>
      <c r="O243" s="30">
        <f>'[48]DU VAT'!N15</f>
        <v>0.1158</v>
      </c>
      <c r="P243" s="30" t="e">
        <f>'[48]DU VAT'!O15</f>
        <v>#DIV/0!</v>
      </c>
    </row>
    <row r="244" spans="1:16" ht="14.4" x14ac:dyDescent="0.3">
      <c r="A244" s="89" t="s">
        <v>54</v>
      </c>
      <c r="B244" s="89"/>
      <c r="C244" s="87" t="s">
        <v>44</v>
      </c>
      <c r="D244" s="30">
        <f>'[48]DU VAT'!C22</f>
        <v>0.1011</v>
      </c>
      <c r="E244" s="30">
        <f>'[48]DU VAT'!D22</f>
        <v>0.1071</v>
      </c>
      <c r="F244" s="30">
        <f>'[48]DU VAT'!E22</f>
        <v>0.1144</v>
      </c>
      <c r="G244" s="30">
        <f>'[48]DU VAT'!F22</f>
        <v>0.11749999999999999</v>
      </c>
      <c r="H244" s="30">
        <f>'[48]DU VAT'!G22</f>
        <v>0.1123</v>
      </c>
      <c r="I244" s="30">
        <f>'[48]DU VAT'!H22</f>
        <v>0.11509999999999999</v>
      </c>
      <c r="J244" s="30">
        <f>'[48]DU VAT'!I22</f>
        <v>9.9299999999999999E-2</v>
      </c>
      <c r="K244" s="30">
        <f>'[48]DU VAT'!J22</f>
        <v>0.1032</v>
      </c>
      <c r="L244" s="30">
        <f>'[48]DU VAT'!K22</f>
        <v>0.1017</v>
      </c>
      <c r="M244" s="30">
        <f>'[48]DU VAT'!L22</f>
        <v>0.1055</v>
      </c>
      <c r="N244" s="30">
        <f>'[48]DU VAT'!M22</f>
        <v>0.10100000000000001</v>
      </c>
      <c r="O244" s="30">
        <f>'[48]DU VAT'!N22</f>
        <v>9.6699999999999994E-2</v>
      </c>
      <c r="P244" s="30" t="e">
        <f>'[48]DU VAT'!O22</f>
        <v>#DIV/0!</v>
      </c>
    </row>
    <row r="245" spans="1:16" ht="14.4" x14ac:dyDescent="0.3">
      <c r="A245" s="89" t="s">
        <v>55</v>
      </c>
      <c r="B245" s="89"/>
      <c r="C245" s="87" t="s">
        <v>44</v>
      </c>
      <c r="D245" s="30">
        <f>'[48]DU VAT'!C29</f>
        <v>0.1084</v>
      </c>
      <c r="E245" s="30">
        <f>'[48]DU VAT'!D29</f>
        <v>0.1103</v>
      </c>
      <c r="F245" s="30">
        <f>'[48]DU VAT'!E29</f>
        <v>0.1105</v>
      </c>
      <c r="G245" s="30">
        <f>'[48]DU VAT'!F29</f>
        <v>0.1143</v>
      </c>
      <c r="H245" s="30">
        <f>'[48]DU VAT'!G29</f>
        <v>0.1162</v>
      </c>
      <c r="I245" s="30">
        <f>'[48]DU VAT'!H29</f>
        <v>0.1166</v>
      </c>
      <c r="J245" s="30">
        <f>'[48]DU VAT'!I29</f>
        <v>0.1118</v>
      </c>
      <c r="K245" s="30">
        <f>'[48]DU VAT'!J29</f>
        <v>0.11310000000000001</v>
      </c>
      <c r="L245" s="30">
        <f>'[48]DU VAT'!K29</f>
        <v>0.1134</v>
      </c>
      <c r="M245" s="30">
        <f>'[48]DU VAT'!L29</f>
        <v>0.1104</v>
      </c>
      <c r="N245" s="30">
        <f>'[48]DU VAT'!M29</f>
        <v>0.11260000000000001</v>
      </c>
      <c r="O245" s="30">
        <f>'[48]DU VAT'!N29</f>
        <v>0.1128</v>
      </c>
      <c r="P245" s="30" t="e">
        <f>'[48]DU VAT'!O29</f>
        <v>#DIV/0!</v>
      </c>
    </row>
    <row r="246" spans="1:16" ht="14.4" x14ac:dyDescent="0.3">
      <c r="A246" s="89" t="s">
        <v>56</v>
      </c>
      <c r="B246" s="89"/>
      <c r="C246" s="87" t="s">
        <v>44</v>
      </c>
      <c r="D246" s="30">
        <f t="shared" ref="D246:P247" si="19">D194</f>
        <v>0.12</v>
      </c>
      <c r="E246" s="30">
        <f t="shared" si="19"/>
        <v>0.12</v>
      </c>
      <c r="F246" s="30">
        <f t="shared" si="19"/>
        <v>0.12</v>
      </c>
      <c r="G246" s="30">
        <f t="shared" si="19"/>
        <v>0.12</v>
      </c>
      <c r="H246" s="30">
        <f t="shared" si="19"/>
        <v>0.12</v>
      </c>
      <c r="I246" s="30">
        <f t="shared" si="19"/>
        <v>0.12</v>
      </c>
      <c r="J246" s="30">
        <f t="shared" si="19"/>
        <v>0.12</v>
      </c>
      <c r="K246" s="30">
        <f t="shared" si="19"/>
        <v>0.12</v>
      </c>
      <c r="L246" s="30">
        <f t="shared" si="19"/>
        <v>0.12</v>
      </c>
      <c r="M246" s="30">
        <f t="shared" si="19"/>
        <v>0.12</v>
      </c>
      <c r="N246" s="30">
        <f t="shared" si="19"/>
        <v>0.12</v>
      </c>
      <c r="O246" s="30">
        <f t="shared" si="19"/>
        <v>0.12</v>
      </c>
      <c r="P246" s="30">
        <f t="shared" si="19"/>
        <v>0.12</v>
      </c>
    </row>
    <row r="247" spans="1:16" ht="14.4" x14ac:dyDescent="0.3">
      <c r="A247" s="89" t="s">
        <v>57</v>
      </c>
      <c r="B247" s="89"/>
      <c r="C247" s="87" t="s">
        <v>44</v>
      </c>
      <c r="D247" s="30">
        <f t="shared" si="19"/>
        <v>0.12</v>
      </c>
      <c r="E247" s="30">
        <f t="shared" si="19"/>
        <v>0.12</v>
      </c>
      <c r="F247" s="30">
        <f t="shared" si="19"/>
        <v>0.12</v>
      </c>
      <c r="G247" s="30">
        <f t="shared" si="19"/>
        <v>0.12</v>
      </c>
      <c r="H247" s="30">
        <f t="shared" si="19"/>
        <v>0.12</v>
      </c>
      <c r="I247" s="30">
        <f t="shared" si="19"/>
        <v>0.12</v>
      </c>
      <c r="J247" s="30">
        <f t="shared" si="19"/>
        <v>0.12</v>
      </c>
      <c r="K247" s="30">
        <f t="shared" si="19"/>
        <v>0.12</v>
      </c>
      <c r="L247" s="30">
        <f t="shared" si="19"/>
        <v>0.12</v>
      </c>
      <c r="M247" s="30">
        <f t="shared" si="19"/>
        <v>0.12</v>
      </c>
      <c r="N247" s="30">
        <f t="shared" si="19"/>
        <v>0.12</v>
      </c>
      <c r="O247" s="30">
        <f t="shared" si="19"/>
        <v>0.12</v>
      </c>
      <c r="P247" s="30">
        <f t="shared" si="19"/>
        <v>0.12</v>
      </c>
    </row>
    <row r="248" spans="1:16" ht="14.4" x14ac:dyDescent="0.3">
      <c r="A248" s="116"/>
      <c r="B248" s="116"/>
      <c r="C248" s="117"/>
      <c r="D248" s="118"/>
      <c r="E248" s="118"/>
      <c r="F248" s="118"/>
      <c r="G248" s="118"/>
      <c r="H248" s="118"/>
      <c r="I248" s="118"/>
      <c r="J248" s="118"/>
      <c r="K248" s="118"/>
      <c r="L248" s="118"/>
      <c r="M248" s="118"/>
      <c r="N248" s="118"/>
      <c r="O248" s="118"/>
      <c r="P248" s="118"/>
    </row>
    <row r="249" spans="1:16" x14ac:dyDescent="0.3">
      <c r="A249" s="77" t="s">
        <v>58</v>
      </c>
    </row>
    <row r="251" spans="1:16" ht="18" x14ac:dyDescent="0.35">
      <c r="A251" s="82" t="str">
        <f>'[48]Statistical data'!A187</f>
        <v xml:space="preserve">  General Power- Secondary</v>
      </c>
      <c r="B251" s="82"/>
      <c r="C251" s="77"/>
      <c r="D251" s="83"/>
      <c r="E251" s="83"/>
      <c r="F251" s="83"/>
      <c r="G251" s="83"/>
      <c r="H251" s="83"/>
      <c r="I251" s="83"/>
      <c r="J251" s="83"/>
      <c r="K251" s="83"/>
      <c r="L251" s="83"/>
      <c r="M251" s="83"/>
      <c r="N251" s="83"/>
      <c r="O251" s="83"/>
      <c r="P251" s="83"/>
    </row>
    <row r="252" spans="1:16" s="84" customFormat="1" ht="14.4" x14ac:dyDescent="0.3">
      <c r="A252" s="12" t="s">
        <v>3</v>
      </c>
      <c r="B252" s="12"/>
      <c r="C252" s="12" t="s">
        <v>4</v>
      </c>
      <c r="D252" s="73">
        <f t="shared" ref="D252:P252" si="20">D200</f>
        <v>43831</v>
      </c>
      <c r="E252" s="73">
        <f t="shared" si="20"/>
        <v>43862</v>
      </c>
      <c r="F252" s="73">
        <f t="shared" si="20"/>
        <v>43891</v>
      </c>
      <c r="G252" s="73">
        <f t="shared" si="20"/>
        <v>43922</v>
      </c>
      <c r="H252" s="73">
        <f t="shared" si="20"/>
        <v>43952</v>
      </c>
      <c r="I252" s="73">
        <f t="shared" si="20"/>
        <v>43983</v>
      </c>
      <c r="J252" s="73">
        <f t="shared" si="20"/>
        <v>44013</v>
      </c>
      <c r="K252" s="73">
        <f t="shared" si="20"/>
        <v>44044</v>
      </c>
      <c r="L252" s="73">
        <f t="shared" si="20"/>
        <v>44075</v>
      </c>
      <c r="M252" s="73">
        <f t="shared" si="20"/>
        <v>44105</v>
      </c>
      <c r="N252" s="73">
        <f t="shared" si="20"/>
        <v>44136</v>
      </c>
      <c r="O252" s="73">
        <f t="shared" si="20"/>
        <v>44166</v>
      </c>
      <c r="P252" s="73">
        <f t="shared" si="20"/>
        <v>44197</v>
      </c>
    </row>
    <row r="253" spans="1:16" ht="14.4" x14ac:dyDescent="0.3">
      <c r="A253" s="85" t="s">
        <v>17</v>
      </c>
      <c r="B253" s="86"/>
      <c r="C253" s="87"/>
      <c r="D253" s="88"/>
      <c r="E253" s="88"/>
      <c r="F253" s="88"/>
      <c r="G253" s="88"/>
      <c r="H253" s="88"/>
      <c r="I253" s="88"/>
      <c r="J253" s="88"/>
      <c r="K253" s="88"/>
      <c r="L253" s="88"/>
      <c r="M253" s="88"/>
      <c r="N253" s="88"/>
      <c r="O253" s="88"/>
      <c r="P253" s="88"/>
    </row>
    <row r="254" spans="1:16" ht="14.4" x14ac:dyDescent="0.3">
      <c r="A254" s="95" t="s">
        <v>68</v>
      </c>
      <c r="B254" s="95"/>
      <c r="C254" s="87" t="s">
        <v>19</v>
      </c>
      <c r="D254" s="91">
        <f>[48]GR!D23</f>
        <v>4.9039000000000001</v>
      </c>
      <c r="E254" s="91">
        <f>[48]GR!E23</f>
        <v>4.5090000000000003</v>
      </c>
      <c r="F254" s="91">
        <f>[48]GR!F23</f>
        <v>4.6631999999999998</v>
      </c>
      <c r="G254" s="91">
        <f>[48]GR!G23</f>
        <v>4.6384999999999996</v>
      </c>
      <c r="H254" s="91">
        <f>[48]GR!H23</f>
        <v>4.3848000000000003</v>
      </c>
      <c r="I254" s="91">
        <f>[48]GR!I23</f>
        <v>4.3413000000000004</v>
      </c>
      <c r="J254" s="91">
        <f>[48]GR!J23</f>
        <v>4.3343999999999996</v>
      </c>
      <c r="K254" s="91">
        <f>[48]GR!K23</f>
        <v>4.1241000000000003</v>
      </c>
      <c r="L254" s="91">
        <f>[48]GR!L23</f>
        <v>4.0860000000000003</v>
      </c>
      <c r="M254" s="91">
        <f>[48]GR!M23</f>
        <v>4.2233000000000001</v>
      </c>
      <c r="N254" s="91">
        <f>[48]GR!N23</f>
        <v>4.2018000000000004</v>
      </c>
      <c r="O254" s="91">
        <f>[48]GR!O23</f>
        <v>4.1516000000000002</v>
      </c>
      <c r="P254" s="91" t="e">
        <f>[48]GR!P23</f>
        <v>#DIV/0!</v>
      </c>
    </row>
    <row r="255" spans="1:16" ht="14.4" x14ac:dyDescent="0.3">
      <c r="A255" s="95" t="s">
        <v>69</v>
      </c>
      <c r="B255" s="95"/>
      <c r="C255" s="87"/>
      <c r="D255" s="106"/>
      <c r="E255" s="106"/>
      <c r="F255" s="106"/>
      <c r="G255" s="106"/>
      <c r="H255" s="106"/>
      <c r="I255" s="106"/>
      <c r="J255" s="106"/>
      <c r="K255" s="106"/>
      <c r="L255" s="106"/>
      <c r="M255" s="106"/>
      <c r="N255" s="106"/>
      <c r="O255" s="106"/>
      <c r="P255" s="106"/>
    </row>
    <row r="256" spans="1:16" ht="14.4" x14ac:dyDescent="0.3">
      <c r="A256" s="95" t="s">
        <v>113</v>
      </c>
      <c r="B256" s="95"/>
      <c r="C256" s="87" t="s">
        <v>19</v>
      </c>
      <c r="D256" s="91">
        <f>7.4854</f>
        <v>7.4854000000000003</v>
      </c>
      <c r="E256" s="91">
        <v>7.4854000000000003</v>
      </c>
      <c r="F256" s="91">
        <v>7.4854000000000003</v>
      </c>
      <c r="G256" s="91">
        <v>7.4854000000000003</v>
      </c>
      <c r="H256" s="91">
        <v>7.4854000000000003</v>
      </c>
      <c r="I256" s="91">
        <v>7.4854000000000003</v>
      </c>
      <c r="J256" s="91">
        <v>7.2778999999999998</v>
      </c>
      <c r="K256" s="91">
        <v>7.2778999999999998</v>
      </c>
      <c r="L256" s="91">
        <v>7.2778999999999998</v>
      </c>
      <c r="M256" s="91">
        <v>7.2778999999999998</v>
      </c>
      <c r="N256" s="91">
        <v>7.2778999999999998</v>
      </c>
      <c r="O256" s="91">
        <v>7.2778999999999998</v>
      </c>
      <c r="P256" s="91">
        <v>7.4854000000000003</v>
      </c>
    </row>
    <row r="257" spans="1:16" ht="14.4" x14ac:dyDescent="0.3">
      <c r="A257" s="95" t="s">
        <v>114</v>
      </c>
      <c r="B257" s="95"/>
      <c r="C257" s="87" t="s">
        <v>19</v>
      </c>
      <c r="D257" s="91">
        <f>3.5461</f>
        <v>3.5461</v>
      </c>
      <c r="E257" s="91">
        <f>3.5461</f>
        <v>3.5461</v>
      </c>
      <c r="F257" s="91">
        <f>3.5461</f>
        <v>3.5461</v>
      </c>
      <c r="G257" s="91">
        <f t="shared" ref="G257:O257" si="21">3.5461</f>
        <v>3.5461</v>
      </c>
      <c r="H257" s="91">
        <f t="shared" si="21"/>
        <v>3.5461</v>
      </c>
      <c r="I257" s="91">
        <f t="shared" si="21"/>
        <v>3.5461</v>
      </c>
      <c r="J257" s="91">
        <f t="shared" si="21"/>
        <v>3.5461</v>
      </c>
      <c r="K257" s="91">
        <f t="shared" si="21"/>
        <v>3.5461</v>
      </c>
      <c r="L257" s="91">
        <f t="shared" si="21"/>
        <v>3.5461</v>
      </c>
      <c r="M257" s="91">
        <f t="shared" si="21"/>
        <v>3.5461</v>
      </c>
      <c r="N257" s="91">
        <f t="shared" si="21"/>
        <v>3.5461</v>
      </c>
      <c r="O257" s="91">
        <f t="shared" si="21"/>
        <v>3.5461</v>
      </c>
      <c r="P257" s="91">
        <v>3.5461</v>
      </c>
    </row>
    <row r="258" spans="1:16" ht="14.4" x14ac:dyDescent="0.3">
      <c r="A258" s="95" t="s">
        <v>115</v>
      </c>
      <c r="B258" s="95"/>
      <c r="C258" s="87" t="s">
        <v>19</v>
      </c>
      <c r="D258" s="91">
        <f t="shared" ref="D258:I258" si="22">+D55</f>
        <v>-0.80620000000000003</v>
      </c>
      <c r="E258" s="91">
        <f t="shared" si="22"/>
        <v>-1.1967000000000001</v>
      </c>
      <c r="F258" s="91">
        <f t="shared" si="22"/>
        <v>-1.0435000000000001</v>
      </c>
      <c r="G258" s="91">
        <f t="shared" si="22"/>
        <v>-1.0555000000000001</v>
      </c>
      <c r="H258" s="91">
        <f t="shared" si="22"/>
        <v>-1.2337</v>
      </c>
      <c r="I258" s="91">
        <f t="shared" si="22"/>
        <v>-1.3593999999999999</v>
      </c>
      <c r="J258" s="91">
        <f>+J55</f>
        <v>-1.2383</v>
      </c>
      <c r="K258" s="91">
        <f t="shared" ref="K258:P258" si="23">+K55</f>
        <v>-1.4530000000000001</v>
      </c>
      <c r="L258" s="91">
        <f t="shared" si="23"/>
        <v>-1.4926999999999999</v>
      </c>
      <c r="M258" s="91">
        <f t="shared" si="23"/>
        <v>-1.3553999999999999</v>
      </c>
      <c r="N258" s="91">
        <f t="shared" si="23"/>
        <v>-1.3781000000000001</v>
      </c>
      <c r="O258" s="91">
        <f t="shared" si="23"/>
        <v>-1.4268000000000001</v>
      </c>
      <c r="P258" s="91">
        <f t="shared" si="23"/>
        <v>0</v>
      </c>
    </row>
    <row r="259" spans="1:16" ht="14.4" x14ac:dyDescent="0.3">
      <c r="A259" s="85" t="s">
        <v>20</v>
      </c>
      <c r="B259" s="86"/>
      <c r="C259" s="87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</row>
    <row r="260" spans="1:16" ht="14.4" x14ac:dyDescent="0.3">
      <c r="A260" s="89" t="s">
        <v>21</v>
      </c>
      <c r="B260" s="90"/>
      <c r="C260" s="87" t="s">
        <v>19</v>
      </c>
      <c r="D260" s="91">
        <v>0</v>
      </c>
      <c r="E260" s="91">
        <v>0</v>
      </c>
      <c r="F260" s="91">
        <v>0</v>
      </c>
      <c r="G260" s="91">
        <v>0</v>
      </c>
      <c r="H260" s="91">
        <v>0</v>
      </c>
      <c r="I260" s="91">
        <v>0</v>
      </c>
      <c r="J260" s="91">
        <v>0</v>
      </c>
      <c r="K260" s="91">
        <v>0</v>
      </c>
      <c r="L260" s="91">
        <v>0</v>
      </c>
      <c r="M260" s="91">
        <v>0</v>
      </c>
      <c r="N260" s="91">
        <v>0</v>
      </c>
      <c r="O260" s="91">
        <v>0</v>
      </c>
      <c r="P260" s="91">
        <v>0</v>
      </c>
    </row>
    <row r="261" spans="1:16" ht="14.4" x14ac:dyDescent="0.3">
      <c r="A261" s="89" t="s">
        <v>22</v>
      </c>
      <c r="B261" s="90"/>
      <c r="C261" s="87" t="s">
        <v>23</v>
      </c>
      <c r="D261" s="91">
        <f>[48]TR!D47</f>
        <v>231.15</v>
      </c>
      <c r="E261" s="91">
        <f>[48]TR!E47</f>
        <v>244.5</v>
      </c>
      <c r="F261" s="91">
        <f>[48]TR!F47</f>
        <v>260.9067</v>
      </c>
      <c r="G261" s="91">
        <f>[48]TR!G47</f>
        <v>272.23669999999998</v>
      </c>
      <c r="H261" s="91">
        <f>[48]TR!H47</f>
        <v>215.6267</v>
      </c>
      <c r="I261" s="91">
        <f>[48]TR!I47</f>
        <v>259.5367</v>
      </c>
      <c r="J261" s="91">
        <f>[48]TR!J47</f>
        <v>272.57900000000001</v>
      </c>
      <c r="K261" s="91">
        <f>[48]TR!K47</f>
        <v>289.72000000000003</v>
      </c>
      <c r="L261" s="91">
        <f>[48]TR!L47</f>
        <v>275.45999999999998</v>
      </c>
      <c r="M261" s="91">
        <f>[48]TR!M47</f>
        <v>259.14</v>
      </c>
      <c r="N261" s="91">
        <f>[48]TR!N47</f>
        <v>261.64</v>
      </c>
      <c r="O261" s="91">
        <f>[48]TR!O47</f>
        <v>249.26</v>
      </c>
      <c r="P261" s="91">
        <f>[48]TR!P47</f>
        <v>0</v>
      </c>
    </row>
    <row r="262" spans="1:16" ht="14.4" x14ac:dyDescent="0.3">
      <c r="A262" s="85" t="s">
        <v>24</v>
      </c>
      <c r="B262" s="86"/>
      <c r="C262" s="87"/>
      <c r="D262" s="92"/>
      <c r="E262" s="92"/>
      <c r="F262" s="92"/>
      <c r="G262" s="92"/>
      <c r="H262" s="92"/>
      <c r="I262" s="92"/>
      <c r="J262" s="92"/>
      <c r="K262" s="92"/>
      <c r="L262" s="92"/>
      <c r="M262" s="92"/>
      <c r="N262" s="92"/>
      <c r="O262" s="92"/>
      <c r="P262" s="92"/>
    </row>
    <row r="263" spans="1:16" ht="14.4" x14ac:dyDescent="0.3">
      <c r="A263" s="89" t="s">
        <v>25</v>
      </c>
      <c r="B263" s="90"/>
      <c r="C263" s="87" t="s">
        <v>19</v>
      </c>
      <c r="D263" s="91">
        <f>[48]SLR!D78</f>
        <v>0.41470000000000001</v>
      </c>
      <c r="E263" s="91">
        <f>[48]SLR!E78</f>
        <v>0.38729999999999998</v>
      </c>
      <c r="F263" s="91">
        <f>[48]SLR!F78</f>
        <v>0.3528</v>
      </c>
      <c r="G263" s="91">
        <f>[48]SLR!G78</f>
        <v>0.35249999999999998</v>
      </c>
      <c r="H263" s="91">
        <f>[48]SLR!H78</f>
        <v>0.34720000000000001</v>
      </c>
      <c r="I263" s="91">
        <f>[48]SLR!I78</f>
        <v>0.35120000000000001</v>
      </c>
      <c r="J263" s="91">
        <f>[48]SLR!J78</f>
        <v>0.39100000000000001</v>
      </c>
      <c r="K263" s="91">
        <f>[48]SLR!K78</f>
        <v>0.41720000000000002</v>
      </c>
      <c r="L263" s="91">
        <f>[48]SLR!L78</f>
        <v>0.40579999999999999</v>
      </c>
      <c r="M263" s="91">
        <f>[48]SLR!M78</f>
        <v>0.40810000000000002</v>
      </c>
      <c r="N263" s="91">
        <f>[48]SLR!N78</f>
        <v>0.39</v>
      </c>
      <c r="O263" s="91">
        <f>[48]SLR!O78</f>
        <v>0.38090000000000002</v>
      </c>
      <c r="P263" s="91">
        <f>[48]SLR!P78</f>
        <v>0</v>
      </c>
    </row>
    <row r="264" spans="1:16" ht="14.4" x14ac:dyDescent="0.3">
      <c r="A264" s="85" t="s">
        <v>26</v>
      </c>
      <c r="B264" s="85"/>
      <c r="C264" s="87"/>
      <c r="D264" s="93"/>
      <c r="E264" s="93"/>
      <c r="F264" s="93"/>
      <c r="G264" s="93"/>
      <c r="H264" s="93"/>
      <c r="I264" s="93"/>
      <c r="J264" s="93"/>
      <c r="K264" s="93"/>
      <c r="L264" s="93"/>
      <c r="M264" s="93"/>
      <c r="N264" s="93"/>
      <c r="O264" s="93"/>
      <c r="P264" s="93"/>
    </row>
    <row r="265" spans="1:16" ht="14.4" x14ac:dyDescent="0.3">
      <c r="A265" s="89" t="s">
        <v>27</v>
      </c>
      <c r="B265" s="89"/>
      <c r="C265" s="87" t="s">
        <v>19</v>
      </c>
      <c r="D265" s="91">
        <v>0.1368</v>
      </c>
      <c r="E265" s="91">
        <v>0.1368</v>
      </c>
      <c r="F265" s="91">
        <v>0.1368</v>
      </c>
      <c r="G265" s="91">
        <v>0.1368</v>
      </c>
      <c r="H265" s="91">
        <v>0.1368</v>
      </c>
      <c r="I265" s="91">
        <v>0.1368</v>
      </c>
      <c r="J265" s="91">
        <v>0.1368</v>
      </c>
      <c r="K265" s="91">
        <v>0.1368</v>
      </c>
      <c r="L265" s="91">
        <v>0.1368</v>
      </c>
      <c r="M265" s="91">
        <v>0.1368</v>
      </c>
      <c r="N265" s="91">
        <v>0.1368</v>
      </c>
      <c r="O265" s="91">
        <v>0.1368</v>
      </c>
      <c r="P265" s="91">
        <v>0.1368</v>
      </c>
    </row>
    <row r="266" spans="1:16" ht="14.4" x14ac:dyDescent="0.3">
      <c r="A266" s="89" t="s">
        <v>28</v>
      </c>
      <c r="B266" s="89"/>
      <c r="C266" s="87" t="s">
        <v>23</v>
      </c>
      <c r="D266" s="69">
        <v>237.15</v>
      </c>
      <c r="E266" s="69">
        <v>237.15</v>
      </c>
      <c r="F266" s="69">
        <v>237.15</v>
      </c>
      <c r="G266" s="69">
        <v>237.15</v>
      </c>
      <c r="H266" s="69">
        <v>237.15</v>
      </c>
      <c r="I266" s="69">
        <v>237.15</v>
      </c>
      <c r="J266" s="69">
        <v>237.15</v>
      </c>
      <c r="K266" s="69">
        <v>237.15</v>
      </c>
      <c r="L266" s="69">
        <v>237.15</v>
      </c>
      <c r="M266" s="69">
        <v>237.15</v>
      </c>
      <c r="N266" s="69">
        <v>237.15</v>
      </c>
      <c r="O266" s="69">
        <v>237.15</v>
      </c>
      <c r="P266" s="69">
        <v>237.15</v>
      </c>
    </row>
    <row r="267" spans="1:16" ht="14.4" x14ac:dyDescent="0.3">
      <c r="A267" s="85" t="s">
        <v>29</v>
      </c>
      <c r="B267" s="85"/>
      <c r="C267" s="87"/>
      <c r="D267" s="106"/>
      <c r="E267" s="106"/>
      <c r="F267" s="106"/>
      <c r="G267" s="106"/>
      <c r="H267" s="106"/>
      <c r="I267" s="106"/>
      <c r="J267" s="106"/>
      <c r="K267" s="106"/>
      <c r="L267" s="106"/>
      <c r="M267" s="106"/>
      <c r="N267" s="106"/>
      <c r="O267" s="106"/>
      <c r="P267" s="106"/>
    </row>
    <row r="268" spans="1:16" ht="14.4" x14ac:dyDescent="0.3">
      <c r="A268" s="89" t="s">
        <v>30</v>
      </c>
      <c r="B268" s="89"/>
      <c r="C268" s="87"/>
      <c r="D268" s="87"/>
      <c r="E268" s="87"/>
      <c r="F268" s="87"/>
      <c r="G268" s="87"/>
      <c r="H268" s="87"/>
      <c r="I268" s="87"/>
      <c r="J268" s="87"/>
      <c r="K268" s="87"/>
      <c r="L268" s="87"/>
      <c r="M268" s="87"/>
      <c r="N268" s="87"/>
      <c r="O268" s="87"/>
      <c r="P268" s="87"/>
    </row>
    <row r="269" spans="1:16" ht="14.4" x14ac:dyDescent="0.3">
      <c r="A269" s="95" t="s">
        <v>125</v>
      </c>
      <c r="B269" s="95"/>
      <c r="C269" s="87" t="s">
        <v>19</v>
      </c>
      <c r="D269" s="20">
        <v>0</v>
      </c>
      <c r="E269" s="20">
        <v>0</v>
      </c>
      <c r="F269" s="20">
        <v>0</v>
      </c>
      <c r="G269" s="20">
        <v>0</v>
      </c>
      <c r="H269" s="20">
        <v>0</v>
      </c>
      <c r="I269" s="20">
        <v>0</v>
      </c>
      <c r="J269" s="20">
        <v>0</v>
      </c>
      <c r="K269" s="20">
        <v>0</v>
      </c>
      <c r="L269" s="20">
        <v>0</v>
      </c>
      <c r="M269" s="20">
        <v>0</v>
      </c>
      <c r="N269" s="20">
        <v>0</v>
      </c>
      <c r="O269" s="20">
        <v>0</v>
      </c>
      <c r="P269" s="20">
        <v>0</v>
      </c>
    </row>
    <row r="270" spans="1:16" ht="14.4" x14ac:dyDescent="0.3">
      <c r="A270" s="95" t="s">
        <v>126</v>
      </c>
      <c r="B270" s="95"/>
      <c r="C270" s="87" t="s">
        <v>19</v>
      </c>
      <c r="D270" s="20">
        <f>D269+0.01</f>
        <v>0.01</v>
      </c>
      <c r="E270" s="20">
        <f t="shared" ref="E270:P270" si="24">E269+0.01</f>
        <v>0.01</v>
      </c>
      <c r="F270" s="20">
        <f t="shared" si="24"/>
        <v>0.01</v>
      </c>
      <c r="G270" s="20">
        <f t="shared" si="24"/>
        <v>0.01</v>
      </c>
      <c r="H270" s="20">
        <f t="shared" si="24"/>
        <v>0.01</v>
      </c>
      <c r="I270" s="20">
        <f t="shared" si="24"/>
        <v>0.01</v>
      </c>
      <c r="J270" s="20">
        <f t="shared" si="24"/>
        <v>0.01</v>
      </c>
      <c r="K270" s="20">
        <f t="shared" si="24"/>
        <v>0.01</v>
      </c>
      <c r="L270" s="20">
        <f t="shared" si="24"/>
        <v>0.01</v>
      </c>
      <c r="M270" s="20">
        <f t="shared" si="24"/>
        <v>0.01</v>
      </c>
      <c r="N270" s="20">
        <f t="shared" si="24"/>
        <v>0.01</v>
      </c>
      <c r="O270" s="20">
        <f t="shared" si="24"/>
        <v>0.01</v>
      </c>
      <c r="P270" s="20">
        <f t="shared" si="24"/>
        <v>0.01</v>
      </c>
    </row>
    <row r="271" spans="1:16" ht="14.4" x14ac:dyDescent="0.3">
      <c r="A271" s="89" t="s">
        <v>31</v>
      </c>
      <c r="B271" s="89"/>
      <c r="C271" s="87"/>
      <c r="D271" s="87"/>
      <c r="E271" s="87"/>
      <c r="F271" s="87"/>
      <c r="G271" s="87"/>
      <c r="H271" s="87"/>
      <c r="I271" s="87"/>
      <c r="J271" s="87"/>
      <c r="K271" s="87"/>
      <c r="L271" s="87"/>
      <c r="M271" s="87"/>
      <c r="N271" s="87"/>
      <c r="O271" s="87"/>
      <c r="P271" s="87"/>
    </row>
    <row r="272" spans="1:16" ht="14.4" x14ac:dyDescent="0.3">
      <c r="A272" s="95" t="s">
        <v>125</v>
      </c>
      <c r="B272" s="95"/>
      <c r="C272" s="87"/>
      <c r="D272" s="106"/>
      <c r="E272" s="106"/>
      <c r="F272" s="106"/>
      <c r="G272" s="106"/>
      <c r="H272" s="106"/>
      <c r="I272" s="106"/>
      <c r="J272" s="106"/>
      <c r="K272" s="106"/>
      <c r="L272" s="106"/>
      <c r="M272" s="106"/>
      <c r="N272" s="106"/>
      <c r="O272" s="106"/>
      <c r="P272" s="106"/>
    </row>
    <row r="273" spans="1:16" ht="14.4" x14ac:dyDescent="0.3">
      <c r="A273" s="95" t="s">
        <v>134</v>
      </c>
      <c r="B273" s="95"/>
      <c r="C273" s="87" t="s">
        <v>32</v>
      </c>
      <c r="D273" s="112">
        <v>845.17</v>
      </c>
      <c r="E273" s="112">
        <v>845.17</v>
      </c>
      <c r="F273" s="112">
        <v>845.17</v>
      </c>
      <c r="G273" s="112">
        <v>845.17</v>
      </c>
      <c r="H273" s="112">
        <v>845.17</v>
      </c>
      <c r="I273" s="112">
        <v>845.17</v>
      </c>
      <c r="J273" s="112">
        <v>845.17</v>
      </c>
      <c r="K273" s="112">
        <v>845.17</v>
      </c>
      <c r="L273" s="112">
        <v>845.17</v>
      </c>
      <c r="M273" s="112">
        <v>845.17</v>
      </c>
      <c r="N273" s="112">
        <v>845.17</v>
      </c>
      <c r="O273" s="112">
        <v>845.17</v>
      </c>
      <c r="P273" s="112">
        <v>845.17</v>
      </c>
    </row>
    <row r="274" spans="1:16" ht="14.4" x14ac:dyDescent="0.3">
      <c r="A274" s="95" t="s">
        <v>135</v>
      </c>
      <c r="B274" s="95"/>
      <c r="C274" s="87" t="s">
        <v>32</v>
      </c>
      <c r="D274" s="112">
        <v>3505.46</v>
      </c>
      <c r="E274" s="112">
        <v>3505.46</v>
      </c>
      <c r="F274" s="112">
        <v>3505.46</v>
      </c>
      <c r="G274" s="112">
        <v>3505.46</v>
      </c>
      <c r="H274" s="112">
        <v>3505.46</v>
      </c>
      <c r="I274" s="112">
        <v>3505.46</v>
      </c>
      <c r="J274" s="112">
        <v>3505.46</v>
      </c>
      <c r="K274" s="112">
        <v>3505.46</v>
      </c>
      <c r="L274" s="112">
        <v>3505.46</v>
      </c>
      <c r="M274" s="112">
        <v>3505.46</v>
      </c>
      <c r="N274" s="112">
        <v>3505.46</v>
      </c>
      <c r="O274" s="112">
        <v>3505.46</v>
      </c>
      <c r="P274" s="112">
        <v>3505.46</v>
      </c>
    </row>
    <row r="275" spans="1:16" ht="14.4" x14ac:dyDescent="0.3">
      <c r="A275" s="95" t="s">
        <v>136</v>
      </c>
      <c r="B275" s="95"/>
      <c r="C275" s="87" t="s">
        <v>32</v>
      </c>
      <c r="D275" s="112">
        <v>12726.3</v>
      </c>
      <c r="E275" s="112">
        <v>12726.3</v>
      </c>
      <c r="F275" s="112">
        <v>12726.3</v>
      </c>
      <c r="G275" s="112">
        <v>12726.3</v>
      </c>
      <c r="H275" s="112">
        <v>12726.3</v>
      </c>
      <c r="I275" s="112">
        <v>12726.3</v>
      </c>
      <c r="J275" s="112">
        <v>12726.3</v>
      </c>
      <c r="K275" s="112">
        <v>12726.3</v>
      </c>
      <c r="L275" s="112">
        <v>12726.3</v>
      </c>
      <c r="M275" s="112">
        <v>12726.3</v>
      </c>
      <c r="N275" s="112">
        <v>12726.3</v>
      </c>
      <c r="O275" s="112">
        <v>12726.3</v>
      </c>
      <c r="P275" s="112">
        <v>12726.3</v>
      </c>
    </row>
    <row r="276" spans="1:16" ht="14.4" x14ac:dyDescent="0.3">
      <c r="A276" s="95" t="s">
        <v>126</v>
      </c>
      <c r="B276" s="95"/>
      <c r="C276" s="87"/>
      <c r="D276" s="106"/>
      <c r="E276" s="106"/>
      <c r="F276" s="106"/>
      <c r="G276" s="106"/>
      <c r="H276" s="106"/>
      <c r="I276" s="106"/>
      <c r="J276" s="106"/>
      <c r="K276" s="106"/>
      <c r="L276" s="106"/>
      <c r="M276" s="106"/>
      <c r="N276" s="106"/>
      <c r="O276" s="106"/>
      <c r="P276" s="106"/>
    </row>
    <row r="277" spans="1:16" ht="14.4" x14ac:dyDescent="0.3">
      <c r="A277" s="95" t="s">
        <v>134</v>
      </c>
      <c r="B277" s="95"/>
      <c r="C277" s="87" t="s">
        <v>32</v>
      </c>
      <c r="D277" s="112">
        <f t="shared" ref="D277:G279" si="25">D273*110%</f>
        <v>929.68700000000001</v>
      </c>
      <c r="E277" s="112">
        <f t="shared" si="25"/>
        <v>929.68700000000001</v>
      </c>
      <c r="F277" s="112">
        <f t="shared" si="25"/>
        <v>929.68700000000001</v>
      </c>
      <c r="G277" s="112">
        <f t="shared" si="25"/>
        <v>929.68700000000001</v>
      </c>
      <c r="H277" s="112">
        <v>929.68700000000001</v>
      </c>
      <c r="I277" s="112">
        <v>929.68700000000001</v>
      </c>
      <c r="J277" s="112">
        <v>929.68700000000001</v>
      </c>
      <c r="K277" s="112">
        <v>929.68700000000001</v>
      </c>
      <c r="L277" s="112">
        <v>929.68700000000001</v>
      </c>
      <c r="M277" s="112">
        <v>929.68700000000001</v>
      </c>
      <c r="N277" s="112">
        <v>929.68700000000001</v>
      </c>
      <c r="O277" s="112">
        <v>929.68700000000001</v>
      </c>
      <c r="P277" s="112">
        <v>929.68700000000001</v>
      </c>
    </row>
    <row r="278" spans="1:16" ht="14.4" x14ac:dyDescent="0.3">
      <c r="A278" s="95" t="s">
        <v>135</v>
      </c>
      <c r="B278" s="95"/>
      <c r="C278" s="87" t="s">
        <v>32</v>
      </c>
      <c r="D278" s="112">
        <f t="shared" si="25"/>
        <v>3856.0060000000003</v>
      </c>
      <c r="E278" s="112">
        <f t="shared" si="25"/>
        <v>3856.0060000000003</v>
      </c>
      <c r="F278" s="112">
        <f t="shared" si="25"/>
        <v>3856.0060000000003</v>
      </c>
      <c r="G278" s="112">
        <f t="shared" si="25"/>
        <v>3856.0060000000003</v>
      </c>
      <c r="H278" s="112">
        <v>3856.0060000000003</v>
      </c>
      <c r="I278" s="112">
        <v>3856.0060000000003</v>
      </c>
      <c r="J278" s="112">
        <v>3856.0060000000003</v>
      </c>
      <c r="K278" s="112">
        <v>3856.0060000000003</v>
      </c>
      <c r="L278" s="112">
        <v>3856.0060000000003</v>
      </c>
      <c r="M278" s="112">
        <v>3856.0060000000003</v>
      </c>
      <c r="N278" s="112">
        <v>3856.0060000000003</v>
      </c>
      <c r="O278" s="112">
        <v>3856.0060000000003</v>
      </c>
      <c r="P278" s="112">
        <v>3856.0060000000003</v>
      </c>
    </row>
    <row r="279" spans="1:16" ht="14.4" x14ac:dyDescent="0.3">
      <c r="A279" s="95" t="s">
        <v>136</v>
      </c>
      <c r="B279" s="95"/>
      <c r="C279" s="87" t="s">
        <v>32</v>
      </c>
      <c r="D279" s="112">
        <f t="shared" si="25"/>
        <v>13998.93</v>
      </c>
      <c r="E279" s="112">
        <f t="shared" si="25"/>
        <v>13998.93</v>
      </c>
      <c r="F279" s="112">
        <f t="shared" si="25"/>
        <v>13998.93</v>
      </c>
      <c r="G279" s="112">
        <f t="shared" si="25"/>
        <v>13998.93</v>
      </c>
      <c r="H279" s="112">
        <v>13998.93</v>
      </c>
      <c r="I279" s="112">
        <v>13998.93</v>
      </c>
      <c r="J279" s="112">
        <v>13998.93</v>
      </c>
      <c r="K279" s="112">
        <v>13998.93</v>
      </c>
      <c r="L279" s="112">
        <v>13998.93</v>
      </c>
      <c r="M279" s="112">
        <v>13998.93</v>
      </c>
      <c r="N279" s="112">
        <v>13998.93</v>
      </c>
      <c r="O279" s="112">
        <v>13998.93</v>
      </c>
      <c r="P279" s="112">
        <v>13998.93</v>
      </c>
    </row>
    <row r="280" spans="1:16" ht="14.4" x14ac:dyDescent="0.3">
      <c r="A280" s="85" t="s">
        <v>33</v>
      </c>
      <c r="B280" s="85"/>
      <c r="C280" s="87"/>
      <c r="D280" s="106"/>
      <c r="E280" s="106"/>
      <c r="F280" s="106"/>
      <c r="G280" s="106"/>
      <c r="H280" s="106"/>
      <c r="I280" s="106"/>
      <c r="J280" s="106"/>
      <c r="K280" s="106"/>
      <c r="L280" s="106"/>
      <c r="M280" s="106"/>
      <c r="N280" s="106"/>
      <c r="O280" s="106"/>
      <c r="P280" s="106"/>
    </row>
    <row r="281" spans="1:16" ht="14.4" x14ac:dyDescent="0.3">
      <c r="A281" s="89" t="s">
        <v>34</v>
      </c>
      <c r="B281" s="89"/>
      <c r="C281" s="87" t="s">
        <v>19</v>
      </c>
      <c r="D281" s="69">
        <v>0</v>
      </c>
      <c r="E281" s="69">
        <v>0</v>
      </c>
      <c r="F281" s="69">
        <v>0</v>
      </c>
      <c r="G281" s="69">
        <v>0</v>
      </c>
      <c r="H281" s="69">
        <v>0</v>
      </c>
      <c r="I281" s="69">
        <v>0</v>
      </c>
      <c r="J281" s="69">
        <v>0</v>
      </c>
      <c r="K281" s="69">
        <v>0</v>
      </c>
      <c r="L281" s="69">
        <v>0</v>
      </c>
      <c r="M281" s="69">
        <v>0</v>
      </c>
      <c r="N281" s="69">
        <v>0</v>
      </c>
      <c r="O281" s="69">
        <v>0</v>
      </c>
      <c r="P281" s="69">
        <v>0</v>
      </c>
    </row>
    <row r="282" spans="1:16" ht="13.5" customHeight="1" x14ac:dyDescent="0.3">
      <c r="A282" s="89" t="s">
        <v>35</v>
      </c>
      <c r="B282" s="89"/>
      <c r="C282" s="87"/>
      <c r="D282" s="87"/>
      <c r="E282" s="87"/>
      <c r="F282" s="87"/>
      <c r="G282" s="87"/>
      <c r="H282" s="87"/>
      <c r="I282" s="87"/>
      <c r="J282" s="87"/>
      <c r="K282" s="87"/>
      <c r="L282" s="87"/>
      <c r="M282" s="87"/>
      <c r="N282" s="87"/>
      <c r="O282" s="87"/>
      <c r="P282" s="87"/>
    </row>
    <row r="283" spans="1:16" ht="14.4" x14ac:dyDescent="0.3">
      <c r="A283" s="95" t="s">
        <v>125</v>
      </c>
      <c r="B283" s="95"/>
      <c r="C283" s="87"/>
      <c r="D283" s="106"/>
      <c r="E283" s="106"/>
      <c r="F283" s="106"/>
      <c r="G283" s="106"/>
      <c r="H283" s="106"/>
      <c r="I283" s="106"/>
      <c r="J283" s="106"/>
      <c r="K283" s="106"/>
      <c r="L283" s="106"/>
      <c r="M283" s="106"/>
      <c r="N283" s="106"/>
      <c r="O283" s="106"/>
      <c r="P283" s="106"/>
    </row>
    <row r="284" spans="1:16" ht="14.4" x14ac:dyDescent="0.3">
      <c r="A284" s="95" t="s">
        <v>134</v>
      </c>
      <c r="B284" s="95"/>
      <c r="C284" s="87" t="s">
        <v>32</v>
      </c>
      <c r="D284" s="112">
        <v>849.44</v>
      </c>
      <c r="E284" s="112">
        <v>849.44</v>
      </c>
      <c r="F284" s="112">
        <v>849.44</v>
      </c>
      <c r="G284" s="112">
        <v>849.44</v>
      </c>
      <c r="H284" s="112">
        <v>849.44</v>
      </c>
      <c r="I284" s="112">
        <v>849.44</v>
      </c>
      <c r="J284" s="112">
        <v>849.44</v>
      </c>
      <c r="K284" s="112">
        <v>849.44</v>
      </c>
      <c r="L284" s="112">
        <v>849.44</v>
      </c>
      <c r="M284" s="112">
        <v>849.44</v>
      </c>
      <c r="N284" s="112">
        <v>849.44</v>
      </c>
      <c r="O284" s="112">
        <v>849.44</v>
      </c>
      <c r="P284" s="112">
        <v>849.44</v>
      </c>
    </row>
    <row r="285" spans="1:16" ht="14.4" x14ac:dyDescent="0.3">
      <c r="A285" s="95" t="s">
        <v>135</v>
      </c>
      <c r="B285" s="95"/>
      <c r="C285" s="87" t="s">
        <v>32</v>
      </c>
      <c r="D285" s="112">
        <v>3525.12</v>
      </c>
      <c r="E285" s="112">
        <v>3525.12</v>
      </c>
      <c r="F285" s="112">
        <v>3525.12</v>
      </c>
      <c r="G285" s="112">
        <v>3525.12</v>
      </c>
      <c r="H285" s="112">
        <v>3525.12</v>
      </c>
      <c r="I285" s="112">
        <v>3525.12</v>
      </c>
      <c r="J285" s="112">
        <v>3525.12</v>
      </c>
      <c r="K285" s="112">
        <v>3525.12</v>
      </c>
      <c r="L285" s="112">
        <v>3525.12</v>
      </c>
      <c r="M285" s="112">
        <v>3525.12</v>
      </c>
      <c r="N285" s="112">
        <v>3525.12</v>
      </c>
      <c r="O285" s="112">
        <v>3525.12</v>
      </c>
      <c r="P285" s="112">
        <v>3525.12</v>
      </c>
    </row>
    <row r="286" spans="1:16" ht="14.4" x14ac:dyDescent="0.3">
      <c r="A286" s="95" t="s">
        <v>136</v>
      </c>
      <c r="B286" s="95"/>
      <c r="C286" s="87" t="s">
        <v>32</v>
      </c>
      <c r="D286" s="112">
        <v>12075.11</v>
      </c>
      <c r="E286" s="112">
        <v>12075.11</v>
      </c>
      <c r="F286" s="112">
        <v>12075.11</v>
      </c>
      <c r="G286" s="112">
        <v>12075.11</v>
      </c>
      <c r="H286" s="112">
        <v>12075.11</v>
      </c>
      <c r="I286" s="112">
        <v>12075.11</v>
      </c>
      <c r="J286" s="112">
        <v>12075.11</v>
      </c>
      <c r="K286" s="112">
        <v>12075.11</v>
      </c>
      <c r="L286" s="112">
        <v>12075.11</v>
      </c>
      <c r="M286" s="112">
        <v>12075.11</v>
      </c>
      <c r="N286" s="112">
        <v>12075.11</v>
      </c>
      <c r="O286" s="112">
        <v>12075.11</v>
      </c>
      <c r="P286" s="112">
        <v>12075.11</v>
      </c>
    </row>
    <row r="287" spans="1:16" ht="14.4" x14ac:dyDescent="0.3">
      <c r="A287" s="95" t="s">
        <v>126</v>
      </c>
      <c r="B287" s="95"/>
      <c r="C287" s="87"/>
      <c r="D287" s="106"/>
      <c r="E287" s="106"/>
      <c r="F287" s="106"/>
      <c r="G287" s="106"/>
      <c r="H287" s="106"/>
      <c r="I287" s="106"/>
      <c r="J287" s="106"/>
      <c r="K287" s="106"/>
      <c r="L287" s="106"/>
      <c r="M287" s="106"/>
      <c r="N287" s="106"/>
      <c r="O287" s="106"/>
      <c r="P287" s="106"/>
    </row>
    <row r="288" spans="1:16" ht="14.4" x14ac:dyDescent="0.3">
      <c r="A288" s="95" t="s">
        <v>134</v>
      </c>
      <c r="B288" s="95"/>
      <c r="C288" s="87" t="s">
        <v>32</v>
      </c>
      <c r="D288" s="112">
        <f t="shared" ref="D288:G290" si="26">D284*110%</f>
        <v>934.38400000000013</v>
      </c>
      <c r="E288" s="112">
        <f t="shared" si="26"/>
        <v>934.38400000000013</v>
      </c>
      <c r="F288" s="112">
        <f t="shared" si="26"/>
        <v>934.38400000000013</v>
      </c>
      <c r="G288" s="112">
        <f t="shared" si="26"/>
        <v>934.38400000000013</v>
      </c>
      <c r="H288" s="112">
        <v>934.38400000000013</v>
      </c>
      <c r="I288" s="112">
        <v>934.38400000000013</v>
      </c>
      <c r="J288" s="112">
        <v>934.38400000000013</v>
      </c>
      <c r="K288" s="112">
        <v>934.38400000000013</v>
      </c>
      <c r="L288" s="112">
        <v>934.38400000000013</v>
      </c>
      <c r="M288" s="112">
        <v>934.38400000000013</v>
      </c>
      <c r="N288" s="112">
        <v>934.38400000000013</v>
      </c>
      <c r="O288" s="112">
        <v>934.38400000000013</v>
      </c>
      <c r="P288" s="112">
        <v>934.38400000000013</v>
      </c>
    </row>
    <row r="289" spans="1:16" ht="14.4" x14ac:dyDescent="0.3">
      <c r="A289" s="95" t="s">
        <v>135</v>
      </c>
      <c r="B289" s="95"/>
      <c r="C289" s="87" t="s">
        <v>32</v>
      </c>
      <c r="D289" s="112">
        <f t="shared" si="26"/>
        <v>3877.6320000000001</v>
      </c>
      <c r="E289" s="112">
        <f t="shared" si="26"/>
        <v>3877.6320000000001</v>
      </c>
      <c r="F289" s="112">
        <f t="shared" si="26"/>
        <v>3877.6320000000001</v>
      </c>
      <c r="G289" s="112">
        <f t="shared" si="26"/>
        <v>3877.6320000000001</v>
      </c>
      <c r="H289" s="112">
        <v>3877.6320000000001</v>
      </c>
      <c r="I289" s="112">
        <v>3877.6320000000001</v>
      </c>
      <c r="J289" s="112">
        <v>3877.6320000000001</v>
      </c>
      <c r="K289" s="112">
        <v>3877.6320000000001</v>
      </c>
      <c r="L289" s="112">
        <v>3877.6320000000001</v>
      </c>
      <c r="M289" s="112">
        <v>3877.6320000000001</v>
      </c>
      <c r="N289" s="112">
        <v>3877.6320000000001</v>
      </c>
      <c r="O289" s="112">
        <v>3877.6320000000001</v>
      </c>
      <c r="P289" s="112">
        <v>3877.6320000000001</v>
      </c>
    </row>
    <row r="290" spans="1:16" ht="14.4" x14ac:dyDescent="0.3">
      <c r="A290" s="95" t="s">
        <v>136</v>
      </c>
      <c r="B290" s="95"/>
      <c r="C290" s="87" t="s">
        <v>32</v>
      </c>
      <c r="D290" s="112">
        <f t="shared" si="26"/>
        <v>13282.621000000001</v>
      </c>
      <c r="E290" s="112">
        <f t="shared" si="26"/>
        <v>13282.621000000001</v>
      </c>
      <c r="F290" s="112">
        <f t="shared" si="26"/>
        <v>13282.621000000001</v>
      </c>
      <c r="G290" s="112">
        <f t="shared" si="26"/>
        <v>13282.621000000001</v>
      </c>
      <c r="H290" s="112">
        <v>13282.621000000001</v>
      </c>
      <c r="I290" s="112">
        <v>13282.621000000001</v>
      </c>
      <c r="J290" s="112">
        <v>13282.621000000001</v>
      </c>
      <c r="K290" s="112">
        <v>13282.621000000001</v>
      </c>
      <c r="L290" s="112">
        <v>13282.621000000001</v>
      </c>
      <c r="M290" s="112">
        <v>13282.621000000001</v>
      </c>
      <c r="N290" s="112">
        <v>13282.621000000001</v>
      </c>
      <c r="O290" s="112">
        <v>13282.621000000001</v>
      </c>
      <c r="P290" s="112">
        <v>13282.621000000001</v>
      </c>
    </row>
    <row r="291" spans="1:16" ht="14.4" x14ac:dyDescent="0.3">
      <c r="A291" s="85" t="s">
        <v>37</v>
      </c>
      <c r="B291" s="85"/>
      <c r="C291" s="87"/>
      <c r="D291" s="106"/>
      <c r="E291" s="106"/>
      <c r="F291" s="106"/>
      <c r="G291" s="106"/>
      <c r="H291" s="106"/>
      <c r="I291" s="106"/>
      <c r="J291" s="106"/>
      <c r="K291" s="106"/>
      <c r="L291" s="106"/>
      <c r="M291" s="106"/>
      <c r="N291" s="106"/>
      <c r="O291" s="106"/>
      <c r="P291" s="106"/>
    </row>
    <row r="292" spans="1:16" ht="14.4" x14ac:dyDescent="0.3">
      <c r="A292" s="95" t="s">
        <v>38</v>
      </c>
      <c r="B292" s="89"/>
      <c r="C292" s="87" t="s">
        <v>19</v>
      </c>
      <c r="D292" s="91">
        <f>[48]LD!D30</f>
        <v>9.3899999999999997E-2</v>
      </c>
      <c r="E292" s="91">
        <f>[48]LD!E30</f>
        <v>9.2399999999999996E-2</v>
      </c>
      <c r="F292" s="91">
        <f>[48]LD!F30</f>
        <v>8.7999999999999995E-2</v>
      </c>
      <c r="G292" s="91">
        <f>[48]LD!G30</f>
        <v>0.1013</v>
      </c>
      <c r="H292" s="91">
        <f>[48]LD!H30</f>
        <v>0.111</v>
      </c>
      <c r="I292" s="91">
        <f>[48]LD!I30</f>
        <v>4.5099999999999994E-2</v>
      </c>
      <c r="J292" s="91">
        <f>[48]LD!J30</f>
        <v>6.0400000000000002E-2</v>
      </c>
      <c r="K292" s="91">
        <f>[48]LD!K30</f>
        <v>6.54E-2</v>
      </c>
      <c r="L292" s="91">
        <f>[48]LD!L30</f>
        <v>6.6500000000000004E-2</v>
      </c>
      <c r="M292" s="91">
        <f>[48]LD!M30</f>
        <v>5.9900000000000002E-2</v>
      </c>
      <c r="N292" s="91">
        <f>[48]LD!N30</f>
        <v>4.7800000000000002E-2</v>
      </c>
      <c r="O292" s="91">
        <f>[48]LD!O30</f>
        <v>7.9100000000000004E-2</v>
      </c>
      <c r="P292" s="91">
        <f>[48]LD!P30</f>
        <v>0</v>
      </c>
    </row>
    <row r="293" spans="1:16" ht="14.4" x14ac:dyDescent="0.3">
      <c r="A293" s="95" t="s">
        <v>39</v>
      </c>
      <c r="B293" s="89"/>
      <c r="C293" s="87" t="s">
        <v>19</v>
      </c>
      <c r="D293" s="91">
        <v>0</v>
      </c>
      <c r="E293" s="91">
        <v>0</v>
      </c>
      <c r="F293" s="91">
        <v>0</v>
      </c>
      <c r="G293" s="91">
        <v>0</v>
      </c>
      <c r="H293" s="91">
        <v>0</v>
      </c>
      <c r="I293" s="91">
        <v>0</v>
      </c>
      <c r="J293" s="91">
        <v>0</v>
      </c>
      <c r="K293" s="91">
        <v>0</v>
      </c>
      <c r="L293" s="91">
        <v>0</v>
      </c>
      <c r="M293" s="91">
        <v>0</v>
      </c>
      <c r="N293" s="91">
        <v>0</v>
      </c>
      <c r="O293" s="91">
        <v>0</v>
      </c>
      <c r="P293" s="91">
        <v>0</v>
      </c>
    </row>
    <row r="294" spans="1:16" ht="14.4" x14ac:dyDescent="0.3">
      <c r="A294" s="96" t="s">
        <v>40</v>
      </c>
      <c r="B294" s="89"/>
      <c r="C294" s="87" t="s">
        <v>19</v>
      </c>
      <c r="D294" s="91">
        <f>'[48]SR CIT. SUBSIDY'!C108</f>
        <v>1E-4</v>
      </c>
      <c r="E294" s="91">
        <f>'[48]SR CIT. SUBSIDY'!D108</f>
        <v>1E-4</v>
      </c>
      <c r="F294" s="91">
        <f>'[48]SR CIT. SUBSIDY'!E108</f>
        <v>0</v>
      </c>
      <c r="G294" s="91">
        <f>'[48]SR CIT. SUBSIDY'!F108</f>
        <v>0</v>
      </c>
      <c r="H294" s="91">
        <f>'[48]SR CIT. SUBSIDY'!G108</f>
        <v>1E-4</v>
      </c>
      <c r="I294" s="91">
        <f>'[48]SR CIT. SUBSIDY'!H108</f>
        <v>1E-4</v>
      </c>
      <c r="J294" s="91">
        <f>'[48]SR CIT. SUBSIDY'!I108</f>
        <v>1E-4</v>
      </c>
      <c r="K294" s="91">
        <f>'[48]SR CIT. SUBSIDY'!J108</f>
        <v>1E-4</v>
      </c>
      <c r="L294" s="91">
        <f>'[48]SR CIT. SUBSIDY'!K108</f>
        <v>1E-4</v>
      </c>
      <c r="M294" s="91">
        <f>'[48]SR CIT. SUBSIDY'!L108</f>
        <v>1E-4</v>
      </c>
      <c r="N294" s="91">
        <f>'[48]SR CIT. SUBSIDY'!M108</f>
        <v>1E-4</v>
      </c>
      <c r="O294" s="91">
        <f>'[48]SR CIT. SUBSIDY'!N108</f>
        <v>1E-4</v>
      </c>
      <c r="P294" s="91">
        <f>'[48]SR CIT. SUBSIDY'!O108</f>
        <v>0</v>
      </c>
    </row>
    <row r="295" spans="1:16" ht="14.4" x14ac:dyDescent="0.3">
      <c r="A295" s="96" t="s">
        <v>41</v>
      </c>
      <c r="B295" s="89"/>
      <c r="C295" s="87" t="s">
        <v>19</v>
      </c>
      <c r="D295" s="91">
        <v>0</v>
      </c>
      <c r="E295" s="91">
        <v>0</v>
      </c>
      <c r="F295" s="91">
        <v>0</v>
      </c>
      <c r="G295" s="91">
        <v>0</v>
      </c>
      <c r="H295" s="91">
        <v>0</v>
      </c>
      <c r="I295" s="91">
        <v>0</v>
      </c>
      <c r="J295" s="91">
        <v>0</v>
      </c>
      <c r="K295" s="91">
        <v>0</v>
      </c>
      <c r="L295" s="91">
        <v>0</v>
      </c>
      <c r="M295" s="91">
        <v>0</v>
      </c>
      <c r="N295" s="91">
        <v>0</v>
      </c>
      <c r="O295" s="91">
        <v>0</v>
      </c>
      <c r="P295" s="91">
        <v>0</v>
      </c>
    </row>
    <row r="296" spans="1:16" ht="14.4" x14ac:dyDescent="0.3">
      <c r="A296" s="85" t="s">
        <v>42</v>
      </c>
      <c r="B296" s="85"/>
      <c r="C296" s="87"/>
      <c r="D296" s="94"/>
      <c r="E296" s="94"/>
      <c r="F296" s="94"/>
      <c r="G296" s="94"/>
      <c r="H296" s="94"/>
      <c r="I296" s="94"/>
      <c r="J296" s="94"/>
      <c r="K296" s="94"/>
      <c r="L296" s="94"/>
      <c r="M296" s="94"/>
      <c r="N296" s="94"/>
      <c r="O296" s="94"/>
      <c r="P296" s="94"/>
    </row>
    <row r="297" spans="1:16" ht="14.4" x14ac:dyDescent="0.3">
      <c r="A297" s="85" t="s">
        <v>43</v>
      </c>
      <c r="B297" s="85"/>
      <c r="C297" s="87" t="s">
        <v>44</v>
      </c>
      <c r="D297" s="91"/>
      <c r="E297" s="91"/>
      <c r="F297" s="91"/>
      <c r="G297" s="91"/>
      <c r="H297" s="91"/>
      <c r="I297" s="91"/>
      <c r="J297" s="91"/>
      <c r="K297" s="91"/>
      <c r="L297" s="91"/>
      <c r="M297" s="91"/>
      <c r="N297" s="91"/>
      <c r="O297" s="91"/>
      <c r="P297" s="91"/>
    </row>
    <row r="298" spans="1:16" ht="14.4" x14ac:dyDescent="0.3">
      <c r="A298" s="85" t="s">
        <v>45</v>
      </c>
      <c r="B298" s="85"/>
      <c r="C298" s="87"/>
      <c r="D298" s="94"/>
      <c r="E298" s="94"/>
      <c r="F298" s="94"/>
      <c r="G298" s="94"/>
      <c r="H298" s="94"/>
      <c r="I298" s="94"/>
      <c r="J298" s="94"/>
      <c r="K298" s="94"/>
      <c r="L298" s="94"/>
      <c r="M298" s="94"/>
      <c r="N298" s="94"/>
      <c r="O298" s="94"/>
      <c r="P298" s="94"/>
    </row>
    <row r="299" spans="1:16" ht="14.4" x14ac:dyDescent="0.3">
      <c r="A299" s="85" t="s">
        <v>46</v>
      </c>
      <c r="B299" s="85"/>
      <c r="C299" s="87" t="s">
        <v>19</v>
      </c>
      <c r="D299" s="91">
        <v>0</v>
      </c>
      <c r="E299" s="91">
        <v>0</v>
      </c>
      <c r="F299" s="91">
        <v>0</v>
      </c>
      <c r="G299" s="91">
        <v>0</v>
      </c>
      <c r="H299" s="91">
        <v>0</v>
      </c>
      <c r="I299" s="91">
        <v>0</v>
      </c>
      <c r="J299" s="91">
        <v>0</v>
      </c>
      <c r="K299" s="91">
        <v>0</v>
      </c>
      <c r="L299" s="91">
        <v>0</v>
      </c>
      <c r="M299" s="91">
        <v>0</v>
      </c>
      <c r="N299" s="91">
        <v>0</v>
      </c>
      <c r="O299" s="91">
        <v>0</v>
      </c>
      <c r="P299" s="91">
        <v>0</v>
      </c>
    </row>
    <row r="300" spans="1:16" ht="14.4" x14ac:dyDescent="0.3">
      <c r="A300" s="85" t="s">
        <v>47</v>
      </c>
      <c r="B300" s="85"/>
      <c r="C300" s="87"/>
      <c r="D300" s="94"/>
      <c r="E300" s="94"/>
      <c r="F300" s="94"/>
      <c r="G300" s="94"/>
      <c r="H300" s="94"/>
      <c r="I300" s="94"/>
      <c r="J300" s="94"/>
      <c r="K300" s="94"/>
      <c r="L300" s="94"/>
      <c r="M300" s="94"/>
      <c r="N300" s="94"/>
      <c r="O300" s="94"/>
      <c r="P300" s="94"/>
    </row>
    <row r="301" spans="1:16" ht="14.4" x14ac:dyDescent="0.3">
      <c r="A301" s="89" t="s">
        <v>48</v>
      </c>
      <c r="B301" s="89"/>
      <c r="C301" s="87" t="s">
        <v>19</v>
      </c>
      <c r="D301" s="91">
        <f t="shared" ref="D301:P305" si="27">D237</f>
        <v>0.15609999999999999</v>
      </c>
      <c r="E301" s="91">
        <f t="shared" si="27"/>
        <v>0.15609999999999999</v>
      </c>
      <c r="F301" s="91">
        <f t="shared" si="27"/>
        <v>0.15609999999999999</v>
      </c>
      <c r="G301" s="91">
        <f t="shared" si="27"/>
        <v>0.15609999999999999</v>
      </c>
      <c r="H301" s="91">
        <f t="shared" si="27"/>
        <v>0.15609999999999999</v>
      </c>
      <c r="I301" s="91">
        <f t="shared" si="27"/>
        <v>0.15609999999999999</v>
      </c>
      <c r="J301" s="91">
        <f t="shared" si="27"/>
        <v>0.15609999999999999</v>
      </c>
      <c r="K301" s="91">
        <f t="shared" si="27"/>
        <v>0.15609999999999999</v>
      </c>
      <c r="L301" s="91">
        <f t="shared" si="27"/>
        <v>0.15609999999999999</v>
      </c>
      <c r="M301" s="91">
        <f t="shared" si="27"/>
        <v>0.15609999999999999</v>
      </c>
      <c r="N301" s="91">
        <f t="shared" si="27"/>
        <v>0.15609999999999999</v>
      </c>
      <c r="O301" s="91">
        <f t="shared" si="27"/>
        <v>0.15609999999999999</v>
      </c>
      <c r="P301" s="91">
        <f t="shared" si="27"/>
        <v>0.15609999999999999</v>
      </c>
    </row>
    <row r="302" spans="1:16" ht="14.4" x14ac:dyDescent="0.3">
      <c r="A302" s="89" t="s">
        <v>49</v>
      </c>
      <c r="B302" s="89"/>
      <c r="C302" s="87" t="s">
        <v>19</v>
      </c>
      <c r="D302" s="91">
        <f t="shared" si="27"/>
        <v>2.5000000000000001E-3</v>
      </c>
      <c r="E302" s="91">
        <f t="shared" si="27"/>
        <v>2.5000000000000001E-3</v>
      </c>
      <c r="F302" s="91">
        <f t="shared" si="27"/>
        <v>2.5000000000000001E-3</v>
      </c>
      <c r="G302" s="91">
        <f t="shared" si="27"/>
        <v>2.5000000000000001E-3</v>
      </c>
      <c r="H302" s="91">
        <f t="shared" si="27"/>
        <v>2.5000000000000001E-3</v>
      </c>
      <c r="I302" s="91">
        <f t="shared" si="27"/>
        <v>0</v>
      </c>
      <c r="J302" s="91">
        <f t="shared" si="27"/>
        <v>0</v>
      </c>
      <c r="K302" s="91">
        <f t="shared" si="27"/>
        <v>0</v>
      </c>
      <c r="L302" s="91">
        <f t="shared" si="27"/>
        <v>0</v>
      </c>
      <c r="M302" s="91">
        <f t="shared" si="27"/>
        <v>0</v>
      </c>
      <c r="N302" s="91">
        <f t="shared" si="27"/>
        <v>0</v>
      </c>
      <c r="O302" s="91">
        <f t="shared" si="27"/>
        <v>0</v>
      </c>
      <c r="P302" s="91">
        <f t="shared" si="27"/>
        <v>0</v>
      </c>
    </row>
    <row r="303" spans="1:16" ht="14.4" x14ac:dyDescent="0.3">
      <c r="A303" s="89" t="s">
        <v>111</v>
      </c>
      <c r="B303" s="89"/>
      <c r="C303" s="87" t="s">
        <v>19</v>
      </c>
      <c r="D303" s="91">
        <f t="shared" si="27"/>
        <v>5.4300000000000001E-2</v>
      </c>
      <c r="E303" s="91">
        <f t="shared" si="27"/>
        <v>0</v>
      </c>
      <c r="F303" s="91">
        <f t="shared" si="27"/>
        <v>-0.14530000000000001</v>
      </c>
      <c r="G303" s="91">
        <f t="shared" si="27"/>
        <v>0</v>
      </c>
      <c r="H303" s="91">
        <f t="shared" si="27"/>
        <v>0</v>
      </c>
      <c r="I303" s="91">
        <f t="shared" si="27"/>
        <v>0</v>
      </c>
      <c r="J303" s="91">
        <f t="shared" si="27"/>
        <v>0</v>
      </c>
      <c r="K303" s="91">
        <f t="shared" si="27"/>
        <v>0</v>
      </c>
      <c r="L303" s="91">
        <f t="shared" si="27"/>
        <v>0</v>
      </c>
      <c r="M303" s="91">
        <f t="shared" si="27"/>
        <v>0</v>
      </c>
      <c r="N303" s="91">
        <f t="shared" si="27"/>
        <v>0</v>
      </c>
      <c r="O303" s="91">
        <f t="shared" si="27"/>
        <v>0</v>
      </c>
      <c r="P303" s="91">
        <f t="shared" si="27"/>
        <v>0</v>
      </c>
    </row>
    <row r="304" spans="1:16" ht="14.4" x14ac:dyDescent="0.3">
      <c r="A304" s="89" t="s">
        <v>112</v>
      </c>
      <c r="B304" s="89"/>
      <c r="C304" s="87" t="s">
        <v>19</v>
      </c>
      <c r="D304" s="109">
        <f t="shared" si="27"/>
        <v>4.2799999999999998E-2</v>
      </c>
      <c r="E304" s="109">
        <f t="shared" si="27"/>
        <v>4.2799999999999998E-2</v>
      </c>
      <c r="F304" s="109">
        <f t="shared" si="27"/>
        <v>4.2799999999999998E-2</v>
      </c>
      <c r="G304" s="109">
        <f t="shared" si="27"/>
        <v>4.2799999999999998E-2</v>
      </c>
      <c r="H304" s="109">
        <f t="shared" si="27"/>
        <v>4.2799999999999998E-2</v>
      </c>
      <c r="I304" s="109">
        <f t="shared" si="27"/>
        <v>4.2799999999999998E-2</v>
      </c>
      <c r="J304" s="109">
        <f t="shared" si="27"/>
        <v>4.2799999999999998E-2</v>
      </c>
      <c r="K304" s="109">
        <f t="shared" si="27"/>
        <v>4.2799999999999998E-2</v>
      </c>
      <c r="L304" s="109">
        <f t="shared" si="27"/>
        <v>4.2799999999999998E-2</v>
      </c>
      <c r="M304" s="109">
        <f t="shared" si="27"/>
        <v>4.2799999999999998E-2</v>
      </c>
      <c r="N304" s="109">
        <f t="shared" si="27"/>
        <v>4.2799999999999998E-2</v>
      </c>
      <c r="O304" s="109">
        <f t="shared" si="27"/>
        <v>4.2799999999999998E-2</v>
      </c>
      <c r="P304" s="109">
        <f t="shared" si="27"/>
        <v>4.2799999999999998E-2</v>
      </c>
    </row>
    <row r="305" spans="1:16" ht="14.4" x14ac:dyDescent="0.3">
      <c r="A305" s="85" t="s">
        <v>51</v>
      </c>
      <c r="B305" s="85"/>
      <c r="C305" s="87" t="s">
        <v>19</v>
      </c>
      <c r="D305" s="91">
        <f t="shared" si="27"/>
        <v>0.22259999999999999</v>
      </c>
      <c r="E305" s="91">
        <f t="shared" si="27"/>
        <v>4.9500000000000002E-2</v>
      </c>
      <c r="F305" s="91">
        <f t="shared" si="27"/>
        <v>4.9500000000000002E-2</v>
      </c>
      <c r="G305" s="91">
        <f t="shared" si="27"/>
        <v>0</v>
      </c>
      <c r="H305" s="91">
        <f t="shared" si="27"/>
        <v>0</v>
      </c>
      <c r="I305" s="91">
        <f t="shared" si="27"/>
        <v>4.9500000000000002E-2</v>
      </c>
      <c r="J305" s="91">
        <f t="shared" si="27"/>
        <v>4.9500000000000002E-2</v>
      </c>
      <c r="K305" s="91">
        <f t="shared" si="27"/>
        <v>4.9500000000000002E-2</v>
      </c>
      <c r="L305" s="91">
        <f t="shared" si="27"/>
        <v>4.9500000000000002E-2</v>
      </c>
      <c r="M305" s="91">
        <f t="shared" si="27"/>
        <v>4.9500000000000002E-2</v>
      </c>
      <c r="N305" s="91">
        <f t="shared" si="27"/>
        <v>4.9500000000000002E-2</v>
      </c>
      <c r="O305" s="91">
        <f t="shared" si="27"/>
        <v>4.9500000000000002E-2</v>
      </c>
      <c r="P305" s="91">
        <f t="shared" si="27"/>
        <v>4.9500000000000002E-2</v>
      </c>
    </row>
    <row r="306" spans="1:16" ht="14.4" x14ac:dyDescent="0.3">
      <c r="A306" s="85" t="s">
        <v>52</v>
      </c>
      <c r="B306" s="85"/>
      <c r="C306" s="97"/>
      <c r="D306" s="22"/>
      <c r="E306" s="22"/>
      <c r="F306" s="22"/>
      <c r="G306" s="22"/>
      <c r="H306" s="22"/>
      <c r="I306" s="22"/>
      <c r="J306" s="22"/>
      <c r="K306" s="22"/>
      <c r="L306" s="22"/>
      <c r="M306" s="22"/>
      <c r="N306" s="22"/>
      <c r="O306" s="22"/>
      <c r="P306" s="22"/>
    </row>
    <row r="307" spans="1:16" ht="14.4" x14ac:dyDescent="0.3">
      <c r="A307" s="89" t="s">
        <v>53</v>
      </c>
      <c r="B307" s="89"/>
      <c r="C307" s="87" t="s">
        <v>44</v>
      </c>
      <c r="D307" s="30">
        <f>'[48]DU VAT'!C15</f>
        <v>0.1094</v>
      </c>
      <c r="E307" s="30">
        <f>'[48]DU VAT'!D15</f>
        <v>0.1108</v>
      </c>
      <c r="F307" s="30">
        <f>'[48]DU VAT'!E15</f>
        <v>0.11159999999999999</v>
      </c>
      <c r="G307" s="30">
        <f>'[48]DU VAT'!F15</f>
        <v>0.11550000000000001</v>
      </c>
      <c r="H307" s="30">
        <f>'[48]DU VAT'!G15</f>
        <v>0.11890000000000001</v>
      </c>
      <c r="I307" s="30">
        <f>'[48]DU VAT'!H15</f>
        <v>0.11890000000000001</v>
      </c>
      <c r="J307" s="30">
        <f>'[48]DU VAT'!I15</f>
        <v>0.1142</v>
      </c>
      <c r="K307" s="30">
        <f>'[48]DU VAT'!J15</f>
        <v>0.1143</v>
      </c>
      <c r="L307" s="30">
        <f>'[48]DU VAT'!K15</f>
        <v>0.11559999999999999</v>
      </c>
      <c r="M307" s="30">
        <f>'[48]DU VAT'!L15</f>
        <v>0.11119999999999999</v>
      </c>
      <c r="N307" s="30">
        <f>'[48]DU VAT'!M15</f>
        <v>0.1148</v>
      </c>
      <c r="O307" s="30">
        <f>'[48]DU VAT'!N15</f>
        <v>0.1158</v>
      </c>
      <c r="P307" s="30" t="e">
        <f>'[48]DU VAT'!O15</f>
        <v>#DIV/0!</v>
      </c>
    </row>
    <row r="308" spans="1:16" ht="14.4" x14ac:dyDescent="0.3">
      <c r="A308" s="89" t="s">
        <v>54</v>
      </c>
      <c r="B308" s="89"/>
      <c r="C308" s="87" t="s">
        <v>44</v>
      </c>
      <c r="D308" s="30">
        <f>'[48]DU VAT'!C22</f>
        <v>0.1011</v>
      </c>
      <c r="E308" s="30">
        <f>'[48]DU VAT'!D22</f>
        <v>0.1071</v>
      </c>
      <c r="F308" s="30">
        <f>'[48]DU VAT'!E22</f>
        <v>0.1144</v>
      </c>
      <c r="G308" s="30">
        <f>'[48]DU VAT'!F22</f>
        <v>0.11749999999999999</v>
      </c>
      <c r="H308" s="30">
        <f>'[48]DU VAT'!G22</f>
        <v>0.1123</v>
      </c>
      <c r="I308" s="30">
        <f>'[48]DU VAT'!H22</f>
        <v>0.11509999999999999</v>
      </c>
      <c r="J308" s="30">
        <f>'[48]DU VAT'!I22</f>
        <v>9.9299999999999999E-2</v>
      </c>
      <c r="K308" s="30">
        <f>'[48]DU VAT'!J22</f>
        <v>0.1032</v>
      </c>
      <c r="L308" s="30">
        <f>'[48]DU VAT'!K22</f>
        <v>0.1017</v>
      </c>
      <c r="M308" s="30">
        <f>'[48]DU VAT'!L22</f>
        <v>0.1055</v>
      </c>
      <c r="N308" s="30">
        <f>'[48]DU VAT'!M22</f>
        <v>0.10100000000000001</v>
      </c>
      <c r="O308" s="30">
        <f>'[48]DU VAT'!N22</f>
        <v>9.6699999999999994E-2</v>
      </c>
      <c r="P308" s="30" t="e">
        <f>'[48]DU VAT'!O22</f>
        <v>#DIV/0!</v>
      </c>
    </row>
    <row r="309" spans="1:16" ht="14.4" x14ac:dyDescent="0.3">
      <c r="A309" s="89" t="s">
        <v>55</v>
      </c>
      <c r="B309" s="89"/>
      <c r="C309" s="87" t="s">
        <v>44</v>
      </c>
      <c r="D309" s="30">
        <f>'[48]DU VAT'!C29</f>
        <v>0.1084</v>
      </c>
      <c r="E309" s="30">
        <f>'[48]DU VAT'!D29</f>
        <v>0.1103</v>
      </c>
      <c r="F309" s="30">
        <f>'[48]DU VAT'!E29</f>
        <v>0.1105</v>
      </c>
      <c r="G309" s="30">
        <f>'[48]DU VAT'!F29</f>
        <v>0.1143</v>
      </c>
      <c r="H309" s="30">
        <f>'[48]DU VAT'!G29</f>
        <v>0.1162</v>
      </c>
      <c r="I309" s="30">
        <f>'[48]DU VAT'!H29</f>
        <v>0.1166</v>
      </c>
      <c r="J309" s="30">
        <f>'[48]DU VAT'!I29</f>
        <v>0.1118</v>
      </c>
      <c r="K309" s="30">
        <f>'[48]DU VAT'!J29</f>
        <v>0.11310000000000001</v>
      </c>
      <c r="L309" s="30">
        <f>'[48]DU VAT'!K29</f>
        <v>0.1134</v>
      </c>
      <c r="M309" s="30">
        <f>'[48]DU VAT'!L29</f>
        <v>0.1104</v>
      </c>
      <c r="N309" s="30">
        <f>'[48]DU VAT'!M29</f>
        <v>0.11260000000000001</v>
      </c>
      <c r="O309" s="30">
        <f>'[48]DU VAT'!N29</f>
        <v>0.1128</v>
      </c>
      <c r="P309" s="30" t="e">
        <f>'[48]DU VAT'!O29</f>
        <v>#DIV/0!</v>
      </c>
    </row>
    <row r="310" spans="1:16" ht="14.4" x14ac:dyDescent="0.3">
      <c r="A310" s="89" t="s">
        <v>56</v>
      </c>
      <c r="B310" s="89"/>
      <c r="C310" s="87" t="s">
        <v>44</v>
      </c>
      <c r="D310" s="30">
        <f t="shared" ref="D310:P311" si="28">D246</f>
        <v>0.12</v>
      </c>
      <c r="E310" s="30">
        <f t="shared" si="28"/>
        <v>0.12</v>
      </c>
      <c r="F310" s="30">
        <f t="shared" si="28"/>
        <v>0.12</v>
      </c>
      <c r="G310" s="30">
        <f t="shared" si="28"/>
        <v>0.12</v>
      </c>
      <c r="H310" s="30">
        <f t="shared" si="28"/>
        <v>0.12</v>
      </c>
      <c r="I310" s="30">
        <f t="shared" si="28"/>
        <v>0.12</v>
      </c>
      <c r="J310" s="30">
        <f t="shared" si="28"/>
        <v>0.12</v>
      </c>
      <c r="K310" s="30">
        <f t="shared" si="28"/>
        <v>0.12</v>
      </c>
      <c r="L310" s="30">
        <f t="shared" si="28"/>
        <v>0.12</v>
      </c>
      <c r="M310" s="30">
        <f t="shared" si="28"/>
        <v>0.12</v>
      </c>
      <c r="N310" s="30">
        <f t="shared" si="28"/>
        <v>0.12</v>
      </c>
      <c r="O310" s="30">
        <f t="shared" si="28"/>
        <v>0.12</v>
      </c>
      <c r="P310" s="30">
        <f t="shared" si="28"/>
        <v>0.12</v>
      </c>
    </row>
    <row r="311" spans="1:16" ht="14.4" x14ac:dyDescent="0.3">
      <c r="A311" s="89" t="s">
        <v>57</v>
      </c>
      <c r="B311" s="89"/>
      <c r="C311" s="87" t="s">
        <v>44</v>
      </c>
      <c r="D311" s="30">
        <f t="shared" si="28"/>
        <v>0.12</v>
      </c>
      <c r="E311" s="30">
        <f t="shared" si="28"/>
        <v>0.12</v>
      </c>
      <c r="F311" s="30">
        <f t="shared" si="28"/>
        <v>0.12</v>
      </c>
      <c r="G311" s="30">
        <f t="shared" si="28"/>
        <v>0.12</v>
      </c>
      <c r="H311" s="30">
        <f t="shared" si="28"/>
        <v>0.12</v>
      </c>
      <c r="I311" s="30">
        <f t="shared" si="28"/>
        <v>0.12</v>
      </c>
      <c r="J311" s="30">
        <f t="shared" si="28"/>
        <v>0.12</v>
      </c>
      <c r="K311" s="30">
        <f t="shared" si="28"/>
        <v>0.12</v>
      </c>
      <c r="L311" s="30">
        <f t="shared" si="28"/>
        <v>0.12</v>
      </c>
      <c r="M311" s="30">
        <f t="shared" si="28"/>
        <v>0.12</v>
      </c>
      <c r="N311" s="30">
        <f t="shared" si="28"/>
        <v>0.12</v>
      </c>
      <c r="O311" s="30">
        <f t="shared" si="28"/>
        <v>0.12</v>
      </c>
      <c r="P311" s="30">
        <f t="shared" si="28"/>
        <v>0.12</v>
      </c>
    </row>
    <row r="312" spans="1:16" ht="14.4" x14ac:dyDescent="0.3">
      <c r="A312" s="116"/>
      <c r="B312" s="116"/>
      <c r="C312" s="117"/>
      <c r="D312" s="118"/>
      <c r="E312" s="118"/>
      <c r="F312" s="118"/>
      <c r="G312" s="118"/>
      <c r="H312" s="118"/>
      <c r="I312" s="118"/>
      <c r="J312" s="118"/>
      <c r="K312" s="118"/>
      <c r="L312" s="118"/>
      <c r="M312" s="118"/>
      <c r="N312" s="118"/>
      <c r="O312" s="118"/>
      <c r="P312" s="118"/>
    </row>
    <row r="313" spans="1:16" x14ac:dyDescent="0.3">
      <c r="A313" s="77" t="s">
        <v>58</v>
      </c>
    </row>
    <row r="315" spans="1:16" ht="18" x14ac:dyDescent="0.35">
      <c r="A315" s="82" t="str">
        <f>'[48]Statistical data'!A188</f>
        <v xml:space="preserve">  General Power-13.8 kV and Below</v>
      </c>
      <c r="B315" s="120"/>
      <c r="C315" s="77"/>
      <c r="D315" s="83"/>
      <c r="E315" s="83"/>
      <c r="F315" s="83"/>
      <c r="G315" s="83"/>
      <c r="H315" s="83"/>
      <c r="I315" s="83"/>
      <c r="J315" s="83"/>
      <c r="K315" s="83"/>
      <c r="L315" s="83"/>
      <c r="M315" s="83"/>
      <c r="N315" s="83"/>
      <c r="O315" s="83"/>
      <c r="P315" s="83"/>
    </row>
    <row r="316" spans="1:16" s="84" customFormat="1" ht="14.4" x14ac:dyDescent="0.3">
      <c r="A316" s="12" t="s">
        <v>3</v>
      </c>
      <c r="B316" s="12"/>
      <c r="C316" s="12" t="s">
        <v>4</v>
      </c>
      <c r="D316" s="73">
        <f t="shared" ref="D316:P316" si="29">D252</f>
        <v>43831</v>
      </c>
      <c r="E316" s="73">
        <f t="shared" si="29"/>
        <v>43862</v>
      </c>
      <c r="F316" s="73">
        <f t="shared" si="29"/>
        <v>43891</v>
      </c>
      <c r="G316" s="73">
        <f t="shared" si="29"/>
        <v>43922</v>
      </c>
      <c r="H316" s="73">
        <f t="shared" si="29"/>
        <v>43952</v>
      </c>
      <c r="I316" s="73">
        <f t="shared" si="29"/>
        <v>43983</v>
      </c>
      <c r="J316" s="73">
        <f t="shared" si="29"/>
        <v>44013</v>
      </c>
      <c r="K316" s="73">
        <f t="shared" si="29"/>
        <v>44044</v>
      </c>
      <c r="L316" s="73">
        <f t="shared" si="29"/>
        <v>44075</v>
      </c>
      <c r="M316" s="73">
        <f t="shared" si="29"/>
        <v>44105</v>
      </c>
      <c r="N316" s="73">
        <f t="shared" si="29"/>
        <v>44136</v>
      </c>
      <c r="O316" s="73">
        <f t="shared" si="29"/>
        <v>44166</v>
      </c>
      <c r="P316" s="73">
        <f t="shared" si="29"/>
        <v>44197</v>
      </c>
    </row>
    <row r="317" spans="1:16" ht="14.4" x14ac:dyDescent="0.3">
      <c r="A317" s="85" t="s">
        <v>17</v>
      </c>
      <c r="B317" s="86"/>
      <c r="C317" s="87"/>
      <c r="D317" s="88"/>
      <c r="E317" s="88"/>
      <c r="F317" s="88"/>
      <c r="G317" s="88"/>
      <c r="H317" s="88"/>
      <c r="I317" s="88"/>
      <c r="J317" s="88"/>
      <c r="K317" s="88"/>
      <c r="L317" s="88"/>
      <c r="M317" s="88"/>
      <c r="N317" s="88"/>
      <c r="O317" s="88"/>
      <c r="P317" s="88"/>
    </row>
    <row r="318" spans="1:16" ht="14.4" x14ac:dyDescent="0.3">
      <c r="A318" s="95" t="s">
        <v>68</v>
      </c>
      <c r="B318" s="95"/>
      <c r="C318" s="87" t="s">
        <v>19</v>
      </c>
      <c r="D318" s="91">
        <f>[48]GR!D23</f>
        <v>4.9039000000000001</v>
      </c>
      <c r="E318" s="91">
        <f>[48]GR!E23</f>
        <v>4.5090000000000003</v>
      </c>
      <c r="F318" s="91">
        <f>[48]GR!F23</f>
        <v>4.6631999999999998</v>
      </c>
      <c r="G318" s="91">
        <f>[48]GR!G23</f>
        <v>4.6384999999999996</v>
      </c>
      <c r="H318" s="91">
        <f>[48]GR!H23</f>
        <v>4.3848000000000003</v>
      </c>
      <c r="I318" s="91">
        <f>[48]GR!I23</f>
        <v>4.3413000000000004</v>
      </c>
      <c r="J318" s="91">
        <f>[48]GR!J23</f>
        <v>4.3343999999999996</v>
      </c>
      <c r="K318" s="91">
        <f>[48]GR!K23</f>
        <v>4.1241000000000003</v>
      </c>
      <c r="L318" s="91">
        <f>[48]GR!L23</f>
        <v>4.0860000000000003</v>
      </c>
      <c r="M318" s="91">
        <f>[48]GR!M23</f>
        <v>4.2233000000000001</v>
      </c>
      <c r="N318" s="91">
        <f>[48]GR!N23</f>
        <v>4.2018000000000004</v>
      </c>
      <c r="O318" s="91">
        <f>[48]GR!O23</f>
        <v>4.1516000000000002</v>
      </c>
      <c r="P318" s="91" t="e">
        <f>[48]GR!P23</f>
        <v>#DIV/0!</v>
      </c>
    </row>
    <row r="319" spans="1:16" ht="14.4" x14ac:dyDescent="0.3">
      <c r="A319" s="95" t="s">
        <v>69</v>
      </c>
      <c r="B319" s="95"/>
      <c r="C319" s="87"/>
      <c r="D319" s="106"/>
      <c r="E319" s="106"/>
      <c r="F319" s="106"/>
      <c r="G319" s="106"/>
      <c r="H319" s="106"/>
      <c r="I319" s="106"/>
      <c r="J319" s="106"/>
      <c r="K319" s="106"/>
      <c r="L319" s="106"/>
      <c r="M319" s="106"/>
      <c r="N319" s="106"/>
      <c r="O319" s="106"/>
      <c r="P319" s="106"/>
    </row>
    <row r="320" spans="1:16" ht="14.4" x14ac:dyDescent="0.3">
      <c r="A320" s="95" t="s">
        <v>113</v>
      </c>
      <c r="B320" s="95"/>
      <c r="C320" s="87" t="s">
        <v>19</v>
      </c>
      <c r="D320" s="91">
        <f>7.4854</f>
        <v>7.4854000000000003</v>
      </c>
      <c r="E320" s="91">
        <v>7.4854000000000003</v>
      </c>
      <c r="F320" s="91">
        <v>7.4854000000000003</v>
      </c>
      <c r="G320" s="91">
        <v>7.4854000000000003</v>
      </c>
      <c r="H320" s="91">
        <v>7.4854000000000003</v>
      </c>
      <c r="I320" s="91">
        <v>7.4854000000000003</v>
      </c>
      <c r="J320" s="91">
        <v>7.2778999999999998</v>
      </c>
      <c r="K320" s="91">
        <v>7.2778999999999998</v>
      </c>
      <c r="L320" s="91">
        <v>7.2778999999999998</v>
      </c>
      <c r="M320" s="91">
        <v>7.2778999999999998</v>
      </c>
      <c r="N320" s="91">
        <v>7.2778999999999998</v>
      </c>
      <c r="O320" s="91">
        <v>7.2778999999999998</v>
      </c>
      <c r="P320" s="91">
        <v>7.4854000000000003</v>
      </c>
    </row>
    <row r="321" spans="1:16" ht="14.4" x14ac:dyDescent="0.3">
      <c r="A321" s="95" t="s">
        <v>114</v>
      </c>
      <c r="B321" s="95"/>
      <c r="C321" s="87" t="s">
        <v>19</v>
      </c>
      <c r="D321" s="91">
        <f>3.5461</f>
        <v>3.5461</v>
      </c>
      <c r="E321" s="91">
        <f>3.5461</f>
        <v>3.5461</v>
      </c>
      <c r="F321" s="91">
        <f>3.5461</f>
        <v>3.5461</v>
      </c>
      <c r="G321" s="91">
        <f t="shared" ref="G321:O321" si="30">3.5461</f>
        <v>3.5461</v>
      </c>
      <c r="H321" s="91">
        <f t="shared" si="30"/>
        <v>3.5461</v>
      </c>
      <c r="I321" s="91">
        <f t="shared" si="30"/>
        <v>3.5461</v>
      </c>
      <c r="J321" s="91">
        <f t="shared" si="30"/>
        <v>3.5461</v>
      </c>
      <c r="K321" s="91">
        <f t="shared" si="30"/>
        <v>3.5461</v>
      </c>
      <c r="L321" s="91">
        <f t="shared" si="30"/>
        <v>3.5461</v>
      </c>
      <c r="M321" s="91">
        <f t="shared" si="30"/>
        <v>3.5461</v>
      </c>
      <c r="N321" s="91">
        <f t="shared" si="30"/>
        <v>3.5461</v>
      </c>
      <c r="O321" s="91">
        <f t="shared" si="30"/>
        <v>3.5461</v>
      </c>
      <c r="P321" s="91">
        <v>3.5461</v>
      </c>
    </row>
    <row r="322" spans="1:16" ht="14.4" x14ac:dyDescent="0.3">
      <c r="A322" s="95" t="s">
        <v>115</v>
      </c>
      <c r="B322" s="95"/>
      <c r="C322" s="87" t="s">
        <v>19</v>
      </c>
      <c r="D322" s="91">
        <f t="shared" ref="D322:I322" si="31">+D55</f>
        <v>-0.80620000000000003</v>
      </c>
      <c r="E322" s="91">
        <f t="shared" si="31"/>
        <v>-1.1967000000000001</v>
      </c>
      <c r="F322" s="91">
        <f t="shared" si="31"/>
        <v>-1.0435000000000001</v>
      </c>
      <c r="G322" s="91">
        <f t="shared" si="31"/>
        <v>-1.0555000000000001</v>
      </c>
      <c r="H322" s="91">
        <f t="shared" si="31"/>
        <v>-1.2337</v>
      </c>
      <c r="I322" s="91">
        <f t="shared" si="31"/>
        <v>-1.3593999999999999</v>
      </c>
      <c r="J322" s="91">
        <f>+J55</f>
        <v>-1.2383</v>
      </c>
      <c r="K322" s="91">
        <f t="shared" ref="K322:P322" si="32">+K55</f>
        <v>-1.4530000000000001</v>
      </c>
      <c r="L322" s="91">
        <f t="shared" si="32"/>
        <v>-1.4926999999999999</v>
      </c>
      <c r="M322" s="91">
        <f t="shared" si="32"/>
        <v>-1.3553999999999999</v>
      </c>
      <c r="N322" s="91">
        <f t="shared" si="32"/>
        <v>-1.3781000000000001</v>
      </c>
      <c r="O322" s="91">
        <f t="shared" si="32"/>
        <v>-1.4268000000000001</v>
      </c>
      <c r="P322" s="91">
        <f t="shared" si="32"/>
        <v>0</v>
      </c>
    </row>
    <row r="323" spans="1:16" ht="14.4" x14ac:dyDescent="0.3">
      <c r="A323" s="85" t="s">
        <v>20</v>
      </c>
      <c r="B323" s="86"/>
      <c r="C323" s="87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</row>
    <row r="324" spans="1:16" ht="14.4" x14ac:dyDescent="0.3">
      <c r="A324" s="89" t="s">
        <v>21</v>
      </c>
      <c r="B324" s="90"/>
      <c r="C324" s="87" t="s">
        <v>19</v>
      </c>
      <c r="D324" s="91">
        <v>0</v>
      </c>
      <c r="E324" s="91">
        <v>0</v>
      </c>
      <c r="F324" s="91">
        <v>0</v>
      </c>
      <c r="G324" s="91">
        <v>0</v>
      </c>
      <c r="H324" s="91">
        <v>0</v>
      </c>
      <c r="I324" s="91">
        <v>0</v>
      </c>
      <c r="J324" s="91">
        <v>0</v>
      </c>
      <c r="K324" s="91">
        <v>0</v>
      </c>
      <c r="L324" s="91">
        <v>0</v>
      </c>
      <c r="M324" s="91">
        <v>0</v>
      </c>
      <c r="N324" s="91">
        <v>0</v>
      </c>
      <c r="O324" s="91">
        <v>0</v>
      </c>
      <c r="P324" s="91">
        <v>0</v>
      </c>
    </row>
    <row r="325" spans="1:16" ht="14.4" x14ac:dyDescent="0.3">
      <c r="A325" s="89" t="s">
        <v>22</v>
      </c>
      <c r="B325" s="90"/>
      <c r="C325" s="87" t="s">
        <v>23</v>
      </c>
      <c r="D325" s="91">
        <f>[48]TR!D48</f>
        <v>247.48</v>
      </c>
      <c r="E325" s="91">
        <f>[48]TR!E48</f>
        <v>270.66000000000003</v>
      </c>
      <c r="F325" s="91">
        <f>[48]TR!F48</f>
        <v>280.92439999999999</v>
      </c>
      <c r="G325" s="91">
        <f>[48]TR!G48</f>
        <v>271.18439999999998</v>
      </c>
      <c r="H325" s="91">
        <f>[48]TR!H48</f>
        <v>250.0044</v>
      </c>
      <c r="I325" s="91">
        <f>[48]TR!I48</f>
        <v>282.46440000000001</v>
      </c>
      <c r="J325" s="91">
        <f>[48]TR!J48</f>
        <v>292.6309</v>
      </c>
      <c r="K325" s="91">
        <f>[48]TR!K48</f>
        <v>286.95999999999998</v>
      </c>
      <c r="L325" s="91">
        <f>[48]TR!L48</f>
        <v>293.56</v>
      </c>
      <c r="M325" s="91">
        <f>[48]TR!M48</f>
        <v>282.98</v>
      </c>
      <c r="N325" s="91">
        <f>[48]TR!N48</f>
        <v>290.81</v>
      </c>
      <c r="O325" s="91">
        <f>[48]TR!O48</f>
        <v>278.24</v>
      </c>
      <c r="P325" s="91">
        <f>[48]TR!P48</f>
        <v>0</v>
      </c>
    </row>
    <row r="326" spans="1:16" ht="14.4" x14ac:dyDescent="0.3">
      <c r="A326" s="85" t="s">
        <v>24</v>
      </c>
      <c r="B326" s="86"/>
      <c r="C326" s="87"/>
      <c r="D326" s="92"/>
      <c r="E326" s="92"/>
      <c r="F326" s="92"/>
      <c r="G326" s="92"/>
      <c r="H326" s="92"/>
      <c r="I326" s="92"/>
      <c r="J326" s="92"/>
      <c r="K326" s="92"/>
      <c r="L326" s="92"/>
      <c r="M326" s="92"/>
      <c r="N326" s="92"/>
      <c r="O326" s="92"/>
      <c r="P326" s="92"/>
    </row>
    <row r="327" spans="1:16" ht="14.4" x14ac:dyDescent="0.3">
      <c r="A327" s="89" t="s">
        <v>25</v>
      </c>
      <c r="B327" s="90"/>
      <c r="C327" s="87" t="s">
        <v>19</v>
      </c>
      <c r="D327" s="91">
        <f>[48]SLR!D79</f>
        <v>0.19570000000000001</v>
      </c>
      <c r="E327" s="91">
        <f>[48]SLR!E79</f>
        <v>0.1832</v>
      </c>
      <c r="F327" s="91">
        <f>[48]SLR!F79</f>
        <v>0.14789999999999998</v>
      </c>
      <c r="G327" s="91">
        <f>[48]SLR!G79</f>
        <v>0.1522</v>
      </c>
      <c r="H327" s="91">
        <f>[48]SLR!H79</f>
        <v>0.14860000000000001</v>
      </c>
      <c r="I327" s="91">
        <f>[48]SLR!I79</f>
        <v>0.1537</v>
      </c>
      <c r="J327" s="91">
        <f>[48]SLR!J79</f>
        <v>0.2016</v>
      </c>
      <c r="K327" s="91">
        <f>[48]SLR!K79</f>
        <v>0.21279999999999999</v>
      </c>
      <c r="L327" s="91">
        <f>[48]SLR!L79</f>
        <v>0.1789</v>
      </c>
      <c r="M327" s="91">
        <f>[48]SLR!M79</f>
        <v>0.19239999999999999</v>
      </c>
      <c r="N327" s="91">
        <f>[48]SLR!N79</f>
        <v>0.18759999999999999</v>
      </c>
      <c r="O327" s="91">
        <f>[48]SLR!O79</f>
        <v>0.1943</v>
      </c>
      <c r="P327" s="91">
        <f>[48]SLR!P79</f>
        <v>0</v>
      </c>
    </row>
    <row r="328" spans="1:16" ht="14.4" x14ac:dyDescent="0.3">
      <c r="A328" s="85" t="s">
        <v>26</v>
      </c>
      <c r="B328" s="85"/>
      <c r="C328" s="87"/>
      <c r="D328" s="93"/>
      <c r="E328" s="93"/>
      <c r="F328" s="93"/>
      <c r="G328" s="93"/>
      <c r="H328" s="93"/>
      <c r="I328" s="93"/>
      <c r="J328" s="93"/>
      <c r="K328" s="93"/>
      <c r="L328" s="93"/>
      <c r="M328" s="93"/>
      <c r="N328" s="93"/>
      <c r="O328" s="93"/>
      <c r="P328" s="93"/>
    </row>
    <row r="329" spans="1:16" ht="14.4" x14ac:dyDescent="0.3">
      <c r="A329" s="89" t="s">
        <v>27</v>
      </c>
      <c r="B329" s="89"/>
      <c r="C329" s="87" t="s">
        <v>19</v>
      </c>
      <c r="D329" s="91">
        <v>5.1299999999999998E-2</v>
      </c>
      <c r="E329" s="91">
        <v>5.1299999999999998E-2</v>
      </c>
      <c r="F329" s="91">
        <v>5.1299999999999998E-2</v>
      </c>
      <c r="G329" s="91">
        <v>5.1299999999999998E-2</v>
      </c>
      <c r="H329" s="91">
        <v>5.1299999999999998E-2</v>
      </c>
      <c r="I329" s="91">
        <v>5.1299999999999998E-2</v>
      </c>
      <c r="J329" s="91">
        <v>5.1299999999999998E-2</v>
      </c>
      <c r="K329" s="91">
        <v>5.1299999999999998E-2</v>
      </c>
      <c r="L329" s="91">
        <v>5.1299999999999998E-2</v>
      </c>
      <c r="M329" s="91">
        <v>5.1299999999999998E-2</v>
      </c>
      <c r="N329" s="91">
        <v>5.1299999999999998E-2</v>
      </c>
      <c r="O329" s="91">
        <v>5.1299999999999998E-2</v>
      </c>
      <c r="P329" s="91">
        <v>5.1299999999999998E-2</v>
      </c>
    </row>
    <row r="330" spans="1:16" ht="14.4" x14ac:dyDescent="0.3">
      <c r="A330" s="89" t="s">
        <v>28</v>
      </c>
      <c r="B330" s="89"/>
      <c r="C330" s="87" t="s">
        <v>23</v>
      </c>
      <c r="D330" s="69">
        <v>182.66</v>
      </c>
      <c r="E330" s="69">
        <v>182.66</v>
      </c>
      <c r="F330" s="69">
        <v>182.66</v>
      </c>
      <c r="G330" s="69">
        <v>182.66</v>
      </c>
      <c r="H330" s="69">
        <v>182.66</v>
      </c>
      <c r="I330" s="69">
        <v>182.66</v>
      </c>
      <c r="J330" s="69">
        <v>182.66</v>
      </c>
      <c r="K330" s="69">
        <v>182.66</v>
      </c>
      <c r="L330" s="69">
        <v>182.66</v>
      </c>
      <c r="M330" s="69">
        <v>182.66</v>
      </c>
      <c r="N330" s="69">
        <v>182.66</v>
      </c>
      <c r="O330" s="69">
        <v>182.66</v>
      </c>
      <c r="P330" s="69">
        <v>182.66</v>
      </c>
    </row>
    <row r="331" spans="1:16" ht="14.4" x14ac:dyDescent="0.3">
      <c r="A331" s="85" t="s">
        <v>29</v>
      </c>
      <c r="B331" s="85"/>
      <c r="C331" s="87"/>
      <c r="D331" s="106"/>
      <c r="E331" s="106"/>
      <c r="F331" s="106"/>
      <c r="G331" s="106"/>
      <c r="H331" s="106"/>
      <c r="I331" s="106"/>
      <c r="J331" s="106"/>
      <c r="K331" s="106"/>
      <c r="L331" s="106"/>
      <c r="M331" s="106"/>
      <c r="N331" s="106"/>
      <c r="O331" s="106"/>
      <c r="P331" s="106"/>
    </row>
    <row r="332" spans="1:16" ht="14.4" x14ac:dyDescent="0.3">
      <c r="A332" s="89" t="s">
        <v>30</v>
      </c>
      <c r="B332" s="89"/>
      <c r="C332" s="87"/>
      <c r="D332" s="87"/>
      <c r="E332" s="87"/>
      <c r="F332" s="87"/>
      <c r="G332" s="87"/>
      <c r="H332" s="87"/>
      <c r="I332" s="87"/>
      <c r="J332" s="87"/>
      <c r="K332" s="87"/>
      <c r="L332" s="87"/>
      <c r="M332" s="87"/>
      <c r="N332" s="87"/>
      <c r="O332" s="87"/>
      <c r="P332" s="87"/>
    </row>
    <row r="333" spans="1:16" ht="14.4" x14ac:dyDescent="0.3">
      <c r="A333" s="95" t="s">
        <v>125</v>
      </c>
      <c r="B333" s="95"/>
      <c r="C333" s="87" t="s">
        <v>19</v>
      </c>
      <c r="D333" s="20">
        <v>0</v>
      </c>
      <c r="E333" s="20">
        <v>0</v>
      </c>
      <c r="F333" s="20">
        <v>0</v>
      </c>
      <c r="G333" s="20">
        <v>0</v>
      </c>
      <c r="H333" s="20">
        <v>0</v>
      </c>
      <c r="I333" s="20">
        <v>0</v>
      </c>
      <c r="J333" s="20">
        <v>0</v>
      </c>
      <c r="K333" s="20">
        <v>0</v>
      </c>
      <c r="L333" s="20">
        <v>0</v>
      </c>
      <c r="M333" s="20">
        <v>0</v>
      </c>
      <c r="N333" s="20">
        <v>0</v>
      </c>
      <c r="O333" s="20">
        <v>0</v>
      </c>
      <c r="P333" s="20">
        <v>0</v>
      </c>
    </row>
    <row r="334" spans="1:16" ht="14.4" x14ac:dyDescent="0.3">
      <c r="A334" s="95" t="s">
        <v>126</v>
      </c>
      <c r="B334" s="95"/>
      <c r="C334" s="87" t="s">
        <v>19</v>
      </c>
      <c r="D334" s="20">
        <f>D333+0.01</f>
        <v>0.01</v>
      </c>
      <c r="E334" s="20">
        <f t="shared" ref="E334:P334" si="33">E333+0.01</f>
        <v>0.01</v>
      </c>
      <c r="F334" s="20">
        <f t="shared" si="33"/>
        <v>0.01</v>
      </c>
      <c r="G334" s="20">
        <f t="shared" si="33"/>
        <v>0.01</v>
      </c>
      <c r="H334" s="20">
        <f t="shared" si="33"/>
        <v>0.01</v>
      </c>
      <c r="I334" s="20">
        <f t="shared" si="33"/>
        <v>0.01</v>
      </c>
      <c r="J334" s="20">
        <f t="shared" si="33"/>
        <v>0.01</v>
      </c>
      <c r="K334" s="20">
        <f t="shared" si="33"/>
        <v>0.01</v>
      </c>
      <c r="L334" s="20">
        <f t="shared" si="33"/>
        <v>0.01</v>
      </c>
      <c r="M334" s="20">
        <f t="shared" si="33"/>
        <v>0.01</v>
      </c>
      <c r="N334" s="20">
        <f t="shared" si="33"/>
        <v>0.01</v>
      </c>
      <c r="O334" s="20">
        <f t="shared" si="33"/>
        <v>0.01</v>
      </c>
      <c r="P334" s="20">
        <f t="shared" si="33"/>
        <v>0.01</v>
      </c>
    </row>
    <row r="335" spans="1:16" ht="14.4" x14ac:dyDescent="0.3">
      <c r="A335" s="89" t="s">
        <v>31</v>
      </c>
      <c r="B335" s="89"/>
      <c r="C335" s="87"/>
      <c r="D335" s="87"/>
      <c r="E335" s="87"/>
      <c r="F335" s="87"/>
      <c r="G335" s="87"/>
      <c r="H335" s="87"/>
      <c r="I335" s="87"/>
      <c r="J335" s="87"/>
      <c r="K335" s="87"/>
      <c r="L335" s="87"/>
      <c r="M335" s="87"/>
      <c r="N335" s="87"/>
      <c r="O335" s="87"/>
      <c r="P335" s="87"/>
    </row>
    <row r="336" spans="1:16" ht="14.4" x14ac:dyDescent="0.3">
      <c r="A336" s="95" t="s">
        <v>125</v>
      </c>
      <c r="B336" s="95"/>
      <c r="C336" s="87"/>
      <c r="D336" s="106"/>
      <c r="E336" s="106"/>
      <c r="F336" s="106"/>
      <c r="G336" s="106"/>
      <c r="H336" s="106"/>
      <c r="I336" s="106"/>
      <c r="J336" s="106"/>
      <c r="K336" s="106"/>
      <c r="L336" s="106"/>
      <c r="M336" s="106"/>
      <c r="N336" s="106"/>
      <c r="O336" s="106"/>
      <c r="P336" s="106"/>
    </row>
    <row r="337" spans="1:16" ht="14.4" x14ac:dyDescent="0.3">
      <c r="A337" s="95" t="s">
        <v>134</v>
      </c>
      <c r="B337" s="95"/>
      <c r="C337" s="87" t="s">
        <v>32</v>
      </c>
      <c r="D337" s="112">
        <v>845.17</v>
      </c>
      <c r="E337" s="112">
        <v>845.17</v>
      </c>
      <c r="F337" s="112">
        <v>845.17</v>
      </c>
      <c r="G337" s="112">
        <v>845.17</v>
      </c>
      <c r="H337" s="112">
        <v>845.17</v>
      </c>
      <c r="I337" s="112">
        <v>845.17</v>
      </c>
      <c r="J337" s="112">
        <v>845.17</v>
      </c>
      <c r="K337" s="112">
        <v>845.17</v>
      </c>
      <c r="L337" s="112">
        <v>845.17</v>
      </c>
      <c r="M337" s="112">
        <v>845.17</v>
      </c>
      <c r="N337" s="112">
        <v>845.17</v>
      </c>
      <c r="O337" s="112">
        <v>845.17</v>
      </c>
      <c r="P337" s="112">
        <v>845.17</v>
      </c>
    </row>
    <row r="338" spans="1:16" ht="14.4" x14ac:dyDescent="0.3">
      <c r="A338" s="95" t="s">
        <v>135</v>
      </c>
      <c r="B338" s="95"/>
      <c r="C338" s="87" t="s">
        <v>32</v>
      </c>
      <c r="D338" s="112">
        <v>3505.46</v>
      </c>
      <c r="E338" s="112">
        <v>3505.46</v>
      </c>
      <c r="F338" s="112">
        <v>3505.46</v>
      </c>
      <c r="G338" s="112">
        <v>3505.46</v>
      </c>
      <c r="H338" s="112">
        <v>3505.46</v>
      </c>
      <c r="I338" s="112">
        <v>3505.46</v>
      </c>
      <c r="J338" s="112">
        <v>3505.46</v>
      </c>
      <c r="K338" s="112">
        <v>3505.46</v>
      </c>
      <c r="L338" s="112">
        <v>3505.46</v>
      </c>
      <c r="M338" s="112">
        <v>3505.46</v>
      </c>
      <c r="N338" s="112">
        <v>3505.46</v>
      </c>
      <c r="O338" s="112">
        <v>3505.46</v>
      </c>
      <c r="P338" s="112">
        <v>3505.46</v>
      </c>
    </row>
    <row r="339" spans="1:16" ht="14.4" x14ac:dyDescent="0.3">
      <c r="A339" s="95" t="s">
        <v>136</v>
      </c>
      <c r="B339" s="95"/>
      <c r="C339" s="87" t="s">
        <v>32</v>
      </c>
      <c r="D339" s="112">
        <v>12726.3</v>
      </c>
      <c r="E339" s="112">
        <v>12726.3</v>
      </c>
      <c r="F339" s="112">
        <v>12726.3</v>
      </c>
      <c r="G339" s="112">
        <v>12726.3</v>
      </c>
      <c r="H339" s="112">
        <v>12726.3</v>
      </c>
      <c r="I339" s="112">
        <v>12726.3</v>
      </c>
      <c r="J339" s="112">
        <v>12726.3</v>
      </c>
      <c r="K339" s="112">
        <v>12726.3</v>
      </c>
      <c r="L339" s="112">
        <v>12726.3</v>
      </c>
      <c r="M339" s="112">
        <v>12726.3</v>
      </c>
      <c r="N339" s="112">
        <v>12726.3</v>
      </c>
      <c r="O339" s="112">
        <v>12726.3</v>
      </c>
      <c r="P339" s="112">
        <v>12726.3</v>
      </c>
    </row>
    <row r="340" spans="1:16" ht="14.4" x14ac:dyDescent="0.3">
      <c r="A340" s="95" t="s">
        <v>126</v>
      </c>
      <c r="B340" s="95"/>
      <c r="C340" s="87"/>
      <c r="D340" s="106"/>
      <c r="E340" s="106"/>
      <c r="F340" s="106"/>
      <c r="G340" s="106"/>
      <c r="H340" s="106"/>
      <c r="I340" s="106"/>
      <c r="J340" s="106"/>
      <c r="K340" s="106"/>
      <c r="L340" s="106"/>
      <c r="M340" s="106"/>
      <c r="N340" s="106"/>
      <c r="O340" s="106"/>
      <c r="P340" s="106"/>
    </row>
    <row r="341" spans="1:16" ht="14.4" x14ac:dyDescent="0.3">
      <c r="A341" s="95" t="s">
        <v>134</v>
      </c>
      <c r="B341" s="95"/>
      <c r="C341" s="87" t="s">
        <v>32</v>
      </c>
      <c r="D341" s="112">
        <f t="shared" ref="D341:G343" si="34">D337*110%</f>
        <v>929.68700000000001</v>
      </c>
      <c r="E341" s="112">
        <f t="shared" si="34"/>
        <v>929.68700000000001</v>
      </c>
      <c r="F341" s="112">
        <f t="shared" si="34"/>
        <v>929.68700000000001</v>
      </c>
      <c r="G341" s="112">
        <f t="shared" si="34"/>
        <v>929.68700000000001</v>
      </c>
      <c r="H341" s="112">
        <v>929.68700000000001</v>
      </c>
      <c r="I341" s="112">
        <v>929.68700000000001</v>
      </c>
      <c r="J341" s="112">
        <v>929.68700000000001</v>
      </c>
      <c r="K341" s="112">
        <v>929.68700000000001</v>
      </c>
      <c r="L341" s="112">
        <v>929.68700000000001</v>
      </c>
      <c r="M341" s="112">
        <v>929.68700000000001</v>
      </c>
      <c r="N341" s="112">
        <v>929.68700000000001</v>
      </c>
      <c r="O341" s="112">
        <v>929.68700000000001</v>
      </c>
      <c r="P341" s="112">
        <v>929.68700000000001</v>
      </c>
    </row>
    <row r="342" spans="1:16" ht="14.4" x14ac:dyDescent="0.3">
      <c r="A342" s="95" t="s">
        <v>135</v>
      </c>
      <c r="B342" s="95"/>
      <c r="C342" s="87" t="s">
        <v>32</v>
      </c>
      <c r="D342" s="112">
        <f t="shared" si="34"/>
        <v>3856.0060000000003</v>
      </c>
      <c r="E342" s="112">
        <f t="shared" si="34"/>
        <v>3856.0060000000003</v>
      </c>
      <c r="F342" s="112">
        <f t="shared" si="34"/>
        <v>3856.0060000000003</v>
      </c>
      <c r="G342" s="112">
        <f t="shared" si="34"/>
        <v>3856.0060000000003</v>
      </c>
      <c r="H342" s="112">
        <v>3856.0060000000003</v>
      </c>
      <c r="I342" s="112">
        <v>3856.0060000000003</v>
      </c>
      <c r="J342" s="112">
        <v>3856.0060000000003</v>
      </c>
      <c r="K342" s="112">
        <v>3856.0060000000003</v>
      </c>
      <c r="L342" s="112">
        <v>3856.0060000000003</v>
      </c>
      <c r="M342" s="112">
        <v>3856.0060000000003</v>
      </c>
      <c r="N342" s="112">
        <v>3856.0060000000003</v>
      </c>
      <c r="O342" s="112">
        <v>3856.0060000000003</v>
      </c>
      <c r="P342" s="112">
        <v>3856.0060000000003</v>
      </c>
    </row>
    <row r="343" spans="1:16" ht="14.4" x14ac:dyDescent="0.3">
      <c r="A343" s="95" t="s">
        <v>136</v>
      </c>
      <c r="B343" s="95"/>
      <c r="C343" s="87" t="s">
        <v>32</v>
      </c>
      <c r="D343" s="112">
        <f t="shared" si="34"/>
        <v>13998.93</v>
      </c>
      <c r="E343" s="112">
        <f t="shared" si="34"/>
        <v>13998.93</v>
      </c>
      <c r="F343" s="112">
        <f t="shared" si="34"/>
        <v>13998.93</v>
      </c>
      <c r="G343" s="112">
        <f t="shared" si="34"/>
        <v>13998.93</v>
      </c>
      <c r="H343" s="112">
        <v>13998.93</v>
      </c>
      <c r="I343" s="112">
        <v>13998.93</v>
      </c>
      <c r="J343" s="112">
        <v>13998.93</v>
      </c>
      <c r="K343" s="112">
        <v>13998.93</v>
      </c>
      <c r="L343" s="112">
        <v>13998.93</v>
      </c>
      <c r="M343" s="112">
        <v>13998.93</v>
      </c>
      <c r="N343" s="112">
        <v>13998.93</v>
      </c>
      <c r="O343" s="112">
        <v>13998.93</v>
      </c>
      <c r="P343" s="112">
        <v>13998.93</v>
      </c>
    </row>
    <row r="344" spans="1:16" ht="14.4" x14ac:dyDescent="0.3">
      <c r="A344" s="85" t="s">
        <v>33</v>
      </c>
      <c r="B344" s="85"/>
      <c r="C344" s="87"/>
      <c r="D344" s="106"/>
      <c r="E344" s="106"/>
      <c r="F344" s="106"/>
      <c r="G344" s="106"/>
      <c r="H344" s="106"/>
      <c r="I344" s="106"/>
      <c r="J344" s="106"/>
      <c r="K344" s="106"/>
      <c r="L344" s="106"/>
      <c r="M344" s="106"/>
      <c r="N344" s="106"/>
      <c r="O344" s="106"/>
      <c r="P344" s="106"/>
    </row>
    <row r="345" spans="1:16" ht="14.4" x14ac:dyDescent="0.3">
      <c r="A345" s="89" t="s">
        <v>34</v>
      </c>
      <c r="B345" s="89"/>
      <c r="C345" s="87" t="s">
        <v>19</v>
      </c>
      <c r="D345" s="69">
        <v>0</v>
      </c>
      <c r="E345" s="69">
        <v>0</v>
      </c>
      <c r="F345" s="69">
        <v>0</v>
      </c>
      <c r="G345" s="69">
        <v>0</v>
      </c>
      <c r="H345" s="69">
        <v>0</v>
      </c>
      <c r="I345" s="69">
        <v>0</v>
      </c>
      <c r="J345" s="69">
        <v>0</v>
      </c>
      <c r="K345" s="69">
        <v>0</v>
      </c>
      <c r="L345" s="69">
        <v>0</v>
      </c>
      <c r="M345" s="69">
        <v>0</v>
      </c>
      <c r="N345" s="69">
        <v>0</v>
      </c>
      <c r="O345" s="69">
        <v>0</v>
      </c>
      <c r="P345" s="69">
        <v>0</v>
      </c>
    </row>
    <row r="346" spans="1:16" ht="13.5" customHeight="1" x14ac:dyDescent="0.3">
      <c r="A346" s="89" t="s">
        <v>35</v>
      </c>
      <c r="B346" s="89"/>
      <c r="C346" s="87"/>
      <c r="D346" s="87"/>
      <c r="E346" s="87"/>
      <c r="F346" s="87"/>
      <c r="G346" s="87"/>
      <c r="H346" s="87"/>
      <c r="I346" s="87"/>
      <c r="J346" s="87"/>
      <c r="K346" s="87"/>
      <c r="L346" s="87"/>
      <c r="M346" s="87"/>
      <c r="N346" s="87"/>
      <c r="O346" s="87"/>
      <c r="P346" s="87"/>
    </row>
    <row r="347" spans="1:16" ht="14.4" x14ac:dyDescent="0.3">
      <c r="A347" s="95" t="s">
        <v>125</v>
      </c>
      <c r="B347" s="95"/>
      <c r="C347" s="87"/>
      <c r="D347" s="106"/>
      <c r="E347" s="106"/>
      <c r="F347" s="106"/>
      <c r="G347" s="106"/>
      <c r="H347" s="106"/>
      <c r="I347" s="106"/>
      <c r="J347" s="106"/>
      <c r="K347" s="106"/>
      <c r="L347" s="106"/>
      <c r="M347" s="106"/>
      <c r="N347" s="106"/>
      <c r="O347" s="106"/>
      <c r="P347" s="106"/>
    </row>
    <row r="348" spans="1:16" ht="14.4" x14ac:dyDescent="0.3">
      <c r="A348" s="95" t="s">
        <v>134</v>
      </c>
      <c r="B348" s="95"/>
      <c r="C348" s="87" t="s">
        <v>32</v>
      </c>
      <c r="D348" s="112">
        <v>849.44</v>
      </c>
      <c r="E348" s="112">
        <v>849.44</v>
      </c>
      <c r="F348" s="112">
        <v>849.44</v>
      </c>
      <c r="G348" s="112">
        <v>849.44</v>
      </c>
      <c r="H348" s="112">
        <v>849.44</v>
      </c>
      <c r="I348" s="112">
        <v>849.44</v>
      </c>
      <c r="J348" s="112">
        <v>849.44</v>
      </c>
      <c r="K348" s="112">
        <v>849.44</v>
      </c>
      <c r="L348" s="112">
        <v>849.44</v>
      </c>
      <c r="M348" s="112">
        <v>849.44</v>
      </c>
      <c r="N348" s="112">
        <v>849.44</v>
      </c>
      <c r="O348" s="112">
        <v>849.44</v>
      </c>
      <c r="P348" s="112">
        <v>849.44</v>
      </c>
    </row>
    <row r="349" spans="1:16" ht="14.4" x14ac:dyDescent="0.3">
      <c r="A349" s="95" t="s">
        <v>135</v>
      </c>
      <c r="B349" s="95"/>
      <c r="C349" s="87" t="s">
        <v>32</v>
      </c>
      <c r="D349" s="112">
        <v>3525.12</v>
      </c>
      <c r="E349" s="112">
        <v>3525.12</v>
      </c>
      <c r="F349" s="112">
        <v>3525.12</v>
      </c>
      <c r="G349" s="112">
        <v>3525.12</v>
      </c>
      <c r="H349" s="112">
        <v>3525.12</v>
      </c>
      <c r="I349" s="112">
        <v>3525.12</v>
      </c>
      <c r="J349" s="112">
        <v>3525.12</v>
      </c>
      <c r="K349" s="112">
        <v>3525.12</v>
      </c>
      <c r="L349" s="112">
        <v>3525.12</v>
      </c>
      <c r="M349" s="112">
        <v>3525.12</v>
      </c>
      <c r="N349" s="112">
        <v>3525.12</v>
      </c>
      <c r="O349" s="112">
        <v>3525.12</v>
      </c>
      <c r="P349" s="112">
        <v>3525.12</v>
      </c>
    </row>
    <row r="350" spans="1:16" ht="14.4" x14ac:dyDescent="0.3">
      <c r="A350" s="95" t="s">
        <v>136</v>
      </c>
      <c r="B350" s="95"/>
      <c r="C350" s="87" t="s">
        <v>32</v>
      </c>
      <c r="D350" s="112">
        <v>12075.11</v>
      </c>
      <c r="E350" s="112">
        <v>12075.11</v>
      </c>
      <c r="F350" s="112">
        <v>12075.11</v>
      </c>
      <c r="G350" s="112">
        <v>12075.11</v>
      </c>
      <c r="H350" s="112">
        <v>12075.11</v>
      </c>
      <c r="I350" s="112">
        <v>12075.11</v>
      </c>
      <c r="J350" s="112">
        <v>12075.11</v>
      </c>
      <c r="K350" s="112">
        <v>12075.11</v>
      </c>
      <c r="L350" s="112">
        <v>12075.11</v>
      </c>
      <c r="M350" s="112">
        <v>12075.11</v>
      </c>
      <c r="N350" s="112">
        <v>12075.11</v>
      </c>
      <c r="O350" s="112">
        <v>12075.11</v>
      </c>
      <c r="P350" s="112">
        <v>12075.11</v>
      </c>
    </row>
    <row r="351" spans="1:16" ht="14.4" x14ac:dyDescent="0.3">
      <c r="A351" s="95" t="s">
        <v>126</v>
      </c>
      <c r="B351" s="95"/>
      <c r="C351" s="87"/>
      <c r="D351" s="106"/>
      <c r="E351" s="106"/>
      <c r="F351" s="106"/>
      <c r="G351" s="106"/>
      <c r="H351" s="106"/>
      <c r="I351" s="106"/>
      <c r="J351" s="106"/>
      <c r="K351" s="106"/>
      <c r="L351" s="106"/>
      <c r="M351" s="106"/>
      <c r="N351" s="106"/>
      <c r="O351" s="106"/>
      <c r="P351" s="106"/>
    </row>
    <row r="352" spans="1:16" ht="14.4" x14ac:dyDescent="0.3">
      <c r="A352" s="95" t="s">
        <v>134</v>
      </c>
      <c r="B352" s="95"/>
      <c r="C352" s="87" t="s">
        <v>32</v>
      </c>
      <c r="D352" s="112">
        <f t="shared" ref="D352:G354" si="35">D348*110%</f>
        <v>934.38400000000013</v>
      </c>
      <c r="E352" s="112">
        <f t="shared" si="35"/>
        <v>934.38400000000013</v>
      </c>
      <c r="F352" s="112">
        <f t="shared" si="35"/>
        <v>934.38400000000013</v>
      </c>
      <c r="G352" s="112">
        <f t="shared" si="35"/>
        <v>934.38400000000013</v>
      </c>
      <c r="H352" s="112">
        <v>934.38400000000013</v>
      </c>
      <c r="I352" s="112">
        <v>934.38400000000013</v>
      </c>
      <c r="J352" s="112">
        <v>934.38400000000013</v>
      </c>
      <c r="K352" s="112">
        <v>934.38400000000013</v>
      </c>
      <c r="L352" s="112">
        <v>934.38400000000013</v>
      </c>
      <c r="M352" s="112">
        <v>934.38400000000013</v>
      </c>
      <c r="N352" s="112">
        <v>934.38400000000013</v>
      </c>
      <c r="O352" s="112">
        <v>934.38400000000013</v>
      </c>
      <c r="P352" s="112">
        <v>934.38400000000013</v>
      </c>
    </row>
    <row r="353" spans="1:16" ht="14.4" x14ac:dyDescent="0.3">
      <c r="A353" s="95" t="s">
        <v>135</v>
      </c>
      <c r="B353" s="95"/>
      <c r="C353" s="87" t="s">
        <v>32</v>
      </c>
      <c r="D353" s="112">
        <f t="shared" si="35"/>
        <v>3877.6320000000001</v>
      </c>
      <c r="E353" s="112">
        <f t="shared" si="35"/>
        <v>3877.6320000000001</v>
      </c>
      <c r="F353" s="112">
        <f t="shared" si="35"/>
        <v>3877.6320000000001</v>
      </c>
      <c r="G353" s="112">
        <f t="shared" si="35"/>
        <v>3877.6320000000001</v>
      </c>
      <c r="H353" s="112">
        <v>3877.6320000000001</v>
      </c>
      <c r="I353" s="112">
        <v>3877.6320000000001</v>
      </c>
      <c r="J353" s="112">
        <v>3877.6320000000001</v>
      </c>
      <c r="K353" s="112">
        <v>3877.6320000000001</v>
      </c>
      <c r="L353" s="112">
        <v>3877.6320000000001</v>
      </c>
      <c r="M353" s="112">
        <v>3877.6320000000001</v>
      </c>
      <c r="N353" s="112">
        <v>3877.6320000000001</v>
      </c>
      <c r="O353" s="112">
        <v>3877.6320000000001</v>
      </c>
      <c r="P353" s="112">
        <v>3877.6320000000001</v>
      </c>
    </row>
    <row r="354" spans="1:16" ht="14.4" x14ac:dyDescent="0.3">
      <c r="A354" s="95" t="s">
        <v>136</v>
      </c>
      <c r="B354" s="95"/>
      <c r="C354" s="87" t="s">
        <v>32</v>
      </c>
      <c r="D354" s="112">
        <f t="shared" si="35"/>
        <v>13282.621000000001</v>
      </c>
      <c r="E354" s="112">
        <f t="shared" si="35"/>
        <v>13282.621000000001</v>
      </c>
      <c r="F354" s="112">
        <f t="shared" si="35"/>
        <v>13282.621000000001</v>
      </c>
      <c r="G354" s="112">
        <f t="shared" si="35"/>
        <v>13282.621000000001</v>
      </c>
      <c r="H354" s="112">
        <v>13282.621000000001</v>
      </c>
      <c r="I354" s="112">
        <v>13282.621000000001</v>
      </c>
      <c r="J354" s="112">
        <v>13282.621000000001</v>
      </c>
      <c r="K354" s="112">
        <v>13282.621000000001</v>
      </c>
      <c r="L354" s="112">
        <v>13282.621000000001</v>
      </c>
      <c r="M354" s="112">
        <v>13282.621000000001</v>
      </c>
      <c r="N354" s="112">
        <v>13282.621000000001</v>
      </c>
      <c r="O354" s="112">
        <v>13282.621000000001</v>
      </c>
      <c r="P354" s="112">
        <v>13282.621000000001</v>
      </c>
    </row>
    <row r="355" spans="1:16" ht="14.4" x14ac:dyDescent="0.3">
      <c r="A355" s="85" t="s">
        <v>37</v>
      </c>
      <c r="B355" s="85"/>
      <c r="C355" s="87"/>
      <c r="D355" s="106"/>
      <c r="E355" s="106"/>
      <c r="F355" s="106"/>
      <c r="G355" s="106"/>
      <c r="H355" s="106"/>
      <c r="I355" s="106"/>
      <c r="J355" s="106"/>
      <c r="K355" s="106"/>
      <c r="L355" s="106"/>
      <c r="M355" s="106"/>
      <c r="N355" s="106"/>
      <c r="O355" s="106"/>
      <c r="P355" s="106"/>
    </row>
    <row r="356" spans="1:16" ht="14.4" x14ac:dyDescent="0.3">
      <c r="A356" s="95" t="s">
        <v>38</v>
      </c>
      <c r="B356" s="89"/>
      <c r="C356" s="87" t="s">
        <v>19</v>
      </c>
      <c r="D356" s="91">
        <f>[48]LD!D30</f>
        <v>9.3899999999999997E-2</v>
      </c>
      <c r="E356" s="91">
        <f>[48]LD!E30</f>
        <v>9.2399999999999996E-2</v>
      </c>
      <c r="F356" s="91">
        <f>[48]LD!F30</f>
        <v>8.7999999999999995E-2</v>
      </c>
      <c r="G356" s="91">
        <f>[48]LD!G30</f>
        <v>0.1013</v>
      </c>
      <c r="H356" s="91">
        <f>[48]LD!H30</f>
        <v>0.111</v>
      </c>
      <c r="I356" s="91">
        <f>[48]LD!I30</f>
        <v>4.5099999999999994E-2</v>
      </c>
      <c r="J356" s="91">
        <f>[48]LD!J30</f>
        <v>6.0400000000000002E-2</v>
      </c>
      <c r="K356" s="91">
        <f>[48]LD!K30</f>
        <v>6.54E-2</v>
      </c>
      <c r="L356" s="91">
        <f>[48]LD!L30</f>
        <v>6.6500000000000004E-2</v>
      </c>
      <c r="M356" s="91">
        <f>[48]LD!M30</f>
        <v>5.9900000000000002E-2</v>
      </c>
      <c r="N356" s="91">
        <f>[48]LD!N30</f>
        <v>4.7800000000000002E-2</v>
      </c>
      <c r="O356" s="91">
        <f>[48]LD!O30</f>
        <v>7.9100000000000004E-2</v>
      </c>
      <c r="P356" s="91">
        <f>[48]LD!P30</f>
        <v>0</v>
      </c>
    </row>
    <row r="357" spans="1:16" ht="14.4" x14ac:dyDescent="0.3">
      <c r="A357" s="95" t="s">
        <v>39</v>
      </c>
      <c r="B357" s="89"/>
      <c r="C357" s="87" t="s">
        <v>19</v>
      </c>
      <c r="D357" s="91">
        <v>0</v>
      </c>
      <c r="E357" s="91">
        <v>0</v>
      </c>
      <c r="F357" s="91">
        <v>0</v>
      </c>
      <c r="G357" s="91">
        <v>0</v>
      </c>
      <c r="H357" s="91">
        <v>0</v>
      </c>
      <c r="I357" s="91">
        <v>0</v>
      </c>
      <c r="J357" s="91">
        <v>0</v>
      </c>
      <c r="K357" s="91">
        <v>0</v>
      </c>
      <c r="L357" s="91">
        <v>0</v>
      </c>
      <c r="M357" s="91">
        <v>0</v>
      </c>
      <c r="N357" s="91">
        <v>0</v>
      </c>
      <c r="O357" s="91">
        <v>0</v>
      </c>
      <c r="P357" s="91">
        <v>0</v>
      </c>
    </row>
    <row r="358" spans="1:16" ht="14.4" x14ac:dyDescent="0.3">
      <c r="A358" s="96" t="s">
        <v>40</v>
      </c>
      <c r="B358" s="89"/>
      <c r="C358" s="87" t="s">
        <v>19</v>
      </c>
      <c r="D358" s="91">
        <f>'[48]SR CIT. SUBSIDY'!C108</f>
        <v>1E-4</v>
      </c>
      <c r="E358" s="91">
        <f>'[48]SR CIT. SUBSIDY'!D108</f>
        <v>1E-4</v>
      </c>
      <c r="F358" s="91">
        <f>'[48]SR CIT. SUBSIDY'!E108</f>
        <v>0</v>
      </c>
      <c r="G358" s="91">
        <f>'[48]SR CIT. SUBSIDY'!F108</f>
        <v>0</v>
      </c>
      <c r="H358" s="91">
        <f>'[48]SR CIT. SUBSIDY'!G108</f>
        <v>1E-4</v>
      </c>
      <c r="I358" s="91">
        <f>'[48]SR CIT. SUBSIDY'!H108</f>
        <v>1E-4</v>
      </c>
      <c r="J358" s="91">
        <f>'[48]SR CIT. SUBSIDY'!I108</f>
        <v>1E-4</v>
      </c>
      <c r="K358" s="91">
        <f>'[48]SR CIT. SUBSIDY'!J108</f>
        <v>1E-4</v>
      </c>
      <c r="L358" s="91">
        <f>'[48]SR CIT. SUBSIDY'!K108</f>
        <v>1E-4</v>
      </c>
      <c r="M358" s="91">
        <f>'[48]SR CIT. SUBSIDY'!L108</f>
        <v>1E-4</v>
      </c>
      <c r="N358" s="91">
        <f>'[48]SR CIT. SUBSIDY'!M108</f>
        <v>1E-4</v>
      </c>
      <c r="O358" s="91">
        <f>'[48]SR CIT. SUBSIDY'!N108</f>
        <v>1E-4</v>
      </c>
      <c r="P358" s="91">
        <f>'[48]SR CIT. SUBSIDY'!O108</f>
        <v>0</v>
      </c>
    </row>
    <row r="359" spans="1:16" ht="14.4" x14ac:dyDescent="0.3">
      <c r="A359" s="96" t="s">
        <v>41</v>
      </c>
      <c r="B359" s="89"/>
      <c r="C359" s="87" t="s">
        <v>19</v>
      </c>
      <c r="D359" s="91">
        <v>0</v>
      </c>
      <c r="E359" s="91">
        <v>0</v>
      </c>
      <c r="F359" s="91">
        <v>0</v>
      </c>
      <c r="G359" s="91">
        <v>0</v>
      </c>
      <c r="H359" s="91">
        <v>0</v>
      </c>
      <c r="I359" s="91">
        <v>0</v>
      </c>
      <c r="J359" s="91">
        <v>0</v>
      </c>
      <c r="K359" s="91">
        <v>0</v>
      </c>
      <c r="L359" s="91">
        <v>0</v>
      </c>
      <c r="M359" s="91">
        <v>0</v>
      </c>
      <c r="N359" s="91">
        <v>0</v>
      </c>
      <c r="O359" s="91">
        <v>0</v>
      </c>
      <c r="P359" s="91">
        <v>0</v>
      </c>
    </row>
    <row r="360" spans="1:16" ht="14.4" x14ac:dyDescent="0.3">
      <c r="A360" s="85" t="s">
        <v>42</v>
      </c>
      <c r="B360" s="85"/>
      <c r="C360" s="87"/>
      <c r="D360" s="94"/>
      <c r="E360" s="94"/>
      <c r="F360" s="94"/>
      <c r="G360" s="94"/>
      <c r="H360" s="94"/>
      <c r="I360" s="94"/>
      <c r="J360" s="94"/>
      <c r="K360" s="94"/>
      <c r="L360" s="94"/>
      <c r="M360" s="94"/>
      <c r="N360" s="94"/>
      <c r="O360" s="94"/>
      <c r="P360" s="94"/>
    </row>
    <row r="361" spans="1:16" ht="14.4" x14ac:dyDescent="0.3">
      <c r="A361" s="85" t="s">
        <v>43</v>
      </c>
      <c r="B361" s="85"/>
      <c r="C361" s="87" t="s">
        <v>44</v>
      </c>
      <c r="D361" s="91"/>
      <c r="E361" s="91"/>
      <c r="F361" s="91"/>
      <c r="G361" s="91"/>
      <c r="H361" s="91"/>
      <c r="I361" s="91"/>
      <c r="J361" s="91"/>
      <c r="K361" s="91"/>
      <c r="L361" s="91"/>
      <c r="M361" s="91"/>
      <c r="N361" s="91"/>
      <c r="O361" s="91"/>
      <c r="P361" s="91"/>
    </row>
    <row r="362" spans="1:16" ht="14.4" x14ac:dyDescent="0.3">
      <c r="A362" s="85" t="s">
        <v>45</v>
      </c>
      <c r="B362" s="85"/>
      <c r="C362" s="87"/>
      <c r="D362" s="94"/>
      <c r="E362" s="94"/>
      <c r="F362" s="94"/>
      <c r="G362" s="94"/>
      <c r="H362" s="94"/>
      <c r="I362" s="94"/>
      <c r="J362" s="94"/>
      <c r="K362" s="94"/>
      <c r="L362" s="94"/>
      <c r="M362" s="94"/>
      <c r="N362" s="94"/>
      <c r="O362" s="94"/>
      <c r="P362" s="94"/>
    </row>
    <row r="363" spans="1:16" ht="14.4" x14ac:dyDescent="0.3">
      <c r="A363" s="85" t="s">
        <v>46</v>
      </c>
      <c r="B363" s="85"/>
      <c r="C363" s="87" t="s">
        <v>19</v>
      </c>
      <c r="D363" s="91">
        <v>0</v>
      </c>
      <c r="E363" s="91">
        <v>0</v>
      </c>
      <c r="F363" s="91">
        <v>0</v>
      </c>
      <c r="G363" s="91">
        <v>0</v>
      </c>
      <c r="H363" s="91">
        <v>0</v>
      </c>
      <c r="I363" s="91">
        <v>0</v>
      </c>
      <c r="J363" s="91">
        <v>0</v>
      </c>
      <c r="K363" s="91">
        <v>0</v>
      </c>
      <c r="L363" s="91">
        <v>0</v>
      </c>
      <c r="M363" s="91">
        <v>0</v>
      </c>
      <c r="N363" s="91">
        <v>0</v>
      </c>
      <c r="O363" s="91">
        <v>0</v>
      </c>
      <c r="P363" s="91">
        <v>0</v>
      </c>
    </row>
    <row r="364" spans="1:16" ht="14.4" x14ac:dyDescent="0.3">
      <c r="A364" s="85" t="s">
        <v>47</v>
      </c>
      <c r="B364" s="85"/>
      <c r="C364" s="87"/>
      <c r="D364" s="94"/>
      <c r="E364" s="94"/>
      <c r="F364" s="94"/>
      <c r="G364" s="94"/>
      <c r="H364" s="94"/>
      <c r="I364" s="94"/>
      <c r="J364" s="94"/>
      <c r="K364" s="94"/>
      <c r="L364" s="94"/>
      <c r="M364" s="94"/>
      <c r="N364" s="94"/>
      <c r="O364" s="94"/>
      <c r="P364" s="94"/>
    </row>
    <row r="365" spans="1:16" ht="14.4" x14ac:dyDescent="0.3">
      <c r="A365" s="89" t="s">
        <v>48</v>
      </c>
      <c r="B365" s="89"/>
      <c r="C365" s="87" t="s">
        <v>19</v>
      </c>
      <c r="D365" s="91">
        <f t="shared" ref="D365:P369" si="36">D301</f>
        <v>0.15609999999999999</v>
      </c>
      <c r="E365" s="91">
        <f t="shared" si="36"/>
        <v>0.15609999999999999</v>
      </c>
      <c r="F365" s="91">
        <f t="shared" si="36"/>
        <v>0.15609999999999999</v>
      </c>
      <c r="G365" s="91">
        <f t="shared" si="36"/>
        <v>0.15609999999999999</v>
      </c>
      <c r="H365" s="91">
        <f t="shared" si="36"/>
        <v>0.15609999999999999</v>
      </c>
      <c r="I365" s="91">
        <f t="shared" si="36"/>
        <v>0.15609999999999999</v>
      </c>
      <c r="J365" s="91">
        <f t="shared" si="36"/>
        <v>0.15609999999999999</v>
      </c>
      <c r="K365" s="91">
        <f t="shared" si="36"/>
        <v>0.15609999999999999</v>
      </c>
      <c r="L365" s="91">
        <f t="shared" si="36"/>
        <v>0.15609999999999999</v>
      </c>
      <c r="M365" s="91">
        <f t="shared" si="36"/>
        <v>0.15609999999999999</v>
      </c>
      <c r="N365" s="91">
        <f t="shared" si="36"/>
        <v>0.15609999999999999</v>
      </c>
      <c r="O365" s="91">
        <f t="shared" si="36"/>
        <v>0.15609999999999999</v>
      </c>
      <c r="P365" s="91">
        <f t="shared" si="36"/>
        <v>0.15609999999999999</v>
      </c>
    </row>
    <row r="366" spans="1:16" ht="14.4" x14ac:dyDescent="0.3">
      <c r="A366" s="89" t="s">
        <v>49</v>
      </c>
      <c r="B366" s="89"/>
      <c r="C366" s="87" t="s">
        <v>19</v>
      </c>
      <c r="D366" s="91">
        <f t="shared" si="36"/>
        <v>2.5000000000000001E-3</v>
      </c>
      <c r="E366" s="91">
        <f t="shared" si="36"/>
        <v>2.5000000000000001E-3</v>
      </c>
      <c r="F366" s="91">
        <f t="shared" si="36"/>
        <v>2.5000000000000001E-3</v>
      </c>
      <c r="G366" s="91">
        <f t="shared" si="36"/>
        <v>2.5000000000000001E-3</v>
      </c>
      <c r="H366" s="91">
        <f t="shared" si="36"/>
        <v>2.5000000000000001E-3</v>
      </c>
      <c r="I366" s="91">
        <f t="shared" si="36"/>
        <v>0</v>
      </c>
      <c r="J366" s="91">
        <f t="shared" si="36"/>
        <v>0</v>
      </c>
      <c r="K366" s="91">
        <f t="shared" si="36"/>
        <v>0</v>
      </c>
      <c r="L366" s="91">
        <f t="shared" si="36"/>
        <v>0</v>
      </c>
      <c r="M366" s="91">
        <f t="shared" si="36"/>
        <v>0</v>
      </c>
      <c r="N366" s="91">
        <f t="shared" si="36"/>
        <v>0</v>
      </c>
      <c r="O366" s="91">
        <f t="shared" si="36"/>
        <v>0</v>
      </c>
      <c r="P366" s="91">
        <f t="shared" si="36"/>
        <v>0</v>
      </c>
    </row>
    <row r="367" spans="1:16" ht="14.4" x14ac:dyDescent="0.3">
      <c r="A367" s="89" t="s">
        <v>111</v>
      </c>
      <c r="B367" s="89"/>
      <c r="C367" s="87" t="s">
        <v>19</v>
      </c>
      <c r="D367" s="91">
        <f t="shared" si="36"/>
        <v>5.4300000000000001E-2</v>
      </c>
      <c r="E367" s="91">
        <f t="shared" si="36"/>
        <v>0</v>
      </c>
      <c r="F367" s="91">
        <f t="shared" si="36"/>
        <v>-0.14530000000000001</v>
      </c>
      <c r="G367" s="91">
        <f t="shared" si="36"/>
        <v>0</v>
      </c>
      <c r="H367" s="91">
        <f t="shared" si="36"/>
        <v>0</v>
      </c>
      <c r="I367" s="91">
        <f t="shared" si="36"/>
        <v>0</v>
      </c>
      <c r="J367" s="91">
        <f t="shared" si="36"/>
        <v>0</v>
      </c>
      <c r="K367" s="91">
        <f t="shared" si="36"/>
        <v>0</v>
      </c>
      <c r="L367" s="91">
        <f t="shared" si="36"/>
        <v>0</v>
      </c>
      <c r="M367" s="91">
        <f t="shared" si="36"/>
        <v>0</v>
      </c>
      <c r="N367" s="91">
        <f t="shared" si="36"/>
        <v>0</v>
      </c>
      <c r="O367" s="91">
        <f t="shared" si="36"/>
        <v>0</v>
      </c>
      <c r="P367" s="91">
        <f t="shared" si="36"/>
        <v>0</v>
      </c>
    </row>
    <row r="368" spans="1:16" ht="14.4" x14ac:dyDescent="0.3">
      <c r="A368" s="89" t="s">
        <v>112</v>
      </c>
      <c r="B368" s="89"/>
      <c r="C368" s="87" t="s">
        <v>19</v>
      </c>
      <c r="D368" s="109">
        <f t="shared" si="36"/>
        <v>4.2799999999999998E-2</v>
      </c>
      <c r="E368" s="109">
        <f t="shared" si="36"/>
        <v>4.2799999999999998E-2</v>
      </c>
      <c r="F368" s="109">
        <f t="shared" si="36"/>
        <v>4.2799999999999998E-2</v>
      </c>
      <c r="G368" s="109">
        <f t="shared" si="36"/>
        <v>4.2799999999999998E-2</v>
      </c>
      <c r="H368" s="109">
        <f t="shared" si="36"/>
        <v>4.2799999999999998E-2</v>
      </c>
      <c r="I368" s="109">
        <f t="shared" si="36"/>
        <v>4.2799999999999998E-2</v>
      </c>
      <c r="J368" s="109">
        <f t="shared" si="36"/>
        <v>4.2799999999999998E-2</v>
      </c>
      <c r="K368" s="109">
        <f t="shared" si="36"/>
        <v>4.2799999999999998E-2</v>
      </c>
      <c r="L368" s="109">
        <f t="shared" si="36"/>
        <v>4.2799999999999998E-2</v>
      </c>
      <c r="M368" s="109">
        <f t="shared" si="36"/>
        <v>4.2799999999999998E-2</v>
      </c>
      <c r="N368" s="109">
        <f t="shared" si="36"/>
        <v>4.2799999999999998E-2</v>
      </c>
      <c r="O368" s="109">
        <f t="shared" si="36"/>
        <v>4.2799999999999998E-2</v>
      </c>
      <c r="P368" s="109">
        <f t="shared" si="36"/>
        <v>4.2799999999999998E-2</v>
      </c>
    </row>
    <row r="369" spans="1:16" ht="14.4" x14ac:dyDescent="0.3">
      <c r="A369" s="85" t="s">
        <v>51</v>
      </c>
      <c r="B369" s="85"/>
      <c r="C369" s="87" t="s">
        <v>19</v>
      </c>
      <c r="D369" s="91">
        <f t="shared" si="36"/>
        <v>0.22259999999999999</v>
      </c>
      <c r="E369" s="91">
        <f t="shared" si="36"/>
        <v>4.9500000000000002E-2</v>
      </c>
      <c r="F369" s="91">
        <f t="shared" si="36"/>
        <v>4.9500000000000002E-2</v>
      </c>
      <c r="G369" s="91">
        <f t="shared" si="36"/>
        <v>0</v>
      </c>
      <c r="H369" s="91">
        <f t="shared" si="36"/>
        <v>0</v>
      </c>
      <c r="I369" s="91">
        <f t="shared" si="36"/>
        <v>4.9500000000000002E-2</v>
      </c>
      <c r="J369" s="91">
        <f t="shared" si="36"/>
        <v>4.9500000000000002E-2</v>
      </c>
      <c r="K369" s="91">
        <f t="shared" si="36"/>
        <v>4.9500000000000002E-2</v>
      </c>
      <c r="L369" s="91">
        <f t="shared" si="36"/>
        <v>4.9500000000000002E-2</v>
      </c>
      <c r="M369" s="91">
        <f t="shared" si="36"/>
        <v>4.9500000000000002E-2</v>
      </c>
      <c r="N369" s="91">
        <f t="shared" si="36"/>
        <v>4.9500000000000002E-2</v>
      </c>
      <c r="O369" s="91">
        <f t="shared" si="36"/>
        <v>4.9500000000000002E-2</v>
      </c>
      <c r="P369" s="91">
        <f t="shared" si="36"/>
        <v>4.9500000000000002E-2</v>
      </c>
    </row>
    <row r="370" spans="1:16" ht="14.4" x14ac:dyDescent="0.3">
      <c r="A370" s="85" t="s">
        <v>52</v>
      </c>
      <c r="B370" s="85"/>
      <c r="C370" s="97"/>
      <c r="D370" s="22"/>
      <c r="E370" s="22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</row>
    <row r="371" spans="1:16" ht="14.4" x14ac:dyDescent="0.3">
      <c r="A371" s="89" t="s">
        <v>53</v>
      </c>
      <c r="B371" s="89"/>
      <c r="C371" s="87" t="s">
        <v>44</v>
      </c>
      <c r="D371" s="30">
        <f>'[48]DU VAT'!C15</f>
        <v>0.1094</v>
      </c>
      <c r="E371" s="30">
        <f>'[48]DU VAT'!D15</f>
        <v>0.1108</v>
      </c>
      <c r="F371" s="30">
        <f>'[48]DU VAT'!E15</f>
        <v>0.11159999999999999</v>
      </c>
      <c r="G371" s="30">
        <f>'[48]DU VAT'!F15</f>
        <v>0.11550000000000001</v>
      </c>
      <c r="H371" s="30">
        <f>'[48]DU VAT'!G15</f>
        <v>0.11890000000000001</v>
      </c>
      <c r="I371" s="30">
        <f>'[48]DU VAT'!H15</f>
        <v>0.11890000000000001</v>
      </c>
      <c r="J371" s="30">
        <f>'[48]DU VAT'!I15</f>
        <v>0.1142</v>
      </c>
      <c r="K371" s="30">
        <f>'[48]DU VAT'!J15</f>
        <v>0.1143</v>
      </c>
      <c r="L371" s="30">
        <f>'[48]DU VAT'!K15</f>
        <v>0.11559999999999999</v>
      </c>
      <c r="M371" s="30">
        <f>'[48]DU VAT'!L15</f>
        <v>0.11119999999999999</v>
      </c>
      <c r="N371" s="30">
        <f>'[48]DU VAT'!M15</f>
        <v>0.1148</v>
      </c>
      <c r="O371" s="30">
        <f>'[48]DU VAT'!N15</f>
        <v>0.1158</v>
      </c>
      <c r="P371" s="30" t="e">
        <f>'[48]DU VAT'!O15</f>
        <v>#DIV/0!</v>
      </c>
    </row>
    <row r="372" spans="1:16" ht="14.4" x14ac:dyDescent="0.3">
      <c r="A372" s="89" t="s">
        <v>54</v>
      </c>
      <c r="B372" s="89"/>
      <c r="C372" s="87" t="s">
        <v>44</v>
      </c>
      <c r="D372" s="30">
        <f>'[48]DU VAT'!C22</f>
        <v>0.1011</v>
      </c>
      <c r="E372" s="30">
        <f>'[48]DU VAT'!D22</f>
        <v>0.1071</v>
      </c>
      <c r="F372" s="30">
        <f>'[48]DU VAT'!E22</f>
        <v>0.1144</v>
      </c>
      <c r="G372" s="30">
        <f>'[48]DU VAT'!F22</f>
        <v>0.11749999999999999</v>
      </c>
      <c r="H372" s="30">
        <f>'[48]DU VAT'!G22</f>
        <v>0.1123</v>
      </c>
      <c r="I372" s="30">
        <f>'[48]DU VAT'!H22</f>
        <v>0.11509999999999999</v>
      </c>
      <c r="J372" s="30">
        <f>'[48]DU VAT'!I22</f>
        <v>9.9299999999999999E-2</v>
      </c>
      <c r="K372" s="30">
        <f>'[48]DU VAT'!J22</f>
        <v>0.1032</v>
      </c>
      <c r="L372" s="30">
        <f>'[48]DU VAT'!K22</f>
        <v>0.1017</v>
      </c>
      <c r="M372" s="30">
        <f>'[48]DU VAT'!L22</f>
        <v>0.1055</v>
      </c>
      <c r="N372" s="30">
        <f>'[48]DU VAT'!M22</f>
        <v>0.10100000000000001</v>
      </c>
      <c r="O372" s="30">
        <f>'[48]DU VAT'!N22</f>
        <v>9.6699999999999994E-2</v>
      </c>
      <c r="P372" s="30" t="e">
        <f>'[48]DU VAT'!O22</f>
        <v>#DIV/0!</v>
      </c>
    </row>
    <row r="373" spans="1:16" ht="14.4" x14ac:dyDescent="0.3">
      <c r="A373" s="89" t="s">
        <v>55</v>
      </c>
      <c r="B373" s="89"/>
      <c r="C373" s="87" t="s">
        <v>44</v>
      </c>
      <c r="D373" s="30">
        <f>'[48]DU VAT'!C29</f>
        <v>0.1084</v>
      </c>
      <c r="E373" s="30">
        <f>'[48]DU VAT'!D29</f>
        <v>0.1103</v>
      </c>
      <c r="F373" s="30">
        <f>'[48]DU VAT'!E29</f>
        <v>0.1105</v>
      </c>
      <c r="G373" s="30">
        <f>'[48]DU VAT'!F29</f>
        <v>0.1143</v>
      </c>
      <c r="H373" s="30">
        <f>'[48]DU VAT'!G29</f>
        <v>0.1162</v>
      </c>
      <c r="I373" s="30">
        <f>'[48]DU VAT'!H29</f>
        <v>0.1166</v>
      </c>
      <c r="J373" s="30">
        <f>'[48]DU VAT'!I29</f>
        <v>0.1118</v>
      </c>
      <c r="K373" s="30">
        <f>'[48]DU VAT'!J29</f>
        <v>0.11310000000000001</v>
      </c>
      <c r="L373" s="30">
        <f>'[48]DU VAT'!K29</f>
        <v>0.1134</v>
      </c>
      <c r="M373" s="30">
        <f>'[48]DU VAT'!L29</f>
        <v>0.1104</v>
      </c>
      <c r="N373" s="30">
        <f>'[48]DU VAT'!M29</f>
        <v>0.11260000000000001</v>
      </c>
      <c r="O373" s="30">
        <f>'[48]DU VAT'!N29</f>
        <v>0.1128</v>
      </c>
      <c r="P373" s="30" t="e">
        <f>'[48]DU VAT'!O29</f>
        <v>#DIV/0!</v>
      </c>
    </row>
    <row r="374" spans="1:16" ht="14.4" x14ac:dyDescent="0.3">
      <c r="A374" s="89" t="s">
        <v>56</v>
      </c>
      <c r="B374" s="89"/>
      <c r="C374" s="87" t="s">
        <v>44</v>
      </c>
      <c r="D374" s="30">
        <f t="shared" ref="D374:P375" si="37">D310</f>
        <v>0.12</v>
      </c>
      <c r="E374" s="30">
        <f t="shared" si="37"/>
        <v>0.12</v>
      </c>
      <c r="F374" s="30">
        <f t="shared" si="37"/>
        <v>0.12</v>
      </c>
      <c r="G374" s="30">
        <f t="shared" si="37"/>
        <v>0.12</v>
      </c>
      <c r="H374" s="30">
        <f t="shared" si="37"/>
        <v>0.12</v>
      </c>
      <c r="I374" s="30">
        <f t="shared" si="37"/>
        <v>0.12</v>
      </c>
      <c r="J374" s="30">
        <f t="shared" si="37"/>
        <v>0.12</v>
      </c>
      <c r="K374" s="30">
        <f t="shared" si="37"/>
        <v>0.12</v>
      </c>
      <c r="L374" s="30">
        <f t="shared" si="37"/>
        <v>0.12</v>
      </c>
      <c r="M374" s="30">
        <f t="shared" si="37"/>
        <v>0.12</v>
      </c>
      <c r="N374" s="30">
        <f t="shared" si="37"/>
        <v>0.12</v>
      </c>
      <c r="O374" s="30">
        <f t="shared" si="37"/>
        <v>0.12</v>
      </c>
      <c r="P374" s="30">
        <f t="shared" si="37"/>
        <v>0.12</v>
      </c>
    </row>
    <row r="375" spans="1:16" ht="14.4" x14ac:dyDescent="0.3">
      <c r="A375" s="89" t="s">
        <v>57</v>
      </c>
      <c r="B375" s="89"/>
      <c r="C375" s="87" t="s">
        <v>44</v>
      </c>
      <c r="D375" s="30">
        <f t="shared" si="37"/>
        <v>0.12</v>
      </c>
      <c r="E375" s="30">
        <f t="shared" si="37"/>
        <v>0.12</v>
      </c>
      <c r="F375" s="30">
        <f t="shared" si="37"/>
        <v>0.12</v>
      </c>
      <c r="G375" s="30">
        <f t="shared" si="37"/>
        <v>0.12</v>
      </c>
      <c r="H375" s="30">
        <f t="shared" si="37"/>
        <v>0.12</v>
      </c>
      <c r="I375" s="30">
        <f t="shared" si="37"/>
        <v>0.12</v>
      </c>
      <c r="J375" s="30">
        <f t="shared" si="37"/>
        <v>0.12</v>
      </c>
      <c r="K375" s="30">
        <f t="shared" si="37"/>
        <v>0.12</v>
      </c>
      <c r="L375" s="30">
        <f t="shared" si="37"/>
        <v>0.12</v>
      </c>
      <c r="M375" s="30">
        <f t="shared" si="37"/>
        <v>0.12</v>
      </c>
      <c r="N375" s="30">
        <f t="shared" si="37"/>
        <v>0.12</v>
      </c>
      <c r="O375" s="30">
        <f t="shared" si="37"/>
        <v>0.12</v>
      </c>
      <c r="P375" s="30">
        <f t="shared" si="37"/>
        <v>0.12</v>
      </c>
    </row>
    <row r="376" spans="1:16" ht="14.4" x14ac:dyDescent="0.3">
      <c r="A376" s="116"/>
      <c r="B376" s="116"/>
      <c r="C376" s="117"/>
      <c r="D376" s="118"/>
      <c r="E376" s="118"/>
      <c r="F376" s="118"/>
      <c r="G376" s="118"/>
      <c r="H376" s="118"/>
      <c r="I376" s="118"/>
      <c r="J376" s="118"/>
      <c r="K376" s="118"/>
      <c r="L376" s="118"/>
      <c r="M376" s="118"/>
      <c r="N376" s="118"/>
      <c r="O376" s="118"/>
      <c r="P376" s="118"/>
    </row>
    <row r="377" spans="1:16" x14ac:dyDescent="0.3">
      <c r="A377" s="77" t="s">
        <v>58</v>
      </c>
    </row>
    <row r="378" spans="1:16" ht="14.4" x14ac:dyDescent="0.3">
      <c r="A378" s="116"/>
      <c r="B378" s="116"/>
      <c r="C378" s="117"/>
      <c r="D378" s="118"/>
      <c r="E378" s="118"/>
      <c r="F378" s="118"/>
      <c r="G378" s="118"/>
      <c r="H378" s="118"/>
      <c r="I378" s="118"/>
      <c r="J378" s="118"/>
      <c r="K378" s="118"/>
      <c r="L378" s="118"/>
      <c r="M378" s="118"/>
      <c r="N378" s="118"/>
      <c r="O378" s="118"/>
      <c r="P378" s="118"/>
    </row>
    <row r="379" spans="1:16" ht="18" x14ac:dyDescent="0.35">
      <c r="A379" s="82" t="str">
        <f>'[48]Statistical data'!A189</f>
        <v xml:space="preserve">  General Power-34.5kV</v>
      </c>
      <c r="B379" s="120"/>
      <c r="C379" s="77"/>
      <c r="D379" s="83"/>
      <c r="E379" s="83"/>
      <c r="F379" s="83"/>
      <c r="G379" s="83"/>
      <c r="H379" s="83"/>
      <c r="I379" s="83"/>
      <c r="J379" s="83"/>
      <c r="K379" s="83"/>
      <c r="L379" s="83"/>
      <c r="M379" s="83"/>
      <c r="N379" s="83"/>
      <c r="O379" s="83"/>
      <c r="P379" s="83"/>
    </row>
    <row r="380" spans="1:16" s="84" customFormat="1" ht="14.4" x14ac:dyDescent="0.3">
      <c r="A380" s="12" t="s">
        <v>3</v>
      </c>
      <c r="B380" s="12"/>
      <c r="C380" s="12" t="s">
        <v>4</v>
      </c>
      <c r="D380" s="73">
        <f t="shared" ref="D380:P380" si="38">D316</f>
        <v>43831</v>
      </c>
      <c r="E380" s="73">
        <f t="shared" si="38"/>
        <v>43862</v>
      </c>
      <c r="F380" s="73">
        <f t="shared" si="38"/>
        <v>43891</v>
      </c>
      <c r="G380" s="73">
        <f t="shared" si="38"/>
        <v>43922</v>
      </c>
      <c r="H380" s="73">
        <f t="shared" si="38"/>
        <v>43952</v>
      </c>
      <c r="I380" s="73">
        <f t="shared" si="38"/>
        <v>43983</v>
      </c>
      <c r="J380" s="73">
        <f t="shared" si="38"/>
        <v>44013</v>
      </c>
      <c r="K380" s="73">
        <f t="shared" si="38"/>
        <v>44044</v>
      </c>
      <c r="L380" s="73">
        <f t="shared" si="38"/>
        <v>44075</v>
      </c>
      <c r="M380" s="73">
        <f t="shared" si="38"/>
        <v>44105</v>
      </c>
      <c r="N380" s="73">
        <f t="shared" si="38"/>
        <v>44136</v>
      </c>
      <c r="O380" s="73">
        <f t="shared" si="38"/>
        <v>44166</v>
      </c>
      <c r="P380" s="73">
        <f t="shared" si="38"/>
        <v>44197</v>
      </c>
    </row>
    <row r="381" spans="1:16" ht="14.4" x14ac:dyDescent="0.3">
      <c r="A381" s="85" t="s">
        <v>17</v>
      </c>
      <c r="B381" s="86"/>
      <c r="C381" s="87"/>
      <c r="D381" s="88"/>
      <c r="E381" s="88"/>
      <c r="F381" s="88"/>
      <c r="G381" s="88"/>
      <c r="H381" s="88"/>
      <c r="I381" s="88"/>
      <c r="J381" s="88"/>
      <c r="K381" s="88"/>
      <c r="L381" s="88"/>
      <c r="M381" s="88"/>
      <c r="N381" s="88"/>
      <c r="O381" s="88"/>
      <c r="P381" s="88"/>
    </row>
    <row r="382" spans="1:16" ht="14.4" x14ac:dyDescent="0.3">
      <c r="A382" s="95" t="s">
        <v>68</v>
      </c>
      <c r="B382" s="95"/>
      <c r="C382" s="87" t="s">
        <v>19</v>
      </c>
      <c r="D382" s="91">
        <f>[48]GR!D23</f>
        <v>4.9039000000000001</v>
      </c>
      <c r="E382" s="91">
        <f>[48]GR!E23</f>
        <v>4.5090000000000003</v>
      </c>
      <c r="F382" s="91">
        <f>[48]GR!F23</f>
        <v>4.6631999999999998</v>
      </c>
      <c r="G382" s="91">
        <f>[48]GR!G23</f>
        <v>4.6384999999999996</v>
      </c>
      <c r="H382" s="91">
        <f>[48]GR!H23</f>
        <v>4.3848000000000003</v>
      </c>
      <c r="I382" s="91">
        <f>[48]GR!I23</f>
        <v>4.3413000000000004</v>
      </c>
      <c r="J382" s="91">
        <f>[48]GR!J23</f>
        <v>4.3343999999999996</v>
      </c>
      <c r="K382" s="91">
        <f>[48]GR!K23</f>
        <v>4.1241000000000003</v>
      </c>
      <c r="L382" s="91">
        <f>[48]GR!L23</f>
        <v>4.0860000000000003</v>
      </c>
      <c r="M382" s="91">
        <f>[48]GR!M23</f>
        <v>4.2233000000000001</v>
      </c>
      <c r="N382" s="91">
        <f>[48]GR!N23</f>
        <v>4.2018000000000004</v>
      </c>
      <c r="O382" s="91">
        <f>[48]GR!O23</f>
        <v>4.1516000000000002</v>
      </c>
      <c r="P382" s="91" t="e">
        <f>[48]GR!P23</f>
        <v>#DIV/0!</v>
      </c>
    </row>
    <row r="383" spans="1:16" ht="14.4" x14ac:dyDescent="0.3">
      <c r="A383" s="95" t="s">
        <v>69</v>
      </c>
      <c r="B383" s="95"/>
      <c r="C383" s="87"/>
      <c r="D383" s="106"/>
      <c r="E383" s="106"/>
      <c r="F383" s="106"/>
      <c r="G383" s="106"/>
      <c r="H383" s="106"/>
      <c r="I383" s="106"/>
      <c r="J383" s="106"/>
      <c r="K383" s="106"/>
      <c r="L383" s="106"/>
      <c r="M383" s="106"/>
      <c r="N383" s="106"/>
      <c r="O383" s="106"/>
      <c r="P383" s="106"/>
    </row>
    <row r="384" spans="1:16" ht="14.4" x14ac:dyDescent="0.3">
      <c r="A384" s="95" t="s">
        <v>113</v>
      </c>
      <c r="B384" s="95"/>
      <c r="C384" s="87" t="s">
        <v>19</v>
      </c>
      <c r="D384" s="91">
        <f>7.4854</f>
        <v>7.4854000000000003</v>
      </c>
      <c r="E384" s="91">
        <v>7.4854000000000003</v>
      </c>
      <c r="F384" s="91">
        <v>7.4854000000000003</v>
      </c>
      <c r="G384" s="91">
        <v>7.4854000000000003</v>
      </c>
      <c r="H384" s="91">
        <v>7.4854000000000003</v>
      </c>
      <c r="I384" s="91">
        <v>7.4854000000000003</v>
      </c>
      <c r="J384" s="91">
        <v>7.2778999999999998</v>
      </c>
      <c r="K384" s="91">
        <v>7.2778999999999998</v>
      </c>
      <c r="L384" s="91">
        <v>7.2778999999999998</v>
      </c>
      <c r="M384" s="91">
        <v>7.2778999999999998</v>
      </c>
      <c r="N384" s="91">
        <v>7.2778999999999998</v>
      </c>
      <c r="O384" s="91">
        <v>7.2778999999999998</v>
      </c>
      <c r="P384" s="91">
        <v>7.4854000000000003</v>
      </c>
    </row>
    <row r="385" spans="1:16" ht="14.4" x14ac:dyDescent="0.3">
      <c r="A385" s="95" t="s">
        <v>114</v>
      </c>
      <c r="B385" s="95"/>
      <c r="C385" s="87" t="s">
        <v>19</v>
      </c>
      <c r="D385" s="91">
        <f>3.5461</f>
        <v>3.5461</v>
      </c>
      <c r="E385" s="91">
        <f>3.5461</f>
        <v>3.5461</v>
      </c>
      <c r="F385" s="91">
        <f>3.5461</f>
        <v>3.5461</v>
      </c>
      <c r="G385" s="91">
        <f t="shared" ref="G385:O385" si="39">3.5461</f>
        <v>3.5461</v>
      </c>
      <c r="H385" s="91">
        <f t="shared" si="39"/>
        <v>3.5461</v>
      </c>
      <c r="I385" s="91">
        <f t="shared" si="39"/>
        <v>3.5461</v>
      </c>
      <c r="J385" s="91">
        <f t="shared" si="39"/>
        <v>3.5461</v>
      </c>
      <c r="K385" s="91">
        <f t="shared" si="39"/>
        <v>3.5461</v>
      </c>
      <c r="L385" s="91">
        <f t="shared" si="39"/>
        <v>3.5461</v>
      </c>
      <c r="M385" s="91">
        <f t="shared" si="39"/>
        <v>3.5461</v>
      </c>
      <c r="N385" s="91">
        <f t="shared" si="39"/>
        <v>3.5461</v>
      </c>
      <c r="O385" s="91">
        <f t="shared" si="39"/>
        <v>3.5461</v>
      </c>
      <c r="P385" s="91">
        <v>3.5461</v>
      </c>
    </row>
    <row r="386" spans="1:16" ht="14.4" x14ac:dyDescent="0.3">
      <c r="A386" s="95" t="s">
        <v>115</v>
      </c>
      <c r="B386" s="95"/>
      <c r="C386" s="87" t="s">
        <v>19</v>
      </c>
      <c r="D386" s="91">
        <f t="shared" ref="D386:I386" si="40">+D55</f>
        <v>-0.80620000000000003</v>
      </c>
      <c r="E386" s="91">
        <f t="shared" si="40"/>
        <v>-1.1967000000000001</v>
      </c>
      <c r="F386" s="91">
        <f t="shared" si="40"/>
        <v>-1.0435000000000001</v>
      </c>
      <c r="G386" s="91">
        <f t="shared" si="40"/>
        <v>-1.0555000000000001</v>
      </c>
      <c r="H386" s="91">
        <f t="shared" si="40"/>
        <v>-1.2337</v>
      </c>
      <c r="I386" s="91">
        <f t="shared" si="40"/>
        <v>-1.3593999999999999</v>
      </c>
      <c r="J386" s="91">
        <f>+J55</f>
        <v>-1.2383</v>
      </c>
      <c r="K386" s="91">
        <f t="shared" ref="K386:P386" si="41">+K55</f>
        <v>-1.4530000000000001</v>
      </c>
      <c r="L386" s="91">
        <f t="shared" si="41"/>
        <v>-1.4926999999999999</v>
      </c>
      <c r="M386" s="91">
        <f t="shared" si="41"/>
        <v>-1.3553999999999999</v>
      </c>
      <c r="N386" s="91">
        <f t="shared" si="41"/>
        <v>-1.3781000000000001</v>
      </c>
      <c r="O386" s="91">
        <f t="shared" si="41"/>
        <v>-1.4268000000000001</v>
      </c>
      <c r="P386" s="91">
        <f t="shared" si="41"/>
        <v>0</v>
      </c>
    </row>
    <row r="387" spans="1:16" ht="14.4" hidden="1" x14ac:dyDescent="0.3">
      <c r="A387" s="89" t="s">
        <v>66</v>
      </c>
      <c r="B387" s="90"/>
      <c r="C387" s="87" t="s">
        <v>19</v>
      </c>
      <c r="D387" s="20">
        <v>0</v>
      </c>
      <c r="E387" s="20">
        <v>0</v>
      </c>
      <c r="F387" s="20">
        <v>0</v>
      </c>
      <c r="G387" s="20">
        <v>0</v>
      </c>
      <c r="H387" s="20">
        <v>0</v>
      </c>
      <c r="I387" s="20">
        <v>0</v>
      </c>
      <c r="J387" s="20">
        <v>0</v>
      </c>
      <c r="K387" s="20">
        <v>0</v>
      </c>
      <c r="L387" s="20">
        <v>0</v>
      </c>
      <c r="M387" s="20">
        <v>0</v>
      </c>
      <c r="N387" s="20">
        <v>0</v>
      </c>
      <c r="O387" s="20">
        <v>0</v>
      </c>
      <c r="P387" s="20">
        <v>0</v>
      </c>
    </row>
    <row r="388" spans="1:16" ht="14.4" x14ac:dyDescent="0.3">
      <c r="A388" s="85" t="s">
        <v>20</v>
      </c>
      <c r="B388" s="86"/>
      <c r="C388" s="87"/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</row>
    <row r="389" spans="1:16" ht="14.4" x14ac:dyDescent="0.3">
      <c r="A389" s="89" t="s">
        <v>21</v>
      </c>
      <c r="B389" s="90"/>
      <c r="C389" s="87" t="s">
        <v>19</v>
      </c>
      <c r="D389" s="91">
        <v>0</v>
      </c>
      <c r="E389" s="91">
        <v>0</v>
      </c>
      <c r="F389" s="91">
        <v>0</v>
      </c>
      <c r="G389" s="91">
        <v>0</v>
      </c>
      <c r="H389" s="91">
        <v>0</v>
      </c>
      <c r="I389" s="91">
        <v>0</v>
      </c>
      <c r="J389" s="91">
        <v>0</v>
      </c>
      <c r="K389" s="91">
        <v>0</v>
      </c>
      <c r="L389" s="91">
        <v>0</v>
      </c>
      <c r="M389" s="91">
        <v>0</v>
      </c>
      <c r="N389" s="91">
        <v>0</v>
      </c>
      <c r="O389" s="91">
        <v>0</v>
      </c>
      <c r="P389" s="91">
        <v>0</v>
      </c>
    </row>
    <row r="390" spans="1:16" ht="14.4" x14ac:dyDescent="0.3">
      <c r="A390" s="89" t="s">
        <v>22</v>
      </c>
      <c r="B390" s="90"/>
      <c r="C390" s="87" t="s">
        <v>23</v>
      </c>
      <c r="D390" s="91">
        <f>[48]TR!D49</f>
        <v>277.93</v>
      </c>
      <c r="E390" s="91">
        <f>[48]TR!E49</f>
        <v>305.86</v>
      </c>
      <c r="F390" s="91">
        <f>[48]TR!F49</f>
        <v>333.74509999999998</v>
      </c>
      <c r="G390" s="91">
        <f>[48]TR!G49</f>
        <v>292.4151</v>
      </c>
      <c r="H390" s="91">
        <f>[48]TR!H49</f>
        <v>310.0951</v>
      </c>
      <c r="I390" s="91">
        <f>[48]TR!I49</f>
        <v>316.23509999999999</v>
      </c>
      <c r="J390" s="91">
        <f>[48]TR!J49</f>
        <v>341.10700000000003</v>
      </c>
      <c r="K390" s="91">
        <f>[48]TR!K49</f>
        <v>319.02999999999997</v>
      </c>
      <c r="L390" s="91">
        <f>[48]TR!L49</f>
        <v>331.17</v>
      </c>
      <c r="M390" s="91">
        <f>[48]TR!M49</f>
        <v>330.8</v>
      </c>
      <c r="N390" s="91">
        <f>[48]TR!N49</f>
        <v>333.3</v>
      </c>
      <c r="O390" s="91">
        <f>[48]TR!O49</f>
        <v>332.28</v>
      </c>
      <c r="P390" s="91">
        <f>[48]TR!P49</f>
        <v>0</v>
      </c>
    </row>
    <row r="391" spans="1:16" ht="14.4" x14ac:dyDescent="0.3">
      <c r="A391" s="85" t="s">
        <v>24</v>
      </c>
      <c r="B391" s="86"/>
      <c r="C391" s="87"/>
      <c r="D391" s="92"/>
      <c r="E391" s="92"/>
      <c r="F391" s="92"/>
      <c r="G391" s="92"/>
      <c r="H391" s="92"/>
      <c r="I391" s="92"/>
      <c r="J391" s="92"/>
      <c r="K391" s="92"/>
      <c r="L391" s="92"/>
      <c r="M391" s="92"/>
      <c r="N391" s="92"/>
      <c r="O391" s="92"/>
      <c r="P391" s="92"/>
    </row>
    <row r="392" spans="1:16" ht="14.4" x14ac:dyDescent="0.3">
      <c r="A392" s="89" t="s">
        <v>25</v>
      </c>
      <c r="B392" s="90"/>
      <c r="C392" s="87" t="s">
        <v>19</v>
      </c>
      <c r="D392" s="91">
        <f>[48]SLR!D80</f>
        <v>0.19570000000000001</v>
      </c>
      <c r="E392" s="91">
        <f>[48]SLR!E80</f>
        <v>0.1832</v>
      </c>
      <c r="F392" s="91">
        <f>[48]SLR!F80</f>
        <v>0.14789999999999998</v>
      </c>
      <c r="G392" s="91">
        <f>[48]SLR!G80</f>
        <v>0.1522</v>
      </c>
      <c r="H392" s="91">
        <f>[48]SLR!H80</f>
        <v>0.14860000000000001</v>
      </c>
      <c r="I392" s="91">
        <f>[48]SLR!I80</f>
        <v>0.1537</v>
      </c>
      <c r="J392" s="91">
        <f>[48]SLR!J80</f>
        <v>0.2016</v>
      </c>
      <c r="K392" s="91">
        <f>[48]SLR!K80</f>
        <v>0.21279999999999999</v>
      </c>
      <c r="L392" s="91">
        <f>[48]SLR!L80</f>
        <v>0.1789</v>
      </c>
      <c r="M392" s="91">
        <f>[48]SLR!M80</f>
        <v>0.19239999999999999</v>
      </c>
      <c r="N392" s="91">
        <f>[48]SLR!N80</f>
        <v>0.18759999999999999</v>
      </c>
      <c r="O392" s="91">
        <f>[48]SLR!O80</f>
        <v>0.1943</v>
      </c>
      <c r="P392" s="91">
        <f>[48]SLR!P80</f>
        <v>0</v>
      </c>
    </row>
    <row r="393" spans="1:16" ht="14.4" x14ac:dyDescent="0.3">
      <c r="A393" s="85" t="s">
        <v>26</v>
      </c>
      <c r="B393" s="85"/>
      <c r="C393" s="87"/>
      <c r="D393" s="93"/>
      <c r="E393" s="93"/>
      <c r="F393" s="93"/>
      <c r="G393" s="93"/>
      <c r="H393" s="93"/>
      <c r="I393" s="93"/>
      <c r="J393" s="93"/>
      <c r="K393" s="93"/>
      <c r="L393" s="93"/>
      <c r="M393" s="93"/>
      <c r="N393" s="93"/>
      <c r="O393" s="93"/>
      <c r="P393" s="93"/>
    </row>
    <row r="394" spans="1:16" ht="14.4" x14ac:dyDescent="0.3">
      <c r="A394" s="89" t="s">
        <v>27</v>
      </c>
      <c r="B394" s="89"/>
      <c r="C394" s="87" t="s">
        <v>19</v>
      </c>
      <c r="D394" s="91">
        <v>5.1299999999999998E-2</v>
      </c>
      <c r="E394" s="91">
        <v>5.1299999999999998E-2</v>
      </c>
      <c r="F394" s="91">
        <v>5.1299999999999998E-2</v>
      </c>
      <c r="G394" s="91">
        <v>5.1299999999999998E-2</v>
      </c>
      <c r="H394" s="91">
        <v>5.1299999999999998E-2</v>
      </c>
      <c r="I394" s="91">
        <v>5.1299999999999998E-2</v>
      </c>
      <c r="J394" s="91">
        <v>5.1299999999999998E-2</v>
      </c>
      <c r="K394" s="91">
        <v>5.1299999999999998E-2</v>
      </c>
      <c r="L394" s="91">
        <v>5.1299999999999998E-2</v>
      </c>
      <c r="M394" s="91">
        <v>5.1299999999999998E-2</v>
      </c>
      <c r="N394" s="91">
        <v>5.1299999999999998E-2</v>
      </c>
      <c r="O394" s="91">
        <v>5.1299999999999998E-2</v>
      </c>
      <c r="P394" s="91">
        <v>5.1299999999999998E-2</v>
      </c>
    </row>
    <row r="395" spans="1:16" ht="14.4" x14ac:dyDescent="0.3">
      <c r="A395" s="89" t="s">
        <v>28</v>
      </c>
      <c r="B395" s="89"/>
      <c r="C395" s="87" t="s">
        <v>23</v>
      </c>
      <c r="D395" s="69">
        <v>182.66</v>
      </c>
      <c r="E395" s="69">
        <v>182.66</v>
      </c>
      <c r="F395" s="69">
        <v>182.66</v>
      </c>
      <c r="G395" s="69">
        <v>182.66</v>
      </c>
      <c r="H395" s="69">
        <v>182.66</v>
      </c>
      <c r="I395" s="69">
        <v>182.66</v>
      </c>
      <c r="J395" s="69">
        <v>182.66</v>
      </c>
      <c r="K395" s="69">
        <v>182.66</v>
      </c>
      <c r="L395" s="69">
        <v>182.66</v>
      </c>
      <c r="M395" s="69">
        <v>182.66</v>
      </c>
      <c r="N395" s="69">
        <v>182.66</v>
      </c>
      <c r="O395" s="69">
        <v>182.66</v>
      </c>
      <c r="P395" s="69">
        <v>182.66</v>
      </c>
    </row>
    <row r="396" spans="1:16" ht="14.4" x14ac:dyDescent="0.3">
      <c r="A396" s="85" t="s">
        <v>29</v>
      </c>
      <c r="B396" s="85"/>
      <c r="C396" s="87"/>
      <c r="D396" s="106"/>
      <c r="E396" s="106"/>
      <c r="F396" s="106"/>
      <c r="G396" s="106"/>
      <c r="H396" s="106"/>
      <c r="I396" s="106"/>
      <c r="J396" s="106"/>
      <c r="K396" s="106"/>
      <c r="L396" s="106"/>
      <c r="M396" s="106"/>
      <c r="N396" s="106"/>
      <c r="O396" s="106"/>
      <c r="P396" s="106"/>
    </row>
    <row r="397" spans="1:16" ht="14.4" x14ac:dyDescent="0.3">
      <c r="A397" s="89" t="s">
        <v>30</v>
      </c>
      <c r="B397" s="89"/>
      <c r="C397" s="87"/>
      <c r="D397" s="87"/>
      <c r="E397" s="87"/>
      <c r="F397" s="87"/>
      <c r="G397" s="87"/>
      <c r="H397" s="87"/>
      <c r="I397" s="87"/>
      <c r="J397" s="87"/>
      <c r="K397" s="87"/>
      <c r="L397" s="87"/>
      <c r="M397" s="87"/>
      <c r="N397" s="87"/>
      <c r="O397" s="87"/>
      <c r="P397" s="87"/>
    </row>
    <row r="398" spans="1:16" ht="14.4" x14ac:dyDescent="0.3">
      <c r="A398" s="95" t="s">
        <v>125</v>
      </c>
      <c r="B398" s="95"/>
      <c r="C398" s="87" t="s">
        <v>19</v>
      </c>
      <c r="D398" s="20">
        <v>0</v>
      </c>
      <c r="E398" s="20">
        <v>0</v>
      </c>
      <c r="F398" s="20">
        <v>0</v>
      </c>
      <c r="G398" s="20">
        <v>0</v>
      </c>
      <c r="H398" s="20">
        <v>0</v>
      </c>
      <c r="I398" s="20">
        <v>0</v>
      </c>
      <c r="J398" s="20">
        <v>0</v>
      </c>
      <c r="K398" s="20">
        <v>0</v>
      </c>
      <c r="L398" s="20">
        <v>0</v>
      </c>
      <c r="M398" s="20">
        <v>0</v>
      </c>
      <c r="N398" s="20">
        <v>0</v>
      </c>
      <c r="O398" s="20">
        <v>0</v>
      </c>
      <c r="P398" s="20">
        <v>0</v>
      </c>
    </row>
    <row r="399" spans="1:16" ht="14.4" x14ac:dyDescent="0.3">
      <c r="A399" s="95" t="s">
        <v>126</v>
      </c>
      <c r="B399" s="95"/>
      <c r="C399" s="87" t="s">
        <v>19</v>
      </c>
      <c r="D399" s="20">
        <f>D398+0.01</f>
        <v>0.01</v>
      </c>
      <c r="E399" s="20">
        <f t="shared" ref="E399:P399" si="42">E398+0.01</f>
        <v>0.01</v>
      </c>
      <c r="F399" s="20">
        <f t="shared" si="42"/>
        <v>0.01</v>
      </c>
      <c r="G399" s="20">
        <f t="shared" si="42"/>
        <v>0.01</v>
      </c>
      <c r="H399" s="20">
        <f t="shared" si="42"/>
        <v>0.01</v>
      </c>
      <c r="I399" s="20">
        <f t="shared" si="42"/>
        <v>0.01</v>
      </c>
      <c r="J399" s="20">
        <f t="shared" si="42"/>
        <v>0.01</v>
      </c>
      <c r="K399" s="20">
        <f t="shared" si="42"/>
        <v>0.01</v>
      </c>
      <c r="L399" s="20">
        <f t="shared" si="42"/>
        <v>0.01</v>
      </c>
      <c r="M399" s="20">
        <f t="shared" si="42"/>
        <v>0.01</v>
      </c>
      <c r="N399" s="20">
        <f t="shared" si="42"/>
        <v>0.01</v>
      </c>
      <c r="O399" s="20">
        <f t="shared" si="42"/>
        <v>0.01</v>
      </c>
      <c r="P399" s="20">
        <f t="shared" si="42"/>
        <v>0.01</v>
      </c>
    </row>
    <row r="400" spans="1:16" ht="14.4" x14ac:dyDescent="0.3">
      <c r="A400" s="89" t="s">
        <v>31</v>
      </c>
      <c r="B400" s="89"/>
      <c r="C400" s="87"/>
      <c r="D400" s="87"/>
      <c r="E400" s="87"/>
      <c r="F400" s="87"/>
      <c r="G400" s="87"/>
      <c r="H400" s="87"/>
      <c r="I400" s="87"/>
      <c r="J400" s="87"/>
      <c r="K400" s="87"/>
      <c r="L400" s="87"/>
      <c r="M400" s="87"/>
      <c r="N400" s="87"/>
      <c r="O400" s="87"/>
      <c r="P400" s="87"/>
    </row>
    <row r="401" spans="1:16" ht="14.4" x14ac:dyDescent="0.3">
      <c r="A401" s="95" t="s">
        <v>125</v>
      </c>
      <c r="B401" s="95"/>
      <c r="C401" s="87"/>
      <c r="D401" s="106"/>
      <c r="E401" s="106"/>
      <c r="F401" s="106"/>
      <c r="G401" s="106"/>
      <c r="H401" s="106"/>
      <c r="I401" s="106"/>
      <c r="J401" s="106"/>
      <c r="K401" s="106"/>
      <c r="L401" s="106"/>
      <c r="M401" s="106"/>
      <c r="N401" s="106"/>
      <c r="O401" s="106"/>
      <c r="P401" s="106"/>
    </row>
    <row r="402" spans="1:16" ht="14.4" x14ac:dyDescent="0.3">
      <c r="A402" s="95" t="s">
        <v>134</v>
      </c>
      <c r="B402" s="95"/>
      <c r="C402" s="87" t="s">
        <v>32</v>
      </c>
      <c r="D402" s="112">
        <v>845.17</v>
      </c>
      <c r="E402" s="112">
        <v>845.17</v>
      </c>
      <c r="F402" s="112">
        <v>845.17</v>
      </c>
      <c r="G402" s="112">
        <v>845.17</v>
      </c>
      <c r="H402" s="112">
        <v>845.17</v>
      </c>
      <c r="I402" s="112">
        <v>845.17</v>
      </c>
      <c r="J402" s="112">
        <v>845.17</v>
      </c>
      <c r="K402" s="112">
        <v>845.17</v>
      </c>
      <c r="L402" s="112">
        <v>845.17</v>
      </c>
      <c r="M402" s="112">
        <v>845.17</v>
      </c>
      <c r="N402" s="112">
        <v>845.17</v>
      </c>
      <c r="O402" s="112">
        <v>845.17</v>
      </c>
      <c r="P402" s="112">
        <v>845.17</v>
      </c>
    </row>
    <row r="403" spans="1:16" ht="14.4" x14ac:dyDescent="0.3">
      <c r="A403" s="95" t="s">
        <v>135</v>
      </c>
      <c r="B403" s="95"/>
      <c r="C403" s="87" t="s">
        <v>32</v>
      </c>
      <c r="D403" s="112">
        <v>3505.46</v>
      </c>
      <c r="E403" s="112">
        <v>3505.46</v>
      </c>
      <c r="F403" s="112">
        <v>3505.46</v>
      </c>
      <c r="G403" s="112">
        <v>3505.46</v>
      </c>
      <c r="H403" s="112">
        <v>3505.46</v>
      </c>
      <c r="I403" s="112">
        <v>3505.46</v>
      </c>
      <c r="J403" s="112">
        <v>3505.46</v>
      </c>
      <c r="K403" s="112">
        <v>3505.46</v>
      </c>
      <c r="L403" s="112">
        <v>3505.46</v>
      </c>
      <c r="M403" s="112">
        <v>3505.46</v>
      </c>
      <c r="N403" s="112">
        <v>3505.46</v>
      </c>
      <c r="O403" s="112">
        <v>3505.46</v>
      </c>
      <c r="P403" s="112">
        <v>3505.46</v>
      </c>
    </row>
    <row r="404" spans="1:16" ht="14.4" x14ac:dyDescent="0.3">
      <c r="A404" s="95" t="s">
        <v>136</v>
      </c>
      <c r="B404" s="95"/>
      <c r="C404" s="87" t="s">
        <v>32</v>
      </c>
      <c r="D404" s="112">
        <v>12726.3</v>
      </c>
      <c r="E404" s="112">
        <v>12726.3</v>
      </c>
      <c r="F404" s="112">
        <v>12726.3</v>
      </c>
      <c r="G404" s="112">
        <v>12726.3</v>
      </c>
      <c r="H404" s="112">
        <v>12726.3</v>
      </c>
      <c r="I404" s="112">
        <v>12726.3</v>
      </c>
      <c r="J404" s="112">
        <v>12726.3</v>
      </c>
      <c r="K404" s="112">
        <v>12726.3</v>
      </c>
      <c r="L404" s="112">
        <v>12726.3</v>
      </c>
      <c r="M404" s="112">
        <v>12726.3</v>
      </c>
      <c r="N404" s="112">
        <v>12726.3</v>
      </c>
      <c r="O404" s="112">
        <v>12726.3</v>
      </c>
      <c r="P404" s="112">
        <v>12726.3</v>
      </c>
    </row>
    <row r="405" spans="1:16" ht="14.4" x14ac:dyDescent="0.3">
      <c r="A405" s="95" t="s">
        <v>126</v>
      </c>
      <c r="B405" s="95"/>
      <c r="C405" s="87"/>
      <c r="D405" s="106"/>
      <c r="E405" s="106"/>
      <c r="F405" s="106"/>
      <c r="G405" s="106"/>
      <c r="H405" s="106"/>
      <c r="I405" s="106"/>
      <c r="J405" s="106"/>
      <c r="K405" s="106"/>
      <c r="L405" s="106"/>
      <c r="M405" s="106"/>
      <c r="N405" s="106"/>
      <c r="O405" s="106"/>
      <c r="P405" s="106"/>
    </row>
    <row r="406" spans="1:16" ht="14.4" x14ac:dyDescent="0.3">
      <c r="A406" s="95" t="s">
        <v>134</v>
      </c>
      <c r="B406" s="95"/>
      <c r="C406" s="87" t="s">
        <v>32</v>
      </c>
      <c r="D406" s="112">
        <f t="shared" ref="D406:G408" si="43">D402*110%</f>
        <v>929.68700000000001</v>
      </c>
      <c r="E406" s="112">
        <f t="shared" si="43"/>
        <v>929.68700000000001</v>
      </c>
      <c r="F406" s="112">
        <f t="shared" si="43"/>
        <v>929.68700000000001</v>
      </c>
      <c r="G406" s="112">
        <f t="shared" si="43"/>
        <v>929.68700000000001</v>
      </c>
      <c r="H406" s="112">
        <v>929.68700000000001</v>
      </c>
      <c r="I406" s="112">
        <v>929.68700000000001</v>
      </c>
      <c r="J406" s="112">
        <v>929.68700000000001</v>
      </c>
      <c r="K406" s="112">
        <v>929.68700000000001</v>
      </c>
      <c r="L406" s="112">
        <v>929.68700000000001</v>
      </c>
      <c r="M406" s="112">
        <v>929.68700000000001</v>
      </c>
      <c r="N406" s="112">
        <v>929.68700000000001</v>
      </c>
      <c r="O406" s="112">
        <v>929.68700000000001</v>
      </c>
      <c r="P406" s="112">
        <v>929.68700000000001</v>
      </c>
    </row>
    <row r="407" spans="1:16" ht="14.4" x14ac:dyDescent="0.3">
      <c r="A407" s="95" t="s">
        <v>135</v>
      </c>
      <c r="B407" s="95"/>
      <c r="C407" s="87" t="s">
        <v>32</v>
      </c>
      <c r="D407" s="112">
        <f t="shared" si="43"/>
        <v>3856.0060000000003</v>
      </c>
      <c r="E407" s="112">
        <f t="shared" si="43"/>
        <v>3856.0060000000003</v>
      </c>
      <c r="F407" s="112">
        <f t="shared" si="43"/>
        <v>3856.0060000000003</v>
      </c>
      <c r="G407" s="112">
        <f t="shared" si="43"/>
        <v>3856.0060000000003</v>
      </c>
      <c r="H407" s="112">
        <v>3856.0060000000003</v>
      </c>
      <c r="I407" s="112">
        <v>3856.0060000000003</v>
      </c>
      <c r="J407" s="112">
        <v>3856.0060000000003</v>
      </c>
      <c r="K407" s="112">
        <v>3856.0060000000003</v>
      </c>
      <c r="L407" s="112">
        <v>3856.0060000000003</v>
      </c>
      <c r="M407" s="112">
        <v>3856.0060000000003</v>
      </c>
      <c r="N407" s="112">
        <v>3856.0060000000003</v>
      </c>
      <c r="O407" s="112">
        <v>3856.0060000000003</v>
      </c>
      <c r="P407" s="112">
        <v>3856.0060000000003</v>
      </c>
    </row>
    <row r="408" spans="1:16" ht="14.4" x14ac:dyDescent="0.3">
      <c r="A408" s="95" t="s">
        <v>136</v>
      </c>
      <c r="B408" s="95"/>
      <c r="C408" s="87" t="s">
        <v>32</v>
      </c>
      <c r="D408" s="112">
        <f t="shared" si="43"/>
        <v>13998.93</v>
      </c>
      <c r="E408" s="112">
        <f t="shared" si="43"/>
        <v>13998.93</v>
      </c>
      <c r="F408" s="112">
        <f t="shared" si="43"/>
        <v>13998.93</v>
      </c>
      <c r="G408" s="112">
        <f t="shared" si="43"/>
        <v>13998.93</v>
      </c>
      <c r="H408" s="112">
        <v>13998.93</v>
      </c>
      <c r="I408" s="112">
        <v>13998.93</v>
      </c>
      <c r="J408" s="112">
        <v>13998.93</v>
      </c>
      <c r="K408" s="112">
        <v>13998.93</v>
      </c>
      <c r="L408" s="112">
        <v>13998.93</v>
      </c>
      <c r="M408" s="112">
        <v>13998.93</v>
      </c>
      <c r="N408" s="112">
        <v>13998.93</v>
      </c>
      <c r="O408" s="112">
        <v>13998.93</v>
      </c>
      <c r="P408" s="112">
        <v>13998.93</v>
      </c>
    </row>
    <row r="409" spans="1:16" ht="14.4" x14ac:dyDescent="0.3">
      <c r="A409" s="85" t="s">
        <v>33</v>
      </c>
      <c r="B409" s="85"/>
      <c r="C409" s="87"/>
      <c r="D409" s="106"/>
      <c r="E409" s="106"/>
      <c r="F409" s="106"/>
      <c r="G409" s="106"/>
      <c r="H409" s="106"/>
      <c r="I409" s="106"/>
      <c r="J409" s="106"/>
      <c r="K409" s="106"/>
      <c r="L409" s="106"/>
      <c r="M409" s="106"/>
      <c r="N409" s="106"/>
      <c r="O409" s="106"/>
      <c r="P409" s="106"/>
    </row>
    <row r="410" spans="1:16" ht="14.4" x14ac:dyDescent="0.3">
      <c r="A410" s="89" t="s">
        <v>34</v>
      </c>
      <c r="B410" s="89"/>
      <c r="C410" s="87" t="s">
        <v>19</v>
      </c>
      <c r="D410" s="69">
        <v>0</v>
      </c>
      <c r="E410" s="69">
        <v>0</v>
      </c>
      <c r="F410" s="69">
        <v>0</v>
      </c>
      <c r="G410" s="69">
        <v>0</v>
      </c>
      <c r="H410" s="69">
        <v>0</v>
      </c>
      <c r="I410" s="69">
        <v>0</v>
      </c>
      <c r="J410" s="69">
        <v>0</v>
      </c>
      <c r="K410" s="69">
        <v>0</v>
      </c>
      <c r="L410" s="69">
        <v>0</v>
      </c>
      <c r="M410" s="69">
        <v>0</v>
      </c>
      <c r="N410" s="69">
        <v>0</v>
      </c>
      <c r="O410" s="69">
        <v>0</v>
      </c>
      <c r="P410" s="69">
        <v>0</v>
      </c>
    </row>
    <row r="411" spans="1:16" ht="13.5" customHeight="1" x14ac:dyDescent="0.3">
      <c r="A411" s="89" t="s">
        <v>35</v>
      </c>
      <c r="B411" s="89"/>
      <c r="C411" s="87"/>
      <c r="D411" s="87"/>
      <c r="E411" s="87"/>
      <c r="F411" s="87"/>
      <c r="G411" s="87"/>
      <c r="H411" s="87"/>
      <c r="I411" s="87"/>
      <c r="J411" s="87"/>
      <c r="K411" s="87"/>
      <c r="L411" s="87"/>
      <c r="M411" s="87"/>
      <c r="N411" s="87"/>
      <c r="O411" s="87"/>
      <c r="P411" s="87"/>
    </row>
    <row r="412" spans="1:16" ht="14.4" x14ac:dyDescent="0.3">
      <c r="A412" s="95" t="s">
        <v>125</v>
      </c>
      <c r="B412" s="95"/>
      <c r="C412" s="87"/>
      <c r="D412" s="106"/>
      <c r="E412" s="106"/>
      <c r="F412" s="106"/>
      <c r="G412" s="106"/>
      <c r="H412" s="106"/>
      <c r="I412" s="106"/>
      <c r="J412" s="106"/>
      <c r="K412" s="106"/>
      <c r="L412" s="106"/>
      <c r="M412" s="106"/>
      <c r="N412" s="106"/>
      <c r="O412" s="106"/>
      <c r="P412" s="106"/>
    </row>
    <row r="413" spans="1:16" ht="14.4" x14ac:dyDescent="0.3">
      <c r="A413" s="95" t="s">
        <v>134</v>
      </c>
      <c r="B413" s="95"/>
      <c r="C413" s="87" t="s">
        <v>32</v>
      </c>
      <c r="D413" s="112">
        <v>849.44</v>
      </c>
      <c r="E413" s="112">
        <v>849.44</v>
      </c>
      <c r="F413" s="112">
        <v>849.44</v>
      </c>
      <c r="G413" s="112">
        <v>849.44</v>
      </c>
      <c r="H413" s="112">
        <v>849.44</v>
      </c>
      <c r="I413" s="112">
        <v>849.44</v>
      </c>
      <c r="J413" s="112">
        <v>849.44</v>
      </c>
      <c r="K413" s="112">
        <v>849.44</v>
      </c>
      <c r="L413" s="112">
        <v>849.44</v>
      </c>
      <c r="M413" s="112">
        <v>849.44</v>
      </c>
      <c r="N413" s="112">
        <v>849.44</v>
      </c>
      <c r="O413" s="112">
        <v>849.44</v>
      </c>
      <c r="P413" s="112">
        <v>849.44</v>
      </c>
    </row>
    <row r="414" spans="1:16" ht="14.4" x14ac:dyDescent="0.3">
      <c r="A414" s="95" t="s">
        <v>135</v>
      </c>
      <c r="B414" s="95"/>
      <c r="C414" s="87" t="s">
        <v>32</v>
      </c>
      <c r="D414" s="112">
        <v>3525.12</v>
      </c>
      <c r="E414" s="112">
        <v>3525.12</v>
      </c>
      <c r="F414" s="112">
        <v>3525.12</v>
      </c>
      <c r="G414" s="112">
        <v>3525.12</v>
      </c>
      <c r="H414" s="112">
        <v>3525.12</v>
      </c>
      <c r="I414" s="112">
        <v>3525.12</v>
      </c>
      <c r="J414" s="112">
        <v>3525.12</v>
      </c>
      <c r="K414" s="112">
        <v>3525.12</v>
      </c>
      <c r="L414" s="112">
        <v>3525.12</v>
      </c>
      <c r="M414" s="112">
        <v>3525.12</v>
      </c>
      <c r="N414" s="112">
        <v>3525.12</v>
      </c>
      <c r="O414" s="112">
        <v>3525.12</v>
      </c>
      <c r="P414" s="112">
        <v>3525.12</v>
      </c>
    </row>
    <row r="415" spans="1:16" ht="14.4" x14ac:dyDescent="0.3">
      <c r="A415" s="95" t="s">
        <v>136</v>
      </c>
      <c r="B415" s="95"/>
      <c r="C415" s="87" t="s">
        <v>32</v>
      </c>
      <c r="D415" s="112">
        <v>12075.11</v>
      </c>
      <c r="E415" s="112">
        <v>12075.11</v>
      </c>
      <c r="F415" s="112">
        <v>12075.11</v>
      </c>
      <c r="G415" s="112">
        <v>12075.11</v>
      </c>
      <c r="H415" s="112">
        <v>12075.11</v>
      </c>
      <c r="I415" s="112">
        <v>12075.11</v>
      </c>
      <c r="J415" s="112">
        <v>12075.11</v>
      </c>
      <c r="K415" s="112">
        <v>12075.11</v>
      </c>
      <c r="L415" s="112">
        <v>12075.11</v>
      </c>
      <c r="M415" s="112">
        <v>12075.11</v>
      </c>
      <c r="N415" s="112">
        <v>12075.11</v>
      </c>
      <c r="O415" s="112">
        <v>12075.11</v>
      </c>
      <c r="P415" s="112">
        <v>12075.11</v>
      </c>
    </row>
    <row r="416" spans="1:16" ht="14.4" x14ac:dyDescent="0.3">
      <c r="A416" s="95" t="s">
        <v>126</v>
      </c>
      <c r="B416" s="95"/>
      <c r="C416" s="87"/>
      <c r="D416" s="106"/>
      <c r="E416" s="106"/>
      <c r="F416" s="106"/>
      <c r="G416" s="106"/>
      <c r="H416" s="106"/>
      <c r="I416" s="106"/>
      <c r="J416" s="106"/>
      <c r="K416" s="106"/>
      <c r="L416" s="106"/>
      <c r="M416" s="106"/>
      <c r="N416" s="106"/>
      <c r="O416" s="106"/>
      <c r="P416" s="106"/>
    </row>
    <row r="417" spans="1:16" ht="14.4" x14ac:dyDescent="0.3">
      <c r="A417" s="95" t="s">
        <v>134</v>
      </c>
      <c r="B417" s="95"/>
      <c r="C417" s="87" t="s">
        <v>32</v>
      </c>
      <c r="D417" s="112">
        <f t="shared" ref="D417:G419" si="44">D413*110%</f>
        <v>934.38400000000013</v>
      </c>
      <c r="E417" s="112">
        <f t="shared" si="44"/>
        <v>934.38400000000013</v>
      </c>
      <c r="F417" s="112">
        <f t="shared" si="44"/>
        <v>934.38400000000013</v>
      </c>
      <c r="G417" s="112">
        <f t="shared" si="44"/>
        <v>934.38400000000013</v>
      </c>
      <c r="H417" s="112">
        <v>934.38400000000013</v>
      </c>
      <c r="I417" s="112">
        <v>934.38400000000013</v>
      </c>
      <c r="J417" s="112">
        <v>934.38400000000013</v>
      </c>
      <c r="K417" s="112">
        <v>934.38400000000013</v>
      </c>
      <c r="L417" s="112">
        <v>934.38400000000013</v>
      </c>
      <c r="M417" s="112">
        <v>934.38400000000013</v>
      </c>
      <c r="N417" s="112">
        <v>934.38400000000013</v>
      </c>
      <c r="O417" s="112">
        <v>934.38400000000013</v>
      </c>
      <c r="P417" s="112">
        <v>934.38400000000013</v>
      </c>
    </row>
    <row r="418" spans="1:16" ht="14.4" x14ac:dyDescent="0.3">
      <c r="A418" s="95" t="s">
        <v>135</v>
      </c>
      <c r="B418" s="95"/>
      <c r="C418" s="87" t="s">
        <v>32</v>
      </c>
      <c r="D418" s="112">
        <f t="shared" si="44"/>
        <v>3877.6320000000001</v>
      </c>
      <c r="E418" s="112">
        <f t="shared" si="44"/>
        <v>3877.6320000000001</v>
      </c>
      <c r="F418" s="112">
        <f t="shared" si="44"/>
        <v>3877.6320000000001</v>
      </c>
      <c r="G418" s="112">
        <f t="shared" si="44"/>
        <v>3877.6320000000001</v>
      </c>
      <c r="H418" s="112">
        <v>3877.6320000000001</v>
      </c>
      <c r="I418" s="112">
        <v>3877.6320000000001</v>
      </c>
      <c r="J418" s="112">
        <v>3877.6320000000001</v>
      </c>
      <c r="K418" s="112">
        <v>3877.6320000000001</v>
      </c>
      <c r="L418" s="112">
        <v>3877.6320000000001</v>
      </c>
      <c r="M418" s="112">
        <v>3877.6320000000001</v>
      </c>
      <c r="N418" s="112">
        <v>3877.6320000000001</v>
      </c>
      <c r="O418" s="112">
        <v>3877.6320000000001</v>
      </c>
      <c r="P418" s="112">
        <v>3877.6320000000001</v>
      </c>
    </row>
    <row r="419" spans="1:16" ht="14.4" x14ac:dyDescent="0.3">
      <c r="A419" s="95" t="s">
        <v>136</v>
      </c>
      <c r="B419" s="95"/>
      <c r="C419" s="87" t="s">
        <v>32</v>
      </c>
      <c r="D419" s="112">
        <f t="shared" si="44"/>
        <v>13282.621000000001</v>
      </c>
      <c r="E419" s="112">
        <f t="shared" si="44"/>
        <v>13282.621000000001</v>
      </c>
      <c r="F419" s="112">
        <f t="shared" si="44"/>
        <v>13282.621000000001</v>
      </c>
      <c r="G419" s="112">
        <f t="shared" si="44"/>
        <v>13282.621000000001</v>
      </c>
      <c r="H419" s="112">
        <v>13282.621000000001</v>
      </c>
      <c r="I419" s="112">
        <v>13282.621000000001</v>
      </c>
      <c r="J419" s="112">
        <v>13282.621000000001</v>
      </c>
      <c r="K419" s="112">
        <v>13282.621000000001</v>
      </c>
      <c r="L419" s="112">
        <v>13282.621000000001</v>
      </c>
      <c r="M419" s="112">
        <v>13282.621000000001</v>
      </c>
      <c r="N419" s="112">
        <v>13282.621000000001</v>
      </c>
      <c r="O419" s="112">
        <v>13282.621000000001</v>
      </c>
      <c r="P419" s="112">
        <v>13282.621000000001</v>
      </c>
    </row>
    <row r="420" spans="1:16" ht="14.4" x14ac:dyDescent="0.3">
      <c r="A420" s="85" t="s">
        <v>37</v>
      </c>
      <c r="B420" s="85"/>
      <c r="C420" s="87"/>
      <c r="D420" s="106"/>
      <c r="E420" s="106"/>
      <c r="F420" s="106"/>
      <c r="G420" s="106"/>
      <c r="H420" s="106"/>
      <c r="I420" s="106"/>
      <c r="J420" s="106"/>
      <c r="K420" s="106"/>
      <c r="L420" s="106"/>
      <c r="M420" s="106"/>
      <c r="N420" s="106"/>
      <c r="O420" s="106"/>
      <c r="P420" s="106"/>
    </row>
    <row r="421" spans="1:16" ht="14.4" x14ac:dyDescent="0.3">
      <c r="A421" s="95" t="s">
        <v>38</v>
      </c>
      <c r="B421" s="89"/>
      <c r="C421" s="87" t="s">
        <v>19</v>
      </c>
      <c r="D421" s="91">
        <f>[48]LD!D30</f>
        <v>9.3899999999999997E-2</v>
      </c>
      <c r="E421" s="91">
        <f>[48]LD!E30</f>
        <v>9.2399999999999996E-2</v>
      </c>
      <c r="F421" s="91">
        <f>[48]LD!F30</f>
        <v>8.7999999999999995E-2</v>
      </c>
      <c r="G421" s="91">
        <f>[48]LD!G30</f>
        <v>0.1013</v>
      </c>
      <c r="H421" s="91">
        <f>[48]LD!H30</f>
        <v>0.111</v>
      </c>
      <c r="I421" s="91">
        <f>[48]LD!I30</f>
        <v>4.5099999999999994E-2</v>
      </c>
      <c r="J421" s="91">
        <f>[48]LD!J30</f>
        <v>6.0400000000000002E-2</v>
      </c>
      <c r="K421" s="91">
        <f>[48]LD!K30</f>
        <v>6.54E-2</v>
      </c>
      <c r="L421" s="91">
        <f>[48]LD!L30</f>
        <v>6.6500000000000004E-2</v>
      </c>
      <c r="M421" s="91">
        <f>[48]LD!M30</f>
        <v>5.9900000000000002E-2</v>
      </c>
      <c r="N421" s="91">
        <f>[48]LD!N30</f>
        <v>4.7800000000000002E-2</v>
      </c>
      <c r="O421" s="91">
        <f>[48]LD!O30</f>
        <v>7.9100000000000004E-2</v>
      </c>
      <c r="P421" s="91">
        <f>[48]LD!P30</f>
        <v>0</v>
      </c>
    </row>
    <row r="422" spans="1:16" ht="14.4" x14ac:dyDescent="0.3">
      <c r="A422" s="95" t="s">
        <v>39</v>
      </c>
      <c r="B422" s="89"/>
      <c r="C422" s="87" t="s">
        <v>19</v>
      </c>
      <c r="D422" s="91">
        <v>0</v>
      </c>
      <c r="E422" s="91">
        <v>0</v>
      </c>
      <c r="F422" s="91">
        <v>0</v>
      </c>
      <c r="G422" s="91">
        <v>0</v>
      </c>
      <c r="H422" s="91">
        <v>0</v>
      </c>
      <c r="I422" s="91">
        <v>0</v>
      </c>
      <c r="J422" s="91">
        <v>0</v>
      </c>
      <c r="K422" s="91">
        <v>0</v>
      </c>
      <c r="L422" s="91">
        <v>0</v>
      </c>
      <c r="M422" s="91">
        <v>0</v>
      </c>
      <c r="N422" s="91">
        <v>0</v>
      </c>
      <c r="O422" s="91">
        <v>0</v>
      </c>
      <c r="P422" s="91">
        <v>0</v>
      </c>
    </row>
    <row r="423" spans="1:16" ht="14.4" x14ac:dyDescent="0.3">
      <c r="A423" s="96" t="s">
        <v>40</v>
      </c>
      <c r="B423" s="89"/>
      <c r="C423" s="87" t="s">
        <v>19</v>
      </c>
      <c r="D423" s="91">
        <f>'[48]SR CIT. SUBSIDY'!C108</f>
        <v>1E-4</v>
      </c>
      <c r="E423" s="91">
        <f>'[48]SR CIT. SUBSIDY'!D108</f>
        <v>1E-4</v>
      </c>
      <c r="F423" s="91">
        <f>'[48]SR CIT. SUBSIDY'!E108</f>
        <v>0</v>
      </c>
      <c r="G423" s="91">
        <f>'[48]SR CIT. SUBSIDY'!F108</f>
        <v>0</v>
      </c>
      <c r="H423" s="91">
        <f>'[48]SR CIT. SUBSIDY'!G108</f>
        <v>1E-4</v>
      </c>
      <c r="I423" s="91">
        <f>'[48]SR CIT. SUBSIDY'!H108</f>
        <v>1E-4</v>
      </c>
      <c r="J423" s="91">
        <f>'[48]SR CIT. SUBSIDY'!I108</f>
        <v>1E-4</v>
      </c>
      <c r="K423" s="91">
        <f>'[48]SR CIT. SUBSIDY'!J108</f>
        <v>1E-4</v>
      </c>
      <c r="L423" s="91">
        <f>'[48]SR CIT. SUBSIDY'!K108</f>
        <v>1E-4</v>
      </c>
      <c r="M423" s="91">
        <f>'[48]SR CIT. SUBSIDY'!L108</f>
        <v>1E-4</v>
      </c>
      <c r="N423" s="91">
        <f>'[48]SR CIT. SUBSIDY'!M108</f>
        <v>1E-4</v>
      </c>
      <c r="O423" s="91">
        <f>'[48]SR CIT. SUBSIDY'!N108</f>
        <v>1E-4</v>
      </c>
      <c r="P423" s="91">
        <f>'[48]SR CIT. SUBSIDY'!O108</f>
        <v>0</v>
      </c>
    </row>
    <row r="424" spans="1:16" ht="14.4" x14ac:dyDescent="0.3">
      <c r="A424" s="96" t="s">
        <v>41</v>
      </c>
      <c r="B424" s="89"/>
      <c r="C424" s="87" t="s">
        <v>19</v>
      </c>
      <c r="D424" s="91">
        <v>0</v>
      </c>
      <c r="E424" s="91">
        <v>0</v>
      </c>
      <c r="F424" s="91">
        <v>0</v>
      </c>
      <c r="G424" s="91">
        <v>0</v>
      </c>
      <c r="H424" s="91">
        <v>0</v>
      </c>
      <c r="I424" s="91">
        <v>0</v>
      </c>
      <c r="J424" s="91">
        <v>0</v>
      </c>
      <c r="K424" s="91">
        <v>0</v>
      </c>
      <c r="L424" s="91">
        <v>0</v>
      </c>
      <c r="M424" s="91">
        <v>0</v>
      </c>
      <c r="N424" s="91">
        <v>0</v>
      </c>
      <c r="O424" s="91">
        <v>0</v>
      </c>
      <c r="P424" s="91">
        <v>0</v>
      </c>
    </row>
    <row r="425" spans="1:16" ht="14.4" x14ac:dyDescent="0.3">
      <c r="A425" s="85" t="s">
        <v>42</v>
      </c>
      <c r="B425" s="85"/>
      <c r="C425" s="87"/>
      <c r="D425" s="94"/>
      <c r="E425" s="94"/>
      <c r="F425" s="94"/>
      <c r="G425" s="94"/>
      <c r="H425" s="94"/>
      <c r="I425" s="94"/>
      <c r="J425" s="94"/>
      <c r="K425" s="94"/>
      <c r="L425" s="94"/>
      <c r="M425" s="94"/>
      <c r="N425" s="94"/>
      <c r="O425" s="94"/>
      <c r="P425" s="94"/>
    </row>
    <row r="426" spans="1:16" ht="14.4" x14ac:dyDescent="0.3">
      <c r="A426" s="85" t="s">
        <v>43</v>
      </c>
      <c r="B426" s="85"/>
      <c r="C426" s="87" t="s">
        <v>44</v>
      </c>
      <c r="D426" s="91"/>
      <c r="E426" s="91"/>
      <c r="F426" s="91"/>
      <c r="G426" s="91"/>
      <c r="H426" s="91"/>
      <c r="I426" s="91"/>
      <c r="J426" s="91"/>
      <c r="K426" s="91"/>
      <c r="L426" s="91"/>
      <c r="M426" s="91"/>
      <c r="N426" s="91"/>
      <c r="O426" s="91"/>
      <c r="P426" s="91"/>
    </row>
    <row r="427" spans="1:16" ht="14.4" x14ac:dyDescent="0.3">
      <c r="A427" s="85" t="s">
        <v>45</v>
      </c>
      <c r="B427" s="85"/>
      <c r="C427" s="87"/>
      <c r="D427" s="94"/>
      <c r="E427" s="94"/>
      <c r="F427" s="94"/>
      <c r="G427" s="94"/>
      <c r="H427" s="94"/>
      <c r="I427" s="94"/>
      <c r="J427" s="94"/>
      <c r="K427" s="94"/>
      <c r="L427" s="94"/>
      <c r="M427" s="94"/>
      <c r="N427" s="94"/>
      <c r="O427" s="94"/>
      <c r="P427" s="94"/>
    </row>
    <row r="428" spans="1:16" ht="14.4" x14ac:dyDescent="0.3">
      <c r="A428" s="85" t="s">
        <v>46</v>
      </c>
      <c r="B428" s="85"/>
      <c r="C428" s="87" t="s">
        <v>19</v>
      </c>
      <c r="D428" s="91">
        <v>0</v>
      </c>
      <c r="E428" s="91">
        <v>0</v>
      </c>
      <c r="F428" s="91">
        <v>0</v>
      </c>
      <c r="G428" s="91">
        <v>0</v>
      </c>
      <c r="H428" s="91">
        <v>0</v>
      </c>
      <c r="I428" s="91">
        <v>0</v>
      </c>
      <c r="J428" s="91">
        <v>0</v>
      </c>
      <c r="K428" s="91">
        <v>0</v>
      </c>
      <c r="L428" s="91">
        <v>0</v>
      </c>
      <c r="M428" s="91">
        <v>0</v>
      </c>
      <c r="N428" s="91">
        <v>0</v>
      </c>
      <c r="O428" s="91">
        <v>0</v>
      </c>
      <c r="P428" s="91">
        <v>0</v>
      </c>
    </row>
    <row r="429" spans="1:16" ht="14.4" x14ac:dyDescent="0.3">
      <c r="A429" s="85" t="s">
        <v>47</v>
      </c>
      <c r="B429" s="85"/>
      <c r="C429" s="87"/>
      <c r="D429" s="94"/>
      <c r="E429" s="94"/>
      <c r="F429" s="94"/>
      <c r="G429" s="94"/>
      <c r="H429" s="94"/>
      <c r="I429" s="94"/>
      <c r="J429" s="94"/>
      <c r="K429" s="94"/>
      <c r="L429" s="94"/>
      <c r="M429" s="94"/>
      <c r="N429" s="94"/>
      <c r="O429" s="94"/>
      <c r="P429" s="94"/>
    </row>
    <row r="430" spans="1:16" ht="14.4" x14ac:dyDescent="0.3">
      <c r="A430" s="89" t="s">
        <v>48</v>
      </c>
      <c r="B430" s="89"/>
      <c r="C430" s="87" t="s">
        <v>19</v>
      </c>
      <c r="D430" s="91">
        <f t="shared" ref="D430:P434" si="45">D365</f>
        <v>0.15609999999999999</v>
      </c>
      <c r="E430" s="91">
        <f t="shared" si="45"/>
        <v>0.15609999999999999</v>
      </c>
      <c r="F430" s="91">
        <f t="shared" si="45"/>
        <v>0.15609999999999999</v>
      </c>
      <c r="G430" s="91">
        <f t="shared" si="45"/>
        <v>0.15609999999999999</v>
      </c>
      <c r="H430" s="91">
        <f t="shared" si="45"/>
        <v>0.15609999999999999</v>
      </c>
      <c r="I430" s="91">
        <f t="shared" si="45"/>
        <v>0.15609999999999999</v>
      </c>
      <c r="J430" s="91">
        <f t="shared" si="45"/>
        <v>0.15609999999999999</v>
      </c>
      <c r="K430" s="91">
        <f t="shared" si="45"/>
        <v>0.15609999999999999</v>
      </c>
      <c r="L430" s="91">
        <f t="shared" si="45"/>
        <v>0.15609999999999999</v>
      </c>
      <c r="M430" s="91">
        <f t="shared" si="45"/>
        <v>0.15609999999999999</v>
      </c>
      <c r="N430" s="91">
        <f t="shared" si="45"/>
        <v>0.15609999999999999</v>
      </c>
      <c r="O430" s="91">
        <f t="shared" si="45"/>
        <v>0.15609999999999999</v>
      </c>
      <c r="P430" s="91">
        <f t="shared" si="45"/>
        <v>0.15609999999999999</v>
      </c>
    </row>
    <row r="431" spans="1:16" ht="14.4" x14ac:dyDescent="0.3">
      <c r="A431" s="89" t="s">
        <v>49</v>
      </c>
      <c r="B431" s="89"/>
      <c r="C431" s="87" t="s">
        <v>19</v>
      </c>
      <c r="D431" s="91">
        <f t="shared" si="45"/>
        <v>2.5000000000000001E-3</v>
      </c>
      <c r="E431" s="91">
        <f t="shared" si="45"/>
        <v>2.5000000000000001E-3</v>
      </c>
      <c r="F431" s="91">
        <f t="shared" si="45"/>
        <v>2.5000000000000001E-3</v>
      </c>
      <c r="G431" s="91">
        <f t="shared" si="45"/>
        <v>2.5000000000000001E-3</v>
      </c>
      <c r="H431" s="91">
        <f t="shared" si="45"/>
        <v>2.5000000000000001E-3</v>
      </c>
      <c r="I431" s="91">
        <f t="shared" si="45"/>
        <v>0</v>
      </c>
      <c r="J431" s="91">
        <f t="shared" si="45"/>
        <v>0</v>
      </c>
      <c r="K431" s="91">
        <f t="shared" si="45"/>
        <v>0</v>
      </c>
      <c r="L431" s="91">
        <f t="shared" si="45"/>
        <v>0</v>
      </c>
      <c r="M431" s="91">
        <f t="shared" si="45"/>
        <v>0</v>
      </c>
      <c r="N431" s="91">
        <f t="shared" si="45"/>
        <v>0</v>
      </c>
      <c r="O431" s="91">
        <f t="shared" si="45"/>
        <v>0</v>
      </c>
      <c r="P431" s="91">
        <f t="shared" si="45"/>
        <v>0</v>
      </c>
    </row>
    <row r="432" spans="1:16" ht="14.4" x14ac:dyDescent="0.3">
      <c r="A432" s="89" t="s">
        <v>111</v>
      </c>
      <c r="B432" s="89"/>
      <c r="C432" s="87" t="s">
        <v>19</v>
      </c>
      <c r="D432" s="91">
        <f t="shared" si="45"/>
        <v>5.4300000000000001E-2</v>
      </c>
      <c r="E432" s="91">
        <f t="shared" si="45"/>
        <v>0</v>
      </c>
      <c r="F432" s="91">
        <f t="shared" si="45"/>
        <v>-0.14530000000000001</v>
      </c>
      <c r="G432" s="91">
        <f t="shared" si="45"/>
        <v>0</v>
      </c>
      <c r="H432" s="91">
        <f t="shared" si="45"/>
        <v>0</v>
      </c>
      <c r="I432" s="91">
        <f t="shared" si="45"/>
        <v>0</v>
      </c>
      <c r="J432" s="91">
        <f t="shared" si="45"/>
        <v>0</v>
      </c>
      <c r="K432" s="91">
        <f t="shared" si="45"/>
        <v>0</v>
      </c>
      <c r="L432" s="91">
        <f t="shared" si="45"/>
        <v>0</v>
      </c>
      <c r="M432" s="91">
        <f t="shared" si="45"/>
        <v>0</v>
      </c>
      <c r="N432" s="91">
        <f t="shared" si="45"/>
        <v>0</v>
      </c>
      <c r="O432" s="91">
        <f t="shared" si="45"/>
        <v>0</v>
      </c>
      <c r="P432" s="91">
        <f t="shared" si="45"/>
        <v>0</v>
      </c>
    </row>
    <row r="433" spans="1:16" ht="14.4" x14ac:dyDescent="0.3">
      <c r="A433" s="89" t="s">
        <v>112</v>
      </c>
      <c r="B433" s="89"/>
      <c r="C433" s="87" t="s">
        <v>19</v>
      </c>
      <c r="D433" s="91">
        <f t="shared" si="45"/>
        <v>4.2799999999999998E-2</v>
      </c>
      <c r="E433" s="91">
        <f t="shared" si="45"/>
        <v>4.2799999999999998E-2</v>
      </c>
      <c r="F433" s="91">
        <f t="shared" si="45"/>
        <v>4.2799999999999998E-2</v>
      </c>
      <c r="G433" s="91">
        <f t="shared" si="45"/>
        <v>4.2799999999999998E-2</v>
      </c>
      <c r="H433" s="91">
        <f t="shared" si="45"/>
        <v>4.2799999999999998E-2</v>
      </c>
      <c r="I433" s="91">
        <f t="shared" si="45"/>
        <v>4.2799999999999998E-2</v>
      </c>
      <c r="J433" s="91">
        <f t="shared" si="45"/>
        <v>4.2799999999999998E-2</v>
      </c>
      <c r="K433" s="91">
        <f t="shared" si="45"/>
        <v>4.2799999999999998E-2</v>
      </c>
      <c r="L433" s="91">
        <f t="shared" si="45"/>
        <v>4.2799999999999998E-2</v>
      </c>
      <c r="M433" s="91">
        <f t="shared" si="45"/>
        <v>4.2799999999999998E-2</v>
      </c>
      <c r="N433" s="91">
        <f t="shared" si="45"/>
        <v>4.2799999999999998E-2</v>
      </c>
      <c r="O433" s="91">
        <f t="shared" si="45"/>
        <v>4.2799999999999998E-2</v>
      </c>
      <c r="P433" s="91">
        <f t="shared" si="45"/>
        <v>4.2799999999999998E-2</v>
      </c>
    </row>
    <row r="434" spans="1:16" ht="14.4" x14ac:dyDescent="0.3">
      <c r="A434" s="85" t="s">
        <v>51</v>
      </c>
      <c r="B434" s="85"/>
      <c r="C434" s="87" t="s">
        <v>19</v>
      </c>
      <c r="D434" s="91">
        <f t="shared" si="45"/>
        <v>0.22259999999999999</v>
      </c>
      <c r="E434" s="91">
        <f t="shared" si="45"/>
        <v>4.9500000000000002E-2</v>
      </c>
      <c r="F434" s="91">
        <f t="shared" si="45"/>
        <v>4.9500000000000002E-2</v>
      </c>
      <c r="G434" s="91">
        <f t="shared" si="45"/>
        <v>0</v>
      </c>
      <c r="H434" s="91">
        <f t="shared" si="45"/>
        <v>0</v>
      </c>
      <c r="I434" s="91">
        <f t="shared" si="45"/>
        <v>4.9500000000000002E-2</v>
      </c>
      <c r="J434" s="91">
        <f t="shared" si="45"/>
        <v>4.9500000000000002E-2</v>
      </c>
      <c r="K434" s="91">
        <f t="shared" si="45"/>
        <v>4.9500000000000002E-2</v>
      </c>
      <c r="L434" s="91">
        <f t="shared" si="45"/>
        <v>4.9500000000000002E-2</v>
      </c>
      <c r="M434" s="91">
        <f t="shared" si="45"/>
        <v>4.9500000000000002E-2</v>
      </c>
      <c r="N434" s="91">
        <f t="shared" si="45"/>
        <v>4.9500000000000002E-2</v>
      </c>
      <c r="O434" s="91">
        <f t="shared" si="45"/>
        <v>4.9500000000000002E-2</v>
      </c>
      <c r="P434" s="91">
        <f t="shared" si="45"/>
        <v>4.9500000000000002E-2</v>
      </c>
    </row>
    <row r="435" spans="1:16" ht="14.4" x14ac:dyDescent="0.3">
      <c r="A435" s="85" t="s">
        <v>52</v>
      </c>
      <c r="B435" s="85"/>
      <c r="C435" s="97"/>
      <c r="D435" s="22"/>
      <c r="E435" s="22"/>
      <c r="F435" s="22"/>
      <c r="G435" s="22"/>
      <c r="H435" s="22"/>
      <c r="I435" s="22"/>
      <c r="J435" s="22"/>
      <c r="K435" s="22"/>
      <c r="L435" s="22"/>
      <c r="M435" s="22"/>
      <c r="N435" s="22"/>
      <c r="O435" s="22"/>
      <c r="P435" s="22"/>
    </row>
    <row r="436" spans="1:16" ht="14.4" x14ac:dyDescent="0.3">
      <c r="A436" s="89" t="s">
        <v>53</v>
      </c>
      <c r="B436" s="89"/>
      <c r="C436" s="87" t="s">
        <v>44</v>
      </c>
      <c r="D436" s="30">
        <f>'[48]DU VAT'!C15</f>
        <v>0.1094</v>
      </c>
      <c r="E436" s="30">
        <f>'[48]DU VAT'!D15</f>
        <v>0.1108</v>
      </c>
      <c r="F436" s="30">
        <f>'[48]DU VAT'!E15</f>
        <v>0.11159999999999999</v>
      </c>
      <c r="G436" s="30">
        <f>'[48]DU VAT'!F15</f>
        <v>0.11550000000000001</v>
      </c>
      <c r="H436" s="30">
        <f>'[48]DU VAT'!G15</f>
        <v>0.11890000000000001</v>
      </c>
      <c r="I436" s="30">
        <f>'[48]DU VAT'!H15</f>
        <v>0.11890000000000001</v>
      </c>
      <c r="J436" s="30">
        <f>'[48]DU VAT'!I15</f>
        <v>0.1142</v>
      </c>
      <c r="K436" s="30">
        <f>'[48]DU VAT'!J15</f>
        <v>0.1143</v>
      </c>
      <c r="L436" s="30">
        <f>'[48]DU VAT'!K15</f>
        <v>0.11559999999999999</v>
      </c>
      <c r="M436" s="30">
        <f>'[48]DU VAT'!L15</f>
        <v>0.11119999999999999</v>
      </c>
      <c r="N436" s="30">
        <f>'[48]DU VAT'!M15</f>
        <v>0.1148</v>
      </c>
      <c r="O436" s="30">
        <f>'[48]DU VAT'!N15</f>
        <v>0.1158</v>
      </c>
      <c r="P436" s="30" t="e">
        <f>'[48]DU VAT'!O15</f>
        <v>#DIV/0!</v>
      </c>
    </row>
    <row r="437" spans="1:16" ht="14.4" x14ac:dyDescent="0.3">
      <c r="A437" s="89" t="s">
        <v>54</v>
      </c>
      <c r="B437" s="89"/>
      <c r="C437" s="87" t="s">
        <v>44</v>
      </c>
      <c r="D437" s="30">
        <f>'[48]DU VAT'!C22</f>
        <v>0.1011</v>
      </c>
      <c r="E437" s="30">
        <f>'[48]DU VAT'!D22</f>
        <v>0.1071</v>
      </c>
      <c r="F437" s="30">
        <f>'[48]DU VAT'!E22</f>
        <v>0.1144</v>
      </c>
      <c r="G437" s="30">
        <f>'[48]DU VAT'!F22</f>
        <v>0.11749999999999999</v>
      </c>
      <c r="H437" s="30">
        <f>'[48]DU VAT'!G22</f>
        <v>0.1123</v>
      </c>
      <c r="I437" s="30">
        <f>'[48]DU VAT'!H22</f>
        <v>0.11509999999999999</v>
      </c>
      <c r="J437" s="30">
        <f>'[48]DU VAT'!I22</f>
        <v>9.9299999999999999E-2</v>
      </c>
      <c r="K437" s="30">
        <f>'[48]DU VAT'!J22</f>
        <v>0.1032</v>
      </c>
      <c r="L437" s="30">
        <f>'[48]DU VAT'!K22</f>
        <v>0.1017</v>
      </c>
      <c r="M437" s="30">
        <f>'[48]DU VAT'!L22</f>
        <v>0.1055</v>
      </c>
      <c r="N437" s="30">
        <f>'[48]DU VAT'!M22</f>
        <v>0.10100000000000001</v>
      </c>
      <c r="O437" s="30">
        <f>'[48]DU VAT'!N22</f>
        <v>9.6699999999999994E-2</v>
      </c>
      <c r="P437" s="30" t="e">
        <f>'[48]DU VAT'!O22</f>
        <v>#DIV/0!</v>
      </c>
    </row>
    <row r="438" spans="1:16" ht="14.4" x14ac:dyDescent="0.3">
      <c r="A438" s="89" t="s">
        <v>55</v>
      </c>
      <c r="B438" s="89"/>
      <c r="C438" s="87" t="s">
        <v>44</v>
      </c>
      <c r="D438" s="30">
        <f>'[48]DU VAT'!C29</f>
        <v>0.1084</v>
      </c>
      <c r="E438" s="30">
        <f>'[48]DU VAT'!D29</f>
        <v>0.1103</v>
      </c>
      <c r="F438" s="30">
        <f>'[48]DU VAT'!E29</f>
        <v>0.1105</v>
      </c>
      <c r="G438" s="30">
        <f>'[48]DU VAT'!F29</f>
        <v>0.1143</v>
      </c>
      <c r="H438" s="30">
        <f>'[48]DU VAT'!G29</f>
        <v>0.1162</v>
      </c>
      <c r="I438" s="30">
        <f>'[48]DU VAT'!H29</f>
        <v>0.1166</v>
      </c>
      <c r="J438" s="30">
        <f>'[48]DU VAT'!I29</f>
        <v>0.1118</v>
      </c>
      <c r="K438" s="30">
        <f>'[48]DU VAT'!J29</f>
        <v>0.11310000000000001</v>
      </c>
      <c r="L438" s="30">
        <f>'[48]DU VAT'!K29</f>
        <v>0.1134</v>
      </c>
      <c r="M438" s="30">
        <f>'[48]DU VAT'!L29</f>
        <v>0.1104</v>
      </c>
      <c r="N438" s="30">
        <f>'[48]DU VAT'!M29</f>
        <v>0.11260000000000001</v>
      </c>
      <c r="O438" s="30">
        <f>'[48]DU VAT'!N29</f>
        <v>0.1128</v>
      </c>
      <c r="P438" s="30" t="e">
        <f>'[48]DU VAT'!O29</f>
        <v>#DIV/0!</v>
      </c>
    </row>
    <row r="439" spans="1:16" ht="14.4" x14ac:dyDescent="0.3">
      <c r="A439" s="89" t="s">
        <v>56</v>
      </c>
      <c r="B439" s="89"/>
      <c r="C439" s="87" t="s">
        <v>44</v>
      </c>
      <c r="D439" s="30">
        <f t="shared" ref="D439:P440" si="46">D374</f>
        <v>0.12</v>
      </c>
      <c r="E439" s="30">
        <f t="shared" si="46"/>
        <v>0.12</v>
      </c>
      <c r="F439" s="30">
        <f t="shared" si="46"/>
        <v>0.12</v>
      </c>
      <c r="G439" s="30">
        <f t="shared" si="46"/>
        <v>0.12</v>
      </c>
      <c r="H439" s="30">
        <f t="shared" si="46"/>
        <v>0.12</v>
      </c>
      <c r="I439" s="30">
        <f t="shared" si="46"/>
        <v>0.12</v>
      </c>
      <c r="J439" s="30">
        <f t="shared" si="46"/>
        <v>0.12</v>
      </c>
      <c r="K439" s="30">
        <f t="shared" si="46"/>
        <v>0.12</v>
      </c>
      <c r="L439" s="30">
        <f t="shared" si="46"/>
        <v>0.12</v>
      </c>
      <c r="M439" s="30">
        <f t="shared" si="46"/>
        <v>0.12</v>
      </c>
      <c r="N439" s="30">
        <f t="shared" si="46"/>
        <v>0.12</v>
      </c>
      <c r="O439" s="30">
        <f t="shared" si="46"/>
        <v>0.12</v>
      </c>
      <c r="P439" s="30">
        <f t="shared" si="46"/>
        <v>0.12</v>
      </c>
    </row>
    <row r="440" spans="1:16" ht="14.4" x14ac:dyDescent="0.3">
      <c r="A440" s="89" t="s">
        <v>57</v>
      </c>
      <c r="B440" s="89"/>
      <c r="C440" s="87" t="s">
        <v>44</v>
      </c>
      <c r="D440" s="30">
        <f t="shared" si="46"/>
        <v>0.12</v>
      </c>
      <c r="E440" s="30">
        <f t="shared" si="46"/>
        <v>0.12</v>
      </c>
      <c r="F440" s="30">
        <f t="shared" si="46"/>
        <v>0.12</v>
      </c>
      <c r="G440" s="30">
        <f t="shared" si="46"/>
        <v>0.12</v>
      </c>
      <c r="H440" s="30">
        <f t="shared" si="46"/>
        <v>0.12</v>
      </c>
      <c r="I440" s="30">
        <f t="shared" si="46"/>
        <v>0.12</v>
      </c>
      <c r="J440" s="30">
        <f t="shared" si="46"/>
        <v>0.12</v>
      </c>
      <c r="K440" s="30">
        <f t="shared" si="46"/>
        <v>0.12</v>
      </c>
      <c r="L440" s="30">
        <f t="shared" si="46"/>
        <v>0.12</v>
      </c>
      <c r="M440" s="30">
        <f t="shared" si="46"/>
        <v>0.12</v>
      </c>
      <c r="N440" s="30">
        <f t="shared" si="46"/>
        <v>0.12</v>
      </c>
      <c r="O440" s="30">
        <f t="shared" si="46"/>
        <v>0.12</v>
      </c>
      <c r="P440" s="30">
        <f t="shared" si="46"/>
        <v>0.12</v>
      </c>
    </row>
    <row r="441" spans="1:16" ht="14.4" x14ac:dyDescent="0.3">
      <c r="A441" s="116"/>
      <c r="B441" s="116"/>
      <c r="C441" s="117"/>
      <c r="D441" s="118"/>
      <c r="E441" s="118"/>
      <c r="F441" s="118"/>
      <c r="G441" s="118"/>
      <c r="H441" s="118"/>
      <c r="I441" s="118"/>
      <c r="J441" s="118"/>
      <c r="K441" s="118"/>
      <c r="L441" s="118"/>
      <c r="M441" s="118"/>
      <c r="N441" s="118"/>
      <c r="O441" s="118"/>
      <c r="P441" s="118"/>
    </row>
    <row r="442" spans="1:16" x14ac:dyDescent="0.3">
      <c r="A442" s="77" t="s">
        <v>58</v>
      </c>
    </row>
    <row r="443" spans="1:16" ht="14.4" x14ac:dyDescent="0.3">
      <c r="A443" s="116"/>
      <c r="B443" s="116"/>
      <c r="C443" s="117"/>
      <c r="D443" s="118"/>
      <c r="E443" s="118"/>
      <c r="F443" s="118"/>
      <c r="G443" s="118"/>
      <c r="H443" s="118"/>
      <c r="I443" s="118"/>
      <c r="J443" s="118"/>
      <c r="K443" s="118"/>
      <c r="L443" s="118"/>
      <c r="M443" s="118"/>
      <c r="N443" s="118"/>
      <c r="O443" s="118"/>
      <c r="P443" s="118"/>
    </row>
    <row r="444" spans="1:16" ht="18" x14ac:dyDescent="0.35">
      <c r="A444" s="82" t="str">
        <f>'[48]Statistical data'!A190</f>
        <v xml:space="preserve">  General Power-69/115kV</v>
      </c>
      <c r="B444" s="120"/>
      <c r="C444" s="77"/>
      <c r="D444" s="83"/>
      <c r="E444" s="83"/>
      <c r="F444" s="83"/>
      <c r="G444" s="83"/>
      <c r="H444" s="83"/>
      <c r="I444" s="83"/>
      <c r="J444" s="83"/>
      <c r="K444" s="83"/>
      <c r="L444" s="83"/>
      <c r="M444" s="83"/>
      <c r="N444" s="83"/>
      <c r="O444" s="83"/>
      <c r="P444" s="83"/>
    </row>
    <row r="445" spans="1:16" s="84" customFormat="1" ht="14.4" x14ac:dyDescent="0.3">
      <c r="A445" s="12" t="s">
        <v>3</v>
      </c>
      <c r="B445" s="12"/>
      <c r="C445" s="12" t="s">
        <v>4</v>
      </c>
      <c r="D445" s="73">
        <f t="shared" ref="D445:P445" si="47">D380</f>
        <v>43831</v>
      </c>
      <c r="E445" s="73">
        <f t="shared" si="47"/>
        <v>43862</v>
      </c>
      <c r="F445" s="73">
        <f t="shared" si="47"/>
        <v>43891</v>
      </c>
      <c r="G445" s="73">
        <f t="shared" si="47"/>
        <v>43922</v>
      </c>
      <c r="H445" s="73">
        <f t="shared" si="47"/>
        <v>43952</v>
      </c>
      <c r="I445" s="73">
        <f t="shared" si="47"/>
        <v>43983</v>
      </c>
      <c r="J445" s="73">
        <f t="shared" si="47"/>
        <v>44013</v>
      </c>
      <c r="K445" s="73">
        <f t="shared" si="47"/>
        <v>44044</v>
      </c>
      <c r="L445" s="73">
        <f t="shared" si="47"/>
        <v>44075</v>
      </c>
      <c r="M445" s="73">
        <f t="shared" si="47"/>
        <v>44105</v>
      </c>
      <c r="N445" s="73">
        <f t="shared" si="47"/>
        <v>44136</v>
      </c>
      <c r="O445" s="73">
        <f t="shared" si="47"/>
        <v>44166</v>
      </c>
      <c r="P445" s="73">
        <f t="shared" si="47"/>
        <v>44197</v>
      </c>
    </row>
    <row r="446" spans="1:16" ht="14.4" x14ac:dyDescent="0.3">
      <c r="A446" s="85" t="s">
        <v>17</v>
      </c>
      <c r="B446" s="86"/>
      <c r="C446" s="87"/>
      <c r="D446" s="88"/>
      <c r="E446" s="88"/>
      <c r="F446" s="88"/>
      <c r="G446" s="88"/>
      <c r="H446" s="88"/>
      <c r="I446" s="88"/>
      <c r="J446" s="88"/>
      <c r="K446" s="88"/>
      <c r="L446" s="88"/>
      <c r="M446" s="88"/>
      <c r="N446" s="88"/>
      <c r="O446" s="88"/>
      <c r="P446" s="88"/>
    </row>
    <row r="447" spans="1:16" ht="14.4" x14ac:dyDescent="0.3">
      <c r="A447" s="89" t="s">
        <v>18</v>
      </c>
      <c r="B447" s="90"/>
      <c r="C447" s="87" t="s">
        <v>19</v>
      </c>
      <c r="D447" s="91">
        <f>[48]GR!D23</f>
        <v>4.9039000000000001</v>
      </c>
      <c r="E447" s="91">
        <f>[48]GR!E23</f>
        <v>4.5090000000000003</v>
      </c>
      <c r="F447" s="91">
        <f>[48]GR!F23</f>
        <v>4.6631999999999998</v>
      </c>
      <c r="G447" s="91">
        <f>[48]GR!G23</f>
        <v>4.6384999999999996</v>
      </c>
      <c r="H447" s="91">
        <f>[48]GR!H23</f>
        <v>4.3848000000000003</v>
      </c>
      <c r="I447" s="91">
        <f>[48]GR!I23</f>
        <v>4.3413000000000004</v>
      </c>
      <c r="J447" s="91">
        <f>[48]GR!J23</f>
        <v>4.3343999999999996</v>
      </c>
      <c r="K447" s="91">
        <f>[48]GR!K23</f>
        <v>4.1241000000000003</v>
      </c>
      <c r="L447" s="91">
        <f>[48]GR!L23</f>
        <v>4.0860000000000003</v>
      </c>
      <c r="M447" s="91">
        <f>[48]GR!M23</f>
        <v>4.2233000000000001</v>
      </c>
      <c r="N447" s="91">
        <f>[48]GR!N23</f>
        <v>4.2018000000000004</v>
      </c>
      <c r="O447" s="91">
        <f>[48]GR!O23</f>
        <v>4.1516000000000002</v>
      </c>
      <c r="P447" s="91" t="e">
        <f>[48]GR!P23</f>
        <v>#DIV/0!</v>
      </c>
    </row>
    <row r="448" spans="1:16" ht="14.4" x14ac:dyDescent="0.3">
      <c r="A448" s="85" t="s">
        <v>20</v>
      </c>
      <c r="B448" s="86"/>
      <c r="C448" s="87"/>
      <c r="D448" s="92"/>
      <c r="E448" s="92"/>
      <c r="F448" s="92"/>
      <c r="G448" s="92"/>
      <c r="H448" s="92"/>
      <c r="I448" s="92"/>
      <c r="J448" s="92"/>
      <c r="K448" s="92"/>
      <c r="L448" s="92"/>
      <c r="M448" s="92"/>
      <c r="N448" s="92"/>
      <c r="O448" s="92"/>
      <c r="P448" s="92"/>
    </row>
    <row r="449" spans="1:16" ht="14.4" x14ac:dyDescent="0.3">
      <c r="A449" s="89" t="s">
        <v>21</v>
      </c>
      <c r="B449" s="90"/>
      <c r="C449" s="87" t="s">
        <v>19</v>
      </c>
      <c r="D449" s="91">
        <v>0</v>
      </c>
      <c r="E449" s="91">
        <v>0</v>
      </c>
      <c r="F449" s="91">
        <v>0</v>
      </c>
      <c r="G449" s="91">
        <v>0</v>
      </c>
      <c r="H449" s="91">
        <v>0</v>
      </c>
      <c r="I449" s="91">
        <v>0</v>
      </c>
      <c r="J449" s="91">
        <v>0</v>
      </c>
      <c r="K449" s="91">
        <v>0</v>
      </c>
      <c r="L449" s="91">
        <v>0</v>
      </c>
      <c r="M449" s="91">
        <v>0</v>
      </c>
      <c r="N449" s="91">
        <v>0</v>
      </c>
      <c r="O449" s="91">
        <v>0</v>
      </c>
      <c r="P449" s="91">
        <v>0</v>
      </c>
    </row>
    <row r="450" spans="1:16" ht="14.4" x14ac:dyDescent="0.3">
      <c r="A450" s="89" t="s">
        <v>22</v>
      </c>
      <c r="B450" s="90"/>
      <c r="C450" s="87" t="s">
        <v>23</v>
      </c>
      <c r="D450" s="91">
        <f>[48]TR!D50</f>
        <v>203.08</v>
      </c>
      <c r="E450" s="91">
        <f>[48]TR!E50</f>
        <v>231.01</v>
      </c>
      <c r="F450" s="91">
        <f>[48]TR!F50</f>
        <v>264.66680000000002</v>
      </c>
      <c r="G450" s="91">
        <f>[48]TR!G50</f>
        <v>223.33680000000001</v>
      </c>
      <c r="H450" s="91">
        <f>[48]TR!H50</f>
        <v>241.01679999999999</v>
      </c>
      <c r="I450" s="91">
        <f>[48]TR!I50</f>
        <v>247.1568</v>
      </c>
      <c r="J450" s="91">
        <f>[48]TR!J50</f>
        <v>261.90750000000003</v>
      </c>
      <c r="K450" s="91">
        <f>[48]TR!K50</f>
        <v>244.18</v>
      </c>
      <c r="L450" s="91">
        <f>[48]TR!L50</f>
        <v>256.32</v>
      </c>
      <c r="M450" s="91">
        <f>[48]TR!M50</f>
        <v>255.95</v>
      </c>
      <c r="N450" s="91">
        <f>[48]TR!N50</f>
        <v>258.45</v>
      </c>
      <c r="O450" s="91">
        <f>[48]TR!O50</f>
        <v>257.43</v>
      </c>
      <c r="P450" s="91">
        <f>[48]TR!P50</f>
        <v>0</v>
      </c>
    </row>
    <row r="451" spans="1:16" ht="14.4" x14ac:dyDescent="0.3">
      <c r="A451" s="85" t="s">
        <v>24</v>
      </c>
      <c r="B451" s="86"/>
      <c r="C451" s="87"/>
      <c r="D451" s="92"/>
      <c r="E451" s="92"/>
      <c r="F451" s="92"/>
      <c r="G451" s="92"/>
      <c r="H451" s="92"/>
      <c r="I451" s="92"/>
      <c r="J451" s="92"/>
      <c r="K451" s="92"/>
      <c r="L451" s="92"/>
      <c r="M451" s="92"/>
      <c r="N451" s="92"/>
      <c r="O451" s="92"/>
      <c r="P451" s="92"/>
    </row>
    <row r="452" spans="1:16" ht="14.4" x14ac:dyDescent="0.3">
      <c r="A452" s="89" t="s">
        <v>25</v>
      </c>
      <c r="B452" s="90"/>
      <c r="C452" s="87" t="s">
        <v>19</v>
      </c>
      <c r="D452" s="91">
        <f>[48]SLR!D81</f>
        <v>7.2499999999999995E-2</v>
      </c>
      <c r="E452" s="91">
        <f>[48]SLR!E81</f>
        <v>6.7500000000000004E-2</v>
      </c>
      <c r="F452" s="91">
        <f>[48]SLR!F81</f>
        <v>2.7800000000000005E-2</v>
      </c>
      <c r="G452" s="91">
        <f>[48]SLR!G81</f>
        <v>3.0200000000000005E-2</v>
      </c>
      <c r="H452" s="91">
        <f>[48]SLR!H81</f>
        <v>2.6999999999999996E-2</v>
      </c>
      <c r="I452" s="91">
        <f>[48]SLR!I81</f>
        <v>2.7999999999999997E-2</v>
      </c>
      <c r="J452" s="91">
        <f>[48]SLR!J81</f>
        <v>8.2699999999999996E-2</v>
      </c>
      <c r="K452" s="91">
        <f>[48]SLR!K81</f>
        <v>7.6799999999999993E-2</v>
      </c>
      <c r="L452" s="91">
        <f>[48]SLR!L81</f>
        <v>6.3899999999999998E-2</v>
      </c>
      <c r="M452" s="91">
        <f>[48]SLR!M81</f>
        <v>6.9000000000000006E-2</v>
      </c>
      <c r="N452" s="91">
        <f>[48]SLR!N81</f>
        <v>6.7900000000000002E-2</v>
      </c>
      <c r="O452" s="91">
        <f>[48]SLR!O81</f>
        <v>7.0199999999999999E-2</v>
      </c>
      <c r="P452" s="91">
        <f>[48]SLR!P81</f>
        <v>0</v>
      </c>
    </row>
    <row r="453" spans="1:16" ht="14.4" x14ac:dyDescent="0.3">
      <c r="A453" s="85" t="s">
        <v>26</v>
      </c>
      <c r="B453" s="85"/>
      <c r="C453" s="87"/>
      <c r="D453" s="93"/>
      <c r="E453" s="93"/>
      <c r="F453" s="93"/>
      <c r="G453" s="93"/>
      <c r="H453" s="93"/>
      <c r="I453" s="93"/>
      <c r="J453" s="93"/>
      <c r="K453" s="93"/>
      <c r="L453" s="93"/>
      <c r="M453" s="93"/>
      <c r="N453" s="93"/>
      <c r="O453" s="93"/>
      <c r="P453" s="93"/>
    </row>
    <row r="454" spans="1:16" ht="14.4" x14ac:dyDescent="0.3">
      <c r="A454" s="89" t="s">
        <v>27</v>
      </c>
      <c r="B454" s="89"/>
      <c r="C454" s="87" t="s">
        <v>19</v>
      </c>
      <c r="D454" s="91">
        <f t="shared" ref="D454:P454" si="48">D394</f>
        <v>5.1299999999999998E-2</v>
      </c>
      <c r="E454" s="91">
        <f t="shared" si="48"/>
        <v>5.1299999999999998E-2</v>
      </c>
      <c r="F454" s="91">
        <f t="shared" si="48"/>
        <v>5.1299999999999998E-2</v>
      </c>
      <c r="G454" s="91">
        <f t="shared" si="48"/>
        <v>5.1299999999999998E-2</v>
      </c>
      <c r="H454" s="91">
        <f t="shared" si="48"/>
        <v>5.1299999999999998E-2</v>
      </c>
      <c r="I454" s="91">
        <f t="shared" si="48"/>
        <v>5.1299999999999998E-2</v>
      </c>
      <c r="J454" s="91">
        <f t="shared" si="48"/>
        <v>5.1299999999999998E-2</v>
      </c>
      <c r="K454" s="91">
        <f t="shared" si="48"/>
        <v>5.1299999999999998E-2</v>
      </c>
      <c r="L454" s="91">
        <f t="shared" si="48"/>
        <v>5.1299999999999998E-2</v>
      </c>
      <c r="M454" s="91">
        <f t="shared" si="48"/>
        <v>5.1299999999999998E-2</v>
      </c>
      <c r="N454" s="91">
        <f t="shared" si="48"/>
        <v>5.1299999999999998E-2</v>
      </c>
      <c r="O454" s="91">
        <f t="shared" si="48"/>
        <v>5.1299999999999998E-2</v>
      </c>
      <c r="P454" s="91">
        <f t="shared" si="48"/>
        <v>5.1299999999999998E-2</v>
      </c>
    </row>
    <row r="455" spans="1:16" ht="14.4" x14ac:dyDescent="0.3">
      <c r="A455" s="89" t="s">
        <v>28</v>
      </c>
      <c r="B455" s="89"/>
      <c r="C455" s="87" t="s">
        <v>23</v>
      </c>
      <c r="D455" s="69">
        <v>143.32</v>
      </c>
      <c r="E455" s="69">
        <v>143.32</v>
      </c>
      <c r="F455" s="69">
        <v>143.32</v>
      </c>
      <c r="G455" s="69">
        <v>143.32</v>
      </c>
      <c r="H455" s="69">
        <v>143.32</v>
      </c>
      <c r="I455" s="69">
        <v>143.32</v>
      </c>
      <c r="J455" s="69">
        <v>143.32</v>
      </c>
      <c r="K455" s="69">
        <v>143.32</v>
      </c>
      <c r="L455" s="69">
        <v>143.32</v>
      </c>
      <c r="M455" s="69">
        <v>143.32</v>
      </c>
      <c r="N455" s="69">
        <v>143.32</v>
      </c>
      <c r="O455" s="69">
        <v>143.32</v>
      </c>
      <c r="P455" s="69">
        <v>143.32</v>
      </c>
    </row>
    <row r="456" spans="1:16" ht="14.4" x14ac:dyDescent="0.3">
      <c r="A456" s="85" t="s">
        <v>29</v>
      </c>
      <c r="B456" s="85"/>
      <c r="C456" s="87"/>
      <c r="D456" s="106"/>
      <c r="E456" s="106"/>
      <c r="F456" s="106"/>
      <c r="G456" s="106"/>
      <c r="H456" s="106"/>
      <c r="I456" s="106"/>
      <c r="J456" s="106"/>
      <c r="K456" s="106"/>
      <c r="L456" s="106"/>
      <c r="M456" s="106"/>
      <c r="N456" s="106"/>
      <c r="O456" s="106"/>
      <c r="P456" s="106"/>
    </row>
    <row r="457" spans="1:16" ht="14.4" x14ac:dyDescent="0.3">
      <c r="A457" s="89" t="s">
        <v>30</v>
      </c>
      <c r="B457" s="89"/>
      <c r="C457" s="87" t="s">
        <v>19</v>
      </c>
      <c r="D457" s="20">
        <v>0</v>
      </c>
      <c r="E457" s="20">
        <v>0</v>
      </c>
      <c r="F457" s="20">
        <v>0</v>
      </c>
      <c r="G457" s="20">
        <v>0</v>
      </c>
      <c r="H457" s="20">
        <v>0</v>
      </c>
      <c r="I457" s="20">
        <v>0</v>
      </c>
      <c r="J457" s="20">
        <v>0</v>
      </c>
      <c r="K457" s="20">
        <v>0</v>
      </c>
      <c r="L457" s="20">
        <v>0</v>
      </c>
      <c r="M457" s="20">
        <v>0</v>
      </c>
      <c r="N457" s="20">
        <v>0</v>
      </c>
      <c r="O457" s="20">
        <v>0</v>
      </c>
      <c r="P457" s="20">
        <v>0</v>
      </c>
    </row>
    <row r="458" spans="1:16" ht="14.4" x14ac:dyDescent="0.3">
      <c r="A458" s="89" t="s">
        <v>31</v>
      </c>
      <c r="B458" s="89"/>
      <c r="C458" s="87"/>
      <c r="D458" s="87"/>
      <c r="E458" s="87"/>
      <c r="F458" s="87"/>
      <c r="G458" s="87"/>
      <c r="H458" s="87"/>
      <c r="I458" s="87"/>
      <c r="J458" s="87"/>
      <c r="K458" s="87"/>
      <c r="L458" s="87"/>
      <c r="M458" s="87"/>
      <c r="N458" s="87"/>
      <c r="O458" s="87"/>
      <c r="P458" s="87"/>
    </row>
    <row r="459" spans="1:16" ht="14.4" x14ac:dyDescent="0.3">
      <c r="A459" s="95" t="s">
        <v>125</v>
      </c>
      <c r="B459" s="95"/>
      <c r="C459" s="87"/>
      <c r="D459" s="106"/>
      <c r="E459" s="106"/>
      <c r="F459" s="106"/>
      <c r="G459" s="106"/>
      <c r="H459" s="106"/>
      <c r="I459" s="106"/>
      <c r="J459" s="106"/>
      <c r="K459" s="106"/>
      <c r="L459" s="106"/>
      <c r="M459" s="106"/>
      <c r="N459" s="106"/>
      <c r="O459" s="106"/>
      <c r="P459" s="106"/>
    </row>
    <row r="460" spans="1:16" ht="14.4" x14ac:dyDescent="0.3">
      <c r="A460" s="95" t="s">
        <v>134</v>
      </c>
      <c r="B460" s="95"/>
      <c r="C460" s="87" t="s">
        <v>32</v>
      </c>
      <c r="D460" s="112">
        <v>845.17</v>
      </c>
      <c r="E460" s="112">
        <v>845.17</v>
      </c>
      <c r="F460" s="112">
        <v>845.17</v>
      </c>
      <c r="G460" s="112">
        <v>845.17</v>
      </c>
      <c r="H460" s="112">
        <v>845.17</v>
      </c>
      <c r="I460" s="112">
        <v>845.17</v>
      </c>
      <c r="J460" s="112">
        <v>845.17</v>
      </c>
      <c r="K460" s="112">
        <v>845.17</v>
      </c>
      <c r="L460" s="112">
        <v>845.17</v>
      </c>
      <c r="M460" s="112">
        <v>845.17</v>
      </c>
      <c r="N460" s="112">
        <v>845.17</v>
      </c>
      <c r="O460" s="112">
        <v>845.17</v>
      </c>
      <c r="P460" s="112">
        <v>845.17</v>
      </c>
    </row>
    <row r="461" spans="1:16" ht="14.4" x14ac:dyDescent="0.3">
      <c r="A461" s="95" t="s">
        <v>135</v>
      </c>
      <c r="B461" s="95"/>
      <c r="C461" s="87" t="s">
        <v>32</v>
      </c>
      <c r="D461" s="112">
        <v>3505.46</v>
      </c>
      <c r="E461" s="112">
        <v>3505.46</v>
      </c>
      <c r="F461" s="112">
        <v>3505.46</v>
      </c>
      <c r="G461" s="112">
        <v>3505.46</v>
      </c>
      <c r="H461" s="112">
        <v>3505.46</v>
      </c>
      <c r="I461" s="112">
        <v>3505.46</v>
      </c>
      <c r="J461" s="112">
        <v>3505.46</v>
      </c>
      <c r="K461" s="112">
        <v>3505.46</v>
      </c>
      <c r="L461" s="112">
        <v>3505.46</v>
      </c>
      <c r="M461" s="112">
        <v>3505.46</v>
      </c>
      <c r="N461" s="112">
        <v>3505.46</v>
      </c>
      <c r="O461" s="112">
        <v>3505.46</v>
      </c>
      <c r="P461" s="112">
        <v>3505.46</v>
      </c>
    </row>
    <row r="462" spans="1:16" ht="14.4" x14ac:dyDescent="0.3">
      <c r="A462" s="95" t="s">
        <v>136</v>
      </c>
      <c r="B462" s="95"/>
      <c r="C462" s="87" t="s">
        <v>32</v>
      </c>
      <c r="D462" s="112">
        <v>12726.3</v>
      </c>
      <c r="E462" s="112">
        <v>12726.3</v>
      </c>
      <c r="F462" s="112">
        <v>12726.3</v>
      </c>
      <c r="G462" s="112">
        <v>12726.3</v>
      </c>
      <c r="H462" s="112">
        <v>12726.3</v>
      </c>
      <c r="I462" s="112">
        <v>12726.3</v>
      </c>
      <c r="J462" s="112">
        <v>12726.3</v>
      </c>
      <c r="K462" s="112">
        <v>12726.3</v>
      </c>
      <c r="L462" s="112">
        <v>12726.3</v>
      </c>
      <c r="M462" s="112">
        <v>12726.3</v>
      </c>
      <c r="N462" s="112">
        <v>12726.3</v>
      </c>
      <c r="O462" s="112">
        <v>12726.3</v>
      </c>
      <c r="P462" s="112">
        <v>12726.3</v>
      </c>
    </row>
    <row r="463" spans="1:16" ht="14.4" x14ac:dyDescent="0.3">
      <c r="A463" s="85" t="s">
        <v>33</v>
      </c>
      <c r="B463" s="85"/>
      <c r="C463" s="87"/>
      <c r="D463" s="106"/>
      <c r="E463" s="106"/>
      <c r="F463" s="106"/>
      <c r="G463" s="106"/>
      <c r="H463" s="106"/>
      <c r="I463" s="106"/>
      <c r="J463" s="106"/>
      <c r="K463" s="106"/>
      <c r="L463" s="106"/>
      <c r="M463" s="106"/>
      <c r="N463" s="106"/>
      <c r="O463" s="106"/>
      <c r="P463" s="106"/>
    </row>
    <row r="464" spans="1:16" ht="14.4" x14ac:dyDescent="0.3">
      <c r="A464" s="89" t="s">
        <v>34</v>
      </c>
      <c r="B464" s="89"/>
      <c r="C464" s="87" t="s">
        <v>19</v>
      </c>
      <c r="D464" s="69">
        <v>0</v>
      </c>
      <c r="E464" s="69">
        <v>0</v>
      </c>
      <c r="F464" s="69">
        <v>0</v>
      </c>
      <c r="G464" s="69">
        <v>0</v>
      </c>
      <c r="H464" s="69">
        <v>0</v>
      </c>
      <c r="I464" s="69">
        <v>0</v>
      </c>
      <c r="J464" s="69">
        <v>0</v>
      </c>
      <c r="K464" s="69">
        <v>0</v>
      </c>
      <c r="L464" s="69">
        <v>0</v>
      </c>
      <c r="M464" s="69">
        <v>0</v>
      </c>
      <c r="N464" s="69">
        <v>0</v>
      </c>
      <c r="O464" s="69">
        <v>0</v>
      </c>
      <c r="P464" s="69">
        <v>0</v>
      </c>
    </row>
    <row r="465" spans="1:16" ht="13.5" customHeight="1" x14ac:dyDescent="0.3">
      <c r="A465" s="89" t="s">
        <v>35</v>
      </c>
      <c r="B465" s="89"/>
      <c r="C465" s="87"/>
      <c r="D465" s="87"/>
      <c r="E465" s="87"/>
      <c r="F465" s="87"/>
      <c r="G465" s="87"/>
      <c r="H465" s="87"/>
      <c r="I465" s="87"/>
      <c r="J465" s="87"/>
      <c r="K465" s="87"/>
      <c r="L465" s="87"/>
      <c r="M465" s="87"/>
      <c r="N465" s="87"/>
      <c r="O465" s="87"/>
      <c r="P465" s="87"/>
    </row>
    <row r="466" spans="1:16" ht="14.4" x14ac:dyDescent="0.3">
      <c r="A466" s="95" t="s">
        <v>125</v>
      </c>
      <c r="B466" s="95"/>
      <c r="C466" s="87"/>
      <c r="D466" s="106"/>
      <c r="E466" s="106"/>
      <c r="F466" s="106"/>
      <c r="G466" s="106"/>
      <c r="H466" s="106"/>
      <c r="I466" s="106"/>
      <c r="J466" s="106"/>
      <c r="K466" s="106"/>
      <c r="L466" s="106"/>
      <c r="M466" s="106"/>
      <c r="N466" s="106"/>
      <c r="O466" s="106"/>
      <c r="P466" s="106"/>
    </row>
    <row r="467" spans="1:16" ht="14.4" x14ac:dyDescent="0.3">
      <c r="A467" s="95" t="s">
        <v>134</v>
      </c>
      <c r="B467" s="95"/>
      <c r="C467" s="87" t="s">
        <v>32</v>
      </c>
      <c r="D467" s="112">
        <v>849.44</v>
      </c>
      <c r="E467" s="112">
        <v>849.44</v>
      </c>
      <c r="F467" s="112">
        <v>849.44</v>
      </c>
      <c r="G467" s="112">
        <v>849.44</v>
      </c>
      <c r="H467" s="112">
        <v>849.44</v>
      </c>
      <c r="I467" s="112">
        <v>849.44</v>
      </c>
      <c r="J467" s="112">
        <v>849.44</v>
      </c>
      <c r="K467" s="112">
        <v>849.44</v>
      </c>
      <c r="L467" s="112">
        <v>849.44</v>
      </c>
      <c r="M467" s="112">
        <v>849.44</v>
      </c>
      <c r="N467" s="112">
        <v>849.44</v>
      </c>
      <c r="O467" s="112">
        <v>849.44</v>
      </c>
      <c r="P467" s="112">
        <v>849.44</v>
      </c>
    </row>
    <row r="468" spans="1:16" ht="14.4" x14ac:dyDescent="0.3">
      <c r="A468" s="95" t="s">
        <v>135</v>
      </c>
      <c r="B468" s="95"/>
      <c r="C468" s="87" t="s">
        <v>32</v>
      </c>
      <c r="D468" s="112">
        <v>3525.12</v>
      </c>
      <c r="E468" s="112">
        <v>3525.12</v>
      </c>
      <c r="F468" s="112">
        <v>3525.12</v>
      </c>
      <c r="G468" s="112">
        <v>3525.12</v>
      </c>
      <c r="H468" s="112">
        <v>3525.12</v>
      </c>
      <c r="I468" s="112">
        <v>3525.12</v>
      </c>
      <c r="J468" s="112">
        <v>3525.12</v>
      </c>
      <c r="K468" s="112">
        <v>3525.12</v>
      </c>
      <c r="L468" s="112">
        <v>3525.12</v>
      </c>
      <c r="M468" s="112">
        <v>3525.12</v>
      </c>
      <c r="N468" s="112">
        <v>3525.12</v>
      </c>
      <c r="O468" s="112">
        <v>3525.12</v>
      </c>
      <c r="P468" s="112">
        <v>3525.12</v>
      </c>
    </row>
    <row r="469" spans="1:16" ht="14.4" x14ac:dyDescent="0.3">
      <c r="A469" s="95" t="s">
        <v>136</v>
      </c>
      <c r="B469" s="95"/>
      <c r="C469" s="87" t="s">
        <v>32</v>
      </c>
      <c r="D469" s="112">
        <v>12075.11</v>
      </c>
      <c r="E469" s="112">
        <v>12075.11</v>
      </c>
      <c r="F469" s="112">
        <v>12075.11</v>
      </c>
      <c r="G469" s="112">
        <v>12075.11</v>
      </c>
      <c r="H469" s="112">
        <v>12075.11</v>
      </c>
      <c r="I469" s="112">
        <v>12075.11</v>
      </c>
      <c r="J469" s="112">
        <v>12075.11</v>
      </c>
      <c r="K469" s="112">
        <v>12075.11</v>
      </c>
      <c r="L469" s="112">
        <v>12075.11</v>
      </c>
      <c r="M469" s="112">
        <v>12075.11</v>
      </c>
      <c r="N469" s="112">
        <v>12075.11</v>
      </c>
      <c r="O469" s="112">
        <v>12075.11</v>
      </c>
      <c r="P469" s="112">
        <v>12075.11</v>
      </c>
    </row>
    <row r="470" spans="1:16" ht="14.4" x14ac:dyDescent="0.3">
      <c r="A470" s="85" t="s">
        <v>37</v>
      </c>
      <c r="B470" s="85"/>
      <c r="C470" s="87"/>
      <c r="D470" s="106"/>
      <c r="E470" s="106"/>
      <c r="F470" s="106"/>
      <c r="G470" s="106"/>
      <c r="H470" s="106"/>
      <c r="I470" s="106"/>
      <c r="J470" s="106"/>
      <c r="K470" s="106"/>
      <c r="L470" s="106"/>
      <c r="M470" s="106"/>
      <c r="N470" s="106"/>
      <c r="O470" s="106"/>
      <c r="P470" s="106"/>
    </row>
    <row r="471" spans="1:16" ht="14.4" x14ac:dyDescent="0.3">
      <c r="A471" s="95" t="s">
        <v>38</v>
      </c>
      <c r="B471" s="89"/>
      <c r="C471" s="87" t="s">
        <v>19</v>
      </c>
      <c r="D471" s="91">
        <f>[48]LD!D30</f>
        <v>9.3899999999999997E-2</v>
      </c>
      <c r="E471" s="91">
        <f>[48]LD!E30</f>
        <v>9.2399999999999996E-2</v>
      </c>
      <c r="F471" s="91">
        <f>[48]LD!F30</f>
        <v>8.7999999999999995E-2</v>
      </c>
      <c r="G471" s="91">
        <f>[48]LD!G30</f>
        <v>0.1013</v>
      </c>
      <c r="H471" s="91">
        <f>[48]LD!H30</f>
        <v>0.111</v>
      </c>
      <c r="I471" s="91">
        <f>[48]LD!I30</f>
        <v>4.5099999999999994E-2</v>
      </c>
      <c r="J471" s="91">
        <f>[48]LD!J30</f>
        <v>6.0400000000000002E-2</v>
      </c>
      <c r="K471" s="91">
        <f>[48]LD!K30</f>
        <v>6.54E-2</v>
      </c>
      <c r="L471" s="91">
        <f>[48]LD!L30</f>
        <v>6.6500000000000004E-2</v>
      </c>
      <c r="M471" s="91">
        <f>[48]LD!M30</f>
        <v>5.9900000000000002E-2</v>
      </c>
      <c r="N471" s="91">
        <f>[48]LD!N30</f>
        <v>4.7800000000000002E-2</v>
      </c>
      <c r="O471" s="91">
        <f>[48]LD!O30</f>
        <v>7.9100000000000004E-2</v>
      </c>
      <c r="P471" s="91">
        <f>[48]LD!P30</f>
        <v>0</v>
      </c>
    </row>
    <row r="472" spans="1:16" ht="14.4" x14ac:dyDescent="0.3">
      <c r="A472" s="95" t="s">
        <v>39</v>
      </c>
      <c r="B472" s="89"/>
      <c r="C472" s="87" t="s">
        <v>19</v>
      </c>
      <c r="D472" s="91">
        <v>0</v>
      </c>
      <c r="E472" s="91">
        <v>0</v>
      </c>
      <c r="F472" s="91">
        <v>0</v>
      </c>
      <c r="G472" s="91">
        <v>0</v>
      </c>
      <c r="H472" s="91">
        <v>0</v>
      </c>
      <c r="I472" s="91">
        <v>0</v>
      </c>
      <c r="J472" s="91">
        <v>0</v>
      </c>
      <c r="K472" s="91">
        <v>0</v>
      </c>
      <c r="L472" s="91">
        <v>0</v>
      </c>
      <c r="M472" s="91">
        <v>0</v>
      </c>
      <c r="N472" s="91">
        <v>0</v>
      </c>
      <c r="O472" s="91">
        <v>0</v>
      </c>
      <c r="P472" s="91">
        <v>0</v>
      </c>
    </row>
    <row r="473" spans="1:16" ht="14.4" x14ac:dyDescent="0.3">
      <c r="A473" s="96" t="s">
        <v>40</v>
      </c>
      <c r="B473" s="89"/>
      <c r="C473" s="87" t="s">
        <v>19</v>
      </c>
      <c r="D473" s="91">
        <f>'[48]SR CIT. SUBSIDY'!C108</f>
        <v>1E-4</v>
      </c>
      <c r="E473" s="91">
        <f>'[48]SR CIT. SUBSIDY'!D108</f>
        <v>1E-4</v>
      </c>
      <c r="F473" s="91">
        <f>'[48]SR CIT. SUBSIDY'!E108</f>
        <v>0</v>
      </c>
      <c r="G473" s="91">
        <f>'[48]SR CIT. SUBSIDY'!F108</f>
        <v>0</v>
      </c>
      <c r="H473" s="91">
        <f>'[48]SR CIT. SUBSIDY'!G108</f>
        <v>1E-4</v>
      </c>
      <c r="I473" s="91">
        <f>'[48]SR CIT. SUBSIDY'!H108</f>
        <v>1E-4</v>
      </c>
      <c r="J473" s="91">
        <f>'[48]SR CIT. SUBSIDY'!I108</f>
        <v>1E-4</v>
      </c>
      <c r="K473" s="91">
        <f>'[48]SR CIT. SUBSIDY'!J108</f>
        <v>1E-4</v>
      </c>
      <c r="L473" s="91">
        <f>'[48]SR CIT. SUBSIDY'!K108</f>
        <v>1E-4</v>
      </c>
      <c r="M473" s="91">
        <f>'[48]SR CIT. SUBSIDY'!L108</f>
        <v>1E-4</v>
      </c>
      <c r="N473" s="91">
        <f>'[48]SR CIT. SUBSIDY'!M108</f>
        <v>1E-4</v>
      </c>
      <c r="O473" s="91">
        <f>'[48]SR CIT. SUBSIDY'!N108</f>
        <v>1E-4</v>
      </c>
      <c r="P473" s="91">
        <f>'[48]SR CIT. SUBSIDY'!O108</f>
        <v>0</v>
      </c>
    </row>
    <row r="474" spans="1:16" ht="14.4" x14ac:dyDescent="0.3">
      <c r="A474" s="96" t="s">
        <v>41</v>
      </c>
      <c r="B474" s="89"/>
      <c r="C474" s="87" t="s">
        <v>19</v>
      </c>
      <c r="D474" s="91">
        <v>0</v>
      </c>
      <c r="E474" s="91">
        <v>0</v>
      </c>
      <c r="F474" s="91">
        <v>0</v>
      </c>
      <c r="G474" s="91">
        <v>0</v>
      </c>
      <c r="H474" s="91">
        <v>0</v>
      </c>
      <c r="I474" s="91">
        <v>0</v>
      </c>
      <c r="J474" s="91">
        <v>0</v>
      </c>
      <c r="K474" s="91">
        <v>0</v>
      </c>
      <c r="L474" s="91">
        <v>0</v>
      </c>
      <c r="M474" s="91">
        <v>0</v>
      </c>
      <c r="N474" s="91">
        <v>0</v>
      </c>
      <c r="O474" s="91">
        <v>0</v>
      </c>
      <c r="P474" s="91">
        <v>0</v>
      </c>
    </row>
    <row r="475" spans="1:16" ht="14.4" x14ac:dyDescent="0.3">
      <c r="A475" s="85" t="s">
        <v>42</v>
      </c>
      <c r="B475" s="85"/>
      <c r="C475" s="87"/>
      <c r="D475" s="94"/>
      <c r="E475" s="94"/>
      <c r="F475" s="94"/>
      <c r="G475" s="94"/>
      <c r="H475" s="94"/>
      <c r="I475" s="94"/>
      <c r="J475" s="94"/>
      <c r="K475" s="94"/>
      <c r="L475" s="94"/>
      <c r="M475" s="94"/>
      <c r="N475" s="94"/>
      <c r="O475" s="94"/>
      <c r="P475" s="94"/>
    </row>
    <row r="476" spans="1:16" ht="14.4" x14ac:dyDescent="0.3">
      <c r="A476" s="85" t="s">
        <v>43</v>
      </c>
      <c r="B476" s="85"/>
      <c r="C476" s="87" t="s">
        <v>44</v>
      </c>
      <c r="D476" s="91"/>
      <c r="E476" s="91"/>
      <c r="F476" s="91"/>
      <c r="G476" s="91"/>
      <c r="H476" s="91"/>
      <c r="I476" s="91"/>
      <c r="J476" s="91"/>
      <c r="K476" s="91"/>
      <c r="L476" s="91"/>
      <c r="M476" s="91"/>
      <c r="N476" s="91"/>
      <c r="O476" s="91"/>
      <c r="P476" s="91"/>
    </row>
    <row r="477" spans="1:16" ht="14.4" x14ac:dyDescent="0.3">
      <c r="A477" s="85" t="s">
        <v>45</v>
      </c>
      <c r="B477" s="85"/>
      <c r="C477" s="87"/>
      <c r="D477" s="94"/>
      <c r="E477" s="94"/>
      <c r="F477" s="94"/>
      <c r="G477" s="94"/>
      <c r="H477" s="94"/>
      <c r="I477" s="94"/>
      <c r="J477" s="94"/>
      <c r="K477" s="94"/>
      <c r="L477" s="94"/>
      <c r="M477" s="94"/>
      <c r="N477" s="94"/>
      <c r="O477" s="94"/>
      <c r="P477" s="94"/>
    </row>
    <row r="478" spans="1:16" ht="14.4" x14ac:dyDescent="0.3">
      <c r="A478" s="85" t="s">
        <v>46</v>
      </c>
      <c r="B478" s="85"/>
      <c r="C478" s="87" t="s">
        <v>19</v>
      </c>
      <c r="D478" s="91">
        <v>0</v>
      </c>
      <c r="E478" s="91">
        <v>0</v>
      </c>
      <c r="F478" s="91">
        <v>0</v>
      </c>
      <c r="G478" s="91">
        <v>0</v>
      </c>
      <c r="H478" s="91">
        <v>0</v>
      </c>
      <c r="I478" s="91">
        <v>0</v>
      </c>
      <c r="J478" s="91">
        <v>0</v>
      </c>
      <c r="K478" s="91">
        <v>0</v>
      </c>
      <c r="L478" s="91">
        <v>0</v>
      </c>
      <c r="M478" s="91">
        <v>0</v>
      </c>
      <c r="N478" s="91">
        <v>0</v>
      </c>
      <c r="O478" s="91">
        <v>0</v>
      </c>
      <c r="P478" s="91">
        <v>0</v>
      </c>
    </row>
    <row r="479" spans="1:16" ht="14.4" x14ac:dyDescent="0.3">
      <c r="A479" s="85" t="s">
        <v>47</v>
      </c>
      <c r="B479" s="85"/>
      <c r="C479" s="87"/>
      <c r="D479" s="94"/>
      <c r="E479" s="94"/>
      <c r="F479" s="94"/>
      <c r="G479" s="94"/>
      <c r="H479" s="94"/>
      <c r="I479" s="94"/>
      <c r="J479" s="94"/>
      <c r="K479" s="94"/>
      <c r="L479" s="94"/>
      <c r="M479" s="94"/>
      <c r="N479" s="94"/>
      <c r="O479" s="94"/>
      <c r="P479" s="94"/>
    </row>
    <row r="480" spans="1:16" ht="14.4" x14ac:dyDescent="0.3">
      <c r="A480" s="89" t="s">
        <v>48</v>
      </c>
      <c r="B480" s="89"/>
      <c r="C480" s="87" t="s">
        <v>19</v>
      </c>
      <c r="D480" s="91">
        <f t="shared" ref="D480:P484" si="49">D430</f>
        <v>0.15609999999999999</v>
      </c>
      <c r="E480" s="91">
        <f t="shared" si="49"/>
        <v>0.15609999999999999</v>
      </c>
      <c r="F480" s="91">
        <f t="shared" si="49"/>
        <v>0.15609999999999999</v>
      </c>
      <c r="G480" s="91">
        <f t="shared" si="49"/>
        <v>0.15609999999999999</v>
      </c>
      <c r="H480" s="91">
        <f t="shared" si="49"/>
        <v>0.15609999999999999</v>
      </c>
      <c r="I480" s="91">
        <f t="shared" si="49"/>
        <v>0.15609999999999999</v>
      </c>
      <c r="J480" s="91">
        <f t="shared" si="49"/>
        <v>0.15609999999999999</v>
      </c>
      <c r="K480" s="91">
        <f t="shared" si="49"/>
        <v>0.15609999999999999</v>
      </c>
      <c r="L480" s="91">
        <f t="shared" si="49"/>
        <v>0.15609999999999999</v>
      </c>
      <c r="M480" s="91">
        <f t="shared" si="49"/>
        <v>0.15609999999999999</v>
      </c>
      <c r="N480" s="91">
        <f t="shared" si="49"/>
        <v>0.15609999999999999</v>
      </c>
      <c r="O480" s="91">
        <f t="shared" si="49"/>
        <v>0.15609999999999999</v>
      </c>
      <c r="P480" s="91">
        <f t="shared" si="49"/>
        <v>0.15609999999999999</v>
      </c>
    </row>
    <row r="481" spans="1:16" ht="14.4" x14ac:dyDescent="0.3">
      <c r="A481" s="89" t="s">
        <v>49</v>
      </c>
      <c r="B481" s="89"/>
      <c r="C481" s="87" t="s">
        <v>19</v>
      </c>
      <c r="D481" s="91">
        <f t="shared" si="49"/>
        <v>2.5000000000000001E-3</v>
      </c>
      <c r="E481" s="91">
        <f t="shared" si="49"/>
        <v>2.5000000000000001E-3</v>
      </c>
      <c r="F481" s="91">
        <f t="shared" si="49"/>
        <v>2.5000000000000001E-3</v>
      </c>
      <c r="G481" s="91">
        <f t="shared" si="49"/>
        <v>2.5000000000000001E-3</v>
      </c>
      <c r="H481" s="91">
        <f t="shared" si="49"/>
        <v>2.5000000000000001E-3</v>
      </c>
      <c r="I481" s="91">
        <f t="shared" si="49"/>
        <v>0</v>
      </c>
      <c r="J481" s="91">
        <f t="shared" si="49"/>
        <v>0</v>
      </c>
      <c r="K481" s="91">
        <f t="shared" si="49"/>
        <v>0</v>
      </c>
      <c r="L481" s="91">
        <f t="shared" si="49"/>
        <v>0</v>
      </c>
      <c r="M481" s="91">
        <f t="shared" si="49"/>
        <v>0</v>
      </c>
      <c r="N481" s="91">
        <f t="shared" si="49"/>
        <v>0</v>
      </c>
      <c r="O481" s="91">
        <f t="shared" si="49"/>
        <v>0</v>
      </c>
      <c r="P481" s="91">
        <f t="shared" si="49"/>
        <v>0</v>
      </c>
    </row>
    <row r="482" spans="1:16" ht="14.4" x14ac:dyDescent="0.3">
      <c r="A482" s="89" t="s">
        <v>111</v>
      </c>
      <c r="B482" s="89"/>
      <c r="C482" s="87" t="s">
        <v>19</v>
      </c>
      <c r="D482" s="91">
        <f t="shared" si="49"/>
        <v>5.4300000000000001E-2</v>
      </c>
      <c r="E482" s="91">
        <f t="shared" si="49"/>
        <v>0</v>
      </c>
      <c r="F482" s="91">
        <f t="shared" si="49"/>
        <v>-0.14530000000000001</v>
      </c>
      <c r="G482" s="91">
        <f t="shared" si="49"/>
        <v>0</v>
      </c>
      <c r="H482" s="91">
        <f t="shared" si="49"/>
        <v>0</v>
      </c>
      <c r="I482" s="91">
        <f t="shared" si="49"/>
        <v>0</v>
      </c>
      <c r="J482" s="91">
        <f t="shared" si="49"/>
        <v>0</v>
      </c>
      <c r="K482" s="91">
        <f t="shared" si="49"/>
        <v>0</v>
      </c>
      <c r="L482" s="91">
        <f t="shared" si="49"/>
        <v>0</v>
      </c>
      <c r="M482" s="91">
        <f t="shared" si="49"/>
        <v>0</v>
      </c>
      <c r="N482" s="91">
        <f t="shared" si="49"/>
        <v>0</v>
      </c>
      <c r="O482" s="91">
        <f t="shared" si="49"/>
        <v>0</v>
      </c>
      <c r="P482" s="91">
        <f t="shared" si="49"/>
        <v>0</v>
      </c>
    </row>
    <row r="483" spans="1:16" ht="14.4" x14ac:dyDescent="0.3">
      <c r="A483" s="89" t="s">
        <v>112</v>
      </c>
      <c r="B483" s="89"/>
      <c r="C483" s="87" t="s">
        <v>19</v>
      </c>
      <c r="D483" s="91">
        <f t="shared" si="49"/>
        <v>4.2799999999999998E-2</v>
      </c>
      <c r="E483" s="91">
        <f t="shared" si="49"/>
        <v>4.2799999999999998E-2</v>
      </c>
      <c r="F483" s="91">
        <f t="shared" si="49"/>
        <v>4.2799999999999998E-2</v>
      </c>
      <c r="G483" s="91">
        <f t="shared" si="49"/>
        <v>4.2799999999999998E-2</v>
      </c>
      <c r="H483" s="91">
        <f t="shared" si="49"/>
        <v>4.2799999999999998E-2</v>
      </c>
      <c r="I483" s="91">
        <f t="shared" si="49"/>
        <v>4.2799999999999998E-2</v>
      </c>
      <c r="J483" s="91">
        <f t="shared" si="49"/>
        <v>4.2799999999999998E-2</v>
      </c>
      <c r="K483" s="91">
        <f t="shared" si="49"/>
        <v>4.2799999999999998E-2</v>
      </c>
      <c r="L483" s="91">
        <f t="shared" si="49"/>
        <v>4.2799999999999998E-2</v>
      </c>
      <c r="M483" s="91">
        <f t="shared" si="49"/>
        <v>4.2799999999999998E-2</v>
      </c>
      <c r="N483" s="91">
        <f t="shared" si="49"/>
        <v>4.2799999999999998E-2</v>
      </c>
      <c r="O483" s="91">
        <f t="shared" si="49"/>
        <v>4.2799999999999998E-2</v>
      </c>
      <c r="P483" s="91">
        <f t="shared" si="49"/>
        <v>4.2799999999999998E-2</v>
      </c>
    </row>
    <row r="484" spans="1:16" ht="14.4" x14ac:dyDescent="0.3">
      <c r="A484" s="85" t="s">
        <v>51</v>
      </c>
      <c r="B484" s="85"/>
      <c r="C484" s="87" t="s">
        <v>19</v>
      </c>
      <c r="D484" s="91">
        <f t="shared" si="49"/>
        <v>0.22259999999999999</v>
      </c>
      <c r="E484" s="91">
        <f t="shared" si="49"/>
        <v>4.9500000000000002E-2</v>
      </c>
      <c r="F484" s="91">
        <f t="shared" si="49"/>
        <v>4.9500000000000002E-2</v>
      </c>
      <c r="G484" s="91">
        <f t="shared" si="49"/>
        <v>0</v>
      </c>
      <c r="H484" s="91">
        <f t="shared" si="49"/>
        <v>0</v>
      </c>
      <c r="I484" s="91">
        <f t="shared" si="49"/>
        <v>4.9500000000000002E-2</v>
      </c>
      <c r="J484" s="91">
        <f t="shared" si="49"/>
        <v>4.9500000000000002E-2</v>
      </c>
      <c r="K484" s="91">
        <f t="shared" si="49"/>
        <v>4.9500000000000002E-2</v>
      </c>
      <c r="L484" s="91">
        <f t="shared" si="49"/>
        <v>4.9500000000000002E-2</v>
      </c>
      <c r="M484" s="91">
        <f t="shared" si="49"/>
        <v>4.9500000000000002E-2</v>
      </c>
      <c r="N484" s="91">
        <f t="shared" si="49"/>
        <v>4.9500000000000002E-2</v>
      </c>
      <c r="O484" s="91">
        <f t="shared" si="49"/>
        <v>4.9500000000000002E-2</v>
      </c>
      <c r="P484" s="91">
        <f t="shared" si="49"/>
        <v>4.9500000000000002E-2</v>
      </c>
    </row>
    <row r="485" spans="1:16" ht="14.4" x14ac:dyDescent="0.3">
      <c r="A485" s="85" t="s">
        <v>52</v>
      </c>
      <c r="B485" s="85"/>
      <c r="C485" s="97"/>
      <c r="D485" s="22"/>
      <c r="E485" s="22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</row>
    <row r="486" spans="1:16" ht="14.4" x14ac:dyDescent="0.3">
      <c r="A486" s="89" t="s">
        <v>53</v>
      </c>
      <c r="B486" s="89"/>
      <c r="C486" s="87" t="s">
        <v>44</v>
      </c>
      <c r="D486" s="30">
        <f>'[48]DU VAT'!C15</f>
        <v>0.1094</v>
      </c>
      <c r="E486" s="30">
        <f>'[48]DU VAT'!D15</f>
        <v>0.1108</v>
      </c>
      <c r="F486" s="30">
        <f>'[48]DU VAT'!E15</f>
        <v>0.11159999999999999</v>
      </c>
      <c r="G486" s="30">
        <f>'[48]DU VAT'!F15</f>
        <v>0.11550000000000001</v>
      </c>
      <c r="H486" s="30">
        <f>'[48]DU VAT'!G15</f>
        <v>0.11890000000000001</v>
      </c>
      <c r="I486" s="30">
        <f>'[48]DU VAT'!H15</f>
        <v>0.11890000000000001</v>
      </c>
      <c r="J486" s="30">
        <f>'[48]DU VAT'!I15</f>
        <v>0.1142</v>
      </c>
      <c r="K486" s="30">
        <f>'[48]DU VAT'!J15</f>
        <v>0.1143</v>
      </c>
      <c r="L486" s="30">
        <f>'[48]DU VAT'!K15</f>
        <v>0.11559999999999999</v>
      </c>
      <c r="M486" s="30">
        <f>'[48]DU VAT'!L15</f>
        <v>0.11119999999999999</v>
      </c>
      <c r="N486" s="30">
        <f>'[48]DU VAT'!M15</f>
        <v>0.1148</v>
      </c>
      <c r="O486" s="30">
        <f>'[48]DU VAT'!N15</f>
        <v>0.1158</v>
      </c>
      <c r="P486" s="30" t="e">
        <f>'[48]DU VAT'!O15</f>
        <v>#DIV/0!</v>
      </c>
    </row>
    <row r="487" spans="1:16" ht="14.4" x14ac:dyDescent="0.3">
      <c r="A487" s="89" t="s">
        <v>54</v>
      </c>
      <c r="B487" s="89"/>
      <c r="C487" s="87" t="s">
        <v>44</v>
      </c>
      <c r="D487" s="30">
        <f>'[48]DU VAT'!C22</f>
        <v>0.1011</v>
      </c>
      <c r="E487" s="30">
        <f>'[48]DU VAT'!D22</f>
        <v>0.1071</v>
      </c>
      <c r="F487" s="30">
        <f>'[48]DU VAT'!E22</f>
        <v>0.1144</v>
      </c>
      <c r="G487" s="30">
        <f>'[48]DU VAT'!F22</f>
        <v>0.11749999999999999</v>
      </c>
      <c r="H487" s="30">
        <f>'[48]DU VAT'!G22</f>
        <v>0.1123</v>
      </c>
      <c r="I487" s="30">
        <f>'[48]DU VAT'!H22</f>
        <v>0.11509999999999999</v>
      </c>
      <c r="J487" s="30">
        <f>'[48]DU VAT'!I22</f>
        <v>9.9299999999999999E-2</v>
      </c>
      <c r="K487" s="30">
        <f>'[48]DU VAT'!J22</f>
        <v>0.1032</v>
      </c>
      <c r="L487" s="30">
        <f>'[48]DU VAT'!K22</f>
        <v>0.1017</v>
      </c>
      <c r="M487" s="30">
        <f>'[48]DU VAT'!L22</f>
        <v>0.1055</v>
      </c>
      <c r="N487" s="30">
        <f>'[48]DU VAT'!M22</f>
        <v>0.10100000000000001</v>
      </c>
      <c r="O487" s="30">
        <f>'[48]DU VAT'!N22</f>
        <v>9.6699999999999994E-2</v>
      </c>
      <c r="P487" s="30" t="e">
        <f>'[48]DU VAT'!O22</f>
        <v>#DIV/0!</v>
      </c>
    </row>
    <row r="488" spans="1:16" ht="14.4" x14ac:dyDescent="0.3">
      <c r="A488" s="89" t="s">
        <v>55</v>
      </c>
      <c r="B488" s="89"/>
      <c r="C488" s="87" t="s">
        <v>44</v>
      </c>
      <c r="D488" s="30">
        <f>'[48]DU VAT'!C29</f>
        <v>0.1084</v>
      </c>
      <c r="E488" s="30">
        <f>'[48]DU VAT'!D29</f>
        <v>0.1103</v>
      </c>
      <c r="F488" s="30">
        <f>'[48]DU VAT'!E29</f>
        <v>0.1105</v>
      </c>
      <c r="G488" s="30">
        <f>'[48]DU VAT'!F29</f>
        <v>0.1143</v>
      </c>
      <c r="H488" s="30">
        <f>'[48]DU VAT'!G29</f>
        <v>0.1162</v>
      </c>
      <c r="I488" s="30">
        <f>'[48]DU VAT'!H29</f>
        <v>0.1166</v>
      </c>
      <c r="J488" s="30">
        <f>'[48]DU VAT'!I29</f>
        <v>0.1118</v>
      </c>
      <c r="K488" s="30">
        <f>'[48]DU VAT'!J29</f>
        <v>0.11310000000000001</v>
      </c>
      <c r="L488" s="30">
        <f>'[48]DU VAT'!K29</f>
        <v>0.1134</v>
      </c>
      <c r="M488" s="30">
        <f>'[48]DU VAT'!L29</f>
        <v>0.1104</v>
      </c>
      <c r="N488" s="30">
        <f>'[48]DU VAT'!M29</f>
        <v>0.11260000000000001</v>
      </c>
      <c r="O488" s="30">
        <f>'[48]DU VAT'!N29</f>
        <v>0.1128</v>
      </c>
      <c r="P488" s="30" t="e">
        <f>'[48]DU VAT'!O29</f>
        <v>#DIV/0!</v>
      </c>
    </row>
    <row r="489" spans="1:16" ht="14.4" x14ac:dyDescent="0.3">
      <c r="A489" s="89" t="s">
        <v>56</v>
      </c>
      <c r="B489" s="89"/>
      <c r="C489" s="87" t="s">
        <v>44</v>
      </c>
      <c r="D489" s="30">
        <f t="shared" ref="D489:P490" si="50">D439</f>
        <v>0.12</v>
      </c>
      <c r="E489" s="30">
        <f t="shared" si="50"/>
        <v>0.12</v>
      </c>
      <c r="F489" s="30">
        <f t="shared" si="50"/>
        <v>0.12</v>
      </c>
      <c r="G489" s="30">
        <f t="shared" si="50"/>
        <v>0.12</v>
      </c>
      <c r="H489" s="30">
        <f t="shared" si="50"/>
        <v>0.12</v>
      </c>
      <c r="I489" s="30">
        <f t="shared" si="50"/>
        <v>0.12</v>
      </c>
      <c r="J489" s="30">
        <f t="shared" si="50"/>
        <v>0.12</v>
      </c>
      <c r="K489" s="30">
        <f t="shared" si="50"/>
        <v>0.12</v>
      </c>
      <c r="L489" s="30">
        <f t="shared" si="50"/>
        <v>0.12</v>
      </c>
      <c r="M489" s="30">
        <f t="shared" si="50"/>
        <v>0.12</v>
      </c>
      <c r="N489" s="30">
        <f t="shared" si="50"/>
        <v>0.12</v>
      </c>
      <c r="O489" s="30">
        <f t="shared" si="50"/>
        <v>0.12</v>
      </c>
      <c r="P489" s="30">
        <f t="shared" si="50"/>
        <v>0.12</v>
      </c>
    </row>
    <row r="490" spans="1:16" ht="14.4" x14ac:dyDescent="0.3">
      <c r="A490" s="89" t="s">
        <v>57</v>
      </c>
      <c r="B490" s="89"/>
      <c r="C490" s="87" t="s">
        <v>44</v>
      </c>
      <c r="D490" s="30">
        <f t="shared" si="50"/>
        <v>0.12</v>
      </c>
      <c r="E490" s="30">
        <f t="shared" si="50"/>
        <v>0.12</v>
      </c>
      <c r="F490" s="30">
        <f t="shared" si="50"/>
        <v>0.12</v>
      </c>
      <c r="G490" s="30">
        <f t="shared" si="50"/>
        <v>0.12</v>
      </c>
      <c r="H490" s="30">
        <f t="shared" si="50"/>
        <v>0.12</v>
      </c>
      <c r="I490" s="30">
        <f t="shared" si="50"/>
        <v>0.12</v>
      </c>
      <c r="J490" s="30">
        <f t="shared" si="50"/>
        <v>0.12</v>
      </c>
      <c r="K490" s="30">
        <f t="shared" si="50"/>
        <v>0.12</v>
      </c>
      <c r="L490" s="30">
        <f t="shared" si="50"/>
        <v>0.12</v>
      </c>
      <c r="M490" s="30">
        <f t="shared" si="50"/>
        <v>0.12</v>
      </c>
      <c r="N490" s="30">
        <f t="shared" si="50"/>
        <v>0.12</v>
      </c>
      <c r="O490" s="30">
        <f t="shared" si="50"/>
        <v>0.12</v>
      </c>
      <c r="P490" s="30">
        <f t="shared" si="50"/>
        <v>0.12</v>
      </c>
    </row>
    <row r="492" spans="1:16" hidden="1" x14ac:dyDescent="0.3"/>
    <row r="493" spans="1:16" hidden="1" x14ac:dyDescent="0.3"/>
    <row r="494" spans="1:16" x14ac:dyDescent="0.3">
      <c r="A494" s="77" t="s">
        <v>58</v>
      </c>
    </row>
    <row r="496" spans="1:16" ht="14.4" x14ac:dyDescent="0.3">
      <c r="A496" s="74" t="s">
        <v>137</v>
      </c>
      <c r="B496" s="95"/>
      <c r="C496" s="87"/>
      <c r="D496" s="106"/>
      <c r="E496" s="106"/>
      <c r="F496" s="106"/>
      <c r="G496" s="106"/>
      <c r="H496" s="106"/>
      <c r="I496" s="106"/>
      <c r="J496" s="106"/>
      <c r="K496" s="106"/>
      <c r="L496" s="106"/>
      <c r="M496" s="106"/>
      <c r="N496" s="106"/>
      <c r="O496" s="106"/>
      <c r="P496" s="106"/>
    </row>
    <row r="497" spans="1:16" x14ac:dyDescent="0.3">
      <c r="A497" s="121"/>
      <c r="B497" s="121"/>
      <c r="C497" s="122"/>
      <c r="D497" s="121"/>
      <c r="E497" s="121"/>
      <c r="F497" s="121"/>
      <c r="G497" s="121"/>
      <c r="H497" s="121"/>
      <c r="I497" s="121"/>
      <c r="J497" s="121"/>
      <c r="K497" s="121"/>
      <c r="L497" s="121"/>
      <c r="M497" s="121"/>
      <c r="N497" s="121"/>
      <c r="O497" s="121"/>
      <c r="P497" s="121"/>
    </row>
    <row r="498" spans="1:16" x14ac:dyDescent="0.3">
      <c r="A498" s="100"/>
      <c r="B498" s="121"/>
      <c r="C498" s="122"/>
      <c r="D498" s="121"/>
      <c r="E498" s="121"/>
      <c r="F498" s="121"/>
      <c r="G498" s="121"/>
      <c r="H498" s="121"/>
      <c r="I498" s="121"/>
      <c r="J498" s="121"/>
      <c r="K498" s="121"/>
      <c r="L498" s="121"/>
      <c r="M498" s="121"/>
      <c r="N498" s="121"/>
      <c r="O498" s="121"/>
      <c r="P498" s="121"/>
    </row>
    <row r="500" spans="1:16" x14ac:dyDescent="0.3">
      <c r="A500" s="100"/>
    </row>
  </sheetData>
  <sheetProtection algorithmName="SHA-512" hashValue="htq7sZFh+8ZPSRrU3ZPPi3py9rQGRgMJj9VJzWAOWN+YoXzVeTV20g+T/OwYjfHaPmVFKsl8AN3p+eRea9Mk0Q==" saltValue="IQwWsEzdP1kv2D52azUkzw==" spinCount="100000" sheet="1" objects="1" scenarios="1" selectLockedCells="1" selectUnlockedCells="1"/>
  <printOptions horizontalCentered="1"/>
  <pageMargins left="0.19685039370078741" right="0.19685039370078741" top="0.51181102362204722" bottom="0.39370078740157483" header="0.51181102362204722" footer="0.11811023622047245"/>
  <pageSetup paperSize="5" scale="46" fitToHeight="0" orientation="portrait" r:id="rId1"/>
  <headerFooter scaleWithDoc="0" alignWithMargins="0">
    <oddFooter>&amp;L&amp;"Calibri,Regular"GENERAL NOTE: All data used in the actual implemented rates were based on available information as of the time rates were computed.&amp;R&amp;"Calibri,Italic"&amp;8
Actual Implemented Rates Page &amp;P of &amp;N</oddFooter>
  </headerFooter>
  <rowBreaks count="8" manualBreakCount="8">
    <brk id="47" max="16383" man="1"/>
    <brk id="110" max="16383" man="1"/>
    <brk id="156" max="16383" man="1"/>
    <brk id="198" max="16383" man="1"/>
    <brk id="250" max="16383" man="1"/>
    <brk id="314" max="16383" man="1"/>
    <brk id="378" max="16383" man="1"/>
    <brk id="443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17</vt:i4>
      </vt:variant>
    </vt:vector>
  </HeadingPairs>
  <TitlesOfParts>
    <vt:vector size="27" baseType="lpstr">
      <vt:lpstr>2011</vt:lpstr>
      <vt:lpstr>2012</vt:lpstr>
      <vt:lpstr>2013</vt:lpstr>
      <vt:lpstr>2014</vt:lpstr>
      <vt:lpstr>2015</vt:lpstr>
      <vt:lpstr>2016</vt:lpstr>
      <vt:lpstr>2017</vt:lpstr>
      <vt:lpstr>2018</vt:lpstr>
      <vt:lpstr>2019</vt:lpstr>
      <vt:lpstr>2020</vt:lpstr>
      <vt:lpstr>'2013'!Print_Area</vt:lpstr>
      <vt:lpstr>'2014'!Print_Area</vt:lpstr>
      <vt:lpstr>'2015'!Print_Area</vt:lpstr>
      <vt:lpstr>'2016'!Print_Area</vt:lpstr>
      <vt:lpstr>'2017'!Print_Area</vt:lpstr>
      <vt:lpstr>'2018'!Print_Area</vt:lpstr>
      <vt:lpstr>'2019'!Print_Area</vt:lpstr>
      <vt:lpstr>'2020'!Print_Area</vt:lpstr>
      <vt:lpstr>'2012'!Print_Titles</vt:lpstr>
      <vt:lpstr>'2013'!Print_Titles</vt:lpstr>
      <vt:lpstr>'2014'!Print_Titles</vt:lpstr>
      <vt:lpstr>'2015'!Print_Titles</vt:lpstr>
      <vt:lpstr>'2016'!Print_Titles</vt:lpstr>
      <vt:lpstr>'2017'!Print_Titles</vt:lpstr>
      <vt:lpstr>'2018'!Print_Titles</vt:lpstr>
      <vt:lpstr>'2019'!Print_Titles</vt:lpstr>
      <vt:lpstr>'2020'!Print_Titles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User</cp:lastModifiedBy>
  <dcterms:created xsi:type="dcterms:W3CDTF">2021-05-20T01:24:59Z</dcterms:created>
  <dcterms:modified xsi:type="dcterms:W3CDTF">2021-05-27T05:08:30Z</dcterms:modified>
</cp:coreProperties>
</file>